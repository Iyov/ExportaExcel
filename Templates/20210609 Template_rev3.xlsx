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cardenas\Desktop\"/>
    </mc:Choice>
  </mc:AlternateContent>
  <bookViews>
    <workbookView xWindow="-120" yWindow="-120" windowWidth="29040" windowHeight="15840" tabRatio="793" activeTab="1"/>
  </bookViews>
  <sheets>
    <sheet name="Reliquidacion" sheetId="7" r:id="rId1"/>
    <sheet name="MAPA DATA" sheetId="12" r:id="rId2"/>
    <sheet name="FACT_EST_CEN" sheetId="11" r:id="rId3"/>
    <sheet name="FACT_EST_EFACT" sheetId="6" r:id="rId4"/>
    <sheet name="FACT_EMITIDA" sheetId="2" r:id="rId5"/>
    <sheet name="SIGGE_E" sheetId="14" r:id="rId6"/>
    <sheet name="SIGGE_P" sheetId="15" r:id="rId7"/>
    <sheet name="EFACT_CNE" sheetId="1" r:id="rId8"/>
    <sheet name="EFACT_EST_CEN" sheetId="13" r:id="rId9"/>
  </sheets>
  <definedNames>
    <definedName name="_xlnm._FilterDatabase" localSheetId="7" hidden="1">EFACT_CNE!$A$1:$Y$415</definedName>
    <definedName name="_xlnm._FilterDatabase" localSheetId="4" hidden="1">FACT_EMITIDA!$A$1:$U$604</definedName>
    <definedName name="_xlnm._FilterDatabase" localSheetId="3" hidden="1">FACT_EST_EFACT!$A$1:$Z$113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" i="7" l="1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9" i="7"/>
  <c r="S9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23" i="7"/>
  <c r="J24" i="7"/>
  <c r="J25" i="7"/>
  <c r="J26" i="7"/>
  <c r="J27" i="7"/>
  <c r="J28" i="7"/>
  <c r="J29" i="7"/>
  <c r="J30" i="7"/>
  <c r="J31" i="7"/>
  <c r="J32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9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23" i="7"/>
  <c r="H24" i="7"/>
  <c r="H25" i="7"/>
  <c r="H26" i="7"/>
  <c r="H27" i="7"/>
  <c r="H28" i="7"/>
  <c r="H29" i="7"/>
  <c r="H30" i="7"/>
  <c r="H31" i="7"/>
  <c r="H32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9" i="7"/>
  <c r="E9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23" i="7"/>
  <c r="I24" i="7"/>
  <c r="I25" i="7"/>
  <c r="I26" i="7"/>
  <c r="I27" i="7"/>
  <c r="I28" i="7"/>
  <c r="I29" i="7"/>
  <c r="I30" i="7"/>
  <c r="I31" i="7"/>
  <c r="I32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9" i="7"/>
  <c r="F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9" i="7"/>
  <c r="D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9" i="7"/>
  <c r="M9" i="7" s="1"/>
  <c r="A10" i="7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D12" i="12"/>
  <c r="E12" i="12"/>
  <c r="F12" i="12"/>
  <c r="D13" i="12"/>
  <c r="E13" i="12"/>
  <c r="F13" i="12"/>
  <c r="D14" i="12"/>
  <c r="E14" i="12"/>
  <c r="F14" i="12"/>
  <c r="D15" i="12"/>
  <c r="E15" i="12"/>
  <c r="F15" i="12"/>
  <c r="D16" i="12"/>
  <c r="E16" i="12"/>
  <c r="F16" i="12"/>
  <c r="D17" i="12"/>
  <c r="E17" i="12"/>
  <c r="F17" i="12"/>
  <c r="D18" i="12"/>
  <c r="E18" i="12"/>
  <c r="F18" i="12"/>
  <c r="D19" i="12"/>
  <c r="E19" i="12"/>
  <c r="F19" i="12"/>
  <c r="D20" i="12"/>
  <c r="E20" i="12"/>
  <c r="F20" i="12"/>
  <c r="D21" i="12"/>
  <c r="E21" i="12"/>
  <c r="F21" i="12"/>
  <c r="D22" i="12"/>
  <c r="E22" i="12"/>
  <c r="F22" i="12"/>
  <c r="D23" i="12"/>
  <c r="E23" i="12"/>
  <c r="F23" i="12"/>
  <c r="D24" i="12"/>
  <c r="E24" i="12"/>
  <c r="F24" i="12"/>
  <c r="D25" i="12"/>
  <c r="E25" i="12"/>
  <c r="F25" i="12"/>
  <c r="D26" i="12"/>
  <c r="E26" i="12"/>
  <c r="F26" i="12"/>
  <c r="D27" i="12"/>
  <c r="E27" i="12"/>
  <c r="F27" i="12"/>
  <c r="D28" i="12"/>
  <c r="E28" i="12"/>
  <c r="F28" i="12"/>
  <c r="D29" i="12"/>
  <c r="E29" i="12"/>
  <c r="F29" i="12"/>
  <c r="D30" i="12"/>
  <c r="E30" i="12"/>
  <c r="F30" i="12"/>
  <c r="D31" i="12"/>
  <c r="E31" i="12"/>
  <c r="F31" i="12"/>
  <c r="D32" i="12"/>
  <c r="E32" i="12"/>
  <c r="F32" i="12"/>
  <c r="D33" i="12"/>
  <c r="E33" i="12"/>
  <c r="F33" i="12"/>
  <c r="D34" i="12"/>
  <c r="E34" i="12"/>
  <c r="F34" i="12"/>
  <c r="D35" i="12"/>
  <c r="E35" i="12"/>
  <c r="F35" i="12"/>
  <c r="D36" i="12"/>
  <c r="E36" i="12"/>
  <c r="F36" i="12"/>
  <c r="D37" i="12"/>
  <c r="E37" i="12"/>
  <c r="F37" i="12"/>
  <c r="D38" i="12"/>
  <c r="E38" i="12"/>
  <c r="F38" i="12"/>
  <c r="D39" i="12"/>
  <c r="E39" i="12"/>
  <c r="F39" i="12"/>
  <c r="D40" i="12"/>
  <c r="E40" i="12"/>
  <c r="F40" i="12"/>
  <c r="D41" i="12"/>
  <c r="E41" i="12"/>
  <c r="F41" i="12"/>
  <c r="D42" i="12"/>
  <c r="E42" i="12"/>
  <c r="F42" i="12"/>
  <c r="D43" i="12"/>
  <c r="E43" i="12"/>
  <c r="F43" i="12"/>
  <c r="D44" i="12"/>
  <c r="E44" i="12"/>
  <c r="F44" i="12"/>
  <c r="D45" i="12"/>
  <c r="E45" i="12"/>
  <c r="F45" i="12"/>
  <c r="D46" i="12"/>
  <c r="E46" i="12"/>
  <c r="F46" i="12"/>
  <c r="D47" i="12"/>
  <c r="E47" i="12"/>
  <c r="F47" i="12"/>
  <c r="D48" i="12"/>
  <c r="E48" i="12"/>
  <c r="F48" i="12"/>
  <c r="D49" i="12"/>
  <c r="E49" i="12"/>
  <c r="F49" i="12"/>
  <c r="D50" i="12"/>
  <c r="E50" i="12"/>
  <c r="F50" i="12"/>
  <c r="D51" i="12"/>
  <c r="E51" i="12"/>
  <c r="F51" i="12"/>
  <c r="D52" i="12"/>
  <c r="E52" i="12"/>
  <c r="F52" i="12"/>
  <c r="D53" i="12"/>
  <c r="E53" i="12"/>
  <c r="F53" i="12"/>
  <c r="D54" i="12"/>
  <c r="E54" i="12"/>
  <c r="F54" i="12"/>
  <c r="D55" i="12"/>
  <c r="E55" i="12"/>
  <c r="F55" i="12"/>
  <c r="D56" i="12"/>
  <c r="E56" i="12"/>
  <c r="F56" i="12"/>
  <c r="D57" i="12"/>
  <c r="E57" i="12"/>
  <c r="F57" i="12"/>
  <c r="D58" i="12"/>
  <c r="E58" i="12"/>
  <c r="F58" i="12"/>
  <c r="D59" i="12"/>
  <c r="E59" i="12"/>
  <c r="F59" i="12"/>
  <c r="D60" i="12"/>
  <c r="E60" i="12"/>
  <c r="F60" i="12"/>
  <c r="D61" i="12"/>
  <c r="E61" i="12"/>
  <c r="F61" i="12"/>
  <c r="D62" i="12"/>
  <c r="E62" i="12"/>
  <c r="F62" i="12"/>
  <c r="D63" i="12"/>
  <c r="E63" i="12"/>
  <c r="F63" i="12"/>
  <c r="D64" i="12"/>
  <c r="E64" i="12"/>
  <c r="F64" i="12"/>
  <c r="D65" i="12"/>
  <c r="E65" i="12"/>
  <c r="F65" i="12"/>
  <c r="D66" i="12"/>
  <c r="E66" i="12"/>
  <c r="F66" i="12"/>
  <c r="D67" i="12"/>
  <c r="E67" i="12"/>
  <c r="F67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R65" i="7" l="1"/>
  <c r="M64" i="7"/>
  <c r="P63" i="7"/>
  <c r="P64" i="7"/>
  <c r="P65" i="7"/>
  <c r="M65" i="7"/>
  <c r="O65" i="7"/>
  <c r="O64" i="7"/>
  <c r="R64" i="7"/>
  <c r="M63" i="7"/>
  <c r="O63" i="7"/>
  <c r="R63" i="7"/>
  <c r="F11" i="12"/>
  <c r="E11" i="12"/>
  <c r="D11" i="12"/>
  <c r="G11" i="12"/>
  <c r="H11" i="12" l="1"/>
  <c r="R9" i="7" l="1"/>
  <c r="P9" i="7"/>
  <c r="O9" i="7"/>
  <c r="P58" i="7"/>
  <c r="R58" i="7"/>
  <c r="O58" i="7"/>
  <c r="M58" i="7"/>
  <c r="R56" i="7"/>
  <c r="O56" i="7"/>
  <c r="M56" i="7"/>
  <c r="P56" i="7"/>
  <c r="R32" i="7"/>
  <c r="O32" i="7"/>
  <c r="M32" i="7"/>
  <c r="P32" i="7"/>
  <c r="P24" i="7"/>
  <c r="R24" i="7"/>
  <c r="O24" i="7"/>
  <c r="M24" i="7"/>
  <c r="R16" i="7"/>
  <c r="O16" i="7"/>
  <c r="M16" i="7"/>
  <c r="P16" i="7"/>
  <c r="R55" i="7"/>
  <c r="O55" i="7"/>
  <c r="M55" i="7"/>
  <c r="P55" i="7"/>
  <c r="P47" i="7"/>
  <c r="R47" i="7"/>
  <c r="O47" i="7"/>
  <c r="M47" i="7"/>
  <c r="R39" i="7"/>
  <c r="O39" i="7"/>
  <c r="M39" i="7"/>
  <c r="P39" i="7"/>
  <c r="P31" i="7"/>
  <c r="R31" i="7"/>
  <c r="O31" i="7"/>
  <c r="M31" i="7"/>
  <c r="P23" i="7"/>
  <c r="R23" i="7"/>
  <c r="O23" i="7"/>
  <c r="M23" i="7"/>
  <c r="R15" i="7"/>
  <c r="O15" i="7"/>
  <c r="M15" i="7"/>
  <c r="P15" i="7"/>
  <c r="R62" i="7"/>
  <c r="O62" i="7"/>
  <c r="M62" i="7"/>
  <c r="P62" i="7"/>
  <c r="R53" i="7"/>
  <c r="O53" i="7"/>
  <c r="M53" i="7"/>
  <c r="P53" i="7"/>
  <c r="R45" i="7"/>
  <c r="O45" i="7"/>
  <c r="M45" i="7"/>
  <c r="P45" i="7"/>
  <c r="R37" i="7"/>
  <c r="O37" i="7"/>
  <c r="M37" i="7"/>
  <c r="P37" i="7"/>
  <c r="R29" i="7"/>
  <c r="O29" i="7"/>
  <c r="M29" i="7"/>
  <c r="P29" i="7"/>
  <c r="R21" i="7"/>
  <c r="O21" i="7"/>
  <c r="M21" i="7"/>
  <c r="P21" i="7"/>
  <c r="R13" i="7"/>
  <c r="O13" i="7"/>
  <c r="M13" i="7"/>
  <c r="P13" i="7"/>
  <c r="R41" i="7"/>
  <c r="O41" i="7"/>
  <c r="M41" i="7"/>
  <c r="P41" i="7"/>
  <c r="M48" i="7"/>
  <c r="R48" i="7"/>
  <c r="O48" i="7"/>
  <c r="P48" i="7"/>
  <c r="P10" i="7"/>
  <c r="O10" i="7"/>
  <c r="R10" i="7"/>
  <c r="M10" i="7"/>
  <c r="R61" i="7"/>
  <c r="O61" i="7"/>
  <c r="M61" i="7"/>
  <c r="P61" i="7"/>
  <c r="R28" i="7"/>
  <c r="O28" i="7"/>
  <c r="M28" i="7"/>
  <c r="P28" i="7"/>
  <c r="R12" i="7"/>
  <c r="O12" i="7"/>
  <c r="M12" i="7"/>
  <c r="P12" i="7"/>
  <c r="R33" i="7"/>
  <c r="O33" i="7"/>
  <c r="M33" i="7"/>
  <c r="P33" i="7"/>
  <c r="R17" i="7"/>
  <c r="O17" i="7"/>
  <c r="M17" i="7"/>
  <c r="P17" i="7"/>
  <c r="R40" i="7"/>
  <c r="O40" i="7"/>
  <c r="M40" i="7"/>
  <c r="P40" i="7"/>
  <c r="R38" i="7"/>
  <c r="O38" i="7"/>
  <c r="M38" i="7"/>
  <c r="P38" i="7"/>
  <c r="R22" i="7"/>
  <c r="O22" i="7"/>
  <c r="M22" i="7"/>
  <c r="P22" i="7"/>
  <c r="R14" i="7"/>
  <c r="O14" i="7"/>
  <c r="M14" i="7"/>
  <c r="P14" i="7"/>
  <c r="R44" i="7"/>
  <c r="O44" i="7"/>
  <c r="M44" i="7"/>
  <c r="P44" i="7"/>
  <c r="R36" i="7"/>
  <c r="O36" i="7"/>
  <c r="M36" i="7"/>
  <c r="P36" i="7"/>
  <c r="R20" i="7"/>
  <c r="O20" i="7"/>
  <c r="M20" i="7"/>
  <c r="P20" i="7"/>
  <c r="R60" i="7"/>
  <c r="O60" i="7"/>
  <c r="M60" i="7"/>
  <c r="P60" i="7"/>
  <c r="P51" i="7"/>
  <c r="R51" i="7"/>
  <c r="O51" i="7"/>
  <c r="M51" i="7"/>
  <c r="P43" i="7"/>
  <c r="R43" i="7"/>
  <c r="O43" i="7"/>
  <c r="M43" i="7"/>
  <c r="P35" i="7"/>
  <c r="R35" i="7"/>
  <c r="O35" i="7"/>
  <c r="M35" i="7"/>
  <c r="P27" i="7"/>
  <c r="R27" i="7"/>
  <c r="O27" i="7"/>
  <c r="M27" i="7"/>
  <c r="P19" i="7"/>
  <c r="R19" i="7"/>
  <c r="O19" i="7"/>
  <c r="M19" i="7"/>
  <c r="P11" i="7"/>
  <c r="R11" i="7"/>
  <c r="O11" i="7"/>
  <c r="M11" i="7"/>
  <c r="R49" i="7"/>
  <c r="O49" i="7"/>
  <c r="M49" i="7"/>
  <c r="P49" i="7"/>
  <c r="R25" i="7"/>
  <c r="O25" i="7"/>
  <c r="M25" i="7"/>
  <c r="P25" i="7"/>
  <c r="R54" i="7"/>
  <c r="O54" i="7"/>
  <c r="M54" i="7"/>
  <c r="P54" i="7"/>
  <c r="R46" i="7"/>
  <c r="O46" i="7"/>
  <c r="M46" i="7"/>
  <c r="P46" i="7"/>
  <c r="R30" i="7"/>
  <c r="O30" i="7"/>
  <c r="M30" i="7"/>
  <c r="P30" i="7"/>
  <c r="R52" i="7"/>
  <c r="O52" i="7"/>
  <c r="M52" i="7"/>
  <c r="P52" i="7"/>
  <c r="P59" i="7"/>
  <c r="R59" i="7"/>
  <c r="O59" i="7"/>
  <c r="M59" i="7"/>
  <c r="P50" i="7"/>
  <c r="R50" i="7"/>
  <c r="O50" i="7"/>
  <c r="M50" i="7"/>
  <c r="P42" i="7"/>
  <c r="R42" i="7"/>
  <c r="O42" i="7"/>
  <c r="M42" i="7"/>
  <c r="P34" i="7"/>
  <c r="R34" i="7"/>
  <c r="O34" i="7"/>
  <c r="M34" i="7"/>
  <c r="P26" i="7"/>
  <c r="R26" i="7"/>
  <c r="O26" i="7"/>
  <c r="M26" i="7"/>
  <c r="P18" i="7"/>
  <c r="R18" i="7"/>
  <c r="O18" i="7"/>
  <c r="M18" i="7"/>
  <c r="B34" i="12"/>
  <c r="B46" i="12" s="1"/>
  <c r="B58" i="12" s="1"/>
  <c r="A34" i="12"/>
  <c r="A46" i="12" s="1"/>
  <c r="A58" i="12" s="1"/>
  <c r="B33" i="12"/>
  <c r="B45" i="12" s="1"/>
  <c r="B57" i="12" s="1"/>
  <c r="A33" i="12"/>
  <c r="A45" i="12" s="1"/>
  <c r="A57" i="12" s="1"/>
  <c r="B32" i="12"/>
  <c r="B44" i="12" s="1"/>
  <c r="B56" i="12" s="1"/>
  <c r="A32" i="12"/>
  <c r="A44" i="12" s="1"/>
  <c r="A56" i="12" s="1"/>
  <c r="B31" i="12"/>
  <c r="B43" i="12" s="1"/>
  <c r="B55" i="12" s="1"/>
  <c r="B67" i="12" s="1"/>
  <c r="A31" i="12"/>
  <c r="A43" i="12" s="1"/>
  <c r="A55" i="12" s="1"/>
  <c r="A67" i="12" s="1"/>
  <c r="B30" i="12"/>
  <c r="B42" i="12" s="1"/>
  <c r="B54" i="12" s="1"/>
  <c r="B66" i="12" s="1"/>
  <c r="A30" i="12"/>
  <c r="A42" i="12" s="1"/>
  <c r="A54" i="12" s="1"/>
  <c r="A66" i="12" s="1"/>
  <c r="B29" i="12"/>
  <c r="B41" i="12" s="1"/>
  <c r="B53" i="12" s="1"/>
  <c r="B65" i="12" s="1"/>
  <c r="A29" i="12"/>
  <c r="A41" i="12" s="1"/>
  <c r="A53" i="12" s="1"/>
  <c r="A65" i="12" s="1"/>
  <c r="B28" i="12"/>
  <c r="B40" i="12" s="1"/>
  <c r="B52" i="12" s="1"/>
  <c r="B64" i="12" s="1"/>
  <c r="A28" i="12"/>
  <c r="A40" i="12" s="1"/>
  <c r="A52" i="12" s="1"/>
  <c r="A64" i="12" s="1"/>
  <c r="B27" i="12"/>
  <c r="B39" i="12" s="1"/>
  <c r="B51" i="12" s="1"/>
  <c r="B63" i="12" s="1"/>
  <c r="A27" i="12"/>
  <c r="A39" i="12" s="1"/>
  <c r="A51" i="12" s="1"/>
  <c r="A63" i="12" s="1"/>
  <c r="B26" i="12"/>
  <c r="B38" i="12" s="1"/>
  <c r="B50" i="12" s="1"/>
  <c r="B62" i="12" s="1"/>
  <c r="A26" i="12"/>
  <c r="A38" i="12" s="1"/>
  <c r="A50" i="12" s="1"/>
  <c r="A62" i="12" s="1"/>
  <c r="B25" i="12"/>
  <c r="B37" i="12" s="1"/>
  <c r="B49" i="12" s="1"/>
  <c r="B61" i="12" s="1"/>
  <c r="A25" i="12"/>
  <c r="A37" i="12" s="1"/>
  <c r="A49" i="12" s="1"/>
  <c r="A61" i="12" s="1"/>
  <c r="B24" i="12"/>
  <c r="B36" i="12" s="1"/>
  <c r="B48" i="12" s="1"/>
  <c r="B60" i="12" s="1"/>
  <c r="A24" i="12"/>
  <c r="A36" i="12" s="1"/>
  <c r="A48" i="12" s="1"/>
  <c r="A60" i="12" s="1"/>
  <c r="B23" i="12"/>
  <c r="B35" i="12" s="1"/>
  <c r="B47" i="12" s="1"/>
  <c r="B59" i="12" s="1"/>
  <c r="A23" i="12"/>
  <c r="A35" i="12" s="1"/>
  <c r="A47" i="12" s="1"/>
  <c r="A59" i="12" s="1"/>
  <c r="R57" i="7" l="1"/>
  <c r="O57" i="7"/>
  <c r="M57" i="7"/>
  <c r="P57" i="7"/>
  <c r="W10" i="7"/>
  <c r="X10" i="7"/>
  <c r="AA10" i="7"/>
  <c r="W11" i="7"/>
  <c r="X11" i="7"/>
  <c r="AA11" i="7"/>
  <c r="W12" i="7"/>
  <c r="X12" i="7"/>
  <c r="AA12" i="7"/>
  <c r="W13" i="7"/>
  <c r="X13" i="7"/>
  <c r="AA13" i="7"/>
  <c r="W14" i="7"/>
  <c r="X14" i="7"/>
  <c r="AA14" i="7"/>
  <c r="W15" i="7"/>
  <c r="X15" i="7"/>
  <c r="AA15" i="7"/>
  <c r="W16" i="7"/>
  <c r="X16" i="7"/>
  <c r="AA16" i="7"/>
  <c r="W17" i="7"/>
  <c r="X17" i="7"/>
  <c r="AA17" i="7"/>
  <c r="W18" i="7"/>
  <c r="X18" i="7"/>
  <c r="AA18" i="7"/>
  <c r="W19" i="7"/>
  <c r="X19" i="7"/>
  <c r="AA19" i="7"/>
  <c r="W20" i="7"/>
  <c r="X20" i="7"/>
  <c r="AA20" i="7"/>
  <c r="W21" i="7"/>
  <c r="X21" i="7"/>
  <c r="AA21" i="7"/>
  <c r="W22" i="7"/>
  <c r="X22" i="7"/>
  <c r="AA22" i="7"/>
  <c r="AA9" i="7"/>
  <c r="X9" i="7"/>
  <c r="W9" i="7"/>
  <c r="AB10" i="7" l="1"/>
  <c r="AB19" i="7"/>
  <c r="AB18" i="7"/>
  <c r="AB9" i="7"/>
  <c r="AB12" i="7"/>
  <c r="AB22" i="7"/>
  <c r="AB14" i="7"/>
  <c r="AB11" i="7"/>
  <c r="AB20" i="7"/>
  <c r="AB13" i="7"/>
  <c r="AB17" i="7"/>
  <c r="AB15" i="7"/>
  <c r="AB21" i="7"/>
  <c r="AB16" i="7"/>
  <c r="AC14" i="7" l="1"/>
  <c r="AC22" i="7"/>
  <c r="AD22" i="7" s="1"/>
  <c r="AC13" i="7"/>
  <c r="AD13" i="7" s="1"/>
  <c r="AC17" i="7"/>
  <c r="AD17" i="7" s="1"/>
  <c r="AC10" i="7"/>
  <c r="AD10" i="7" s="1"/>
  <c r="AC9" i="7"/>
  <c r="AD9" i="7" s="1"/>
  <c r="AC16" i="7"/>
  <c r="AD16" i="7" s="1"/>
  <c r="AC20" i="7"/>
  <c r="AD20" i="7" s="1"/>
  <c r="AC21" i="7"/>
  <c r="AD21" i="7" s="1"/>
  <c r="AC12" i="7"/>
  <c r="AC18" i="7"/>
  <c r="AC19" i="7"/>
  <c r="AC15" i="7"/>
  <c r="AD15" i="7" s="1"/>
  <c r="AD14" i="7" l="1"/>
  <c r="AD12" i="7"/>
  <c r="AD18" i="7"/>
  <c r="AD19" i="7"/>
  <c r="AC11" i="7"/>
  <c r="AD11" i="7" s="1"/>
  <c r="W63" i="7" l="1"/>
  <c r="W64" i="7"/>
  <c r="W65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33" i="7"/>
  <c r="X33" i="7"/>
  <c r="X64" i="7"/>
  <c r="X63" i="7"/>
  <c r="X62" i="7" l="1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5" i="7"/>
  <c r="AA33" i="7" l="1"/>
  <c r="Z34" i="7"/>
  <c r="AB33" i="7" l="1"/>
  <c r="Z35" i="7" l="1"/>
  <c r="AA34" i="7"/>
  <c r="AB34" i="7" s="1"/>
  <c r="Z36" i="7" l="1"/>
  <c r="AA35" i="7"/>
  <c r="AB35" i="7" s="1"/>
  <c r="Z37" i="7" l="1"/>
  <c r="AA36" i="7"/>
  <c r="AB36" i="7" s="1"/>
  <c r="Z38" i="7" l="1"/>
  <c r="AA37" i="7"/>
  <c r="AB37" i="7" s="1"/>
  <c r="Z39" i="7" l="1"/>
  <c r="AA38" i="7"/>
  <c r="AB38" i="7" s="1"/>
  <c r="Z40" i="7" l="1"/>
  <c r="AA39" i="7"/>
  <c r="AB39" i="7" s="1"/>
  <c r="AC37" i="7"/>
  <c r="AD37" i="7" s="1"/>
  <c r="AC35" i="7"/>
  <c r="AD35" i="7" s="1"/>
  <c r="AC38" i="7"/>
  <c r="AD38" i="7" s="1"/>
  <c r="AC36" i="7"/>
  <c r="AD36" i="7" s="1"/>
  <c r="AC33" i="7"/>
  <c r="AC34" i="7"/>
  <c r="AD34" i="7" s="1"/>
  <c r="AC39" i="7" l="1"/>
  <c r="AD39" i="7" s="1"/>
  <c r="Z41" i="7"/>
  <c r="AA40" i="7"/>
  <c r="AB40" i="7" s="1"/>
  <c r="AC40" i="7" s="1"/>
  <c r="AD40" i="7" s="1"/>
  <c r="AD33" i="7"/>
  <c r="Z42" i="7" l="1"/>
  <c r="AA41" i="7"/>
  <c r="AB41" i="7" s="1"/>
  <c r="AC41" i="7" s="1"/>
  <c r="AD41" i="7" s="1"/>
  <c r="Z43" i="7" l="1"/>
  <c r="AA42" i="7"/>
  <c r="AB42" i="7" s="1"/>
  <c r="AC42" i="7" s="1"/>
  <c r="AD42" i="7" s="1"/>
  <c r="Z44" i="7" l="1"/>
  <c r="AA43" i="7"/>
  <c r="AB43" i="7" s="1"/>
  <c r="AC43" i="7" s="1"/>
  <c r="AD43" i="7" s="1"/>
  <c r="Z45" i="7" l="1"/>
  <c r="AA44" i="7"/>
  <c r="AB44" i="7" s="1"/>
  <c r="AC44" i="7" s="1"/>
  <c r="AD44" i="7" s="1"/>
  <c r="Z46" i="7" l="1"/>
  <c r="AA45" i="7"/>
  <c r="AB45" i="7" s="1"/>
  <c r="AC45" i="7" s="1"/>
  <c r="AD45" i="7" s="1"/>
  <c r="Z47" i="7" l="1"/>
  <c r="AA46" i="7"/>
  <c r="AB46" i="7" s="1"/>
  <c r="AC46" i="7" s="1"/>
  <c r="AD46" i="7" s="1"/>
  <c r="Z48" i="7" l="1"/>
  <c r="AA47" i="7"/>
  <c r="AB47" i="7" s="1"/>
  <c r="AC47" i="7" s="1"/>
  <c r="AD47" i="7" s="1"/>
  <c r="Z49" i="7" l="1"/>
  <c r="AA48" i="7"/>
  <c r="AB48" i="7" s="1"/>
  <c r="AC48" i="7" s="1"/>
  <c r="AD48" i="7" s="1"/>
  <c r="Z50" i="7" l="1"/>
  <c r="AA49" i="7"/>
  <c r="AB49" i="7" s="1"/>
  <c r="AC49" i="7" s="1"/>
  <c r="AD49" i="7" s="1"/>
  <c r="Z51" i="7" l="1"/>
  <c r="AA50" i="7"/>
  <c r="AB50" i="7" s="1"/>
  <c r="AC50" i="7" s="1"/>
  <c r="AD50" i="7" s="1"/>
  <c r="Z52" i="7" l="1"/>
  <c r="AA51" i="7"/>
  <c r="AB51" i="7" s="1"/>
  <c r="AC51" i="7" s="1"/>
  <c r="AD51" i="7" s="1"/>
  <c r="Z53" i="7" l="1"/>
  <c r="AA52" i="7"/>
  <c r="AB52" i="7" s="1"/>
  <c r="AC52" i="7" s="1"/>
  <c r="AD52" i="7" s="1"/>
  <c r="Z54" i="7" l="1"/>
  <c r="AA53" i="7"/>
  <c r="AB53" i="7" s="1"/>
  <c r="AC53" i="7" s="1"/>
  <c r="AD53" i="7" s="1"/>
  <c r="Z55" i="7" l="1"/>
  <c r="AA54" i="7"/>
  <c r="AB54" i="7" s="1"/>
  <c r="AC54" i="7" s="1"/>
  <c r="AD54" i="7" s="1"/>
  <c r="AA55" i="7" l="1"/>
  <c r="AB55" i="7" s="1"/>
  <c r="AC55" i="7" s="1"/>
  <c r="AD55" i="7" s="1"/>
  <c r="Z56" i="7"/>
  <c r="Z57" i="7" l="1"/>
  <c r="AA56" i="7"/>
  <c r="AB56" i="7" s="1"/>
  <c r="AC56" i="7" s="1"/>
  <c r="AD56" i="7" s="1"/>
  <c r="AA57" i="7" l="1"/>
  <c r="AB57" i="7" s="1"/>
  <c r="AC57" i="7" s="1"/>
  <c r="AD57" i="7" s="1"/>
  <c r="Z58" i="7"/>
  <c r="Z59" i="7" l="1"/>
  <c r="Z63" i="7" s="1"/>
  <c r="AA63" i="7" s="1"/>
  <c r="AB63" i="7" s="1"/>
  <c r="AC63" i="7" s="1"/>
  <c r="AD63" i="7" s="1"/>
  <c r="AA58" i="7"/>
  <c r="AB58" i="7" s="1"/>
  <c r="AC58" i="7" s="1"/>
  <c r="AD58" i="7" s="1"/>
  <c r="Z60" i="7" l="1"/>
  <c r="AA59" i="7"/>
  <c r="AB59" i="7" s="1"/>
  <c r="AC59" i="7" s="1"/>
  <c r="AD59" i="7" s="1"/>
  <c r="Z64" i="7" l="1"/>
  <c r="AA64" i="7" s="1"/>
  <c r="AB64" i="7" s="1"/>
  <c r="AC64" i="7" s="1"/>
  <c r="AD64" i="7" s="1"/>
  <c r="Z62" i="7"/>
  <c r="AA62" i="7" s="1"/>
  <c r="AB62" i="7" s="1"/>
  <c r="AC62" i="7" s="1"/>
  <c r="AD62" i="7" s="1"/>
  <c r="Z61" i="7"/>
  <c r="AA60" i="7"/>
  <c r="AB60" i="7" s="1"/>
  <c r="AC60" i="7" s="1"/>
  <c r="AD60" i="7" s="1"/>
  <c r="Z65" i="7" l="1"/>
  <c r="AA65" i="7" s="1"/>
  <c r="AB65" i="7" s="1"/>
  <c r="AC65" i="7" s="1"/>
  <c r="AD65" i="7" s="1"/>
  <c r="AA61" i="7"/>
  <c r="AB61" i="7" s="1"/>
  <c r="AC61" i="7" s="1"/>
  <c r="AD61" i="7" s="1"/>
  <c r="AD66" i="7" l="1"/>
</calcChain>
</file>

<file path=xl/sharedStrings.xml><?xml version="1.0" encoding="utf-8"?>
<sst xmlns="http://schemas.openxmlformats.org/spreadsheetml/2006/main" count="42281" uniqueCount="447">
  <si>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</si>
  <si>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</si>
  <si>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</si>
  <si>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</si>
  <si>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</si>
  <si>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</si>
  <si>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</si>
  <si>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</si>
  <si>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</si>
  <si>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</si>
  <si>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</si>
  <si>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</si>
  <si>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</si>
  <si>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</si>
  <si>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</si>
  <si>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</si>
  <si>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</si>
  <si>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</si>
  <si>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</si>
  <si>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</si>
  <si>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</si>
  <si>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</si>
  <si>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</si>
  <si>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</si>
  <si>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</si>
  <si>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</si>
  <si>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</si>
  <si>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</si>
  <si>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</si>
  <si>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</si>
  <si>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</si>
  <si>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</si>
  <si>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</si>
  <si>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Cantidad</t>
  </si>
  <si>
    <t>Precio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</si>
  <si>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</si>
  <si>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</si>
  <si>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</si>
  <si>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</si>
  <si>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</si>
  <si>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</si>
  <si>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</si>
  <si>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</si>
  <si>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</si>
  <si>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</si>
  <si>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</si>
  <si>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</si>
  <si>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</si>
  <si>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</si>
  <si>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</si>
  <si>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</si>
  <si>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</si>
  <si>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</si>
  <si>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</si>
  <si>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</si>
  <si>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</si>
  <si>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</si>
  <si>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</si>
  <si>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</si>
  <si>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Ajuste por Armonizacion Tarifaria Licitaciones</t>
  </si>
  <si>
    <t>Reliq. por PNP Energia Licitaciones</t>
  </si>
  <si>
    <t>Reliq. por PNP Potencia Licitaciones</t>
  </si>
  <si>
    <t>Reliq. por PNP Reactivos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</si>
  <si>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</si>
  <si>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</si>
  <si>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</si>
  <si>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</si>
  <si>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</si>
  <si>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</si>
  <si>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</si>
  <si>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</si>
  <si>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</si>
  <si>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</si>
  <si>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</si>
  <si>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</si>
  <si>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Intereses</t>
  </si>
  <si>
    <t>Interes</t>
  </si>
  <si>
    <t xml:space="preserve">Decreto PNP </t>
  </si>
  <si>
    <t>Fecha</t>
  </si>
  <si>
    <t>PNP 7T/2018</t>
  </si>
  <si>
    <t>Fecha publicación</t>
  </si>
  <si>
    <t>Diario Oficial</t>
  </si>
  <si>
    <t>PNP 20T/2019</t>
  </si>
  <si>
    <t>PNP 6T/2020</t>
  </si>
  <si>
    <t>PNP 16T/2021</t>
  </si>
  <si>
    <t>Anual</t>
  </si>
  <si>
    <t>Facturación</t>
  </si>
  <si>
    <t>N° de días</t>
  </si>
  <si>
    <t>de intereses</t>
  </si>
  <si>
    <t>Interés total</t>
  </si>
  <si>
    <t>según n° de días</t>
  </si>
  <si>
    <t>Total</t>
  </si>
  <si>
    <t>Montos a favor</t>
  </si>
  <si>
    <t>Caren emite factura</t>
  </si>
  <si>
    <t>Montos en contra</t>
  </si>
  <si>
    <t>Caren emite nota de crédito</t>
  </si>
  <si>
    <t>Reliquidación mensual</t>
  </si>
  <si>
    <t>PNP 19T/2021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</si>
  <si>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</si>
  <si>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</si>
  <si>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</si>
  <si>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</si>
  <si>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</si>
  <si>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</si>
  <si>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</si>
  <si>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</si>
  <si>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</si>
  <si>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</si>
  <si>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</si>
  <si>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</si>
  <si>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</si>
  <si>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</si>
  <si>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</si>
  <si>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</si>
  <si>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</si>
  <si>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</si>
  <si>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</si>
  <si>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</si>
  <si>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</si>
  <si>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</si>
  <si>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PNP 7T/2019</t>
  </si>
  <si>
    <t>PNP 7T/2020</t>
  </si>
  <si>
    <t>PNP 7T/2021</t>
  </si>
  <si>
    <t>PNP 7T/2022</t>
  </si>
  <si>
    <t>PNP 7T/2023</t>
  </si>
  <si>
    <t>PNP 7T/2024</t>
  </si>
  <si>
    <t>PNP 7T/2025</t>
  </si>
  <si>
    <t>PNP 7T/2026</t>
  </si>
  <si>
    <t>PNP 7T/2027</t>
  </si>
  <si>
    <t>PNP 7T/2028</t>
  </si>
  <si>
    <t>PNP 7T/2029</t>
  </si>
  <si>
    <t>PNP 7T/2030</t>
  </si>
  <si>
    <t>PNP 7T/2031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</si>
  <si>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</si>
  <si>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</si>
  <si>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</si>
  <si>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</si>
  <si>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</si>
  <si>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</si>
  <si>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</si>
  <si>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</si>
  <si>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</si>
  <si>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</si>
  <si>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</si>
  <si>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</si>
  <si>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</si>
  <si>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</si>
  <si>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</si>
  <si>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</si>
  <si>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</si>
  <si>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</si>
  <si>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</si>
  <si>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</si>
  <si>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</si>
  <si>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</si>
  <si>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</si>
  <si>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</si>
  <si>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</si>
  <si>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</si>
  <si>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</si>
  <si>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</si>
  <si>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</si>
  <si>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</si>
  <si>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</si>
  <si>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</si>
  <si>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</si>
  <si>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</si>
  <si>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</si>
  <si>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</si>
  <si>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</si>
  <si>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</si>
  <si>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</si>
  <si>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</si>
  <si>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</si>
  <si>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</si>
  <si>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</si>
  <si>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</si>
  <si>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</si>
  <si>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</si>
  <si>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</si>
  <si>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</si>
  <si>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</si>
  <si>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</si>
  <si>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</si>
  <si>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</si>
  <si>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</si>
  <si>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</si>
  <si>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</si>
  <si>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</si>
  <si>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</si>
  <si>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</si>
  <si>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</si>
  <si>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</si>
  <si>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</si>
  <si>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</si>
  <si>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</si>
  <si>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2018-10-19 00:00:00</t>
  </si>
  <si>
    <t>BS1A</t>
  </si>
  <si>
    <t>2013/03-2</t>
  </si>
  <si>
    <t>Lic. SIC 2013/03-2 bloques BS1A: Energía oct 2018</t>
  </si>
  <si>
    <t>2018-11-27 00:00:00</t>
  </si>
  <si>
    <t>Lic. SIC 2013/03-2 bloques BS1A: Energía nov 2018</t>
  </si>
  <si>
    <t>2018-12-14 00:00:00</t>
  </si>
  <si>
    <t>Lic. SIC 2013/03-2 bloques BS1A: Energía dic 2018</t>
  </si>
  <si>
    <t>2019-01-21 00:00:00</t>
  </si>
  <si>
    <t>Lic. SIC 2013/03-2 bloques BS1A: Reliq. Energía ene 2019</t>
  </si>
  <si>
    <t>2019-03-15 00:00:00</t>
  </si>
  <si>
    <t>Lic. SIC 2013/03-2 bloques BS1A: Energía ene 2019</t>
  </si>
  <si>
    <t>2019-02-08 00:00:00</t>
  </si>
  <si>
    <t>Lic. SIC 2013/03-2 bloques BS1A: Energía feb 2019</t>
  </si>
  <si>
    <t>2019-03-08 00:00:00</t>
  </si>
  <si>
    <t>Lic. SIC 2013/03-2 bloques BS1A: Reliq. Energía feb 2019</t>
  </si>
  <si>
    <t>2019-04-09 00:00:00</t>
  </si>
  <si>
    <t>Lic. SIC 2013/03-2 bloques BS1A: Energía mar 2019</t>
  </si>
  <si>
    <t>2019-04-08 00:00:00</t>
  </si>
  <si>
    <t>Lic. SIC 2013/03-2 bloques BS1A: Reliq. Energía mar 2019</t>
  </si>
  <si>
    <t>2019-05-13 00:00:00</t>
  </si>
  <si>
    <t>Lic. SIC 2013/03-2 bloques BS1A: Reliq. Energía abr 2019</t>
  </si>
  <si>
    <t>2020-03-23 11:56:36</t>
  </si>
  <si>
    <t>Lic. SIC 2013/03-2 bloques BS1A: Potencia abr 2019</t>
  </si>
  <si>
    <t>Lic. SIC 2013/03-2 bloques BS1A: Energía abr 2019</t>
  </si>
  <si>
    <t>Lic. SIC 2013/03-2 bloques BS1A: AAT abr 2019</t>
  </si>
  <si>
    <t>Lic. SIC 2013/03-2 bloques BS1A: Reactivo abr 2019</t>
  </si>
  <si>
    <t>Lic. SIC 2013/03-2 bloques BS1A: Reactivo may 2019</t>
  </si>
  <si>
    <t>2019-06-11 00:00:00</t>
  </si>
  <si>
    <t>Lic. SIC 2013/03-2 bloques BS1A: Reliq. Energía may 2019</t>
  </si>
  <si>
    <t>2020-03-25 15:09:20</t>
  </si>
  <si>
    <t>Lic. SIC 2013/03-2 bloques BS1A: Potencia may 2019</t>
  </si>
  <si>
    <t>Lic. SIC 2013/03-2 bloques BS1A: Reliq. AAT may 2019</t>
  </si>
  <si>
    <t>Lic. SIC 2013/03-2 bloques BS1A: Energía may 2019</t>
  </si>
  <si>
    <t>Lic. SIC 2013/03-2 bloques BS1A: AAT may 2019</t>
  </si>
  <si>
    <t>Lic. SIC 2013/03-2 bloques BS1A: Potencia jun 2019</t>
  </si>
  <si>
    <t>2019-07-09 00:00:00</t>
  </si>
  <si>
    <t>Lic. SIC 2013/03-2 bloques BS1A: Reliq. Energía jun 2019</t>
  </si>
  <si>
    <t>2019-08-16 00:00:00</t>
  </si>
  <si>
    <t>Lic. SIC 2013/03-2 bloques BS1A: Reactivo jun 2019</t>
  </si>
  <si>
    <t>Lic. SIC 2013/03-2 bloques BS1A: Energía jun 2019</t>
  </si>
  <si>
    <t>Lic. SIC 2013/03-2 bloques BS1A: Reliq. AAT jun 2019</t>
  </si>
  <si>
    <t>Lic. SIC 2013/03-2 bloques BS1A: AAT jun 2019</t>
  </si>
  <si>
    <t>Lic. SIC 2013/03-2 bloques BS1A: Reactivo jul 2019</t>
  </si>
  <si>
    <t>2019-08-09 00:00:00</t>
  </si>
  <si>
    <t>Lic. SIC 2013/03-2 bloques BS1A: Energía jul 2019</t>
  </si>
  <si>
    <t>Lic. SIC 2013/03-2 bloques BS1A: Reliq. Energía jul 2019</t>
  </si>
  <si>
    <t>2020-03-24 21:48:06</t>
  </si>
  <si>
    <t>Lic. SIC 2013/03-2 bloques BS1A: Potencia jul 2019</t>
  </si>
  <si>
    <t>Lic. SIC 2013/03-2 bloques BS1A: AAT jul 2019</t>
  </si>
  <si>
    <t>Lic. SIC 2013/03-2 bloques BS1A: Reliq. AAT ago 2019</t>
  </si>
  <si>
    <t>2020-03-25 09:27:00</t>
  </si>
  <si>
    <t>Lic. SIC 2013/03-2 bloques BS1A: Energía ago 2019</t>
  </si>
  <si>
    <t>2019-09-11 00:00:00</t>
  </si>
  <si>
    <t>Lic. SIC 2013/03-2 bloques BS1A: AAT ago 2019</t>
  </si>
  <si>
    <t>Lic. SIC 2013/03-2 bloques BS1A: Reliq. Energía ago 2019</t>
  </si>
  <si>
    <t>Lic. SIC 2013/03-2 bloques BS1A: Potencia oct 2019</t>
  </si>
  <si>
    <t>Lic. SIC 2013/03-2 bloques BS1A: Reactivo oct 2019</t>
  </si>
  <si>
    <t>Lic. SIC 2013/03-2 bloques BS1A: AAT sep 2019</t>
  </si>
  <si>
    <t>2019-10-10 00:00:00</t>
  </si>
  <si>
    <t>Lic. SIC 2013/03-2 bloques BS1A: Energía sep 2019</t>
  </si>
  <si>
    <t>2019-11-12 00:00:00</t>
  </si>
  <si>
    <t>Lic. SIC 2013/03-2 bloques BS1A: Reactivo  2019-9 facturada</t>
  </si>
  <si>
    <t>2020-04-23 11:20:49</t>
  </si>
  <si>
    <t>Lic. SIC 2013/03-2 bloques BS1A: AAT  2019-9 PEC 7T-2019</t>
  </si>
  <si>
    <t>Lic. SIC 2013/03-2 bloques BS1A: Energía  2019-9 facturada</t>
  </si>
  <si>
    <t>Reliq. Lic. SIC 2013/03-2 bloques BS1A: AAT oct 2019</t>
  </si>
  <si>
    <t>2019-12-13 00:00:00</t>
  </si>
  <si>
    <t>Lic. SIC 2013/03-2 bloques BS1A: Potencia  2019-9 PEC 7T-2019</t>
  </si>
  <si>
    <t>Lic. SIC 2013/03-2 bloques BS1A: AAT  2019-9 facturada</t>
  </si>
  <si>
    <t>Lic. SIC 2013/03-2 bloques BS1A: AAT oct 2019</t>
  </si>
  <si>
    <t>Reliq. Lic. SIC 2013/03-2 bloques BS1A: Energía oct 2019</t>
  </si>
  <si>
    <t>Lic. SIC 2013/03-2 bloques BS1A: Reactivo  2019-9 PEC 7T-2019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</si>
  <si>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</si>
  <si>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</si>
  <si>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</si>
  <si>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</si>
  <si>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2019-12-06 00:00:00</t>
  </si>
  <si>
    <t>Lic. SIC 2013/03-2 bloques BS1A: AAT nov 2019</t>
  </si>
  <si>
    <t>Lic. SIC 2013/03-2 bloques BS1A: Reliq. Energía nov 2019</t>
  </si>
  <si>
    <t>2020-01-07 00:00:00</t>
  </si>
  <si>
    <t>Lic. SIC 2013/03-2 bloques BS1A: Reliq. AAT nov 2019</t>
  </si>
  <si>
    <t>Lic. SIC 2013/03-2 bloques BS1A: Reactivo nov 2019</t>
  </si>
  <si>
    <t>Lic. SIC 2013/03-2 bloques BS1A: Energía nov 2019</t>
  </si>
  <si>
    <t>Lic. SIC 2013/03-2 bloques BS1A: AAT dic 2019</t>
  </si>
  <si>
    <t>Lic. SIC 2013/03-2 bloques BS1A: Reliq. AAT dic 2019</t>
  </si>
  <si>
    <t>2020-04-07 17:30:07</t>
  </si>
  <si>
    <t>Lic. SIC 2013/03-2 bloques BS1A: Reactivo dic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</si>
  <si>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</si>
  <si>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</si>
  <si>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</si>
  <si>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</si>
  <si>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</si>
  <si>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2020-03-27 18:28:50</t>
  </si>
  <si>
    <t>Lic. SIC 2013/03-2 bloques BS1A: AAT ene 2020</t>
  </si>
  <si>
    <t>2020-03-20 12:26:43</t>
  </si>
  <si>
    <t>Lic. SIC 2013/03-2 bloques BS1A: Reactivo ene 2020</t>
  </si>
  <si>
    <t>Lic. SIC 2013/03-2 bloques BS1A: Potencia ene 2020</t>
  </si>
  <si>
    <t>Lic. SIC 2013/03-2 bloques BS1A: Energía ene 2020</t>
  </si>
  <si>
    <t>Lic. SIC 2013/03-2 bloques BS1A: Reliq. AAT ene 2020</t>
  </si>
  <si>
    <t>01-02-2020</t>
  </si>
  <si>
    <t>Lic. SIC 2013/03-2 bloques BS1A: Energía feb 2020</t>
  </si>
  <si>
    <t>2020-03-12 15:04:53</t>
  </si>
  <si>
    <t>Lic. SIC 2013/03-2 bloques BS1A: Potencia feb 2020</t>
  </si>
  <si>
    <t>Lic. SIC 2013/03-2 bloques BS1A: Reactivo feb 2020</t>
  </si>
  <si>
    <t>Lic. SIC 2013/03-2 bloques BS1A: Reliq. Energía feb 2020</t>
  </si>
  <si>
    <t>2020-04-07 16:33:08</t>
  </si>
  <si>
    <t>Lic. SIC 2013/03-2 bloques BS1A: Reliq. AAT feb 2020</t>
  </si>
  <si>
    <t>Lic. SIC 2013/03-2 bloques BS1A: AAT feb 2020</t>
  </si>
  <si>
    <t>01-03-2020</t>
  </si>
  <si>
    <t>Lic. SIC 2013/03-2 bloques BS1A: AAT mar 2020</t>
  </si>
  <si>
    <t>2020-04-07 14:53:49</t>
  </si>
  <si>
    <t>Lic. SIC 2013/03-2 bloques BS1A: Potencia mar 2020</t>
  </si>
  <si>
    <t>Lic. SIC 2013/03-2 bloques BS1A: Reliq. AAT mar 2020</t>
  </si>
  <si>
    <t>2020-05-19 17:41:35</t>
  </si>
  <si>
    <t>Lic. SIC 2013/03-2 bloques BS1A: Reliq. Energía mar 2020</t>
  </si>
  <si>
    <t>Lic. SIC 2013/03-2 bloques BS1A: Reactivo mar 2020</t>
  </si>
  <si>
    <t>Lic. SIC 2013/03-2 bloques BS1A: Energía mar 2020</t>
  </si>
  <si>
    <t>01-04-2020</t>
  </si>
  <si>
    <t>Lic. SIC 2013/03-2 bloques BS1A: Reactivo abr 2020</t>
  </si>
  <si>
    <t>2020-05-08 15:28:17</t>
  </si>
  <si>
    <t>Lic. SIC 2013/03-2 bloques BS1A: Reliq. Energía abr 2020</t>
  </si>
  <si>
    <t>2020-06-10 15:49:45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</si>
  <si>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</si>
  <si>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</si>
  <si>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</si>
  <si>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</si>
  <si>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</si>
  <si>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</si>
  <si>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2020-07-15 00:13:15</t>
  </si>
  <si>
    <t>Lic. SIC 2013/03-2 bloques BS1A: Reliq. AAT may 2020</t>
  </si>
  <si>
    <t>Lic. SIC 2013/03-2 bloques BS1A: Reactivo may 2020</t>
  </si>
  <si>
    <t>2020-06-05 11:55:02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</si>
  <si>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</si>
  <si>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</si>
  <si>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</si>
  <si>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</si>
  <si>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</si>
  <si>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2020-07-08 11:30:43</t>
  </si>
  <si>
    <t>Lic. SIC 2013/03-2 bloques BS1A: Reactivo jun 2020</t>
  </si>
  <si>
    <t>Lic. SIC 2013/03-2 bloques BS1A: AAT jun 2020</t>
  </si>
  <si>
    <t>Lic. SIC 2013/03-2 bloques BS1A: Reliq. AAT jun 2020</t>
  </si>
  <si>
    <t>2020-08-14 17:51:11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</si>
  <si>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</si>
  <si>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</si>
  <si>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</si>
  <si>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</si>
  <si>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2020-08-10 10:46:56</t>
  </si>
  <si>
    <t>Lic. SIC 2013/03-2 bloques BS1A: Reliq. AAT jul 2020</t>
  </si>
  <si>
    <t>2020-09-08 11:39:10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</si>
  <si>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</si>
  <si>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</si>
  <si>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</si>
  <si>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</si>
  <si>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</si>
  <si>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</si>
  <si>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2020-09-07 22:48:57</t>
  </si>
  <si>
    <t>Lic. SIC 2013/03-2 bloques BS1A: Energía ago 2020</t>
  </si>
  <si>
    <t>Lic. SIC 2013/03-2 bloques BS1A: Reliq. AAT ago 2020</t>
  </si>
  <si>
    <t>2020-10-15 17:45:22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</si>
  <si>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</si>
  <si>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</si>
  <si>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</si>
  <si>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</si>
  <si>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</si>
  <si>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2020-11-18 17:22:14</t>
  </si>
  <si>
    <t>Lic. SIC 2013/03-2 bloques BS1A: Reactivo sep 2020</t>
  </si>
  <si>
    <t>2020-10-07 17:09:36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</si>
  <si>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</si>
  <si>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</si>
  <si>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</si>
  <si>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</si>
  <si>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01-10-2020</t>
  </si>
  <si>
    <t>Lic. SIC 2013/03-2 bloques BS1A: Potencia oct 2020</t>
  </si>
  <si>
    <t>2020-11-06 19:43:37</t>
  </si>
  <si>
    <t>Lic. SIC 2013/03-2 bloques BS1A: Reactivo oct 2020</t>
  </si>
  <si>
    <t>Lic. SIC 2013/03-2 bloques BS1A: Reliq. Energía oct 2020</t>
  </si>
  <si>
    <t>2021-01-25 16:44:14</t>
  </si>
  <si>
    <t>Lic. SIC 2013/03-2 bloques BS1A: Reliq. AAT oct 2020</t>
  </si>
  <si>
    <t>Lic. SIC 2013/03-2 bloques BS1A: AAT oct 2020</t>
  </si>
  <si>
    <t>Lic. SIC 2013/03-2 bloques BS1A: Energía oct 2020</t>
  </si>
  <si>
    <t>01-11-2020</t>
  </si>
  <si>
    <t>Lic. SIC 2013/03-2 bloques BS1A: AAT nov 2020</t>
  </si>
  <si>
    <t>2020-12-04 15:59:05</t>
  </si>
  <si>
    <t>Lic. SIC 2013/03-2 bloques BS1A: Reactivo nov 2020</t>
  </si>
  <si>
    <t>Lic. SIC 2013/03-2 bloques BS1A: Reliq. Energía nov 2020</t>
  </si>
  <si>
    <t>2021-01-19 12:11:36</t>
  </si>
  <si>
    <t>Lic. SIC 2013/03-2 bloques BS1A: Reliq. AAT nov 2020</t>
  </si>
  <si>
    <t>2021-01-19 16:57:43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</si>
  <si>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</si>
  <si>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</si>
  <si>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</si>
  <si>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</si>
  <si>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01-12-2020</t>
  </si>
  <si>
    <t>Lic. SIC 2013/03-2 bloques BS1A: Potencia dic 2020</t>
  </si>
  <si>
    <t>2021-01-07 16:37:21</t>
  </si>
  <si>
    <t>Lic. SIC 2013/03-2 bloques BS1A: Reactivo dic 2020</t>
  </si>
  <si>
    <t>Lic. SIC 2013/03-2 bloques BS1A: Energía dic 2020</t>
  </si>
  <si>
    <t>Lic. SIC 2013/03-2 bloques BS1A: Reliq. Energía dic 2020</t>
  </si>
  <si>
    <t>2021-02-24 11:22:59</t>
  </si>
  <si>
    <t>Lic. SIC 2013/03-2 bloques BS1A: AAT dic 2020</t>
  </si>
  <si>
    <t>01-01-2021</t>
  </si>
  <si>
    <t>Lic. SIC 2013/03-2 bloques BS1A: Reliq. Energía ene 2021</t>
  </si>
  <si>
    <t>2021-03-18 10:19:01</t>
  </si>
  <si>
    <t>Lic. SIC 2013/03-2 bloques BS1A: AAT ene 2021</t>
  </si>
  <si>
    <t>2021-02-08 20:07:08</t>
  </si>
  <si>
    <t>Lic. SIC 2013/03-2 bloques BS1A: Energía ene 2021</t>
  </si>
  <si>
    <t>Lic. SIC 2013/03-2 bloques BS1A: Reactivo ene 2021</t>
  </si>
  <si>
    <t>Lic. SIC 2013/03-2 bloques BS1A: Potencia ene 2021</t>
  </si>
  <si>
    <t>01-02-2021</t>
  </si>
  <si>
    <t>Lic. SIC 2013/03-2 bloques BS1A: Potencia feb 2021</t>
  </si>
  <si>
    <t>2021-03-04 19:33:41</t>
  </si>
  <si>
    <t>Lic. SIC 2013/03-2 bloques BS1A: Reactivo feb 2021</t>
  </si>
  <si>
    <t>Lic. SIC 2013/03-2 bloques BS1A: Energía feb 2021</t>
  </si>
  <si>
    <t>Lic. SIC 2013/03-2 bloques BS1A: Reliq. Energía feb 2021</t>
  </si>
  <si>
    <t>2021-04-16 18:27:42</t>
  </si>
  <si>
    <t>Lic. SIC 2013/03-2 bloques BS1A: AAT feb 2021</t>
  </si>
  <si>
    <t>01-03-2021</t>
  </si>
  <si>
    <t>Lic. SIC 2013/03-2 bloques BS1A: Potencia mar 2021</t>
  </si>
  <si>
    <t>2021-04-08 11:37:19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</si>
  <si>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</si>
  <si>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</si>
  <si>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</si>
  <si>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</si>
  <si>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2021-05-11 12:32:49</t>
  </si>
  <si>
    <t>01-04-2021</t>
  </si>
  <si>
    <t>Lic. SIC 2013/03-2 bloques BS1A: Potencia abr 2021</t>
  </si>
  <si>
    <t>2021-05-07 16:52:19</t>
  </si>
  <si>
    <t>Lic. SIC 2013/03-2 bloques BS1A: Energía abr 2021</t>
  </si>
  <si>
    <t>Lic. SIC 2013/03-2 bloques BS1A: AAT abr 2021</t>
  </si>
  <si>
    <t>Lic. SIC 2013/03-2 bloques BS1A: Reactivo abr 2021</t>
  </si>
  <si>
    <t>Año</t>
  </si>
  <si>
    <t>EFACT_CNE</t>
  </si>
  <si>
    <t>FACT_EMITIDA</t>
  </si>
  <si>
    <t>EFACT_EST_CEN</t>
  </si>
  <si>
    <t>FACT_EST_EFACT</t>
  </si>
  <si>
    <t>FACT_EST_CEN</t>
  </si>
  <si>
    <t>Información de facturación definitiva proveniente de los archivos EFACT publicados por la CNE en los Decretos de Precio de Nudo</t>
  </si>
  <si>
    <t>Información de facturación definitiva estimada en base a los balances emitidos por el Coordinador</t>
  </si>
  <si>
    <t>Información de facturación real desde PDFs y sistema SIGGE (gestión facturación electrónica)</t>
  </si>
  <si>
    <t>Estimación de facturación emitida en base a información de los EFACT Decretos Precios de Nudo</t>
  </si>
  <si>
    <t>Estimación de facturación emitida en base a información de los Balances del Coordinador</t>
  </si>
  <si>
    <t>Lo que se debió haber facturado</t>
  </si>
  <si>
    <t>Lo que se facturó</t>
  </si>
  <si>
    <t>Prioridad de información</t>
  </si>
  <si>
    <t>LO QUE SE FACTURÓ</t>
  </si>
  <si>
    <t>LO QUE SE DEBIÓ HABER FACTURADO</t>
  </si>
  <si>
    <t>ORIGEN DATA</t>
  </si>
  <si>
    <t>RELQUIDACIÓN Y CÁLCULO INTERESES</t>
  </si>
  <si>
    <t>MES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</si>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</sst>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 * #,##0.0_ ;_ * \-#,##0.0_ ;_ * &quot;-&quot;_ ;_ @_ "/>
    <numFmt numFmtId="168" formatCode="_-&quot;$&quot;\ * #,##0.00_-;\-&quot;$&quot;\ * #,##0.00_-;_-&quot;$&quot;\ * &quot;-&quot;??_-;_-@_-"/>
    <numFmt numFmtId="169" formatCode="_-[$€-2]\ * #,##0.00_-;\-[$€-2]\ * #,##0.00_-;_-[$€-2]\ * &quot;-&quot;??_-"/>
    <numFmt numFmtId="170" formatCode="_-* #,##0.00\ [$€]_-;\-* #,##0.00\ [$€]_-;_-* &quot;-&quot;??\ [$€]_-;_-@_-"/>
    <numFmt numFmtId="171" formatCode="\$#,##0\ ;\(\$#,##0\)"/>
    <numFmt numFmtId="172" formatCode="_-* #,##0.00\ _P_t_a_-;\-* #,##0.00\ _P_t_a_-;_-* &quot;-&quot;??\ _P_t_a_-;_-@_-"/>
    <numFmt numFmtId="173" formatCode="_ [$€-2]\ * #,##0.00_ ;_ [$€-2]\ * \-#,##0.00_ ;_ [$€-2]\ * &quot;-&quot;??_ "/>
    <numFmt numFmtId="174" formatCode="_-* #,##0.00\ _€_-;\-* #,##0.00\ _€_-;_-* &quot;-&quot;??\ _€_-;_-@_-"/>
    <numFmt numFmtId="175" formatCode="_ &quot;$&quot;\ * #,##0.00_ ;_ &quot;$&quot;\ * \-#,##0.00_ ;_ &quot;$&quot;\ * &quot;-&quot;??_ ;_ @_ "/>
    <numFmt numFmtId="176" formatCode="_-* #,##0.00\ _$_-;\-* #,##0.00\ _$_-;_-* &quot;-&quot;??\ _$_-;_-@_-"/>
    <numFmt numFmtId="177" formatCode="#,##0.000;[Red]\-#,##0.000"/>
    <numFmt numFmtId="178" formatCode="_([$€]* #,##0.00_);_([$€]* \(#,##0.00\);_([$€]* &quot;-&quot;??_);_(@_)"/>
    <numFmt numFmtId="179" formatCode="General_)"/>
    <numFmt numFmtId="180" formatCode="yyyy\-mm\-dd\ hh:mm:ss"/>
  </numFmts>
  <fonts count="7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02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3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18" fillId="0" borderId="0"/>
    <xf numFmtId="0" fontId="23" fillId="46" borderId="0" applyNumberFormat="0" applyBorder="0" applyAlignment="0" applyProtection="0"/>
    <xf numFmtId="0" fontId="24" fillId="47" borderId="20" applyNumberFormat="0" applyAlignment="0" applyProtection="0"/>
    <xf numFmtId="0" fontId="25" fillId="48" borderId="21" applyNumberFormat="0" applyAlignment="0" applyProtection="0"/>
    <xf numFmtId="0" fontId="26" fillId="0" borderId="22" applyNumberFormat="0" applyFill="0" applyAlignment="0" applyProtection="0"/>
    <xf numFmtId="0" fontId="27" fillId="0" borderId="0" applyNumberFormat="0" applyFill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5" borderId="0" applyNumberFormat="0" applyBorder="0" applyAlignment="0" applyProtection="0"/>
    <xf numFmtId="0" fontId="22" fillId="52" borderId="0" applyNumberFormat="0" applyBorder="0" applyAlignment="0" applyProtection="0"/>
    <xf numFmtId="0" fontId="28" fillId="43" borderId="20" applyNumberFormat="0" applyAlignment="0" applyProtection="0"/>
    <xf numFmtId="169" fontId="18" fillId="0" borderId="0" applyFont="0" applyFill="0" applyBorder="0" applyAlignment="0" applyProtection="0"/>
    <xf numFmtId="0" fontId="29" fillId="53" borderId="0" applyNumberFormat="0" applyBorder="0" applyAlignment="0" applyProtection="0"/>
    <xf numFmtId="0" fontId="30" fillId="43" borderId="0" applyNumberFormat="0" applyBorder="0" applyAlignment="0" applyProtection="0"/>
    <xf numFmtId="0" fontId="17" fillId="40" borderId="23" applyNumberFormat="0" applyFont="0" applyAlignment="0" applyProtection="0"/>
    <xf numFmtId="0" fontId="31" fillId="47" borderId="24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5" applyNumberFormat="0" applyFill="0" applyAlignment="0" applyProtection="0"/>
    <xf numFmtId="0" fontId="36" fillId="0" borderId="26" applyNumberFormat="0" applyFill="0" applyAlignment="0" applyProtection="0"/>
    <xf numFmtId="0" fontId="27" fillId="0" borderId="27" applyNumberFormat="0" applyFill="0" applyAlignment="0" applyProtection="0"/>
    <xf numFmtId="0" fontId="37" fillId="0" borderId="28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24" fillId="47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40" fillId="42" borderId="20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25" fillId="63" borderId="31" applyNumberFormat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28" fillId="43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0" fontId="43" fillId="38" borderId="20" applyNumberFormat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" fillId="0" borderId="0" applyFont="0" applyFill="0" applyBorder="0" applyAlignment="0" applyProtection="0"/>
    <xf numFmtId="171" fontId="44" fillId="0" borderId="0" applyFont="0" applyFill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0" fontId="17" fillId="40" borderId="23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27" fillId="0" borderId="37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5" applyNumberFormat="0" applyAlignment="0" applyProtection="0"/>
    <xf numFmtId="0" fontId="12" fillId="11" borderId="6" applyNumberFormat="0" applyAlignment="0" applyProtection="0"/>
    <xf numFmtId="0" fontId="13" fillId="11" borderId="5" applyNumberFormat="0" applyAlignment="0" applyProtection="0"/>
    <xf numFmtId="0" fontId="14" fillId="0" borderId="7" applyNumberFormat="0" applyFill="0" applyAlignment="0" applyProtection="0"/>
    <xf numFmtId="0" fontId="3" fillId="12" borderId="8" applyNumberFormat="0" applyAlignment="0" applyProtection="0"/>
    <xf numFmtId="0" fontId="15" fillId="0" borderId="0" applyNumberFormat="0" applyFill="0" applyBorder="0" applyAlignment="0" applyProtection="0"/>
    <xf numFmtId="0" fontId="2" fillId="13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37" borderId="0" applyNumberFormat="0" applyBorder="0" applyAlignment="0" applyProtection="0"/>
    <xf numFmtId="0" fontId="51" fillId="0" borderId="0"/>
    <xf numFmtId="172" fontId="52" fillId="0" borderId="0" applyFont="0" applyFill="0" applyBorder="0" applyAlignment="0" applyProtection="0"/>
    <xf numFmtId="165" fontId="51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8" fillId="0" borderId="0"/>
    <xf numFmtId="0" fontId="17" fillId="0" borderId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24" fillId="47" borderId="40" applyNumberFormat="0" applyAlignment="0" applyProtection="0"/>
    <xf numFmtId="0" fontId="40" fillId="42" borderId="40" applyNumberFormat="0" applyAlignment="0" applyProtection="0"/>
    <xf numFmtId="0" fontId="24" fillId="47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0" fillId="42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28" fillId="43" borderId="40" applyNumberFormat="0" applyAlignment="0" applyProtection="0"/>
    <xf numFmtId="0" fontId="43" fillId="38" borderId="40" applyNumberFormat="0" applyAlignment="0" applyProtection="0"/>
    <xf numFmtId="0" fontId="28" fillId="43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43" fillId="38" borderId="40" applyNumberFormat="0" applyAlignment="0" applyProtection="0"/>
    <xf numFmtId="0" fontId="17" fillId="0" borderId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43" fontId="17" fillId="0" borderId="0" applyFont="0" applyFill="0" applyBorder="0" applyAlignment="0" applyProtection="0"/>
    <xf numFmtId="165" fontId="21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1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72" fontId="5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4" fontId="17" fillId="0" borderId="0" applyFont="0" applyFill="0" applyBorder="0" applyAlignment="0" applyProtection="0"/>
    <xf numFmtId="174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5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0" fontId="17" fillId="40" borderId="41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31" fillId="47" borderId="34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6" fillId="42" borderId="33" applyNumberFormat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27" fillId="0" borderId="37" applyNumberFormat="0" applyFill="0" applyAlignment="0" applyProtection="0"/>
    <xf numFmtId="0" fontId="27" fillId="0" borderId="37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17" fillId="0" borderId="0"/>
    <xf numFmtId="3" fontId="57" fillId="66" borderId="0">
      <alignment horizontal="left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3" fontId="58" fillId="54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1" fillId="5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1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1" fillId="4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2" fillId="41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59" fillId="54" borderId="0">
      <alignment horizontal="left"/>
    </xf>
    <xf numFmtId="0" fontId="23" fillId="41" borderId="0" applyNumberFormat="0" applyBorder="0" applyAlignment="0" applyProtection="0"/>
    <xf numFmtId="0" fontId="32" fillId="0" borderId="42" applyNumberFormat="0" applyFill="0" applyAlignment="0" applyProtection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67" borderId="0" applyNumberFormat="0" applyBorder="0" applyAlignment="0" applyProtection="0"/>
    <xf numFmtId="0" fontId="22" fillId="49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7" borderId="0" applyNumberFormat="0" applyBorder="0" applyAlignment="0" applyProtection="0"/>
    <xf numFmtId="3" fontId="61" fillId="66" borderId="18">
      <alignment horizontal="center"/>
    </xf>
    <xf numFmtId="0" fontId="62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8" borderId="0">
      <alignment horizontal="left"/>
    </xf>
    <xf numFmtId="3" fontId="57" fillId="68" borderId="0">
      <alignment horizontal="left"/>
    </xf>
    <xf numFmtId="3" fontId="64" fillId="68" borderId="0">
      <alignment horizontal="center"/>
    </xf>
    <xf numFmtId="0" fontId="65" fillId="0" borderId="43" applyNumberFormat="0" applyFill="0" applyAlignment="0" applyProtection="0"/>
    <xf numFmtId="0" fontId="66" fillId="0" borderId="44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5" applyNumberFormat="0" applyFill="0" applyAlignment="0" applyProtection="0"/>
    <xf numFmtId="3" fontId="61" fillId="55" borderId="18">
      <alignment horizontal="center" vertical="center"/>
    </xf>
    <xf numFmtId="3" fontId="68" fillId="68" borderId="0">
      <alignment horizontal="left"/>
    </xf>
    <xf numFmtId="3" fontId="58" fillId="69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8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41" fontId="0" fillId="0" borderId="1" xfId="1" applyFont="1" applyBorder="1"/>
    <xf numFmtId="166" fontId="0" fillId="0" borderId="1" xfId="0" applyNumberFormat="1" applyBorder="1"/>
    <xf numFmtId="167" fontId="0" fillId="0" borderId="1" xfId="1" applyNumberFormat="1" applyFont="1" applyBorder="1"/>
    <xf numFmtId="41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0" fontId="0" fillId="2" borderId="18" xfId="0" applyFill="1" applyBorder="1"/>
    <xf numFmtId="41" fontId="0" fillId="0" borderId="19" xfId="0" applyNumberFormat="1" applyBorder="1"/>
    <xf numFmtId="0" fontId="1" fillId="3" borderId="30" xfId="0" applyFont="1" applyFill="1" applyBorder="1"/>
    <xf numFmtId="41" fontId="1" fillId="3" borderId="29" xfId="0" applyNumberFormat="1" applyFont="1" applyFill="1" applyBorder="1"/>
    <xf numFmtId="0" fontId="3" fillId="6" borderId="13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14" fontId="4" fillId="5" borderId="1" xfId="0" applyNumberFormat="1" applyFont="1" applyFill="1" applyBorder="1"/>
    <xf numFmtId="0" fontId="0" fillId="2" borderId="12" xfId="0" applyFill="1" applyBorder="1"/>
    <xf numFmtId="0" fontId="0" fillId="2" borderId="46" xfId="0" applyFill="1" applyBorder="1"/>
    <xf numFmtId="0" fontId="0" fillId="2" borderId="13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0" fontId="0" fillId="0" borderId="1" xfId="2" applyNumberFormat="1" applyFont="1" applyBorder="1"/>
    <xf numFmtId="0" fontId="1" fillId="0" borderId="0" xfId="0" applyFont="1" applyFill="1"/>
    <xf numFmtId="0" fontId="0" fillId="5" borderId="0" xfId="0" applyFill="1"/>
    <xf numFmtId="41" fontId="0" fillId="0" borderId="50" xfId="0" applyNumberFormat="1" applyBorder="1"/>
    <xf numFmtId="0" fontId="0" fillId="0" borderId="50" xfId="0" applyBorder="1" applyAlignment="1">
      <alignment horizontal="center"/>
    </xf>
    <xf numFmtId="14" fontId="0" fillId="0" borderId="50" xfId="0" applyNumberFormat="1" applyBorder="1" applyAlignment="1">
      <alignment horizontal="center"/>
    </xf>
    <xf numFmtId="10" fontId="0" fillId="0" borderId="50" xfId="2" applyNumberFormat="1" applyFont="1" applyBorder="1" applyAlignment="1">
      <alignment horizontal="center"/>
    </xf>
    <xf numFmtId="14" fontId="0" fillId="0" borderId="50" xfId="0" applyNumberFormat="1" applyBorder="1"/>
    <xf numFmtId="14" fontId="4" fillId="5" borderId="50" xfId="0" applyNumberFormat="1" applyFont="1" applyFill="1" applyBorder="1"/>
    <xf numFmtId="0" fontId="0" fillId="0" borderId="50" xfId="0" applyBorder="1"/>
    <xf numFmtId="10" fontId="0" fillId="0" borderId="50" xfId="2" applyNumberFormat="1" applyFont="1" applyBorder="1"/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top"/>
    </xf>
    <xf numFmtId="180" fontId="0" fillId="0" borderId="0" xfId="0" applyNumberFormat="1"/>
    <xf numFmtId="0" fontId="0" fillId="70" borderId="0" xfId="0" applyFill="1" applyAlignment="1">
      <alignment horizontal="center"/>
    </xf>
    <xf numFmtId="0" fontId="0" fillId="0" borderId="0" xfId="0" applyBorder="1"/>
    <xf numFmtId="0" fontId="0" fillId="0" borderId="19" xfId="0" applyBorder="1"/>
    <xf numFmtId="0" fontId="0" fillId="0" borderId="11" xfId="0" applyBorder="1"/>
    <xf numFmtId="0" fontId="0" fillId="0" borderId="47" xfId="0" applyBorder="1"/>
    <xf numFmtId="0" fontId="0" fillId="0" borderId="46" xfId="0" applyBorder="1"/>
    <xf numFmtId="0" fontId="0" fillId="0" borderId="13" xfId="0" applyBorder="1"/>
    <xf numFmtId="0" fontId="0" fillId="0" borderId="18" xfId="0" applyBorder="1"/>
    <xf numFmtId="0" fontId="0" fillId="0" borderId="17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70" borderId="50" xfId="0" applyFon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41" fontId="0" fillId="0" borderId="50" xfId="1" applyFont="1" applyBorder="1" applyAlignment="1">
      <alignment horizontal="center"/>
    </xf>
    <xf numFmtId="17" fontId="0" fillId="70" borderId="0" xfId="0" applyNumberFormat="1" applyFill="1" applyAlignment="1">
      <alignment horizontal="center"/>
    </xf>
    <xf numFmtId="0" fontId="0" fillId="0" borderId="50" xfId="0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69" fillId="0" borderId="0" xfId="0" applyFont="1"/>
    <xf numFmtId="0" fontId="69" fillId="0" borderId="50" xfId="0" applyFont="1" applyBorder="1" applyAlignment="1">
      <alignment horizontal="center"/>
    </xf>
    <xf numFmtId="0" fontId="3" fillId="71" borderId="48" xfId="0" applyFont="1" applyFill="1" applyBorder="1" applyAlignment="1">
      <alignment horizontal="center"/>
    </xf>
    <xf numFmtId="0" fontId="3" fillId="71" borderId="49" xfId="0" applyFont="1" applyFill="1" applyBorder="1" applyAlignment="1">
      <alignment horizontal="center"/>
    </xf>
    <xf numFmtId="0" fontId="3" fillId="4" borderId="50" xfId="0" applyFont="1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1802">
    <cellStyle name="0,0_x000a__x000a_NA_x000a__x000a_" xfId="1446"/>
    <cellStyle name="1o.nível" xfId="1447"/>
    <cellStyle name="20% - Énfasis1 10" xfId="60"/>
    <cellStyle name="20% - Énfasis1 11" xfId="61"/>
    <cellStyle name="20% - Énfasis1 12" xfId="62"/>
    <cellStyle name="20% - Énfasis1 13" xfId="63"/>
    <cellStyle name="20% - Énfasis1 14" xfId="64"/>
    <cellStyle name="20% - Énfasis1 15" xfId="65"/>
    <cellStyle name="20% - Énfasis1 16" xfId="66"/>
    <cellStyle name="20% - Énfasis1 17" xfId="67"/>
    <cellStyle name="20% - Énfasis1 18" xfId="68"/>
    <cellStyle name="20% - Énfasis1 19" xfId="69"/>
    <cellStyle name="20% - Énfasis1 2" xfId="70"/>
    <cellStyle name="20% - Énfasis1 2 2" xfId="1448"/>
    <cellStyle name="20% - Énfasis1 20" xfId="71"/>
    <cellStyle name="20% - Énfasis1 21" xfId="863"/>
    <cellStyle name="20% - Énfasis1 21 2" xfId="927"/>
    <cellStyle name="20% - Énfasis1 21 2 2" xfId="928"/>
    <cellStyle name="20% - Énfasis1 21 3" xfId="929"/>
    <cellStyle name="20% - Énfasis1 21 3 2" xfId="930"/>
    <cellStyle name="20% - Énfasis1 21 4" xfId="931"/>
    <cellStyle name="20% - Énfasis1 22" xfId="914"/>
    <cellStyle name="20% - Énfasis1 22 2" xfId="932"/>
    <cellStyle name="20% - Énfasis1 22 2 2" xfId="933"/>
    <cellStyle name="20% - Énfasis1 22 3" xfId="934"/>
    <cellStyle name="20% - Énfasis1 23" xfId="1449"/>
    <cellStyle name="20% - Énfasis1 24" xfId="1450"/>
    <cellStyle name="20% - Énfasis1 25" xfId="4"/>
    <cellStyle name="20% - Énfasis1 3" xfId="72"/>
    <cellStyle name="20% - Énfasis1 3 2" xfId="1451"/>
    <cellStyle name="20% - Énfasis1 4" xfId="73"/>
    <cellStyle name="20% - Énfasis1 4 2" xfId="1452"/>
    <cellStyle name="20% - Énfasis1 5" xfId="74"/>
    <cellStyle name="20% - Énfasis1 6" xfId="75"/>
    <cellStyle name="20% - Énfasis1 7" xfId="76"/>
    <cellStyle name="20% - Énfasis1 8" xfId="77"/>
    <cellStyle name="20% - Énfasis1 9" xfId="78"/>
    <cellStyle name="20% - Énfasis2 10" xfId="79"/>
    <cellStyle name="20% - Énfasis2 11" xfId="80"/>
    <cellStyle name="20% - Énfasis2 12" xfId="81"/>
    <cellStyle name="20% - Énfasis2 13" xfId="82"/>
    <cellStyle name="20% - Énfasis2 14" xfId="83"/>
    <cellStyle name="20% - Énfasis2 15" xfId="84"/>
    <cellStyle name="20% - Énfasis2 16" xfId="85"/>
    <cellStyle name="20% - Énfasis2 17" xfId="86"/>
    <cellStyle name="20% - Énfasis2 18" xfId="87"/>
    <cellStyle name="20% - Énfasis2 19" xfId="88"/>
    <cellStyle name="20% - Énfasis2 2" xfId="89"/>
    <cellStyle name="20% - Énfasis2 2 2" xfId="1453"/>
    <cellStyle name="20% - Énfasis2 20" xfId="90"/>
    <cellStyle name="20% - Énfasis2 21" xfId="867"/>
    <cellStyle name="20% - Énfasis2 21 2" xfId="935"/>
    <cellStyle name="20% - Énfasis2 21 2 2" xfId="936"/>
    <cellStyle name="20% - Énfasis2 21 3" xfId="937"/>
    <cellStyle name="20% - Énfasis2 21 3 2" xfId="938"/>
    <cellStyle name="20% - Énfasis2 21 4" xfId="939"/>
    <cellStyle name="20% - Énfasis2 22" xfId="916"/>
    <cellStyle name="20% - Énfasis2 22 2" xfId="940"/>
    <cellStyle name="20% - Énfasis2 22 2 2" xfId="941"/>
    <cellStyle name="20% - Énfasis2 22 3" xfId="942"/>
    <cellStyle name="20% - Énfasis2 23" xfId="1454"/>
    <cellStyle name="20% - Énfasis2 24" xfId="5"/>
    <cellStyle name="20% - Énfasis2 3" xfId="91"/>
    <cellStyle name="20% - Énfasis2 3 2" xfId="1455"/>
    <cellStyle name="20% - Énfasis2 4" xfId="92"/>
    <cellStyle name="20% - Énfasis2 4 2" xfId="1456"/>
    <cellStyle name="20% - Énfasis2 5" xfId="93"/>
    <cellStyle name="20% - Énfasis2 6" xfId="94"/>
    <cellStyle name="20% - Énfasis2 7" xfId="95"/>
    <cellStyle name="20% - Énfasis2 8" xfId="96"/>
    <cellStyle name="20% - Énfasis2 9" xfId="97"/>
    <cellStyle name="20% - Énfasis3 10" xfId="98"/>
    <cellStyle name="20% - Énfasis3 11" xfId="99"/>
    <cellStyle name="20% - Énfasis3 12" xfId="100"/>
    <cellStyle name="20% - Énfasis3 13" xfId="101"/>
    <cellStyle name="20% - Énfasis3 14" xfId="102"/>
    <cellStyle name="20% - Énfasis3 15" xfId="103"/>
    <cellStyle name="20% - Énfasis3 16" xfId="104"/>
    <cellStyle name="20% - Énfasis3 17" xfId="105"/>
    <cellStyle name="20% - Énfasis3 18" xfId="106"/>
    <cellStyle name="20% - Énfasis3 19" xfId="107"/>
    <cellStyle name="20% - Énfasis3 2" xfId="108"/>
    <cellStyle name="20% - Énfasis3 2 2" xfId="1457"/>
    <cellStyle name="20% - Énfasis3 20" xfId="109"/>
    <cellStyle name="20% - Énfasis3 21" xfId="871"/>
    <cellStyle name="20% - Énfasis3 21 2" xfId="943"/>
    <cellStyle name="20% - Énfasis3 21 2 2" xfId="944"/>
    <cellStyle name="20% - Énfasis3 21 3" xfId="945"/>
    <cellStyle name="20% - Énfasis3 21 3 2" xfId="946"/>
    <cellStyle name="20% - Énfasis3 21 4" xfId="947"/>
    <cellStyle name="20% - Énfasis3 22" xfId="918"/>
    <cellStyle name="20% - Énfasis3 22 2" xfId="948"/>
    <cellStyle name="20% - Énfasis3 22 2 2" xfId="949"/>
    <cellStyle name="20% - Énfasis3 22 3" xfId="950"/>
    <cellStyle name="20% - Énfasis3 23" xfId="1458"/>
    <cellStyle name="20% - Énfasis3 24" xfId="6"/>
    <cellStyle name="20% - Énfasis3 3" xfId="110"/>
    <cellStyle name="20% - Énfasis3 3 2" xfId="1459"/>
    <cellStyle name="20% - Énfasis3 4" xfId="111"/>
    <cellStyle name="20% - Énfasis3 4 2" xfId="1460"/>
    <cellStyle name="20% - Énfasis3 5" xfId="112"/>
    <cellStyle name="20% - Énfasis3 6" xfId="113"/>
    <cellStyle name="20% - Énfasis3 7" xfId="114"/>
    <cellStyle name="20% - Énfasis3 8" xfId="115"/>
    <cellStyle name="20% - Énfasis3 9" xfId="116"/>
    <cellStyle name="20% - Énfasis4 10" xfId="117"/>
    <cellStyle name="20% - Énfasis4 11" xfId="118"/>
    <cellStyle name="20% - Énfasis4 12" xfId="119"/>
    <cellStyle name="20% - Énfasis4 13" xfId="120"/>
    <cellStyle name="20% - Énfasis4 14" xfId="121"/>
    <cellStyle name="20% - Énfasis4 15" xfId="122"/>
    <cellStyle name="20% - Énfasis4 16" xfId="123"/>
    <cellStyle name="20% - Énfasis4 17" xfId="124"/>
    <cellStyle name="20% - Énfasis4 18" xfId="125"/>
    <cellStyle name="20% - Énfasis4 19" xfId="126"/>
    <cellStyle name="20% - Énfasis4 2" xfId="127"/>
    <cellStyle name="20% - Énfasis4 2 2" xfId="1461"/>
    <cellStyle name="20% - Énfasis4 20" xfId="128"/>
    <cellStyle name="20% - Énfasis4 21" xfId="875"/>
    <cellStyle name="20% - Énfasis4 21 2" xfId="951"/>
    <cellStyle name="20% - Énfasis4 21 2 2" xfId="952"/>
    <cellStyle name="20% - Énfasis4 21 3" xfId="953"/>
    <cellStyle name="20% - Énfasis4 21 3 2" xfId="954"/>
    <cellStyle name="20% - Énfasis4 21 4" xfId="955"/>
    <cellStyle name="20% - Énfasis4 22" xfId="920"/>
    <cellStyle name="20% - Énfasis4 22 2" xfId="956"/>
    <cellStyle name="20% - Énfasis4 22 2 2" xfId="957"/>
    <cellStyle name="20% - Énfasis4 22 3" xfId="958"/>
    <cellStyle name="20% - Énfasis4 23" xfId="1462"/>
    <cellStyle name="20% - Énfasis4 24" xfId="7"/>
    <cellStyle name="20% - Énfasis4 3" xfId="129"/>
    <cellStyle name="20% - Énfasis4 3 2" xfId="1463"/>
    <cellStyle name="20% - Énfasis4 4" xfId="130"/>
    <cellStyle name="20% - Énfasis4 4 2" xfId="1464"/>
    <cellStyle name="20% - Énfasis4 5" xfId="131"/>
    <cellStyle name="20% - Énfasis4 6" xfId="132"/>
    <cellStyle name="20% - Énfasis4 7" xfId="133"/>
    <cellStyle name="20% - Énfasis4 8" xfId="134"/>
    <cellStyle name="20% - Énfasis4 9" xfId="135"/>
    <cellStyle name="20% - Énfasis5 2" xfId="879"/>
    <cellStyle name="20% - Énfasis5 2 2" xfId="959"/>
    <cellStyle name="20% - Énfasis5 2 2 2" xfId="960"/>
    <cellStyle name="20% - Énfasis5 2 3" xfId="961"/>
    <cellStyle name="20% - Énfasis5 2 3 2" xfId="962"/>
    <cellStyle name="20% - Énfasis5 2 4" xfId="963"/>
    <cellStyle name="20% - Énfasis5 3" xfId="922"/>
    <cellStyle name="20% - Énfasis5 3 2" xfId="964"/>
    <cellStyle name="20% - Énfasis5 3 2 2" xfId="965"/>
    <cellStyle name="20% - Énfasis5 3 3" xfId="966"/>
    <cellStyle name="20% - Énfasis5 4" xfId="1465"/>
    <cellStyle name="20% - Énfasis5 5" xfId="1466"/>
    <cellStyle name="20% - Énfasis5 6" xfId="8"/>
    <cellStyle name="20% - Énfasis6 10" xfId="136"/>
    <cellStyle name="20% - Énfasis6 11" xfId="137"/>
    <cellStyle name="20% - Énfasis6 12" xfId="138"/>
    <cellStyle name="20% - Énfasis6 13" xfId="139"/>
    <cellStyle name="20% - Énfasis6 14" xfId="140"/>
    <cellStyle name="20% - Énfasis6 15" xfId="141"/>
    <cellStyle name="20% - Énfasis6 16" xfId="142"/>
    <cellStyle name="20% - Énfasis6 17" xfId="143"/>
    <cellStyle name="20% - Énfasis6 18" xfId="144"/>
    <cellStyle name="20% - Énfasis6 19" xfId="145"/>
    <cellStyle name="20% - Énfasis6 2" xfId="146"/>
    <cellStyle name="20% - Énfasis6 2 2" xfId="1467"/>
    <cellStyle name="20% - Énfasis6 20" xfId="147"/>
    <cellStyle name="20% - Énfasis6 21" xfId="883"/>
    <cellStyle name="20% - Énfasis6 21 2" xfId="967"/>
    <cellStyle name="20% - Énfasis6 21 2 2" xfId="968"/>
    <cellStyle name="20% - Énfasis6 21 3" xfId="969"/>
    <cellStyle name="20% - Énfasis6 21 3 2" xfId="970"/>
    <cellStyle name="20% - Énfasis6 21 4" xfId="971"/>
    <cellStyle name="20% - Énfasis6 22" xfId="924"/>
    <cellStyle name="20% - Énfasis6 22 2" xfId="972"/>
    <cellStyle name="20% - Énfasis6 22 2 2" xfId="973"/>
    <cellStyle name="20% - Énfasis6 22 3" xfId="974"/>
    <cellStyle name="20% - Énfasis6 23" xfId="1468"/>
    <cellStyle name="20% - Énfasis6 24" xfId="9"/>
    <cellStyle name="20% - Énfasis6 3" xfId="148"/>
    <cellStyle name="20% - Énfasis6 3 2" xfId="1469"/>
    <cellStyle name="20% - Énfasis6 4" xfId="149"/>
    <cellStyle name="20% - Énfasis6 4 2" xfId="1470"/>
    <cellStyle name="20% - Énfasis6 5" xfId="150"/>
    <cellStyle name="20% - Énfasis6 6" xfId="151"/>
    <cellStyle name="20% - Énfasis6 7" xfId="152"/>
    <cellStyle name="20% - Énfasis6 8" xfId="153"/>
    <cellStyle name="20% - Énfasis6 9" xfId="154"/>
    <cellStyle name="2o.nível" xfId="1471"/>
    <cellStyle name="40% - Énfasis1 10" xfId="155"/>
    <cellStyle name="40% - Énfasis1 11" xfId="156"/>
    <cellStyle name="40% - Énfasis1 12" xfId="157"/>
    <cellStyle name="40% - Énfasis1 13" xfId="158"/>
    <cellStyle name="40% - Énfasis1 14" xfId="159"/>
    <cellStyle name="40% - Énfasis1 15" xfId="160"/>
    <cellStyle name="40% - Énfasis1 16" xfId="161"/>
    <cellStyle name="40% - Énfasis1 17" xfId="162"/>
    <cellStyle name="40% - Énfasis1 18" xfId="163"/>
    <cellStyle name="40% - Énfasis1 19" xfId="164"/>
    <cellStyle name="40% - Énfasis1 2" xfId="165"/>
    <cellStyle name="40% - Énfasis1 2 2" xfId="1472"/>
    <cellStyle name="40% - Énfasis1 20" xfId="166"/>
    <cellStyle name="40% - Énfasis1 21" xfId="864"/>
    <cellStyle name="40% - Énfasis1 21 2" xfId="975"/>
    <cellStyle name="40% - Énfasis1 21 2 2" xfId="976"/>
    <cellStyle name="40% - Énfasis1 21 3" xfId="977"/>
    <cellStyle name="40% - Énfasis1 21 3 2" xfId="978"/>
    <cellStyle name="40% - Énfasis1 21 4" xfId="979"/>
    <cellStyle name="40% - Énfasis1 22" xfId="915"/>
    <cellStyle name="40% - Énfasis1 22 2" xfId="980"/>
    <cellStyle name="40% - Énfasis1 22 2 2" xfId="981"/>
    <cellStyle name="40% - Énfasis1 22 3" xfId="982"/>
    <cellStyle name="40% - Énfasis1 23" xfId="1473"/>
    <cellStyle name="40% - Énfasis1 24" xfId="1474"/>
    <cellStyle name="40% - Énfasis1 25" xfId="10"/>
    <cellStyle name="40% - Énfasis1 3" xfId="167"/>
    <cellStyle name="40% - Énfasis1 3 2" xfId="1475"/>
    <cellStyle name="40% - Énfasis1 4" xfId="168"/>
    <cellStyle name="40% - Énfasis1 4 2" xfId="1476"/>
    <cellStyle name="40% - Énfasis1 5" xfId="169"/>
    <cellStyle name="40% - Énfasis1 6" xfId="170"/>
    <cellStyle name="40% - Énfasis1 7" xfId="171"/>
    <cellStyle name="40% - Énfasis1 8" xfId="172"/>
    <cellStyle name="40% - Énfasis1 9" xfId="173"/>
    <cellStyle name="40% - Énfasis2 2" xfId="868"/>
    <cellStyle name="40% - Énfasis2 2 2" xfId="983"/>
    <cellStyle name="40% - Énfasis2 2 2 2" xfId="984"/>
    <cellStyle name="40% - Énfasis2 2 3" xfId="985"/>
    <cellStyle name="40% - Énfasis2 2 3 2" xfId="986"/>
    <cellStyle name="40% - Énfasis2 2 4" xfId="987"/>
    <cellStyle name="40% - Énfasis2 3" xfId="917"/>
    <cellStyle name="40% - Énfasis2 3 2" xfId="988"/>
    <cellStyle name="40% - Énfasis2 3 2 2" xfId="989"/>
    <cellStyle name="40% - Énfasis2 3 3" xfId="990"/>
    <cellStyle name="40% - Énfasis2 4" xfId="1477"/>
    <cellStyle name="40% - Énfasis2 5" xfId="1478"/>
    <cellStyle name="40% - Énfasis2 6" xfId="11"/>
    <cellStyle name="40% - Énfasis3 10" xfId="174"/>
    <cellStyle name="40% - Énfasis3 11" xfId="175"/>
    <cellStyle name="40% - Énfasis3 12" xfId="176"/>
    <cellStyle name="40% - Énfasis3 13" xfId="177"/>
    <cellStyle name="40% - Énfasis3 14" xfId="178"/>
    <cellStyle name="40% - Énfasis3 15" xfId="179"/>
    <cellStyle name="40% - Énfasis3 16" xfId="180"/>
    <cellStyle name="40% - Énfasis3 17" xfId="181"/>
    <cellStyle name="40% - Énfasis3 18" xfId="182"/>
    <cellStyle name="40% - Énfasis3 19" xfId="183"/>
    <cellStyle name="40% - Énfasis3 2" xfId="184"/>
    <cellStyle name="40% - Énfasis3 2 2" xfId="1479"/>
    <cellStyle name="40% - Énfasis3 20" xfId="185"/>
    <cellStyle name="40% - Énfasis3 21" xfId="872"/>
    <cellStyle name="40% - Énfasis3 21 2" xfId="991"/>
    <cellStyle name="40% - Énfasis3 21 2 2" xfId="992"/>
    <cellStyle name="40% - Énfasis3 21 3" xfId="993"/>
    <cellStyle name="40% - Énfasis3 21 3 2" xfId="994"/>
    <cellStyle name="40% - Énfasis3 21 4" xfId="995"/>
    <cellStyle name="40% - Énfasis3 22" xfId="919"/>
    <cellStyle name="40% - Énfasis3 22 2" xfId="996"/>
    <cellStyle name="40% - Énfasis3 22 2 2" xfId="997"/>
    <cellStyle name="40% - Énfasis3 22 3" xfId="998"/>
    <cellStyle name="40% - Énfasis3 23" xfId="1480"/>
    <cellStyle name="40% - Énfasis3 24" xfId="12"/>
    <cellStyle name="40% - Énfasis3 3" xfId="186"/>
    <cellStyle name="40% - Énfasis3 3 2" xfId="1481"/>
    <cellStyle name="40% - Énfasis3 4" xfId="187"/>
    <cellStyle name="40% - Énfasis3 4 2" xfId="1482"/>
    <cellStyle name="40% - Énfasis3 5" xfId="188"/>
    <cellStyle name="40% - Énfasis3 6" xfId="189"/>
    <cellStyle name="40% - Énfasis3 7" xfId="190"/>
    <cellStyle name="40% - Énfasis3 8" xfId="191"/>
    <cellStyle name="40% - Énfasis3 9" xfId="192"/>
    <cellStyle name="40% - Énfasis4 10" xfId="193"/>
    <cellStyle name="40% - Énfasis4 11" xfId="194"/>
    <cellStyle name="40% - Énfasis4 12" xfId="195"/>
    <cellStyle name="40% - Énfasis4 13" xfId="196"/>
    <cellStyle name="40% - Énfasis4 14" xfId="197"/>
    <cellStyle name="40% - Énfasis4 15" xfId="198"/>
    <cellStyle name="40% - Énfasis4 16" xfId="199"/>
    <cellStyle name="40% - Énfasis4 17" xfId="200"/>
    <cellStyle name="40% - Énfasis4 18" xfId="201"/>
    <cellStyle name="40% - Énfasis4 19" xfId="202"/>
    <cellStyle name="40% - Énfasis4 2" xfId="203"/>
    <cellStyle name="40% - Énfasis4 2 2" xfId="1483"/>
    <cellStyle name="40% - Énfasis4 20" xfId="204"/>
    <cellStyle name="40% - Énfasis4 21" xfId="876"/>
    <cellStyle name="40% - Énfasis4 21 2" xfId="999"/>
    <cellStyle name="40% - Énfasis4 21 2 2" xfId="1000"/>
    <cellStyle name="40% - Énfasis4 21 3" xfId="1001"/>
    <cellStyle name="40% - Énfasis4 21 3 2" xfId="1002"/>
    <cellStyle name="40% - Énfasis4 21 4" xfId="1003"/>
    <cellStyle name="40% - Énfasis4 22" xfId="921"/>
    <cellStyle name="40% - Énfasis4 22 2" xfId="1004"/>
    <cellStyle name="40% - Énfasis4 22 2 2" xfId="1005"/>
    <cellStyle name="40% - Énfasis4 22 3" xfId="1006"/>
    <cellStyle name="40% - Énfasis4 23" xfId="1484"/>
    <cellStyle name="40% - Énfasis4 24" xfId="1485"/>
    <cellStyle name="40% - Énfasis4 25" xfId="13"/>
    <cellStyle name="40% - Énfasis4 3" xfId="205"/>
    <cellStyle name="40% - Énfasis4 3 2" xfId="1486"/>
    <cellStyle name="40% - Énfasis4 4" xfId="206"/>
    <cellStyle name="40% - Énfasis4 4 2" xfId="1487"/>
    <cellStyle name="40% - Énfasis4 5" xfId="207"/>
    <cellStyle name="40% - Énfasis4 6" xfId="208"/>
    <cellStyle name="40% - Énfasis4 7" xfId="209"/>
    <cellStyle name="40% - Énfasis4 8" xfId="210"/>
    <cellStyle name="40% - Énfasis4 9" xfId="211"/>
    <cellStyle name="40% - Énfasis5 2" xfId="880"/>
    <cellStyle name="40% - Énfasis5 2 2" xfId="1007"/>
    <cellStyle name="40% - Énfasis5 2 2 2" xfId="1008"/>
    <cellStyle name="40% - Énfasis5 2 3" xfId="1009"/>
    <cellStyle name="40% - Énfasis5 2 3 2" xfId="1010"/>
    <cellStyle name="40% - Énfasis5 2 4" xfId="1011"/>
    <cellStyle name="40% - Énfasis5 3" xfId="923"/>
    <cellStyle name="40% - Énfasis5 3 2" xfId="1012"/>
    <cellStyle name="40% - Énfasis5 3 2 2" xfId="1013"/>
    <cellStyle name="40% - Énfasis5 3 3" xfId="1014"/>
    <cellStyle name="40% - Énfasis5 4" xfId="1488"/>
    <cellStyle name="40% - Énfasis5 5" xfId="1489"/>
    <cellStyle name="40% - Énfasis5 6" xfId="1490"/>
    <cellStyle name="40% - Énfasis5 7" xfId="14"/>
    <cellStyle name="40% - Énfasis6 10" xfId="212"/>
    <cellStyle name="40% - Énfasis6 11" xfId="213"/>
    <cellStyle name="40% - Énfasis6 12" xfId="214"/>
    <cellStyle name="40% - Énfasis6 13" xfId="215"/>
    <cellStyle name="40% - Énfasis6 14" xfId="216"/>
    <cellStyle name="40% - Énfasis6 15" xfId="217"/>
    <cellStyle name="40% - Énfasis6 16" xfId="218"/>
    <cellStyle name="40% - Énfasis6 17" xfId="219"/>
    <cellStyle name="40% - Énfasis6 18" xfId="220"/>
    <cellStyle name="40% - Énfasis6 19" xfId="221"/>
    <cellStyle name="40% - Énfasis6 2" xfId="222"/>
    <cellStyle name="40% - Énfasis6 2 2" xfId="1491"/>
    <cellStyle name="40% - Énfasis6 20" xfId="223"/>
    <cellStyle name="40% - Énfasis6 21" xfId="884"/>
    <cellStyle name="40% - Énfasis6 21 2" xfId="1015"/>
    <cellStyle name="40% - Énfasis6 21 2 2" xfId="1016"/>
    <cellStyle name="40% - Énfasis6 21 3" xfId="1017"/>
    <cellStyle name="40% - Énfasis6 21 3 2" xfId="1018"/>
    <cellStyle name="40% - Énfasis6 21 4" xfId="1019"/>
    <cellStyle name="40% - Énfasis6 22" xfId="925"/>
    <cellStyle name="40% - Énfasis6 22 2" xfId="1020"/>
    <cellStyle name="40% - Énfasis6 22 2 2" xfId="1021"/>
    <cellStyle name="40% - Énfasis6 22 3" xfId="1022"/>
    <cellStyle name="40% - Énfasis6 23" xfId="1492"/>
    <cellStyle name="40% - Énfasis6 24" xfId="1493"/>
    <cellStyle name="40% - Énfasis6 25" xfId="15"/>
    <cellStyle name="40% - Énfasis6 3" xfId="224"/>
    <cellStyle name="40% - Énfasis6 3 2" xfId="1494"/>
    <cellStyle name="40% - Énfasis6 4" xfId="225"/>
    <cellStyle name="40% - Énfasis6 4 2" xfId="1495"/>
    <cellStyle name="40% - Énfasis6 5" xfId="226"/>
    <cellStyle name="40% - Énfasis6 6" xfId="227"/>
    <cellStyle name="40% - Énfasis6 7" xfId="228"/>
    <cellStyle name="40% - Énfasis6 8" xfId="229"/>
    <cellStyle name="40% - Énfasis6 9" xfId="230"/>
    <cellStyle name="60% - Énfasis1 10" xfId="231"/>
    <cellStyle name="60% - Énfasis1 11" xfId="232"/>
    <cellStyle name="60% - Énfasis1 12" xfId="233"/>
    <cellStyle name="60% - Énfasis1 13" xfId="234"/>
    <cellStyle name="60% - Énfasis1 14" xfId="235"/>
    <cellStyle name="60% - Énfasis1 15" xfId="236"/>
    <cellStyle name="60% - Énfasis1 16" xfId="237"/>
    <cellStyle name="60% - Énfasis1 17" xfId="238"/>
    <cellStyle name="60% - Énfasis1 18" xfId="239"/>
    <cellStyle name="60% - Énfasis1 19" xfId="240"/>
    <cellStyle name="60% - Énfasis1 2" xfId="241"/>
    <cellStyle name="60% - Énfasis1 20" xfId="242"/>
    <cellStyle name="60% - Énfasis1 21" xfId="865"/>
    <cellStyle name="60% - Énfasis1 22" xfId="1496"/>
    <cellStyle name="60% - Énfasis1 23" xfId="16"/>
    <cellStyle name="60% - Énfasis1 3" xfId="243"/>
    <cellStyle name="60% - Énfasis1 4" xfId="244"/>
    <cellStyle name="60% - Énfasis1 5" xfId="245"/>
    <cellStyle name="60% - Énfasis1 6" xfId="246"/>
    <cellStyle name="60% - Énfasis1 7" xfId="247"/>
    <cellStyle name="60% - Énfasis1 8" xfId="248"/>
    <cellStyle name="60% - Énfasis1 9" xfId="249"/>
    <cellStyle name="60% - Énfasis2 2" xfId="869"/>
    <cellStyle name="60% - Énfasis2 3" xfId="1497"/>
    <cellStyle name="60% - Énfasis2 4" xfId="17"/>
    <cellStyle name="60% - Énfasis3 10" xfId="250"/>
    <cellStyle name="60% - Énfasis3 11" xfId="251"/>
    <cellStyle name="60% - Énfasis3 12" xfId="252"/>
    <cellStyle name="60% - Énfasis3 13" xfId="253"/>
    <cellStyle name="60% - Énfasis3 14" xfId="254"/>
    <cellStyle name="60% - Énfasis3 15" xfId="255"/>
    <cellStyle name="60% - Énfasis3 16" xfId="256"/>
    <cellStyle name="60% - Énfasis3 17" xfId="257"/>
    <cellStyle name="60% - Énfasis3 18" xfId="258"/>
    <cellStyle name="60% - Énfasis3 19" xfId="259"/>
    <cellStyle name="60% - Énfasis3 2" xfId="260"/>
    <cellStyle name="60% - Énfasis3 20" xfId="261"/>
    <cellStyle name="60% - Énfasis3 21" xfId="873"/>
    <cellStyle name="60% - Énfasis3 22" xfId="1498"/>
    <cellStyle name="60% - Énfasis3 23" xfId="18"/>
    <cellStyle name="60% - Énfasis3 3" xfId="262"/>
    <cellStyle name="60% - Énfasis3 4" xfId="263"/>
    <cellStyle name="60% - Énfasis3 5" xfId="264"/>
    <cellStyle name="60% - Énfasis3 6" xfId="265"/>
    <cellStyle name="60% - Énfasis3 7" xfId="266"/>
    <cellStyle name="60% - Énfasis3 8" xfId="267"/>
    <cellStyle name="60% - Énfasis3 9" xfId="268"/>
    <cellStyle name="60% - Énfasis4 10" xfId="269"/>
    <cellStyle name="60% - Énfasis4 11" xfId="270"/>
    <cellStyle name="60% - Énfasis4 12" xfId="271"/>
    <cellStyle name="60% - Énfasis4 13" xfId="272"/>
    <cellStyle name="60% - Énfasis4 14" xfId="273"/>
    <cellStyle name="60% - Énfasis4 15" xfId="274"/>
    <cellStyle name="60% - Énfasis4 16" xfId="275"/>
    <cellStyle name="60% - Énfasis4 17" xfId="276"/>
    <cellStyle name="60% - Énfasis4 18" xfId="277"/>
    <cellStyle name="60% - Énfasis4 19" xfId="278"/>
    <cellStyle name="60% - Énfasis4 2" xfId="279"/>
    <cellStyle name="60% - Énfasis4 20" xfId="280"/>
    <cellStyle name="60% - Énfasis4 21" xfId="877"/>
    <cellStyle name="60% - Énfasis4 22" xfId="1499"/>
    <cellStyle name="60% - Énfasis4 23" xfId="19"/>
    <cellStyle name="60% - Énfasis4 3" xfId="281"/>
    <cellStyle name="60% - Énfasis4 4" xfId="282"/>
    <cellStyle name="60% - Énfasis4 5" xfId="283"/>
    <cellStyle name="60% - Énfasis4 6" xfId="284"/>
    <cellStyle name="60% - Énfasis4 7" xfId="285"/>
    <cellStyle name="60% - Énfasis4 8" xfId="286"/>
    <cellStyle name="60% - Énfasis4 9" xfId="287"/>
    <cellStyle name="60% - Énfasis5 10" xfId="288"/>
    <cellStyle name="60% - Énfasis5 11" xfId="289"/>
    <cellStyle name="60% - Énfasis5 12" xfId="290"/>
    <cellStyle name="60% - Énfasis5 13" xfId="291"/>
    <cellStyle name="60% - Énfasis5 14" xfId="292"/>
    <cellStyle name="60% - Énfasis5 15" xfId="293"/>
    <cellStyle name="60% - Énfasis5 16" xfId="294"/>
    <cellStyle name="60% - Énfasis5 17" xfId="295"/>
    <cellStyle name="60% - Énfasis5 18" xfId="296"/>
    <cellStyle name="60% - Énfasis5 19" xfId="297"/>
    <cellStyle name="60% - Énfasis5 2" xfId="298"/>
    <cellStyle name="60% - Énfasis5 20" xfId="299"/>
    <cellStyle name="60% - Énfasis5 21" xfId="881"/>
    <cellStyle name="60% - Énfasis5 22" xfId="1500"/>
    <cellStyle name="60% - Énfasis5 23" xfId="20"/>
    <cellStyle name="60% - Énfasis5 3" xfId="300"/>
    <cellStyle name="60% - Énfasis5 4" xfId="301"/>
    <cellStyle name="60% - Énfasis5 5" xfId="302"/>
    <cellStyle name="60% - Énfasis5 6" xfId="303"/>
    <cellStyle name="60% - Énfasis5 7" xfId="304"/>
    <cellStyle name="60% - Énfasis5 8" xfId="305"/>
    <cellStyle name="60% - Énfasis5 9" xfId="306"/>
    <cellStyle name="60% - Énfasis6 10" xfId="307"/>
    <cellStyle name="60% - Énfasis6 11" xfId="308"/>
    <cellStyle name="60% - Énfasis6 12" xfId="309"/>
    <cellStyle name="60% - Énfasis6 13" xfId="310"/>
    <cellStyle name="60% - Énfasis6 14" xfId="311"/>
    <cellStyle name="60% - Énfasis6 15" xfId="312"/>
    <cellStyle name="60% - Énfasis6 16" xfId="313"/>
    <cellStyle name="60% - Énfasis6 17" xfId="314"/>
    <cellStyle name="60% - Énfasis6 18" xfId="315"/>
    <cellStyle name="60% - Énfasis6 19" xfId="316"/>
    <cellStyle name="60% - Énfasis6 2" xfId="317"/>
    <cellStyle name="60% - Énfasis6 20" xfId="318"/>
    <cellStyle name="60% - Énfasis6 21" xfId="885"/>
    <cellStyle name="60% - Énfasis6 22" xfId="21"/>
    <cellStyle name="60% - Énfasis6 3" xfId="319"/>
    <cellStyle name="60% - Énfasis6 4" xfId="320"/>
    <cellStyle name="60% - Énfasis6 5" xfId="321"/>
    <cellStyle name="60% - Énfasis6 6" xfId="322"/>
    <cellStyle name="60% - Énfasis6 7" xfId="323"/>
    <cellStyle name="60% - Énfasis6 8" xfId="324"/>
    <cellStyle name="60% - Énfasis6 9" xfId="325"/>
    <cellStyle name="a_quebra_2" xfId="1501"/>
    <cellStyle name="A3 297 x 420 mm" xfId="22"/>
    <cellStyle name="A3 297 x 420 mm 10" xfId="326"/>
    <cellStyle name="A3 297 x 420 mm 10 2" xfId="1023"/>
    <cellStyle name="A3 297 x 420 mm 11" xfId="327"/>
    <cellStyle name="A3 297 x 420 mm 12" xfId="328"/>
    <cellStyle name="A3 297 x 420 mm 13" xfId="329"/>
    <cellStyle name="A3 297 x 420 mm 14" xfId="330"/>
    <cellStyle name="A3 297 x 420 mm 15" xfId="331"/>
    <cellStyle name="A3 297 x 420 mm 16" xfId="332"/>
    <cellStyle name="A3 297 x 420 mm 17" xfId="333"/>
    <cellStyle name="A3 297 x 420 mm 18" xfId="334"/>
    <cellStyle name="A3 297 x 420 mm 19" xfId="335"/>
    <cellStyle name="A3 297 x 420 mm 2" xfId="54"/>
    <cellStyle name="A3 297 x 420 mm 2 2" xfId="1024"/>
    <cellStyle name="A3 297 x 420 mm 20" xfId="336"/>
    <cellStyle name="A3 297 x 420 mm 21" xfId="337"/>
    <cellStyle name="A3 297 x 420 mm 22" xfId="338"/>
    <cellStyle name="A3 297 x 420 mm 23" xfId="339"/>
    <cellStyle name="A3 297 x 420 mm 24" xfId="340"/>
    <cellStyle name="A3 297 x 420 mm 25" xfId="341"/>
    <cellStyle name="A3 297 x 420 mm 26" xfId="342"/>
    <cellStyle name="A3 297 x 420 mm 27" xfId="343"/>
    <cellStyle name="A3 297 x 420 mm 28" xfId="344"/>
    <cellStyle name="A3 297 x 420 mm 29" xfId="345"/>
    <cellStyle name="A3 297 x 420 mm 3" xfId="55"/>
    <cellStyle name="A3 297 x 420 mm 3 2" xfId="886"/>
    <cellStyle name="A3 297 x 420 mm 30" xfId="346"/>
    <cellStyle name="A3 297 x 420 mm 31" xfId="347"/>
    <cellStyle name="A3 297 x 420 mm 32" xfId="348"/>
    <cellStyle name="A3 297 x 420 mm 33" xfId="349"/>
    <cellStyle name="A3 297 x 420 mm 34" xfId="350"/>
    <cellStyle name="A3 297 x 420 mm 35" xfId="351"/>
    <cellStyle name="A3 297 x 420 mm 36" xfId="352"/>
    <cellStyle name="A3 297 x 420 mm 37" xfId="353"/>
    <cellStyle name="A3 297 x 420 mm 4" xfId="57"/>
    <cellStyle name="A3 297 x 420 mm 5" xfId="58"/>
    <cellStyle name="A3 297 x 420 mm 6" xfId="354"/>
    <cellStyle name="A3 297 x 420 mm 7" xfId="355"/>
    <cellStyle name="A3 297 x 420 mm 8" xfId="356"/>
    <cellStyle name="A3 297 x 420 mm 9" xfId="357"/>
    <cellStyle name="Buena 2" xfId="850"/>
    <cellStyle name="Buena 3" xfId="1502"/>
    <cellStyle name="Bueno 2" xfId="23"/>
    <cellStyle name="Cabecera 1" xfId="358"/>
    <cellStyle name="Cabecera 2" xfId="359"/>
    <cellStyle name="Cálculo 10" xfId="360"/>
    <cellStyle name="Cálculo 10 2" xfId="1025"/>
    <cellStyle name="Cálculo 11" xfId="361"/>
    <cellStyle name="Cálculo 11 2" xfId="1026"/>
    <cellStyle name="Cálculo 12" xfId="362"/>
    <cellStyle name="Cálculo 12 2" xfId="1027"/>
    <cellStyle name="Cálculo 13" xfId="363"/>
    <cellStyle name="Cálculo 13 2" xfId="1028"/>
    <cellStyle name="Cálculo 14" xfId="364"/>
    <cellStyle name="Cálculo 14 2" xfId="1029"/>
    <cellStyle name="Cálculo 15" xfId="365"/>
    <cellStyle name="Cálculo 15 2" xfId="1030"/>
    <cellStyle name="Cálculo 16" xfId="366"/>
    <cellStyle name="Cálculo 16 2" xfId="1031"/>
    <cellStyle name="Cálculo 17" xfId="367"/>
    <cellStyle name="Cálculo 17 2" xfId="1032"/>
    <cellStyle name="Cálculo 18" xfId="368"/>
    <cellStyle name="Cálculo 18 2" xfId="1033"/>
    <cellStyle name="Cálculo 19" xfId="369"/>
    <cellStyle name="Cálculo 19 2" xfId="1034"/>
    <cellStyle name="Cálculo 2" xfId="370"/>
    <cellStyle name="Cálculo 2 2" xfId="371"/>
    <cellStyle name="Cálculo 2 2 2" xfId="1035"/>
    <cellStyle name="Cálculo 2 3" xfId="1036"/>
    <cellStyle name="Cálculo 20" xfId="372"/>
    <cellStyle name="Cálculo 20 2" xfId="1037"/>
    <cellStyle name="Cálculo 21" xfId="855"/>
    <cellStyle name="Cálculo 22" xfId="1038"/>
    <cellStyle name="Cálculo 23" xfId="24"/>
    <cellStyle name="Cálculo 3" xfId="373"/>
    <cellStyle name="Cálculo 3 2" xfId="1039"/>
    <cellStyle name="Cálculo 4" xfId="374"/>
    <cellStyle name="Cálculo 4 2" xfId="1040"/>
    <cellStyle name="Cálculo 5" xfId="375"/>
    <cellStyle name="Cálculo 5 2" xfId="1041"/>
    <cellStyle name="Cálculo 6" xfId="376"/>
    <cellStyle name="Cálculo 6 2" xfId="1042"/>
    <cellStyle name="Cálculo 7" xfId="377"/>
    <cellStyle name="Cálculo 7 2" xfId="1043"/>
    <cellStyle name="Cálculo 8" xfId="378"/>
    <cellStyle name="Cálculo 8 2" xfId="1044"/>
    <cellStyle name="Cálculo 9" xfId="379"/>
    <cellStyle name="Cálculo 9 2" xfId="1045"/>
    <cellStyle name="Celda de comprobación 10" xfId="380"/>
    <cellStyle name="Celda de comprobación 11" xfId="381"/>
    <cellStyle name="Celda de comprobación 12" xfId="382"/>
    <cellStyle name="Celda de comprobación 13" xfId="383"/>
    <cellStyle name="Celda de comprobación 14" xfId="384"/>
    <cellStyle name="Celda de comprobación 15" xfId="385"/>
    <cellStyle name="Celda de comprobación 16" xfId="386"/>
    <cellStyle name="Celda de comprobación 17" xfId="387"/>
    <cellStyle name="Celda de comprobación 18" xfId="388"/>
    <cellStyle name="Celda de comprobación 19" xfId="389"/>
    <cellStyle name="Celda de comprobación 2" xfId="390"/>
    <cellStyle name="Celda de comprobación 20" xfId="391"/>
    <cellStyle name="Celda de comprobación 21" xfId="857"/>
    <cellStyle name="Celda de comprobación 22" xfId="25"/>
    <cellStyle name="Celda de comprobación 3" xfId="392"/>
    <cellStyle name="Celda de comprobación 4" xfId="393"/>
    <cellStyle name="Celda de comprobación 5" xfId="394"/>
    <cellStyle name="Celda de comprobación 6" xfId="395"/>
    <cellStyle name="Celda de comprobación 7" xfId="396"/>
    <cellStyle name="Celda de comprobación 8" xfId="397"/>
    <cellStyle name="Celda de comprobación 9" xfId="398"/>
    <cellStyle name="Celda vinculada 10" xfId="399"/>
    <cellStyle name="Celda vinculada 11" xfId="400"/>
    <cellStyle name="Celda vinculada 12" xfId="401"/>
    <cellStyle name="Celda vinculada 13" xfId="402"/>
    <cellStyle name="Celda vinculada 14" xfId="403"/>
    <cellStyle name="Celda vinculada 15" xfId="404"/>
    <cellStyle name="Celda vinculada 16" xfId="405"/>
    <cellStyle name="Celda vinculada 17" xfId="406"/>
    <cellStyle name="Celda vinculada 18" xfId="407"/>
    <cellStyle name="Celda vinculada 19" xfId="408"/>
    <cellStyle name="Celda vinculada 2" xfId="409"/>
    <cellStyle name="Celda vinculada 20" xfId="410"/>
    <cellStyle name="Celda vinculada 21" xfId="856"/>
    <cellStyle name="Celda vinculada 22" xfId="1503"/>
    <cellStyle name="Celda vinculada 23" xfId="26"/>
    <cellStyle name="Celda vinculada 3" xfId="411"/>
    <cellStyle name="Celda vinculada 4" xfId="412"/>
    <cellStyle name="Celda vinculada 5" xfId="413"/>
    <cellStyle name="Celda vinculada 6" xfId="414"/>
    <cellStyle name="Celda vinculada 7" xfId="415"/>
    <cellStyle name="Celda vinculada 8" xfId="416"/>
    <cellStyle name="Celda vinculada 9" xfId="417"/>
    <cellStyle name="Comma [0]_Bce ultramundo(1)" xfId="1504"/>
    <cellStyle name="Comma_Bce ultramundo(1)" xfId="1505"/>
    <cellStyle name="Currency [0]_Bce ultramundo(1)" xfId="1506"/>
    <cellStyle name="Currency_Bce ultramundo(1)" xfId="1507"/>
    <cellStyle name="Encabezado 1 2" xfId="43"/>
    <cellStyle name="Encabezado 4 10" xfId="418"/>
    <cellStyle name="Encabezado 4 11" xfId="419"/>
    <cellStyle name="Encabezado 4 12" xfId="420"/>
    <cellStyle name="Encabezado 4 13" xfId="421"/>
    <cellStyle name="Encabezado 4 14" xfId="422"/>
    <cellStyle name="Encabezado 4 15" xfId="423"/>
    <cellStyle name="Encabezado 4 16" xfId="424"/>
    <cellStyle name="Encabezado 4 17" xfId="425"/>
    <cellStyle name="Encabezado 4 18" xfId="426"/>
    <cellStyle name="Encabezado 4 19" xfId="427"/>
    <cellStyle name="Encabezado 4 2" xfId="428"/>
    <cellStyle name="Encabezado 4 20" xfId="429"/>
    <cellStyle name="Encabezado 4 21" xfId="849"/>
    <cellStyle name="Encabezado 4 22" xfId="1508"/>
    <cellStyle name="Encabezado 4 23" xfId="27"/>
    <cellStyle name="Encabezado 4 3" xfId="430"/>
    <cellStyle name="Encabezado 4 4" xfId="431"/>
    <cellStyle name="Encabezado 4 5" xfId="432"/>
    <cellStyle name="Encabezado 4 6" xfId="433"/>
    <cellStyle name="Encabezado 4 7" xfId="434"/>
    <cellStyle name="Encabezado 4 8" xfId="435"/>
    <cellStyle name="Encabezado 4 9" xfId="436"/>
    <cellStyle name="Énfasis1 10" xfId="437"/>
    <cellStyle name="Énfasis1 11" xfId="438"/>
    <cellStyle name="Énfasis1 12" xfId="439"/>
    <cellStyle name="Énfasis1 13" xfId="440"/>
    <cellStyle name="Énfasis1 14" xfId="441"/>
    <cellStyle name="Énfasis1 15" xfId="442"/>
    <cellStyle name="Énfasis1 16" xfId="443"/>
    <cellStyle name="Énfasis1 17" xfId="444"/>
    <cellStyle name="Énfasis1 18" xfId="445"/>
    <cellStyle name="Énfasis1 19" xfId="446"/>
    <cellStyle name="Énfasis1 2" xfId="447"/>
    <cellStyle name="Énfasis1 20" xfId="448"/>
    <cellStyle name="Énfasis1 21" xfId="862"/>
    <cellStyle name="Énfasis1 22" xfId="1509"/>
    <cellStyle name="Énfasis1 23" xfId="28"/>
    <cellStyle name="Énfasis1 3" xfId="449"/>
    <cellStyle name="Énfasis1 4" xfId="450"/>
    <cellStyle name="Énfasis1 5" xfId="451"/>
    <cellStyle name="Énfasis1 6" xfId="452"/>
    <cellStyle name="Énfasis1 7" xfId="453"/>
    <cellStyle name="Énfasis1 8" xfId="454"/>
    <cellStyle name="Énfasis1 9" xfId="455"/>
    <cellStyle name="Énfasis2 2" xfId="866"/>
    <cellStyle name="Énfasis2 3" xfId="1510"/>
    <cellStyle name="Énfasis2 4" xfId="29"/>
    <cellStyle name="Énfasis3 10" xfId="456"/>
    <cellStyle name="Énfasis3 11" xfId="457"/>
    <cellStyle name="Énfasis3 12" xfId="458"/>
    <cellStyle name="Énfasis3 13" xfId="459"/>
    <cellStyle name="Énfasis3 14" xfId="460"/>
    <cellStyle name="Énfasis3 15" xfId="461"/>
    <cellStyle name="Énfasis3 16" xfId="462"/>
    <cellStyle name="Énfasis3 17" xfId="463"/>
    <cellStyle name="Énfasis3 18" xfId="464"/>
    <cellStyle name="Énfasis3 19" xfId="465"/>
    <cellStyle name="Énfasis3 2" xfId="466"/>
    <cellStyle name="Énfasis3 20" xfId="467"/>
    <cellStyle name="Énfasis3 21" xfId="870"/>
    <cellStyle name="Énfasis3 22" xfId="1511"/>
    <cellStyle name="Énfasis3 23" xfId="30"/>
    <cellStyle name="Énfasis3 3" xfId="468"/>
    <cellStyle name="Énfasis3 4" xfId="469"/>
    <cellStyle name="Énfasis3 5" xfId="470"/>
    <cellStyle name="Énfasis3 6" xfId="471"/>
    <cellStyle name="Énfasis3 7" xfId="472"/>
    <cellStyle name="Énfasis3 8" xfId="473"/>
    <cellStyle name="Énfasis3 9" xfId="474"/>
    <cellStyle name="Énfasis4 10" xfId="475"/>
    <cellStyle name="Énfasis4 11" xfId="476"/>
    <cellStyle name="Énfasis4 12" xfId="477"/>
    <cellStyle name="Énfasis4 13" xfId="478"/>
    <cellStyle name="Énfasis4 14" xfId="479"/>
    <cellStyle name="Énfasis4 15" xfId="480"/>
    <cellStyle name="Énfasis4 16" xfId="481"/>
    <cellStyle name="Énfasis4 17" xfId="482"/>
    <cellStyle name="Énfasis4 18" xfId="483"/>
    <cellStyle name="Énfasis4 19" xfId="484"/>
    <cellStyle name="Énfasis4 2" xfId="485"/>
    <cellStyle name="Énfasis4 20" xfId="486"/>
    <cellStyle name="Énfasis4 21" xfId="874"/>
    <cellStyle name="Énfasis4 22" xfId="1512"/>
    <cellStyle name="Énfasis4 23" xfId="31"/>
    <cellStyle name="Énfasis4 3" xfId="487"/>
    <cellStyle name="Énfasis4 4" xfId="488"/>
    <cellStyle name="Énfasis4 5" xfId="489"/>
    <cellStyle name="Énfasis4 6" xfId="490"/>
    <cellStyle name="Énfasis4 7" xfId="491"/>
    <cellStyle name="Énfasis4 8" xfId="492"/>
    <cellStyle name="Énfasis4 9" xfId="493"/>
    <cellStyle name="Énfasis5 10" xfId="494"/>
    <cellStyle name="Énfasis5 11" xfId="495"/>
    <cellStyle name="Énfasis5 12" xfId="496"/>
    <cellStyle name="Énfasis5 13" xfId="497"/>
    <cellStyle name="Énfasis5 14" xfId="498"/>
    <cellStyle name="Énfasis5 15" xfId="499"/>
    <cellStyle name="Énfasis5 16" xfId="500"/>
    <cellStyle name="Énfasis5 17" xfId="501"/>
    <cellStyle name="Énfasis5 18" xfId="502"/>
    <cellStyle name="Énfasis5 19" xfId="503"/>
    <cellStyle name="Énfasis5 2" xfId="504"/>
    <cellStyle name="Énfasis5 20" xfId="505"/>
    <cellStyle name="Énfasis5 21" xfId="878"/>
    <cellStyle name="Énfasis5 22" xfId="32"/>
    <cellStyle name="Énfasis5 3" xfId="506"/>
    <cellStyle name="Énfasis5 4" xfId="507"/>
    <cellStyle name="Énfasis5 5" xfId="508"/>
    <cellStyle name="Énfasis5 6" xfId="509"/>
    <cellStyle name="Énfasis5 7" xfId="510"/>
    <cellStyle name="Énfasis5 8" xfId="511"/>
    <cellStyle name="Énfasis5 9" xfId="512"/>
    <cellStyle name="Énfasis6 10" xfId="513"/>
    <cellStyle name="Énfasis6 11" xfId="514"/>
    <cellStyle name="Énfasis6 12" xfId="515"/>
    <cellStyle name="Énfasis6 13" xfId="516"/>
    <cellStyle name="Énfasis6 14" xfId="517"/>
    <cellStyle name="Énfasis6 15" xfId="518"/>
    <cellStyle name="Énfasis6 16" xfId="519"/>
    <cellStyle name="Énfasis6 17" xfId="520"/>
    <cellStyle name="Énfasis6 18" xfId="521"/>
    <cellStyle name="Énfasis6 19" xfId="522"/>
    <cellStyle name="Énfasis6 2" xfId="523"/>
    <cellStyle name="Énfasis6 20" xfId="524"/>
    <cellStyle name="Énfasis6 21" xfId="882"/>
    <cellStyle name="Énfasis6 22" xfId="1513"/>
    <cellStyle name="Énfasis6 23" xfId="33"/>
    <cellStyle name="Énfasis6 3" xfId="525"/>
    <cellStyle name="Énfasis6 4" xfId="526"/>
    <cellStyle name="Énfasis6 5" xfId="527"/>
    <cellStyle name="Énfasis6 6" xfId="528"/>
    <cellStyle name="Énfasis6 7" xfId="529"/>
    <cellStyle name="Énfasis6 8" xfId="530"/>
    <cellStyle name="Énfasis6 9" xfId="531"/>
    <cellStyle name="Entrada 10" xfId="532"/>
    <cellStyle name="Entrada 10 2" xfId="1046"/>
    <cellStyle name="Entrada 11" xfId="533"/>
    <cellStyle name="Entrada 11 2" xfId="1047"/>
    <cellStyle name="Entrada 12" xfId="534"/>
    <cellStyle name="Entrada 12 2" xfId="1048"/>
    <cellStyle name="Entrada 13" xfId="535"/>
    <cellStyle name="Entrada 13 2" xfId="1049"/>
    <cellStyle name="Entrada 14" xfId="536"/>
    <cellStyle name="Entrada 14 2" xfId="1050"/>
    <cellStyle name="Entrada 15" xfId="537"/>
    <cellStyle name="Entrada 15 2" xfId="1051"/>
    <cellStyle name="Entrada 16" xfId="538"/>
    <cellStyle name="Entrada 16 2" xfId="1052"/>
    <cellStyle name="Entrada 17" xfId="539"/>
    <cellStyle name="Entrada 17 2" xfId="1053"/>
    <cellStyle name="Entrada 18" xfId="540"/>
    <cellStyle name="Entrada 18 2" xfId="1054"/>
    <cellStyle name="Entrada 19" xfId="541"/>
    <cellStyle name="Entrada 19 2" xfId="1055"/>
    <cellStyle name="Entrada 2" xfId="542"/>
    <cellStyle name="Entrada 2 2" xfId="543"/>
    <cellStyle name="Entrada 2 2 2" xfId="1056"/>
    <cellStyle name="Entrada 2 3" xfId="1057"/>
    <cellStyle name="Entrada 20" xfId="544"/>
    <cellStyle name="Entrada 20 2" xfId="1058"/>
    <cellStyle name="Entrada 21" xfId="853"/>
    <cellStyle name="Entrada 22" xfId="1059"/>
    <cellStyle name="Entrada 23" xfId="34"/>
    <cellStyle name="Entrada 3" xfId="545"/>
    <cellStyle name="Entrada 3 2" xfId="1060"/>
    <cellStyle name="Entrada 4" xfId="546"/>
    <cellStyle name="Entrada 4 2" xfId="1061"/>
    <cellStyle name="Entrada 5" xfId="547"/>
    <cellStyle name="Entrada 5 2" xfId="1062"/>
    <cellStyle name="Entrada 6" xfId="548"/>
    <cellStyle name="Entrada 6 2" xfId="1063"/>
    <cellStyle name="Entrada 7" xfId="549"/>
    <cellStyle name="Entrada 7 2" xfId="1064"/>
    <cellStyle name="Entrada 8" xfId="550"/>
    <cellStyle name="Entrada 8 2" xfId="1065"/>
    <cellStyle name="Entrada 9" xfId="551"/>
    <cellStyle name="Entrada 9 2" xfId="1066"/>
    <cellStyle name="Estilo 1" xfId="1067"/>
    <cellStyle name="Euro" xfId="35"/>
    <cellStyle name="Euro 10" xfId="552"/>
    <cellStyle name="Euro 10 2" xfId="1514"/>
    <cellStyle name="Euro 11" xfId="553"/>
    <cellStyle name="Euro 11 2" xfId="1515"/>
    <cellStyle name="Euro 12" xfId="554"/>
    <cellStyle name="Euro 12 2" xfId="1516"/>
    <cellStyle name="Euro 13" xfId="555"/>
    <cellStyle name="Euro 13 2" xfId="1517"/>
    <cellStyle name="Euro 14" xfId="556"/>
    <cellStyle name="Euro 14 2" xfId="1518"/>
    <cellStyle name="Euro 15" xfId="557"/>
    <cellStyle name="Euro 15 2" xfId="1519"/>
    <cellStyle name="Euro 16" xfId="558"/>
    <cellStyle name="Euro 16 2" xfId="1520"/>
    <cellStyle name="Euro 17" xfId="559"/>
    <cellStyle name="Euro 17 2" xfId="1521"/>
    <cellStyle name="Euro 18" xfId="560"/>
    <cellStyle name="Euro 18 2" xfId="1522"/>
    <cellStyle name="Euro 19" xfId="561"/>
    <cellStyle name="Euro 19 2" xfId="1523"/>
    <cellStyle name="Euro 2" xfId="562"/>
    <cellStyle name="Euro 2 2" xfId="1068"/>
    <cellStyle name="Euro 2 3" xfId="1069"/>
    <cellStyle name="Euro 20" xfId="563"/>
    <cellStyle name="Euro 20 2" xfId="1524"/>
    <cellStyle name="Euro 21" xfId="564"/>
    <cellStyle name="Euro 21 2" xfId="1525"/>
    <cellStyle name="Euro 22" xfId="565"/>
    <cellStyle name="Euro 22 2" xfId="1526"/>
    <cellStyle name="Euro 23" xfId="566"/>
    <cellStyle name="Euro 23 2" xfId="1527"/>
    <cellStyle name="Euro 24" xfId="567"/>
    <cellStyle name="Euro 24 2" xfId="1528"/>
    <cellStyle name="Euro 25" xfId="568"/>
    <cellStyle name="Euro 25 2" xfId="1529"/>
    <cellStyle name="Euro 26" xfId="569"/>
    <cellStyle name="Euro 26 2" xfId="1530"/>
    <cellStyle name="Euro 27" xfId="570"/>
    <cellStyle name="Euro 27 2" xfId="1531"/>
    <cellStyle name="Euro 28" xfId="571"/>
    <cellStyle name="Euro 28 2" xfId="1532"/>
    <cellStyle name="Euro 29" xfId="572"/>
    <cellStyle name="Euro 29 2" xfId="1533"/>
    <cellStyle name="Euro 3" xfId="573"/>
    <cellStyle name="Euro 3 2" xfId="1070"/>
    <cellStyle name="Euro 3 3" xfId="1071"/>
    <cellStyle name="Euro 30" xfId="574"/>
    <cellStyle name="Euro 30 2" xfId="1534"/>
    <cellStyle name="Euro 31" xfId="575"/>
    <cellStyle name="Euro 31 2" xfId="1535"/>
    <cellStyle name="Euro 32" xfId="576"/>
    <cellStyle name="Euro 32 2" xfId="1536"/>
    <cellStyle name="Euro 33" xfId="577"/>
    <cellStyle name="Euro 33 2" xfId="1537"/>
    <cellStyle name="Euro 34" xfId="578"/>
    <cellStyle name="Euro 34 2" xfId="1538"/>
    <cellStyle name="Euro 35" xfId="579"/>
    <cellStyle name="Euro 35 2" xfId="1539"/>
    <cellStyle name="Euro 36" xfId="580"/>
    <cellStyle name="Euro 36 2" xfId="1540"/>
    <cellStyle name="Euro 37" xfId="581"/>
    <cellStyle name="Euro 37 2" xfId="1541"/>
    <cellStyle name="Euro 38" xfId="1072"/>
    <cellStyle name="Euro 39" xfId="1542"/>
    <cellStyle name="Euro 4" xfId="582"/>
    <cellStyle name="Euro 4 2" xfId="1073"/>
    <cellStyle name="Euro 4 3" xfId="1074"/>
    <cellStyle name="Euro 40" xfId="1543"/>
    <cellStyle name="Euro 41" xfId="1544"/>
    <cellStyle name="Euro 42" xfId="1545"/>
    <cellStyle name="Euro 43" xfId="1546"/>
    <cellStyle name="Euro 44" xfId="1547"/>
    <cellStyle name="Euro 45" xfId="1548"/>
    <cellStyle name="Euro 46" xfId="1549"/>
    <cellStyle name="Euro 47" xfId="1550"/>
    <cellStyle name="Euro 48" xfId="1551"/>
    <cellStyle name="Euro 49" xfId="1552"/>
    <cellStyle name="Euro 5" xfId="583"/>
    <cellStyle name="Euro 5 2" xfId="1075"/>
    <cellStyle name="Euro 50" xfId="1553"/>
    <cellStyle name="Euro 51" xfId="1554"/>
    <cellStyle name="Euro 52" xfId="1555"/>
    <cellStyle name="Euro 53" xfId="1556"/>
    <cellStyle name="Euro 54" xfId="1557"/>
    <cellStyle name="Euro 55" xfId="1558"/>
    <cellStyle name="Euro 56" xfId="1559"/>
    <cellStyle name="Euro 57" xfId="1560"/>
    <cellStyle name="Euro 58" xfId="1561"/>
    <cellStyle name="Euro 59" xfId="1562"/>
    <cellStyle name="Euro 6" xfId="584"/>
    <cellStyle name="Euro 6 2" xfId="1563"/>
    <cellStyle name="Euro 60" xfId="1564"/>
    <cellStyle name="Euro 61" xfId="1565"/>
    <cellStyle name="Euro 62" xfId="1566"/>
    <cellStyle name="Euro 63" xfId="1567"/>
    <cellStyle name="Euro 64" xfId="1568"/>
    <cellStyle name="Euro 65" xfId="1569"/>
    <cellStyle name="Euro 7" xfId="585"/>
    <cellStyle name="Euro 7 2" xfId="1570"/>
    <cellStyle name="Euro 8" xfId="586"/>
    <cellStyle name="Euro 8 2" xfId="1571"/>
    <cellStyle name="Euro 9" xfId="587"/>
    <cellStyle name="Euro 9 2" xfId="1572"/>
    <cellStyle name="Euro_SIC PNLP Gx" xfId="1573"/>
    <cellStyle name="Fecha" xfId="588"/>
    <cellStyle name="Fijo" xfId="589"/>
    <cellStyle name="Hipervínculo 2" xfId="1076"/>
    <cellStyle name="Hyperlink" xfId="1574"/>
    <cellStyle name="Incorrecto 2" xfId="851"/>
    <cellStyle name="Incorrecto 3" xfId="1575"/>
    <cellStyle name="Incorrecto 4" xfId="36"/>
    <cellStyle name="Millares [0]" xfId="1" builtinId="6"/>
    <cellStyle name="Millares [0] 2" xfId="1077"/>
    <cellStyle name="Millares [0] 2 2" xfId="1078"/>
    <cellStyle name="Millares 10" xfId="1079"/>
    <cellStyle name="Millares 11" xfId="1080"/>
    <cellStyle name="Millares 12" xfId="1081"/>
    <cellStyle name="Millares 13" xfId="1082"/>
    <cellStyle name="Millares 14" xfId="1083"/>
    <cellStyle name="Millares 15" xfId="1084"/>
    <cellStyle name="Millares 16" xfId="1085"/>
    <cellStyle name="Millares 17" xfId="1086"/>
    <cellStyle name="Millares 18" xfId="1087"/>
    <cellStyle name="Millares 19" xfId="1088"/>
    <cellStyle name="Millares 2" xfId="590"/>
    <cellStyle name="Millares 2 2" xfId="887"/>
    <cellStyle name="Millares 2 2 2" xfId="1089"/>
    <cellStyle name="Millares 2 3" xfId="888"/>
    <cellStyle name="Millares 2 4" xfId="889"/>
    <cellStyle name="Millares 2 5" xfId="1090"/>
    <cellStyle name="Millares 20" xfId="1091"/>
    <cellStyle name="Millares 21" xfId="1092"/>
    <cellStyle name="Millares 22" xfId="1093"/>
    <cellStyle name="Millares 23" xfId="1094"/>
    <cellStyle name="Millares 24" xfId="1095"/>
    <cellStyle name="Millares 25" xfId="1096"/>
    <cellStyle name="Millares 26" xfId="1097"/>
    <cellStyle name="Millares 27" xfId="1098"/>
    <cellStyle name="Millares 28" xfId="1099"/>
    <cellStyle name="Millares 29" xfId="1100"/>
    <cellStyle name="Millares 3" xfId="591"/>
    <cellStyle name="Millares 3 2" xfId="890"/>
    <cellStyle name="Millares 3 3" xfId="1101"/>
    <cellStyle name="Millares 3 3 2" xfId="1102"/>
    <cellStyle name="Millares 3 4" xfId="1103"/>
    <cellStyle name="Millares 3 4 2" xfId="1104"/>
    <cellStyle name="Millares 3 5" xfId="1105"/>
    <cellStyle name="Millares 3 6" xfId="1106"/>
    <cellStyle name="Millares 30" xfId="1107"/>
    <cellStyle name="Millares 31" xfId="1108"/>
    <cellStyle name="Millares 32" xfId="1109"/>
    <cellStyle name="Millares 33" xfId="1110"/>
    <cellStyle name="Millares 34" xfId="1111"/>
    <cellStyle name="Millares 35" xfId="1112"/>
    <cellStyle name="Millares 36" xfId="1113"/>
    <cellStyle name="Millares 37" xfId="1114"/>
    <cellStyle name="Millares 38" xfId="1115"/>
    <cellStyle name="Millares 39" xfId="1116"/>
    <cellStyle name="Millares 39 2" xfId="1117"/>
    <cellStyle name="Millares 4" xfId="891"/>
    <cellStyle name="Millares 4 2" xfId="1118"/>
    <cellStyle name="Millares 4 3" xfId="1119"/>
    <cellStyle name="Millares 40" xfId="1120"/>
    <cellStyle name="Millares 41" xfId="1121"/>
    <cellStyle name="Millares 5" xfId="892"/>
    <cellStyle name="Millares 5 2" xfId="1122"/>
    <cellStyle name="Millares 6" xfId="893"/>
    <cellStyle name="Millares 6 2" xfId="1123"/>
    <cellStyle name="Millares 6 3" xfId="1124"/>
    <cellStyle name="Millares 7" xfId="894"/>
    <cellStyle name="Millares 7 2" xfId="1125"/>
    <cellStyle name="Millares 7 3" xfId="1126"/>
    <cellStyle name="Millares 8" xfId="895"/>
    <cellStyle name="Millares 8 2" xfId="1127"/>
    <cellStyle name="Millares 9" xfId="896"/>
    <cellStyle name="Moneda 2" xfId="1128"/>
    <cellStyle name="Moneda 2 2" xfId="1129"/>
    <cellStyle name="Moneda 3" xfId="1130"/>
    <cellStyle name="Moneda 3 2" xfId="1131"/>
    <cellStyle name="Moneda 4" xfId="1132"/>
    <cellStyle name="Moneda 4 2" xfId="1133"/>
    <cellStyle name="Moneda 5" xfId="1134"/>
    <cellStyle name="Moneda 5 2" xfId="1135"/>
    <cellStyle name="Monetario0" xfId="592"/>
    <cellStyle name="movimentação" xfId="1576"/>
    <cellStyle name="Neutral 10" xfId="593"/>
    <cellStyle name="Neutral 11" xfId="594"/>
    <cellStyle name="Neutral 12" xfId="595"/>
    <cellStyle name="Neutral 13" xfId="596"/>
    <cellStyle name="Neutral 14" xfId="597"/>
    <cellStyle name="Neutral 15" xfId="598"/>
    <cellStyle name="Neutral 16" xfId="599"/>
    <cellStyle name="Neutral 17" xfId="600"/>
    <cellStyle name="Neutral 18" xfId="601"/>
    <cellStyle name="Neutral 19" xfId="602"/>
    <cellStyle name="Neutral 2" xfId="603"/>
    <cellStyle name="Neutral 20" xfId="604"/>
    <cellStyle name="Neutral 21" xfId="852"/>
    <cellStyle name="Neutral 22" xfId="1577"/>
    <cellStyle name="Neutral 23" xfId="37"/>
    <cellStyle name="Neutral 3" xfId="605"/>
    <cellStyle name="Neutral 4" xfId="606"/>
    <cellStyle name="Neutral 5" xfId="607"/>
    <cellStyle name="Neutral 6" xfId="608"/>
    <cellStyle name="Neutral 7" xfId="609"/>
    <cellStyle name="Neutral 8" xfId="610"/>
    <cellStyle name="Neutral 9" xfId="611"/>
    <cellStyle name="Normal" xfId="0" builtinId="0"/>
    <cellStyle name="Normal 10" xfId="912"/>
    <cellStyle name="Normal 10 2" xfId="1136"/>
    <cellStyle name="Normal 10 2 2" xfId="1137"/>
    <cellStyle name="Normal 10 2 3" xfId="1138"/>
    <cellStyle name="Normal 10 3" xfId="1139"/>
    <cellStyle name="Normal 10 3 2" xfId="1140"/>
    <cellStyle name="Normal 10 4" xfId="1141"/>
    <cellStyle name="Normal 11" xfId="926"/>
    <cellStyle name="Normal 11 2" xfId="1142"/>
    <cellStyle name="Normal 11 2 2" xfId="1143"/>
    <cellStyle name="Normal 11 2 3" xfId="1144"/>
    <cellStyle name="Normal 11 3" xfId="1145"/>
    <cellStyle name="Normal 11 4" xfId="1146"/>
    <cellStyle name="Normal 12" xfId="1147"/>
    <cellStyle name="Normal 12 2" xfId="1148"/>
    <cellStyle name="Normal 12 2 2" xfId="1149"/>
    <cellStyle name="Normal 12 3" xfId="1150"/>
    <cellStyle name="Normal 13" xfId="1151"/>
    <cellStyle name="Normal 13 2" xfId="1152"/>
    <cellStyle name="Normal 13 3" xfId="1153"/>
    <cellStyle name="Normal 14" xfId="1578"/>
    <cellStyle name="Normal 15" xfId="1579"/>
    <cellStyle name="Normal 16" xfId="1580"/>
    <cellStyle name="Normal 17" xfId="1581"/>
    <cellStyle name="Normal 18" xfId="1582"/>
    <cellStyle name="Normal 19" xfId="1583"/>
    <cellStyle name="Normal 2" xfId="49"/>
    <cellStyle name="Normal 2 10" xfId="612"/>
    <cellStyle name="Normal 2 11" xfId="613"/>
    <cellStyle name="Normal 2 12" xfId="614"/>
    <cellStyle name="Normal 2 13" xfId="615"/>
    <cellStyle name="Normal 2 14" xfId="616"/>
    <cellStyle name="Normal 2 15" xfId="617"/>
    <cellStyle name="Normal 2 15 2" xfId="897"/>
    <cellStyle name="Normal 2 16" xfId="618"/>
    <cellStyle name="Normal 2 17" xfId="619"/>
    <cellStyle name="Normal 2 18" xfId="620"/>
    <cellStyle name="Normal 2 19" xfId="621"/>
    <cellStyle name="Normal 2 2" xfId="622"/>
    <cellStyle name="Normal 2 2 2" xfId="898"/>
    <cellStyle name="Normal 2 2 2 2" xfId="1154"/>
    <cellStyle name="Normal 2 20" xfId="623"/>
    <cellStyle name="Normal 2 21" xfId="624"/>
    <cellStyle name="Normal 2 22" xfId="625"/>
    <cellStyle name="Normal 2 23" xfId="626"/>
    <cellStyle name="Normal 2 24" xfId="627"/>
    <cellStyle name="Normal 2 25" xfId="628"/>
    <cellStyle name="Normal 2 26" xfId="629"/>
    <cellStyle name="Normal 2 27" xfId="630"/>
    <cellStyle name="Normal 2 28" xfId="631"/>
    <cellStyle name="Normal 2 29" xfId="632"/>
    <cellStyle name="Normal 2 3" xfId="633"/>
    <cellStyle name="Normal 2 3 2" xfId="899"/>
    <cellStyle name="Normal 2 3 2 2" xfId="1155"/>
    <cellStyle name="Normal 2 3 3" xfId="1584"/>
    <cellStyle name="Normal 2 30" xfId="634"/>
    <cellStyle name="Normal 2 31" xfId="635"/>
    <cellStyle name="Normal 2 32" xfId="636"/>
    <cellStyle name="Normal 2 33" xfId="637"/>
    <cellStyle name="Normal 2 34" xfId="638"/>
    <cellStyle name="Normal 2 35" xfId="639"/>
    <cellStyle name="Normal 2 36" xfId="640"/>
    <cellStyle name="Normal 2 37" xfId="641"/>
    <cellStyle name="Normal 2 38" xfId="900"/>
    <cellStyle name="Normal 2 38 2" xfId="1585"/>
    <cellStyle name="Normal 2 39" xfId="1156"/>
    <cellStyle name="Normal 2 39 2" xfId="1586"/>
    <cellStyle name="Normal 2 4" xfId="642"/>
    <cellStyle name="Normal 2 4 2" xfId="1157"/>
    <cellStyle name="Normal 2 4 3" xfId="1158"/>
    <cellStyle name="Normal 2 40" xfId="1587"/>
    <cellStyle name="Normal 2 41" xfId="1588"/>
    <cellStyle name="Normal 2 42" xfId="1589"/>
    <cellStyle name="Normal 2 43" xfId="1590"/>
    <cellStyle name="Normal 2 44" xfId="1591"/>
    <cellStyle name="Normal 2 45" xfId="1592"/>
    <cellStyle name="Normal 2 46" xfId="1593"/>
    <cellStyle name="Normal 2 47" xfId="1594"/>
    <cellStyle name="Normal 2 48" xfId="1595"/>
    <cellStyle name="Normal 2 49" xfId="1596"/>
    <cellStyle name="Normal 2 5" xfId="643"/>
    <cellStyle name="Normal 2 50" xfId="1597"/>
    <cellStyle name="Normal 2 51" xfId="1598"/>
    <cellStyle name="Normal 2 52" xfId="1599"/>
    <cellStyle name="Normal 2 53" xfId="1600"/>
    <cellStyle name="Normal 2 54" xfId="1601"/>
    <cellStyle name="Normal 2 55" xfId="1602"/>
    <cellStyle name="Normal 2 56" xfId="1603"/>
    <cellStyle name="Normal 2 57" xfId="1604"/>
    <cellStyle name="Normal 2 58" xfId="1605"/>
    <cellStyle name="Normal 2 59" xfId="1606"/>
    <cellStyle name="Normal 2 6" xfId="644"/>
    <cellStyle name="Normal 2 6 2" xfId="1159"/>
    <cellStyle name="Normal 2 60" xfId="1607"/>
    <cellStyle name="Normal 2 61" xfId="1608"/>
    <cellStyle name="Normal 2 62" xfId="1609"/>
    <cellStyle name="Normal 2 63" xfId="1610"/>
    <cellStyle name="Normal 2 64" xfId="1611"/>
    <cellStyle name="Normal 2 65" xfId="1612"/>
    <cellStyle name="Normal 2 66" xfId="1613"/>
    <cellStyle name="Normal 2 67" xfId="1614"/>
    <cellStyle name="Normal 2 68" xfId="1615"/>
    <cellStyle name="Normal 2 7" xfId="645"/>
    <cellStyle name="Normal 2 8" xfId="646"/>
    <cellStyle name="Normal 2 8 2" xfId="901"/>
    <cellStyle name="Normal 2 9" xfId="647"/>
    <cellStyle name="Normal 2_Indexadores Corregidos def_Indexadores_AG_rev2" xfId="1160"/>
    <cellStyle name="Normal 20" xfId="1616"/>
    <cellStyle name="Normal 21" xfId="1617"/>
    <cellStyle name="Normal 22" xfId="1618"/>
    <cellStyle name="Normal 23" xfId="1619"/>
    <cellStyle name="Normal 24" xfId="1620"/>
    <cellStyle name="Normal 25" xfId="1621"/>
    <cellStyle name="Normal 26" xfId="1622"/>
    <cellStyle name="Normal 27" xfId="1623"/>
    <cellStyle name="Normal 28" xfId="1624"/>
    <cellStyle name="Normal 29" xfId="1625"/>
    <cellStyle name="Normal 3" xfId="47"/>
    <cellStyle name="Normal 3 10" xfId="648"/>
    <cellStyle name="Normal 3 11" xfId="649"/>
    <cellStyle name="Normal 3 12" xfId="650"/>
    <cellStyle name="Normal 3 13" xfId="651"/>
    <cellStyle name="Normal 3 14" xfId="652"/>
    <cellStyle name="Normal 3 15" xfId="653"/>
    <cellStyle name="Normal 3 16" xfId="654"/>
    <cellStyle name="Normal 3 17" xfId="655"/>
    <cellStyle name="Normal 3 18" xfId="902"/>
    <cellStyle name="Normal 3 18 2" xfId="1161"/>
    <cellStyle name="Normal 3 18 2 2" xfId="1162"/>
    <cellStyle name="Normal 3 18 3" xfId="1163"/>
    <cellStyle name="Normal 3 18 3 2" xfId="1164"/>
    <cellStyle name="Normal 3 18 4" xfId="1165"/>
    <cellStyle name="Normal 3 19" xfId="1166"/>
    <cellStyle name="Normal 3 19 2" xfId="1167"/>
    <cellStyle name="Normal 3 2" xfId="656"/>
    <cellStyle name="Normal 3 2 2" xfId="903"/>
    <cellStyle name="Normal 3 2 2 2" xfId="1168"/>
    <cellStyle name="Normal 3 2 2 2 2" xfId="1169"/>
    <cellStyle name="Normal 3 2 2 3" xfId="1170"/>
    <cellStyle name="Normal 3 2 2 3 2" xfId="1171"/>
    <cellStyle name="Normal 3 2 2 4" xfId="1172"/>
    <cellStyle name="Normal 3 2 2 4 2" xfId="1173"/>
    <cellStyle name="Normal 3 2 2 5" xfId="1174"/>
    <cellStyle name="Normal 3 2 2 5 2" xfId="1175"/>
    <cellStyle name="Normal 3 2 2 6" xfId="1176"/>
    <cellStyle name="Normal 3 2 3" xfId="1177"/>
    <cellStyle name="Normal 3 2 3 2" xfId="1178"/>
    <cellStyle name="Normal 3 2 4" xfId="1179"/>
    <cellStyle name="Normal 3 2 4 2" xfId="1180"/>
    <cellStyle name="Normal 3 20" xfId="1181"/>
    <cellStyle name="Normal 3 20 2" xfId="1182"/>
    <cellStyle name="Normal 3 3" xfId="657"/>
    <cellStyle name="Normal 3 3 2" xfId="904"/>
    <cellStyle name="Normal 3 3 2 2" xfId="1183"/>
    <cellStyle name="Normal 3 3 2 2 2" xfId="1184"/>
    <cellStyle name="Normal 3 3 2 3" xfId="1185"/>
    <cellStyle name="Normal 3 3 2 3 2" xfId="1186"/>
    <cellStyle name="Normal 3 3 2 4" xfId="1187"/>
    <cellStyle name="Normal 3 3 2 4 2" xfId="1188"/>
    <cellStyle name="Normal 3 3 2 5" xfId="1189"/>
    <cellStyle name="Normal 3 3 2 5 2" xfId="1190"/>
    <cellStyle name="Normal 3 3 2 6" xfId="1191"/>
    <cellStyle name="Normal 3 3 3" xfId="1192"/>
    <cellStyle name="Normal 3 3 3 2" xfId="1193"/>
    <cellStyle name="Normal 3 3 4" xfId="1194"/>
    <cellStyle name="Normal 3 3 4 2" xfId="1195"/>
    <cellStyle name="Normal 3 4" xfId="658"/>
    <cellStyle name="Normal 3 4 2" xfId="905"/>
    <cellStyle name="Normal 3 5" xfId="659"/>
    <cellStyle name="Normal 3 5 2" xfId="1196"/>
    <cellStyle name="Normal 3 5 2 2" xfId="1197"/>
    <cellStyle name="Normal 3 5 3" xfId="1198"/>
    <cellStyle name="Normal 3 5 3 2" xfId="1199"/>
    <cellStyle name="Normal 3 6" xfId="660"/>
    <cellStyle name="Normal 3 7" xfId="661"/>
    <cellStyle name="Normal 3 8" xfId="662"/>
    <cellStyle name="Normal 3 9" xfId="663"/>
    <cellStyle name="Normal 30" xfId="1626"/>
    <cellStyle name="Normal 31" xfId="1627"/>
    <cellStyle name="Normal 32" xfId="1628"/>
    <cellStyle name="Normal 33" xfId="1629"/>
    <cellStyle name="Normal 34" xfId="1630"/>
    <cellStyle name="Normal 35" xfId="1631"/>
    <cellStyle name="Normal 36" xfId="1632"/>
    <cellStyle name="Normal 37" xfId="1633"/>
    <cellStyle name="Normal 38" xfId="1634"/>
    <cellStyle name="Normal 39" xfId="1635"/>
    <cellStyle name="Normal 4" xfId="53"/>
    <cellStyle name="Normal 4 2" xfId="1200"/>
    <cellStyle name="Normal 4 3" xfId="1201"/>
    <cellStyle name="Normal 40" xfId="1636"/>
    <cellStyle name="Normal 41" xfId="1637"/>
    <cellStyle name="Normal 42" xfId="1638"/>
    <cellStyle name="Normal 43" xfId="1639"/>
    <cellStyle name="Normal 44" xfId="1640"/>
    <cellStyle name="Normal 45" xfId="1641"/>
    <cellStyle name="Normal 46" xfId="1642"/>
    <cellStyle name="Normal 47" xfId="1643"/>
    <cellStyle name="Normal 48" xfId="1644"/>
    <cellStyle name="Normal 49" xfId="1645"/>
    <cellStyle name="Normal 5" xfId="50"/>
    <cellStyle name="Normal 5 2" xfId="906"/>
    <cellStyle name="Normal 5 2 2" xfId="1202"/>
    <cellStyle name="Normal 5 2 2 2" xfId="1203"/>
    <cellStyle name="Normal 5 2 3" xfId="1204"/>
    <cellStyle name="Normal 5 2 3 2" xfId="1205"/>
    <cellStyle name="Normal 5 2 4" xfId="1206"/>
    <cellStyle name="Normal 5 2 4 2" xfId="1207"/>
    <cellStyle name="Normal 5 2 5" xfId="1208"/>
    <cellStyle name="Normal 5 2 5 2" xfId="1209"/>
    <cellStyle name="Normal 5 2 6" xfId="1210"/>
    <cellStyle name="Normal 5 3" xfId="1211"/>
    <cellStyle name="Normal 5 3 2" xfId="1212"/>
    <cellStyle name="Normal 5 4" xfId="1213"/>
    <cellStyle name="Normal 5 4 2" xfId="1214"/>
    <cellStyle name="Normal 5 5" xfId="1215"/>
    <cellStyle name="Normal 5 5 2" xfId="1216"/>
    <cellStyle name="Normal 5 6" xfId="1217"/>
    <cellStyle name="Normal 5 6 2" xfId="1218"/>
    <cellStyle name="Normal 5 7" xfId="1219"/>
    <cellStyle name="Normal 5 8" xfId="1220"/>
    <cellStyle name="Normal 50" xfId="1646"/>
    <cellStyle name="Normal 51" xfId="1647"/>
    <cellStyle name="Normal 52" xfId="1648"/>
    <cellStyle name="Normal 53" xfId="1649"/>
    <cellStyle name="Normal 54" xfId="1650"/>
    <cellStyle name="Normal 55" xfId="1651"/>
    <cellStyle name="Normal 56" xfId="1652"/>
    <cellStyle name="Normal 57" xfId="1653"/>
    <cellStyle name="Normal 58" xfId="1654"/>
    <cellStyle name="Normal 59" xfId="1655"/>
    <cellStyle name="Normal 6" xfId="51"/>
    <cellStyle name="Normal 6 2" xfId="664"/>
    <cellStyle name="Normal 6 2 2" xfId="1221"/>
    <cellStyle name="Normal 6 2 2 2" xfId="1222"/>
    <cellStyle name="Normal 6 2 3" xfId="1223"/>
    <cellStyle name="Normal 6 2 3 2" xfId="1224"/>
    <cellStyle name="Normal 6 2 4" xfId="1225"/>
    <cellStyle name="Normal 6 2 5" xfId="1226"/>
    <cellStyle name="Normal 6 3" xfId="907"/>
    <cellStyle name="Normal 6 4" xfId="1227"/>
    <cellStyle name="Normal 6 4 2" xfId="1228"/>
    <cellStyle name="Normal 6 5" xfId="1229"/>
    <cellStyle name="Normal 6 5 2" xfId="1230"/>
    <cellStyle name="Normal 6 6" xfId="1231"/>
    <cellStyle name="Normal 6 7" xfId="1232"/>
    <cellStyle name="Normal 60" xfId="1656"/>
    <cellStyle name="Normal 61" xfId="1657"/>
    <cellStyle name="Normal 62" xfId="1658"/>
    <cellStyle name="Normal 63" xfId="1659"/>
    <cellStyle name="Normal 64" xfId="1660"/>
    <cellStyle name="Normal 65" xfId="1661"/>
    <cellStyle name="Normal 66" xfId="1662"/>
    <cellStyle name="Normal 67" xfId="1663"/>
    <cellStyle name="Normal 68" xfId="1664"/>
    <cellStyle name="Normal 69" xfId="1665"/>
    <cellStyle name="Normal 7" xfId="52"/>
    <cellStyle name="Normal 7 2" xfId="1233"/>
    <cellStyle name="Normal 7 2 2" xfId="1234"/>
    <cellStyle name="Normal 7 2 3" xfId="1235"/>
    <cellStyle name="Normal 7 3" xfId="1236"/>
    <cellStyle name="Normal 7 3 2" xfId="1237"/>
    <cellStyle name="Normal 7 4" xfId="1238"/>
    <cellStyle name="Normal 70" xfId="1666"/>
    <cellStyle name="Normal 71" xfId="3"/>
    <cellStyle name="Normal 8" xfId="844"/>
    <cellStyle name="Normal 8 2" xfId="1239"/>
    <cellStyle name="Normal 8 2 2" xfId="1240"/>
    <cellStyle name="Normal 8 2 3" xfId="1241"/>
    <cellStyle name="Normal 8 3" xfId="1242"/>
    <cellStyle name="Normal 8 3 2" xfId="1243"/>
    <cellStyle name="Normal 8 4" xfId="1244"/>
    <cellStyle name="Normal 8 4 2" xfId="1245"/>
    <cellStyle name="Normal 8 5" xfId="1246"/>
    <cellStyle name="Normal 8 5 2" xfId="1247"/>
    <cellStyle name="Normal 8 6" xfId="1248"/>
    <cellStyle name="Normal 8 7" xfId="1249"/>
    <cellStyle name="Normal 9" xfId="56"/>
    <cellStyle name="Normal 9 2" xfId="1250"/>
    <cellStyle name="Normal 9 3" xfId="1251"/>
    <cellStyle name="Notas 10" xfId="665"/>
    <cellStyle name="Notas 10 2" xfId="1252"/>
    <cellStyle name="Notas 10 2 2" xfId="1253"/>
    <cellStyle name="Notas 10 3" xfId="1254"/>
    <cellStyle name="Notas 11" xfId="666"/>
    <cellStyle name="Notas 11 2" xfId="1255"/>
    <cellStyle name="Notas 11 2 2" xfId="1256"/>
    <cellStyle name="Notas 11 3" xfId="1257"/>
    <cellStyle name="Notas 12" xfId="667"/>
    <cellStyle name="Notas 12 2" xfId="1258"/>
    <cellStyle name="Notas 12 2 2" xfId="1259"/>
    <cellStyle name="Notas 12 3" xfId="1260"/>
    <cellStyle name="Notas 13" xfId="668"/>
    <cellStyle name="Notas 13 2" xfId="1261"/>
    <cellStyle name="Notas 13 2 2" xfId="1262"/>
    <cellStyle name="Notas 13 3" xfId="1263"/>
    <cellStyle name="Notas 14" xfId="669"/>
    <cellStyle name="Notas 14 2" xfId="1264"/>
    <cellStyle name="Notas 14 2 2" xfId="1265"/>
    <cellStyle name="Notas 14 3" xfId="1266"/>
    <cellStyle name="Notas 15" xfId="670"/>
    <cellStyle name="Notas 15 2" xfId="1267"/>
    <cellStyle name="Notas 15 2 2" xfId="1268"/>
    <cellStyle name="Notas 15 3" xfId="1269"/>
    <cellStyle name="Notas 16" xfId="671"/>
    <cellStyle name="Notas 16 2" xfId="1270"/>
    <cellStyle name="Notas 16 2 2" xfId="1271"/>
    <cellStyle name="Notas 16 3" xfId="1272"/>
    <cellStyle name="Notas 17" xfId="672"/>
    <cellStyle name="Notas 17 2" xfId="1273"/>
    <cellStyle name="Notas 17 2 2" xfId="1274"/>
    <cellStyle name="Notas 17 3" xfId="1275"/>
    <cellStyle name="Notas 18" xfId="673"/>
    <cellStyle name="Notas 18 2" xfId="1276"/>
    <cellStyle name="Notas 18 2 2" xfId="1277"/>
    <cellStyle name="Notas 18 3" xfId="1278"/>
    <cellStyle name="Notas 19" xfId="674"/>
    <cellStyle name="Notas 19 2" xfId="1279"/>
    <cellStyle name="Notas 19 2 2" xfId="1280"/>
    <cellStyle name="Notas 19 3" xfId="1281"/>
    <cellStyle name="Notas 2" xfId="675"/>
    <cellStyle name="Notas 2 2" xfId="676"/>
    <cellStyle name="Notas 2 2 2" xfId="1282"/>
    <cellStyle name="Notas 2 2 2 2" xfId="1283"/>
    <cellStyle name="Notas 2 2 3" xfId="1284"/>
    <cellStyle name="Notas 2 3" xfId="1285"/>
    <cellStyle name="Notas 2 3 2" xfId="1286"/>
    <cellStyle name="Notas 2 4" xfId="1287"/>
    <cellStyle name="Notas 20" xfId="677"/>
    <cellStyle name="Notas 20 2" xfId="1288"/>
    <cellStyle name="Notas 20 2 2" xfId="1289"/>
    <cellStyle name="Notas 20 3" xfId="1290"/>
    <cellStyle name="Notas 21" xfId="859"/>
    <cellStyle name="Notas 21 2" xfId="1291"/>
    <cellStyle name="Notas 21 2 2" xfId="1292"/>
    <cellStyle name="Notas 21 3" xfId="1293"/>
    <cellStyle name="Notas 21 3 2" xfId="1294"/>
    <cellStyle name="Notas 21 4" xfId="1295"/>
    <cellStyle name="Notas 22" xfId="913"/>
    <cellStyle name="Notas 22 2" xfId="1296"/>
    <cellStyle name="Notas 22 2 2" xfId="1297"/>
    <cellStyle name="Notas 22 3" xfId="1298"/>
    <cellStyle name="Notas 23" xfId="1299"/>
    <cellStyle name="Notas 24" xfId="38"/>
    <cellStyle name="Notas 3" xfId="678"/>
    <cellStyle name="Notas 3 2" xfId="1300"/>
    <cellStyle name="Notas 3 2 2" xfId="1301"/>
    <cellStyle name="Notas 3 3" xfId="1302"/>
    <cellStyle name="Notas 4" xfId="679"/>
    <cellStyle name="Notas 4 2" xfId="1303"/>
    <cellStyle name="Notas 4 2 2" xfId="1304"/>
    <cellStyle name="Notas 4 3" xfId="1305"/>
    <cellStyle name="Notas 5" xfId="680"/>
    <cellStyle name="Notas 5 2" xfId="1306"/>
    <cellStyle name="Notas 5 2 2" xfId="1307"/>
    <cellStyle name="Notas 5 3" xfId="1308"/>
    <cellStyle name="Notas 6" xfId="681"/>
    <cellStyle name="Notas 6 2" xfId="1309"/>
    <cellStyle name="Notas 6 2 2" xfId="1310"/>
    <cellStyle name="Notas 6 3" xfId="1311"/>
    <cellStyle name="Notas 7" xfId="682"/>
    <cellStyle name="Notas 7 2" xfId="1312"/>
    <cellStyle name="Notas 7 2 2" xfId="1313"/>
    <cellStyle name="Notas 7 3" xfId="1314"/>
    <cellStyle name="Notas 8" xfId="683"/>
    <cellStyle name="Notas 8 2" xfId="1315"/>
    <cellStyle name="Notas 8 2 2" xfId="1316"/>
    <cellStyle name="Notas 8 3" xfId="1317"/>
    <cellStyle name="Notas 9" xfId="684"/>
    <cellStyle name="Notas 9 2" xfId="1318"/>
    <cellStyle name="Notas 9 2 2" xfId="1319"/>
    <cellStyle name="Notas 9 3" xfId="1320"/>
    <cellStyle name="Porcentaje" xfId="2" builtinId="5"/>
    <cellStyle name="Porcentaje 2" xfId="685"/>
    <cellStyle name="Porcentaje 2 2" xfId="1321"/>
    <cellStyle name="Porcentaje 2 2 2" xfId="1322"/>
    <cellStyle name="Porcentaje 2 2 2 2" xfId="1323"/>
    <cellStyle name="Porcentaje 2 2 2 2 2" xfId="1324"/>
    <cellStyle name="Porcentaje 2 2 2 2 3" xfId="1325"/>
    <cellStyle name="Porcentaje 2 2 2 3" xfId="1326"/>
    <cellStyle name="Porcentaje 2 2 3" xfId="1327"/>
    <cellStyle name="Porcentaje 2 2 4" xfId="1800"/>
    <cellStyle name="Porcentaje 2 3" xfId="1328"/>
    <cellStyle name="Porcentaje 2 3 2" xfId="1329"/>
    <cellStyle name="Porcentaje 2 4" xfId="1330"/>
    <cellStyle name="Porcentaje 2 4 2" xfId="1331"/>
    <cellStyle name="Porcentaje 2 5" xfId="1332"/>
    <cellStyle name="Porcentaje 3" xfId="908"/>
    <cellStyle name="Porcentaje 4" xfId="1333"/>
    <cellStyle name="Porcentaje 4 2" xfId="1334"/>
    <cellStyle name="Porcentaje 5" xfId="1335"/>
    <cellStyle name="Porcentaje 5 2" xfId="1336"/>
    <cellStyle name="Porcentaje 6" xfId="1801"/>
    <cellStyle name="Porcentual 10" xfId="1667"/>
    <cellStyle name="Porcentual 11" xfId="1668"/>
    <cellStyle name="Porcentual 12" xfId="1669"/>
    <cellStyle name="Porcentual 13" xfId="1670"/>
    <cellStyle name="Porcentual 14" xfId="1671"/>
    <cellStyle name="Porcentual 15" xfId="1672"/>
    <cellStyle name="Porcentual 16" xfId="1673"/>
    <cellStyle name="Porcentual 17" xfId="1674"/>
    <cellStyle name="Porcentual 18" xfId="1675"/>
    <cellStyle name="Porcentual 19" xfId="1676"/>
    <cellStyle name="Porcentual 2" xfId="48"/>
    <cellStyle name="Porcentual 2 10" xfId="59"/>
    <cellStyle name="Porcentual 2 10 2" xfId="1677"/>
    <cellStyle name="Porcentual 2 11" xfId="686"/>
    <cellStyle name="Porcentual 2 11 2" xfId="1678"/>
    <cellStyle name="Porcentual 2 12" xfId="687"/>
    <cellStyle name="Porcentual 2 12 2" xfId="1679"/>
    <cellStyle name="Porcentual 2 13" xfId="688"/>
    <cellStyle name="Porcentual 2 13 2" xfId="1680"/>
    <cellStyle name="Porcentual 2 14" xfId="689"/>
    <cellStyle name="Porcentual 2 14 2" xfId="1681"/>
    <cellStyle name="Porcentual 2 15" xfId="690"/>
    <cellStyle name="Porcentual 2 15 2" xfId="1682"/>
    <cellStyle name="Porcentual 2 16" xfId="691"/>
    <cellStyle name="Porcentual 2 16 2" xfId="1683"/>
    <cellStyle name="Porcentual 2 17" xfId="692"/>
    <cellStyle name="Porcentual 2 17 2" xfId="1684"/>
    <cellStyle name="Porcentual 2 18" xfId="693"/>
    <cellStyle name="Porcentual 2 18 2" xfId="1685"/>
    <cellStyle name="Porcentual 2 19" xfId="1337"/>
    <cellStyle name="Porcentual 2 2" xfId="694"/>
    <cellStyle name="Porcentual 2 2 2" xfId="1338"/>
    <cellStyle name="Porcentual 2 20" xfId="1686"/>
    <cellStyle name="Porcentual 2 21" xfId="1687"/>
    <cellStyle name="Porcentual 2 22" xfId="1688"/>
    <cellStyle name="Porcentual 2 23" xfId="1689"/>
    <cellStyle name="Porcentual 2 24" xfId="1690"/>
    <cellStyle name="Porcentual 2 25" xfId="1691"/>
    <cellStyle name="Porcentual 2 26" xfId="1692"/>
    <cellStyle name="Porcentual 2 27" xfId="1693"/>
    <cellStyle name="Porcentual 2 28" xfId="1694"/>
    <cellStyle name="Porcentual 2 29" xfId="1695"/>
    <cellStyle name="Porcentual 2 3" xfId="695"/>
    <cellStyle name="Porcentual 2 3 2" xfId="1696"/>
    <cellStyle name="Porcentual 2 30" xfId="1697"/>
    <cellStyle name="Porcentual 2 31" xfId="1698"/>
    <cellStyle name="Porcentual 2 32" xfId="1699"/>
    <cellStyle name="Porcentual 2 33" xfId="1700"/>
    <cellStyle name="Porcentual 2 34" xfId="1701"/>
    <cellStyle name="Porcentual 2 35" xfId="1702"/>
    <cellStyle name="Porcentual 2 36" xfId="1703"/>
    <cellStyle name="Porcentual 2 37" xfId="1704"/>
    <cellStyle name="Porcentual 2 38" xfId="1705"/>
    <cellStyle name="Porcentual 2 39" xfId="1706"/>
    <cellStyle name="Porcentual 2 4" xfId="696"/>
    <cellStyle name="Porcentual 2 4 2" xfId="1707"/>
    <cellStyle name="Porcentual 2 40" xfId="1708"/>
    <cellStyle name="Porcentual 2 41" xfId="1709"/>
    <cellStyle name="Porcentual 2 42" xfId="1710"/>
    <cellStyle name="Porcentual 2 43" xfId="1711"/>
    <cellStyle name="Porcentual 2 44" xfId="1712"/>
    <cellStyle name="Porcentual 2 45" xfId="1713"/>
    <cellStyle name="Porcentual 2 46" xfId="1714"/>
    <cellStyle name="Porcentual 2 47" xfId="1715"/>
    <cellStyle name="Porcentual 2 48" xfId="1716"/>
    <cellStyle name="Porcentual 2 49" xfId="1717"/>
    <cellStyle name="Porcentual 2 5" xfId="697"/>
    <cellStyle name="Porcentual 2 5 2" xfId="1718"/>
    <cellStyle name="Porcentual 2 50" xfId="1719"/>
    <cellStyle name="Porcentual 2 51" xfId="1720"/>
    <cellStyle name="Porcentual 2 52" xfId="1721"/>
    <cellStyle name="Porcentual 2 53" xfId="1722"/>
    <cellStyle name="Porcentual 2 54" xfId="1723"/>
    <cellStyle name="Porcentual 2 55" xfId="1724"/>
    <cellStyle name="Porcentual 2 56" xfId="1725"/>
    <cellStyle name="Porcentual 2 57" xfId="1726"/>
    <cellStyle name="Porcentual 2 58" xfId="1727"/>
    <cellStyle name="Porcentual 2 59" xfId="1728"/>
    <cellStyle name="Porcentual 2 6" xfId="698"/>
    <cellStyle name="Porcentual 2 6 2" xfId="1729"/>
    <cellStyle name="Porcentual 2 60" xfId="1730"/>
    <cellStyle name="Porcentual 2 61" xfId="1731"/>
    <cellStyle name="Porcentual 2 62" xfId="1732"/>
    <cellStyle name="Porcentual 2 63" xfId="1733"/>
    <cellStyle name="Porcentual 2 64" xfId="1734"/>
    <cellStyle name="Porcentual 2 65" xfId="1735"/>
    <cellStyle name="Porcentual 2 66" xfId="1736"/>
    <cellStyle name="Porcentual 2 67" xfId="1737"/>
    <cellStyle name="Porcentual 2 7" xfId="699"/>
    <cellStyle name="Porcentual 2 7 2" xfId="1738"/>
    <cellStyle name="Porcentual 2 8" xfId="700"/>
    <cellStyle name="Porcentual 2 8 2" xfId="1739"/>
    <cellStyle name="Porcentual 2 9" xfId="701"/>
    <cellStyle name="Porcentual 2 9 2" xfId="1740"/>
    <cellStyle name="Porcentual 20" xfId="1741"/>
    <cellStyle name="Porcentual 21" xfId="1742"/>
    <cellStyle name="Porcentual 22" xfId="1743"/>
    <cellStyle name="Porcentual 23" xfId="1744"/>
    <cellStyle name="Porcentual 24" xfId="1745"/>
    <cellStyle name="Porcentual 25" xfId="1746"/>
    <cellStyle name="Porcentual 26" xfId="1747"/>
    <cellStyle name="Porcentual 27" xfId="1748"/>
    <cellStyle name="Porcentual 28" xfId="1749"/>
    <cellStyle name="Porcentual 29" xfId="1750"/>
    <cellStyle name="Porcentual 3" xfId="702"/>
    <cellStyle name="Porcentual 3 10" xfId="703"/>
    <cellStyle name="Porcentual 3 11" xfId="704"/>
    <cellStyle name="Porcentual 3 12" xfId="705"/>
    <cellStyle name="Porcentual 3 13" xfId="706"/>
    <cellStyle name="Porcentual 3 14" xfId="707"/>
    <cellStyle name="Porcentual 3 15" xfId="708"/>
    <cellStyle name="Porcentual 3 16" xfId="709"/>
    <cellStyle name="Porcentual 3 17" xfId="710"/>
    <cellStyle name="Porcentual 3 18" xfId="711"/>
    <cellStyle name="Porcentual 3 19" xfId="909"/>
    <cellStyle name="Porcentual 3 2" xfId="712"/>
    <cellStyle name="Porcentual 3 20" xfId="1339"/>
    <cellStyle name="Porcentual 3 20 2" xfId="1340"/>
    <cellStyle name="Porcentual 3 21" xfId="1341"/>
    <cellStyle name="Porcentual 3 21 2" xfId="1342"/>
    <cellStyle name="Porcentual 3 22" xfId="1343"/>
    <cellStyle name="Porcentual 3 3" xfId="713"/>
    <cellStyle name="Porcentual 3 4" xfId="714"/>
    <cellStyle name="Porcentual 3 5" xfId="715"/>
    <cellStyle name="Porcentual 3 6" xfId="716"/>
    <cellStyle name="Porcentual 3 7" xfId="717"/>
    <cellStyle name="Porcentual 3 8" xfId="718"/>
    <cellStyle name="Porcentual 3 9" xfId="719"/>
    <cellStyle name="Porcentual 30" xfId="1751"/>
    <cellStyle name="Porcentual 31" xfId="1752"/>
    <cellStyle name="Porcentual 32" xfId="1753"/>
    <cellStyle name="Porcentual 33" xfId="1754"/>
    <cellStyle name="Porcentual 34" xfId="1755"/>
    <cellStyle name="Porcentual 35" xfId="1756"/>
    <cellStyle name="Porcentual 36" xfId="1757"/>
    <cellStyle name="Porcentual 37" xfId="1758"/>
    <cellStyle name="Porcentual 38" xfId="1759"/>
    <cellStyle name="Porcentual 39" xfId="1760"/>
    <cellStyle name="Porcentual 4" xfId="910"/>
    <cellStyle name="Porcentual 4 2" xfId="1344"/>
    <cellStyle name="Porcentual 4 3" xfId="1345"/>
    <cellStyle name="Porcentual 40" xfId="1761"/>
    <cellStyle name="Porcentual 41" xfId="1762"/>
    <cellStyle name="Porcentual 42" xfId="1763"/>
    <cellStyle name="Porcentual 43" xfId="1764"/>
    <cellStyle name="Porcentual 44" xfId="1765"/>
    <cellStyle name="Porcentual 45" xfId="1766"/>
    <cellStyle name="Porcentual 46" xfId="1767"/>
    <cellStyle name="Porcentual 47" xfId="1768"/>
    <cellStyle name="Porcentual 48" xfId="1769"/>
    <cellStyle name="Porcentual 49" xfId="1770"/>
    <cellStyle name="Porcentual 5" xfId="911"/>
    <cellStyle name="Porcentual 5 2" xfId="1346"/>
    <cellStyle name="Porcentual 5 3" xfId="1347"/>
    <cellStyle name="Porcentual 50" xfId="1771"/>
    <cellStyle name="Porcentual 51" xfId="1772"/>
    <cellStyle name="Porcentual 52" xfId="1773"/>
    <cellStyle name="Porcentual 53" xfId="1774"/>
    <cellStyle name="Porcentual 54" xfId="1775"/>
    <cellStyle name="Porcentual 55" xfId="1776"/>
    <cellStyle name="Porcentual 56" xfId="1777"/>
    <cellStyle name="Porcentual 57" xfId="1778"/>
    <cellStyle name="Porcentual 58" xfId="1779"/>
    <cellStyle name="Porcentual 59" xfId="1780"/>
    <cellStyle name="Porcentual 6" xfId="720"/>
    <cellStyle name="Porcentual 6 2" xfId="721"/>
    <cellStyle name="Porcentual 6 2 2" xfId="1348"/>
    <cellStyle name="Porcentual 6 2 2 2" xfId="1349"/>
    <cellStyle name="Porcentual 6 2 3" xfId="1350"/>
    <cellStyle name="Porcentual 6 2 3 2" xfId="1351"/>
    <cellStyle name="Porcentual 6 2 4" xfId="1352"/>
    <cellStyle name="Porcentual 6 2 5" xfId="1353"/>
    <cellStyle name="Porcentual 6 3" xfId="1354"/>
    <cellStyle name="Porcentual 6 4" xfId="1355"/>
    <cellStyle name="Porcentual 6 4 2" xfId="1356"/>
    <cellStyle name="Porcentual 6 5" xfId="1357"/>
    <cellStyle name="Porcentual 6 5 2" xfId="1358"/>
    <cellStyle name="Porcentual 6 6" xfId="1359"/>
    <cellStyle name="Porcentual 6 7" xfId="1360"/>
    <cellStyle name="Porcentual 60" xfId="1781"/>
    <cellStyle name="Porcentual 61" xfId="1782"/>
    <cellStyle name="Porcentual 62" xfId="1783"/>
    <cellStyle name="Porcentual 63" xfId="1784"/>
    <cellStyle name="Porcentual 64" xfId="1785"/>
    <cellStyle name="Porcentual 65" xfId="1786"/>
    <cellStyle name="Porcentual 66" xfId="1787"/>
    <cellStyle name="Porcentual 67" xfId="1788"/>
    <cellStyle name="Porcentual 7" xfId="722"/>
    <cellStyle name="Porcentual 7 2" xfId="723"/>
    <cellStyle name="Porcentual 7 2 2" xfId="1361"/>
    <cellStyle name="Porcentual 7 2 2 2" xfId="1362"/>
    <cellStyle name="Porcentual 7 2 3" xfId="1363"/>
    <cellStyle name="Porcentual 7 2 3 2" xfId="1364"/>
    <cellStyle name="Porcentual 7 2 4" xfId="1365"/>
    <cellStyle name="Porcentual 7 2 5" xfId="1366"/>
    <cellStyle name="Porcentual 7 3" xfId="1367"/>
    <cellStyle name="Porcentual 7 3 2" xfId="1368"/>
    <cellStyle name="Porcentual 7 4" xfId="1369"/>
    <cellStyle name="Porcentual 7 4 2" xfId="1370"/>
    <cellStyle name="Porcentual 7 5" xfId="1371"/>
    <cellStyle name="Porcentual 7 6" xfId="1372"/>
    <cellStyle name="Porcentual 8" xfId="724"/>
    <cellStyle name="Porcentual 8 2" xfId="725"/>
    <cellStyle name="Porcentual 8 2 2" xfId="1373"/>
    <cellStyle name="Porcentual 8 2 2 2" xfId="1374"/>
    <cellStyle name="Porcentual 8 2 3" xfId="1375"/>
    <cellStyle name="Porcentual 8 2 3 2" xfId="1376"/>
    <cellStyle name="Porcentual 8 2 4" xfId="1377"/>
    <cellStyle name="Porcentual 8 3" xfId="1378"/>
    <cellStyle name="Porcentual 8 3 2" xfId="1379"/>
    <cellStyle name="Porcentual 8 4" xfId="1380"/>
    <cellStyle name="Porcentual 8 4 2" xfId="1381"/>
    <cellStyle name="Porcentual 8 5" xfId="1382"/>
    <cellStyle name="Porcentual 9" xfId="1789"/>
    <cellStyle name="Punto0" xfId="726"/>
    <cellStyle name="Salida 10" xfId="727"/>
    <cellStyle name="Salida 10 2" xfId="1383"/>
    <cellStyle name="Salida 11" xfId="728"/>
    <cellStyle name="Salida 11 2" xfId="1384"/>
    <cellStyle name="Salida 12" xfId="729"/>
    <cellStyle name="Salida 12 2" xfId="1385"/>
    <cellStyle name="Salida 13" xfId="730"/>
    <cellStyle name="Salida 13 2" xfId="1386"/>
    <cellStyle name="Salida 14" xfId="731"/>
    <cellStyle name="Salida 14 2" xfId="1387"/>
    <cellStyle name="Salida 15" xfId="732"/>
    <cellStyle name="Salida 15 2" xfId="1388"/>
    <cellStyle name="Salida 16" xfId="733"/>
    <cellStyle name="Salida 16 2" xfId="1389"/>
    <cellStyle name="Salida 17" xfId="734"/>
    <cellStyle name="Salida 17 2" xfId="1390"/>
    <cellStyle name="Salida 18" xfId="735"/>
    <cellStyle name="Salida 18 2" xfId="1391"/>
    <cellStyle name="Salida 19" xfId="736"/>
    <cellStyle name="Salida 19 2" xfId="1392"/>
    <cellStyle name="Salida 2" xfId="737"/>
    <cellStyle name="Salida 2 2" xfId="738"/>
    <cellStyle name="Salida 2 2 2" xfId="1393"/>
    <cellStyle name="Salida 2 3" xfId="1394"/>
    <cellStyle name="Salida 20" xfId="739"/>
    <cellStyle name="Salida 20 2" xfId="1395"/>
    <cellStyle name="Salida 21" xfId="854"/>
    <cellStyle name="Salida 22" xfId="1396"/>
    <cellStyle name="Salida 23" xfId="39"/>
    <cellStyle name="Salida 3" xfId="740"/>
    <cellStyle name="Salida 3 2" xfId="1397"/>
    <cellStyle name="Salida 4" xfId="741"/>
    <cellStyle name="Salida 4 2" xfId="1398"/>
    <cellStyle name="Salida 5" xfId="742"/>
    <cellStyle name="Salida 5 2" xfId="1399"/>
    <cellStyle name="Salida 6" xfId="743"/>
    <cellStyle name="Salida 6 2" xfId="1400"/>
    <cellStyle name="Salida 7" xfId="744"/>
    <cellStyle name="Salida 7 2" xfId="1401"/>
    <cellStyle name="Salida 8" xfId="745"/>
    <cellStyle name="Salida 8 2" xfId="1402"/>
    <cellStyle name="Salida 9" xfId="746"/>
    <cellStyle name="Salida 9 2" xfId="1403"/>
    <cellStyle name="ssubtitulo" xfId="1790"/>
    <cellStyle name="subtitulo" xfId="1791"/>
    <cellStyle name="Texto de advertencia 2" xfId="858"/>
    <cellStyle name="Texto de advertencia 3" xfId="40"/>
    <cellStyle name="Texto explicativo 2" xfId="860"/>
    <cellStyle name="Texto explicativo 3" xfId="41"/>
    <cellStyle name="titulo" xfId="1792"/>
    <cellStyle name="Título 1 10" xfId="747"/>
    <cellStyle name="Título 1 11" xfId="748"/>
    <cellStyle name="Título 1 12" xfId="749"/>
    <cellStyle name="Título 1 13" xfId="750"/>
    <cellStyle name="Título 1 14" xfId="751"/>
    <cellStyle name="Título 1 15" xfId="752"/>
    <cellStyle name="Título 1 16" xfId="753"/>
    <cellStyle name="Título 1 17" xfId="754"/>
    <cellStyle name="Título 1 18" xfId="755"/>
    <cellStyle name="Título 1 19" xfId="756"/>
    <cellStyle name="Título 1 2" xfId="757"/>
    <cellStyle name="Título 1 20" xfId="758"/>
    <cellStyle name="Título 1 21" xfId="846"/>
    <cellStyle name="Título 1 22" xfId="1793"/>
    <cellStyle name="Título 1 3" xfId="759"/>
    <cellStyle name="Título 1 4" xfId="760"/>
    <cellStyle name="Título 1 5" xfId="761"/>
    <cellStyle name="Título 1 6" xfId="762"/>
    <cellStyle name="Título 1 7" xfId="763"/>
    <cellStyle name="Título 1 8" xfId="764"/>
    <cellStyle name="Título 1 9" xfId="765"/>
    <cellStyle name="Título 10" xfId="766"/>
    <cellStyle name="Título 11" xfId="767"/>
    <cellStyle name="Título 12" xfId="768"/>
    <cellStyle name="Título 13" xfId="769"/>
    <cellStyle name="Título 14" xfId="770"/>
    <cellStyle name="Título 15" xfId="771"/>
    <cellStyle name="Título 16" xfId="772"/>
    <cellStyle name="Título 17" xfId="773"/>
    <cellStyle name="Título 18" xfId="774"/>
    <cellStyle name="Título 19" xfId="775"/>
    <cellStyle name="Título 2 10" xfId="776"/>
    <cellStyle name="Título 2 11" xfId="777"/>
    <cellStyle name="Título 2 12" xfId="778"/>
    <cellStyle name="Título 2 13" xfId="779"/>
    <cellStyle name="Título 2 14" xfId="780"/>
    <cellStyle name="Título 2 15" xfId="781"/>
    <cellStyle name="Título 2 16" xfId="782"/>
    <cellStyle name="Título 2 17" xfId="783"/>
    <cellStyle name="Título 2 18" xfId="784"/>
    <cellStyle name="Título 2 19" xfId="785"/>
    <cellStyle name="Título 2 2" xfId="786"/>
    <cellStyle name="Título 2 20" xfId="787"/>
    <cellStyle name="Título 2 21" xfId="847"/>
    <cellStyle name="Título 2 22" xfId="1794"/>
    <cellStyle name="Título 2 23" xfId="44"/>
    <cellStyle name="Título 2 3" xfId="788"/>
    <cellStyle name="Título 2 4" xfId="789"/>
    <cellStyle name="Título 2 5" xfId="790"/>
    <cellStyle name="Título 2 6" xfId="791"/>
    <cellStyle name="Título 2 7" xfId="792"/>
    <cellStyle name="Título 2 8" xfId="793"/>
    <cellStyle name="Título 2 9" xfId="794"/>
    <cellStyle name="Título 20" xfId="795"/>
    <cellStyle name="Título 21" xfId="796"/>
    <cellStyle name="Título 22" xfId="797"/>
    <cellStyle name="Título 23" xfId="845"/>
    <cellStyle name="Título 24" xfId="1795"/>
    <cellStyle name="Título 25" xfId="42"/>
    <cellStyle name="Título 3 10" xfId="798"/>
    <cellStyle name="Título 3 10 2" xfId="1404"/>
    <cellStyle name="Título 3 11" xfId="799"/>
    <cellStyle name="Título 3 11 2" xfId="1405"/>
    <cellStyle name="Título 3 12" xfId="800"/>
    <cellStyle name="Título 3 12 2" xfId="1406"/>
    <cellStyle name="Título 3 13" xfId="801"/>
    <cellStyle name="Título 3 13 2" xfId="1407"/>
    <cellStyle name="Título 3 14" xfId="802"/>
    <cellStyle name="Título 3 14 2" xfId="1408"/>
    <cellStyle name="Título 3 15" xfId="803"/>
    <cellStyle name="Título 3 15 2" xfId="1409"/>
    <cellStyle name="Título 3 16" xfId="804"/>
    <cellStyle name="Título 3 16 2" xfId="1410"/>
    <cellStyle name="Título 3 17" xfId="805"/>
    <cellStyle name="Título 3 17 2" xfId="1411"/>
    <cellStyle name="Título 3 18" xfId="806"/>
    <cellStyle name="Título 3 18 2" xfId="1412"/>
    <cellStyle name="Título 3 19" xfId="807"/>
    <cellStyle name="Título 3 19 2" xfId="1413"/>
    <cellStyle name="Título 3 2" xfId="808"/>
    <cellStyle name="Título 3 2 2" xfId="809"/>
    <cellStyle name="Título 3 2 2 2" xfId="1414"/>
    <cellStyle name="Título 3 2 3" xfId="1415"/>
    <cellStyle name="Título 3 2 3 2" xfId="1416"/>
    <cellStyle name="Título 3 20" xfId="810"/>
    <cellStyle name="Título 3 20 2" xfId="1417"/>
    <cellStyle name="Título 3 21" xfId="848"/>
    <cellStyle name="Título 3 22" xfId="1796"/>
    <cellStyle name="Título 3 23" xfId="45"/>
    <cellStyle name="Título 3 3" xfId="811"/>
    <cellStyle name="Título 3 3 2" xfId="1418"/>
    <cellStyle name="Título 3 4" xfId="812"/>
    <cellStyle name="Título 3 4 2" xfId="1419"/>
    <cellStyle name="Título 3 5" xfId="813"/>
    <cellStyle name="Título 3 5 2" xfId="1420"/>
    <cellStyle name="Título 3 6" xfId="814"/>
    <cellStyle name="Título 3 6 2" xfId="1421"/>
    <cellStyle name="Título 3 7" xfId="815"/>
    <cellStyle name="Título 3 7 2" xfId="1422"/>
    <cellStyle name="Título 3 8" xfId="816"/>
    <cellStyle name="Título 3 8 2" xfId="1423"/>
    <cellStyle name="Título 3 9" xfId="817"/>
    <cellStyle name="Título 3 9 2" xfId="1424"/>
    <cellStyle name="Título 4" xfId="818"/>
    <cellStyle name="Título 5" xfId="819"/>
    <cellStyle name="Título 6" xfId="820"/>
    <cellStyle name="Título 7" xfId="821"/>
    <cellStyle name="Título 8" xfId="822"/>
    <cellStyle name="Título 9" xfId="823"/>
    <cellStyle name="titulomov" xfId="1797"/>
    <cellStyle name="Todos" xfId="1798"/>
    <cellStyle name="Total 10" xfId="824"/>
    <cellStyle name="Total 10 2" xfId="1425"/>
    <cellStyle name="Total 11" xfId="825"/>
    <cellStyle name="Total 11 2" xfId="1426"/>
    <cellStyle name="Total 12" xfId="826"/>
    <cellStyle name="Total 12 2" xfId="1427"/>
    <cellStyle name="Total 13" xfId="827"/>
    <cellStyle name="Total 13 2" xfId="1428"/>
    <cellStyle name="Total 14" xfId="828"/>
    <cellStyle name="Total 14 2" xfId="1429"/>
    <cellStyle name="Total 15" xfId="829"/>
    <cellStyle name="Total 15 2" xfId="1430"/>
    <cellStyle name="Total 16" xfId="830"/>
    <cellStyle name="Total 16 2" xfId="1431"/>
    <cellStyle name="Total 17" xfId="831"/>
    <cellStyle name="Total 17 2" xfId="1432"/>
    <cellStyle name="Total 18" xfId="832"/>
    <cellStyle name="Total 18 2" xfId="1433"/>
    <cellStyle name="Total 19" xfId="833"/>
    <cellStyle name="Total 19 2" xfId="1434"/>
    <cellStyle name="Total 2" xfId="834"/>
    <cellStyle name="Total 2 2" xfId="835"/>
    <cellStyle name="Total 2 2 2" xfId="1435"/>
    <cellStyle name="Total 2 3" xfId="1436"/>
    <cellStyle name="Total 20" xfId="836"/>
    <cellStyle name="Total 20 2" xfId="1437"/>
    <cellStyle name="Total 21" xfId="861"/>
    <cellStyle name="Total 22" xfId="1438"/>
    <cellStyle name="Total 23" xfId="46"/>
    <cellStyle name="Total 3" xfId="837"/>
    <cellStyle name="Total 3 2" xfId="1439"/>
    <cellStyle name="Total 4" xfId="838"/>
    <cellStyle name="Total 4 2" xfId="1440"/>
    <cellStyle name="Total 5" xfId="839"/>
    <cellStyle name="Total 5 2" xfId="1441"/>
    <cellStyle name="Total 6" xfId="840"/>
    <cellStyle name="Total 6 2" xfId="1442"/>
    <cellStyle name="Total 7" xfId="841"/>
    <cellStyle name="Total 7 2" xfId="1443"/>
    <cellStyle name="Total 8" xfId="842"/>
    <cellStyle name="Total 8 2" xfId="1444"/>
    <cellStyle name="Total 9" xfId="843"/>
    <cellStyle name="Total 9 2" xfId="1445"/>
    <cellStyle name="totalbalan" xfId="179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9"/>
  <sheetViews>
    <sheetView showGridLines="0" zoomScale="85" zoomScaleNormal="85" workbookViewId="0">
      <selection activeCell="A9" sqref="A9"/>
    </sheetView>
  </sheetViews>
  <sheetFormatPr baseColWidth="10" defaultRowHeight="14.4" x14ac:dyDescent="0.3"/>
  <cols>
    <col min="1" max="1" width="11.88671875" style="82" bestFit="1" customWidth="1"/>
    <col min="2" max="3" width="20.33203125" style="5" bestFit="1" customWidth="1"/>
    <col min="4" max="4" width="65.33203125" bestFit="1" customWidth="1"/>
    <col min="5" max="5" width="11.109375" customWidth="1"/>
    <col min="6" max="6" width="65.33203125" bestFit="1" customWidth="1"/>
    <col min="7" max="7" width="66.33203125" bestFit="1" customWidth="1"/>
    <col min="8" max="8" width="10.6640625" bestFit="1" customWidth="1"/>
    <col min="9" max="9" width="67.21875" bestFit="1" customWidth="1"/>
    <col min="10" max="10" width="14" customWidth="1"/>
    <col min="11" max="11" width="3.44140625" customWidth="1"/>
    <col min="12" max="12" width="20.33203125" bestFit="1" customWidth="1"/>
    <col min="13" max="13" width="63.5546875" bestFit="1" customWidth="1"/>
    <col min="14" max="14" width="13.44140625" bestFit="1" customWidth="1"/>
    <col min="15" max="15" width="57.88671875" bestFit="1" customWidth="1"/>
    <col min="16" max="16" width="55" bestFit="1" customWidth="1"/>
    <col min="17" max="17" width="12.88671875" bestFit="1" customWidth="1"/>
    <col min="18" max="18" width="59.33203125" bestFit="1" customWidth="1"/>
    <col min="19" max="19" width="13.44140625" customWidth="1"/>
    <col min="20" max="20" width="3.44140625" customWidth="1"/>
    <col min="21" max="21" width="17" customWidth="1"/>
    <col min="22" max="22" width="14.6640625" style="5" bestFit="1" customWidth="1"/>
    <col min="23" max="23" width="18.6640625" style="5" bestFit="1" customWidth="1"/>
    <col min="24" max="24" width="14.6640625" style="5" bestFit="1" customWidth="1"/>
    <col min="25" max="25" width="13" bestFit="1" customWidth="1"/>
    <col min="26" max="26" width="14" bestFit="1" customWidth="1"/>
    <col min="27" max="27" width="12.6640625" customWidth="1"/>
    <col min="28" max="28" width="16.6640625" customWidth="1"/>
    <col min="29" max="29" width="17.44140625" bestFit="1" customWidth="1"/>
    <col min="30" max="30" width="18.109375" bestFit="1" customWidth="1"/>
  </cols>
  <sheetData>
    <row r="1" spans="1:30" x14ac:dyDescent="0.3">
      <c r="V1" s="87"/>
      <c r="W1" s="87"/>
      <c r="X1" s="87"/>
      <c r="Y1" s="42"/>
      <c r="Z1" s="42"/>
      <c r="AA1" s="42"/>
      <c r="AB1" s="42"/>
      <c r="AC1" s="42"/>
    </row>
    <row r="2" spans="1:30" x14ac:dyDescent="0.3">
      <c r="A2" s="6" t="s">
        <v>64</v>
      </c>
      <c r="B2" s="51" t="s">
        <v>133</v>
      </c>
      <c r="V2" s="87"/>
      <c r="W2" s="87"/>
      <c r="X2" s="87"/>
      <c r="Y2" s="42"/>
      <c r="Z2" s="42"/>
      <c r="AA2" s="42"/>
      <c r="AB2" s="42"/>
      <c r="AC2" s="42"/>
    </row>
    <row r="3" spans="1:30" x14ac:dyDescent="0.3">
      <c r="A3" s="7" t="s">
        <v>65</v>
      </c>
      <c r="B3" s="52" t="s">
        <v>134</v>
      </c>
      <c r="V3" s="87"/>
      <c r="W3" s="87"/>
      <c r="X3" s="87"/>
      <c r="Y3" s="42"/>
      <c r="Z3" s="42"/>
      <c r="AA3" s="42"/>
      <c r="AB3" s="42"/>
      <c r="AC3" s="42"/>
    </row>
    <row r="4" spans="1:30" x14ac:dyDescent="0.3">
      <c r="A4" s="7" t="s">
        <v>47</v>
      </c>
      <c r="B4" s="8" t="s">
        <v>69</v>
      </c>
      <c r="V4" s="87"/>
      <c r="W4" s="87"/>
      <c r="X4" s="87"/>
      <c r="Y4" s="42"/>
      <c r="Z4" s="42"/>
      <c r="AA4" s="42"/>
      <c r="AB4" s="42"/>
      <c r="AC4" s="42"/>
    </row>
    <row r="5" spans="1:30" x14ac:dyDescent="0.3">
      <c r="A5" s="9" t="s">
        <v>44</v>
      </c>
      <c r="B5" s="53" t="s">
        <v>135</v>
      </c>
      <c r="V5" s="87"/>
      <c r="W5" s="87"/>
      <c r="X5" s="87"/>
      <c r="Y5" s="42"/>
      <c r="Z5" s="42"/>
      <c r="AA5" s="42"/>
      <c r="AB5" s="42"/>
      <c r="AC5" s="42"/>
    </row>
    <row r="6" spans="1:30" x14ac:dyDescent="0.3">
      <c r="U6" s="76" t="s">
        <v>444</v>
      </c>
      <c r="V6" s="76"/>
      <c r="W6" s="76"/>
      <c r="X6" s="76"/>
      <c r="Y6" s="76"/>
      <c r="Z6" s="76"/>
      <c r="AA6" s="76"/>
      <c r="AB6" s="76"/>
      <c r="AC6" s="77"/>
    </row>
    <row r="7" spans="1:30" x14ac:dyDescent="0.3">
      <c r="C7" s="84" t="s">
        <v>441</v>
      </c>
      <c r="D7" s="84"/>
      <c r="E7" s="84"/>
      <c r="F7" s="84"/>
      <c r="G7" s="84"/>
      <c r="H7" s="84"/>
      <c r="I7" s="84"/>
      <c r="J7" s="85"/>
      <c r="L7" s="86" t="s">
        <v>442</v>
      </c>
      <c r="M7" s="86"/>
      <c r="N7" s="86"/>
      <c r="O7" s="86"/>
      <c r="P7" s="86"/>
      <c r="Q7" s="86"/>
      <c r="R7" s="86"/>
      <c r="S7" s="86"/>
      <c r="U7" s="75" t="s">
        <v>96</v>
      </c>
      <c r="V7" s="10" t="s">
        <v>77</v>
      </c>
      <c r="W7" s="30" t="s">
        <v>80</v>
      </c>
      <c r="X7" s="10" t="s">
        <v>76</v>
      </c>
      <c r="Y7" s="30" t="s">
        <v>78</v>
      </c>
      <c r="Z7" s="10" t="s">
        <v>78</v>
      </c>
      <c r="AA7" s="30" t="s">
        <v>87</v>
      </c>
      <c r="AB7" s="30" t="s">
        <v>89</v>
      </c>
      <c r="AC7" s="11" t="s">
        <v>75</v>
      </c>
      <c r="AD7" s="26" t="s">
        <v>74</v>
      </c>
    </row>
    <row r="8" spans="1:30" s="3" customFormat="1" ht="28.8" x14ac:dyDescent="0.3">
      <c r="A8" s="54" t="s">
        <v>446</v>
      </c>
      <c r="B8" s="54" t="s">
        <v>445</v>
      </c>
      <c r="C8" s="54" t="s">
        <v>443</v>
      </c>
      <c r="D8" s="37" t="s">
        <v>66</v>
      </c>
      <c r="E8" s="37" t="s">
        <v>68</v>
      </c>
      <c r="F8" s="38" t="s">
        <v>72</v>
      </c>
      <c r="G8" s="37" t="s">
        <v>70</v>
      </c>
      <c r="H8" s="37" t="s">
        <v>71</v>
      </c>
      <c r="I8" s="38" t="s">
        <v>73</v>
      </c>
      <c r="J8" s="39" t="s">
        <v>67</v>
      </c>
      <c r="L8" s="54" t="s">
        <v>443</v>
      </c>
      <c r="M8" s="37" t="s">
        <v>66</v>
      </c>
      <c r="N8" s="37" t="s">
        <v>68</v>
      </c>
      <c r="O8" s="38" t="s">
        <v>72</v>
      </c>
      <c r="P8" s="37" t="s">
        <v>70</v>
      </c>
      <c r="Q8" s="37" t="s">
        <v>71</v>
      </c>
      <c r="R8" s="38" t="s">
        <v>73</v>
      </c>
      <c r="S8" s="39" t="s">
        <v>67</v>
      </c>
      <c r="U8" s="75"/>
      <c r="V8" s="28" t="s">
        <v>74</v>
      </c>
      <c r="W8" s="29" t="s">
        <v>81</v>
      </c>
      <c r="X8" s="28" t="s">
        <v>85</v>
      </c>
      <c r="Y8" s="29" t="s">
        <v>86</v>
      </c>
      <c r="Z8" s="28" t="s">
        <v>74</v>
      </c>
      <c r="AA8" s="29" t="s">
        <v>88</v>
      </c>
      <c r="AB8" s="29" t="s">
        <v>90</v>
      </c>
      <c r="AC8" s="28"/>
      <c r="AD8" s="27" t="s">
        <v>91</v>
      </c>
    </row>
    <row r="9" spans="1:30" x14ac:dyDescent="0.3">
      <c r="A9" s="83">
        <v>9</v>
      </c>
      <c r="B9" s="71">
        <v>42370</v>
      </c>
      <c r="C9" s="44" t="str">
        <f>IF(VLOOKUP(B9,'MAPA DATA'!C:F,2,0)=1,"FACT_EMITIDA",IF(VLOOKUP(B9,'MAPA DATA'!C:F,3,0)=1,"FACT_EST_EFACT",(IF(VLOOKUP(B9,'MAPA DATA'!C:F,4,0)=1,"FACT_EST_CEN","SIN DATA"))))</f>
        <v>SIN DATA</v>
      </c>
      <c r="D9" s="13" t="str">
        <f>CONCATENATE("=SUMAR.SI(",IF(C9="FACT_EMITIDA","SIGGE_E",C9),"!B:B;Reliquidacion!B",A9,";",IF(C9="FACT_EMITIDA","SIGGE_E",C9),"!F:F)")</f>
        <v>=SUMAR.SI(SIN DATA!B:B;Reliquidacion!B9;SIN DATA!F:F)</v>
      </c>
      <c r="E9" s="14" t="str">
        <f>CONCATENATE("=(F",A9,"/D",A9,")")</f>
        <v>=(F9/D9)</v>
      </c>
      <c r="F9" s="13" t="str">
        <f>CONCATENATE("=SUMAR.SI(",IF(C9="FACT_EMITIDA","SIGGE_E",C9),"!B:B;Reliquidacion!B",A9,";",IF(C9="FACT_EMITIDA","SIGGE_E",C9),"!H:H)")</f>
        <v>=SUMAR.SI(SIN DATA!B:B;Reliquidacion!B9;SIN DATA!H:H)</v>
      </c>
      <c r="G9" s="15" t="str">
        <f>CONCATENATE("=SUMAR.SI(",IF(C9="FACT_EMITIDA","SIGGE_P",C9),"!B:B;Reliquidacion!B",A9,";",IF(C9="FACT_EMITIDA","SIGGE_P",C9),"!F:F)")</f>
        <v>=SUMAR.SI(SIN DATA!B:B;Reliquidacion!B9;SIN DATA!F:F)</v>
      </c>
      <c r="H9" s="14" t="str">
        <f>CONCATENATE("=(I",A9,"/G",A9,")")</f>
        <v>=(I9/G9)</v>
      </c>
      <c r="I9" s="13" t="str">
        <f>CONCATENATE("=SUMAR.SI(",IF(C9="FACT_EMITIDA","SIGGE_P",C9),"!B:B;Reliquidacion!B",A9,";",IF(C9="FACT_EMITIDA","SIGGE_P",C9),"!H:H)")</f>
        <v>=SUMAR.SI(SIN DATA!B:B;Reliquidacion!B9;SIN DATA!H:H)</v>
      </c>
      <c r="J9" s="13" t="str">
        <f>CONCATENATE("=(F",A9,"+I",A9,")")</f>
        <v>=(F9+I9)</v>
      </c>
      <c r="L9" s="72" t="str">
        <f>IF(VLOOKUP(B9,'MAPA DATA'!C:H,5,0)=1,"EFACT_CNE",IF(VLOOKUP(B9,'MAPA DATA'!C:H,6,0)=1,"EFACT_EST_CNE","SIN DATA"))</f>
        <v>EFACT_CNE</v>
      </c>
      <c r="M9" s="13" t="str">
        <f>CONCATENATE("=SUMAR.SI(",L9,"!B:B;Reliquidacion!B",A9,";",L9,"!S:S)")</f>
        <v>=SUMAR.SI(EFACT_CNE!B:B;Reliquidacion!B9;EFACT_CNE!S:S)</v>
      </c>
      <c r="N9" s="14" t="str">
        <f>CONCATENATE("=(O",A9,"/M",A9,")")</f>
        <v>=(O9/M9)</v>
      </c>
      <c r="O9" s="13" t="str">
        <f>CONCATENATE("=SUMAR.SI(",L9,"!B:B;Reliquidacion!B",A9,";",L9,"!W:W)")</f>
        <v>=SUMAR.SI(EFACT_CNE!B:B;Reliquidacion!B9;EFACT_CNE!W:W)</v>
      </c>
      <c r="P9" s="15" t="str">
        <f>CONCATENATE("=SUMAR.SI(",L9,"!B:B;Reliquidacion!B",A9,";",L9,"!X:X)")</f>
        <v>=SUMAR.SI(EFACT_CNE!B:B;Reliquidacion!B9;EFACT_CNE!X:X)</v>
      </c>
      <c r="Q9" s="14" t="str">
        <f>CONCATENATE("=(R",A9,"/P",A9,")")</f>
        <v>=(R9/P9)</v>
      </c>
      <c r="R9" s="13" t="str">
        <f>CONCATENATE("=SUMAR.SI(",L9,"!B:B;Reliquidacion!B",A9,";",L9,"!AB:AB)")</f>
        <v>=SUMAR.SI(EFACT_CNE!B:B;Reliquidacion!B9;EFACT_CNE!AB:AB)</v>
      </c>
      <c r="S9" s="13" t="str">
        <f>CONCATENATE("=(O",A9,"+R",A9,")")</f>
        <v>=(O9+R9)</v>
      </c>
      <c r="U9" s="16" t="str">
        <f>CONCATENATE("=(S",A9,"-J",A9,")")</f>
        <v>=(S9-J9)</v>
      </c>
      <c r="V9" s="17" t="s">
        <v>79</v>
      </c>
      <c r="W9" s="18" t="e">
        <f>VLOOKUP(V9,#REF!,2,0)</f>
        <v>#REF!</v>
      </c>
      <c r="X9" s="19" t="e">
        <f>VLOOKUP(V9,#REF!,6,0)</f>
        <v>#REF!</v>
      </c>
      <c r="Y9" s="20">
        <v>43156</v>
      </c>
      <c r="Z9" s="31">
        <v>44377</v>
      </c>
      <c r="AA9" s="21">
        <f t="shared" ref="AA9" si="0">Z9-Y9</f>
        <v>1221</v>
      </c>
      <c r="AB9" s="40" t="e">
        <f>+(1+X9)^(AA9/360)-1</f>
        <v>#REF!</v>
      </c>
      <c r="AC9" s="16" t="e">
        <f>AB9*U9</f>
        <v>#REF!</v>
      </c>
      <c r="AD9" s="16" t="e">
        <f>+U9+AC9</f>
        <v>#VALUE!</v>
      </c>
    </row>
    <row r="10" spans="1:30" x14ac:dyDescent="0.3">
      <c r="A10" s="83">
        <f>A9+1</f>
        <v>10</v>
      </c>
      <c r="B10" s="71">
        <v>42401</v>
      </c>
      <c r="C10" s="74" t="str">
        <f>IF(VLOOKUP(B10,'MAPA DATA'!C:F,2,0)=1,"FACT_EMITIDA",IF(VLOOKUP(B10,'MAPA DATA'!C:F,3,0)=1,"FACT_EST_EFACT",(IF(VLOOKUP(B10,'MAPA DATA'!C:F,4,0)=1,"FACT_EST_CEN","SIN DATA"))))</f>
        <v>SIN DATA</v>
      </c>
      <c r="D10" s="13" t="str">
        <f t="shared" ref="D10:D65" si="1">CONCATENATE("=SUMAR.SI(",IF(C10="FACT_EMITIDA","SIGGE_E",C10),"!B:B;Reliquidacion!B",A10,";",IF(C10="FACT_EMITIDA","SIGGE_E",C10),"!F:F)")</f>
        <v>=SUMAR.SI(SIN DATA!B:B;Reliquidacion!B10;SIN DATA!F:F)</v>
      </c>
      <c r="E10" s="14" t="str">
        <f t="shared" ref="E10:E65" si="2">CONCATENATE("=(F",A10,"/D",A10,")")</f>
        <v>=(F10/D10)</v>
      </c>
      <c r="F10" s="13" t="str">
        <f t="shared" ref="F10:F65" si="3">CONCATENATE("=SUMAR.SI(",IF(C10="FACT_EMITIDA","SIGGE_E",C10),"!B:B;Reliquidacion!B",A10,";",IF(C10="FACT_EMITIDA","SIGGE_E",C10),"!H:H)")</f>
        <v>=SUMAR.SI(SIN DATA!B:B;Reliquidacion!B10;SIN DATA!H:H)</v>
      </c>
      <c r="G10" s="15" t="str">
        <f t="shared" ref="G10:G65" si="4">CONCATENATE("=SUMAR.SI(",IF(C10="FACT_EMITIDA","SIGGE_P",C10),"!B:B;Reliquidacion!B",A10,";",IF(C10="FACT_EMITIDA","SIGGE_P",C10),"!F:F)")</f>
        <v>=SUMAR.SI(SIN DATA!B:B;Reliquidacion!B10;SIN DATA!F:F)</v>
      </c>
      <c r="H10" s="14" t="str">
        <f t="shared" ref="H10:H65" si="5">CONCATENATE("=(I",A10,"/G",A10,")")</f>
        <v>=(I10/G10)</v>
      </c>
      <c r="I10" s="13" t="str">
        <f t="shared" ref="I10:I65" si="6">CONCATENATE("=SUMAR.SI(",IF(C10="FACT_EMITIDA","SIGGE_P",C10),"!B:B;Reliquidacion!B",A10,";",IF(C10="FACT_EMITIDA","SIGGE_P",C10),"!H:H)")</f>
        <v>=SUMAR.SI(SIN DATA!B:B;Reliquidacion!B10;SIN DATA!H:H)</v>
      </c>
      <c r="J10" s="13" t="str">
        <f t="shared" ref="J10:J65" si="7">CONCATENATE("=(F",A10,"+I",A10,")")</f>
        <v>=(F10+I10)</v>
      </c>
      <c r="L10" s="72" t="str">
        <f>IF(VLOOKUP(B10,'MAPA DATA'!C:H,5,0)=1,"EFACT_CNE",IF(VLOOKUP(B10,'MAPA DATA'!C:H,6,0)=1,"EFACT_EST_CNE","SIN DATA"))</f>
        <v>EFACT_CNE</v>
      </c>
      <c r="M10" s="13" t="str">
        <f t="shared" ref="M10:M65" si="8">CONCATENATE("=SUMAR.SI(",L10,"!B:B;Reliquidacion!B",A10,";",L10,"!S:S)")</f>
        <v>=SUMAR.SI(EFACT_CNE!B:B;Reliquidacion!B10;EFACT_CNE!S:S)</v>
      </c>
      <c r="N10" s="14" t="str">
        <f t="shared" ref="N10:N65" si="9">CONCATENATE("=(O",A10,"/M",A10,")")</f>
        <v>=(O10/M10)</v>
      </c>
      <c r="O10" s="13" t="str">
        <f t="shared" ref="O10:O65" si="10">CONCATENATE("=SUMAR.SI(",L10,"!B:B;Reliquidacion!B",A10,";",L10,"!W:W)")</f>
        <v>=SUMAR.SI(EFACT_CNE!B:B;Reliquidacion!B10;EFACT_CNE!W:W)</v>
      </c>
      <c r="P10" s="15" t="str">
        <f t="shared" ref="P10:P65" si="11">CONCATENATE("=SUMAR.SI(",L10,"!B:B;Reliquidacion!B",A10,";",L10,"!X:X)")</f>
        <v>=SUMAR.SI(EFACT_CNE!B:B;Reliquidacion!B10;EFACT_CNE!X:X)</v>
      </c>
      <c r="Q10" s="14" t="str">
        <f t="shared" ref="Q10:Q65" si="12">CONCATENATE("=(R",A10,"/P",A10,")")</f>
        <v>=(R10/P10)</v>
      </c>
      <c r="R10" s="13" t="str">
        <f t="shared" ref="R10:R65" si="13">CONCATENATE("=SUMAR.SI(",L10,"!B:B;Reliquidacion!B",A10,";",L10,"!AB:AB)")</f>
        <v>=SUMAR.SI(EFACT_CNE!B:B;Reliquidacion!B10;EFACT_CNE!AB:AB)</v>
      </c>
      <c r="S10" s="13" t="str">
        <f t="shared" ref="S10:S65" si="14">CONCATENATE("=(O",A10,"+R",A10,")")</f>
        <v>=(O10+R10)</v>
      </c>
      <c r="U10" s="16" t="str">
        <f t="shared" ref="U10:U65" si="15">CONCATENATE("=(S",A10,"-J",A10,")")</f>
        <v>=(S10-J10)</v>
      </c>
      <c r="V10" s="17" t="s">
        <v>120</v>
      </c>
      <c r="W10" s="18" t="e">
        <f>VLOOKUP(V10,#REF!,2,0)</f>
        <v>#REF!</v>
      </c>
      <c r="X10" s="19" t="e">
        <f>VLOOKUP(V10,#REF!,6,0)</f>
        <v>#REF!</v>
      </c>
      <c r="Y10" s="20">
        <v>43156</v>
      </c>
      <c r="Z10" s="31">
        <v>44377</v>
      </c>
      <c r="AA10" s="21">
        <f t="shared" ref="AA10:AA22" si="16">Z10-Y10</f>
        <v>1221</v>
      </c>
      <c r="AB10" s="40" t="e">
        <f t="shared" ref="AB10:AB22" si="17">+(1+X10)^(AA10/360)-1</f>
        <v>#REF!</v>
      </c>
      <c r="AC10" s="16" t="e">
        <f t="shared" ref="AC10:AC22" si="18">AB10*U10</f>
        <v>#REF!</v>
      </c>
      <c r="AD10" s="16" t="e">
        <f t="shared" ref="AD10:AD22" si="19">+U10+AC10</f>
        <v>#VALUE!</v>
      </c>
    </row>
    <row r="11" spans="1:30" x14ac:dyDescent="0.3">
      <c r="A11" s="83">
        <f t="shared" ref="A11:A64" si="20">A10+1</f>
        <v>11</v>
      </c>
      <c r="B11" s="71">
        <v>42430</v>
      </c>
      <c r="C11" s="74" t="str">
        <f>IF(VLOOKUP(B11,'MAPA DATA'!C:F,2,0)=1,"FACT_EMITIDA",IF(VLOOKUP(B11,'MAPA DATA'!C:F,3,0)=1,"FACT_EST_EFACT",(IF(VLOOKUP(B11,'MAPA DATA'!C:F,4,0)=1,"FACT_EST_CEN","SIN DATA"))))</f>
        <v>FACT_EST_EFACT</v>
      </c>
      <c r="D11" s="13" t="str">
        <f t="shared" si="1"/>
        <v>=SUMAR.SI(FACT_EST_EFACT!B:B;Reliquidacion!B11;FACT_EST_EFACT!F:F)</v>
      </c>
      <c r="E11" s="14" t="str">
        <f t="shared" si="2"/>
        <v>=(F11/D11)</v>
      </c>
      <c r="F11" s="13" t="str">
        <f t="shared" si="3"/>
        <v>=SUMAR.SI(FACT_EST_EFACT!B:B;Reliquidacion!B11;FACT_EST_EFACT!H:H)</v>
      </c>
      <c r="G11" s="15" t="str">
        <f t="shared" si="4"/>
        <v>=SUMAR.SI(FACT_EST_EFACT!B:B;Reliquidacion!B11;FACT_EST_EFACT!F:F)</v>
      </c>
      <c r="H11" s="14" t="str">
        <f t="shared" si="5"/>
        <v>=(I11/G11)</v>
      </c>
      <c r="I11" s="13" t="str">
        <f t="shared" si="6"/>
        <v>=SUMAR.SI(FACT_EST_EFACT!B:B;Reliquidacion!B11;FACT_EST_EFACT!H:H)</v>
      </c>
      <c r="J11" s="13" t="str">
        <f t="shared" si="7"/>
        <v>=(F11+I11)</v>
      </c>
      <c r="L11" s="72" t="str">
        <f>IF(VLOOKUP(B11,'MAPA DATA'!C:H,5,0)=1,"EFACT_CNE",IF(VLOOKUP(B11,'MAPA DATA'!C:H,6,0)=1,"EFACT_EST_CNE","SIN DATA"))</f>
        <v>EFACT_CNE</v>
      </c>
      <c r="M11" s="13" t="str">
        <f t="shared" si="8"/>
        <v>=SUMAR.SI(EFACT_CNE!B:B;Reliquidacion!B11;EFACT_CNE!S:S)</v>
      </c>
      <c r="N11" s="14" t="str">
        <f t="shared" si="9"/>
        <v>=(O11/M11)</v>
      </c>
      <c r="O11" s="13" t="str">
        <f t="shared" si="10"/>
        <v>=SUMAR.SI(EFACT_CNE!B:B;Reliquidacion!B11;EFACT_CNE!W:W)</v>
      </c>
      <c r="P11" s="15" t="str">
        <f t="shared" si="11"/>
        <v>=SUMAR.SI(EFACT_CNE!B:B;Reliquidacion!B11;EFACT_CNE!X:X)</v>
      </c>
      <c r="Q11" s="14" t="str">
        <f t="shared" si="12"/>
        <v>=(R11/P11)</v>
      </c>
      <c r="R11" s="13" t="str">
        <f t="shared" si="13"/>
        <v>=SUMAR.SI(EFACT_CNE!B:B;Reliquidacion!B11;EFACT_CNE!AB:AB)</v>
      </c>
      <c r="S11" s="13" t="str">
        <f t="shared" si="14"/>
        <v>=(O11+R11)</v>
      </c>
      <c r="U11" s="16" t="str">
        <f t="shared" si="15"/>
        <v>=(S11-J11)</v>
      </c>
      <c r="V11" s="17" t="s">
        <v>121</v>
      </c>
      <c r="W11" s="18" t="e">
        <f>VLOOKUP(V11,#REF!,2,0)</f>
        <v>#REF!</v>
      </c>
      <c r="X11" s="19" t="e">
        <f>VLOOKUP(V11,#REF!,6,0)</f>
        <v>#REF!</v>
      </c>
      <c r="Y11" s="20">
        <v>43156</v>
      </c>
      <c r="Z11" s="31">
        <v>44377</v>
      </c>
      <c r="AA11" s="21">
        <f t="shared" si="16"/>
        <v>1221</v>
      </c>
      <c r="AB11" s="40" t="e">
        <f t="shared" si="17"/>
        <v>#REF!</v>
      </c>
      <c r="AC11" s="16" t="e">
        <f t="shared" si="18"/>
        <v>#REF!</v>
      </c>
      <c r="AD11" s="16" t="e">
        <f t="shared" si="19"/>
        <v>#VALUE!</v>
      </c>
    </row>
    <row r="12" spans="1:30" x14ac:dyDescent="0.3">
      <c r="A12" s="83">
        <f t="shared" si="20"/>
        <v>12</v>
      </c>
      <c r="B12" s="71">
        <v>42461</v>
      </c>
      <c r="C12" s="74" t="str">
        <f>IF(VLOOKUP(B12,'MAPA DATA'!C:F,2,0)=1,"FACT_EMITIDA",IF(VLOOKUP(B12,'MAPA DATA'!C:F,3,0)=1,"FACT_EST_EFACT",(IF(VLOOKUP(B12,'MAPA DATA'!C:F,4,0)=1,"FACT_EST_CEN","SIN DATA"))))</f>
        <v>FACT_EST_EFACT</v>
      </c>
      <c r="D12" s="13" t="str">
        <f t="shared" si="1"/>
        <v>=SUMAR.SI(FACT_EST_EFACT!B:B;Reliquidacion!B12;FACT_EST_EFACT!F:F)</v>
      </c>
      <c r="E12" s="14" t="str">
        <f t="shared" si="2"/>
        <v>=(F12/D12)</v>
      </c>
      <c r="F12" s="13" t="str">
        <f t="shared" si="3"/>
        <v>=SUMAR.SI(FACT_EST_EFACT!B:B;Reliquidacion!B12;FACT_EST_EFACT!H:H)</v>
      </c>
      <c r="G12" s="15" t="str">
        <f t="shared" si="4"/>
        <v>=SUMAR.SI(FACT_EST_EFACT!B:B;Reliquidacion!B12;FACT_EST_EFACT!F:F)</v>
      </c>
      <c r="H12" s="14" t="str">
        <f t="shared" si="5"/>
        <v>=(I12/G12)</v>
      </c>
      <c r="I12" s="13" t="str">
        <f t="shared" si="6"/>
        <v>=SUMAR.SI(FACT_EST_EFACT!B:B;Reliquidacion!B12;FACT_EST_EFACT!H:H)</v>
      </c>
      <c r="J12" s="13" t="str">
        <f t="shared" si="7"/>
        <v>=(F12+I12)</v>
      </c>
      <c r="L12" s="72" t="str">
        <f>IF(VLOOKUP(B12,'MAPA DATA'!C:H,5,0)=1,"EFACT_CNE",IF(VLOOKUP(B12,'MAPA DATA'!C:H,6,0)=1,"EFACT_EST_CNE","SIN DATA"))</f>
        <v>EFACT_CNE</v>
      </c>
      <c r="M12" s="13" t="str">
        <f t="shared" si="8"/>
        <v>=SUMAR.SI(EFACT_CNE!B:B;Reliquidacion!B12;EFACT_CNE!S:S)</v>
      </c>
      <c r="N12" s="14" t="str">
        <f t="shared" si="9"/>
        <v>=(O12/M12)</v>
      </c>
      <c r="O12" s="13" t="str">
        <f t="shared" si="10"/>
        <v>=SUMAR.SI(EFACT_CNE!B:B;Reliquidacion!B12;EFACT_CNE!W:W)</v>
      </c>
      <c r="P12" s="15" t="str">
        <f t="shared" si="11"/>
        <v>=SUMAR.SI(EFACT_CNE!B:B;Reliquidacion!B12;EFACT_CNE!X:X)</v>
      </c>
      <c r="Q12" s="14" t="str">
        <f t="shared" si="12"/>
        <v>=(R12/P12)</v>
      </c>
      <c r="R12" s="13" t="str">
        <f t="shared" si="13"/>
        <v>=SUMAR.SI(EFACT_CNE!B:B;Reliquidacion!B12;EFACT_CNE!AB:AB)</v>
      </c>
      <c r="S12" s="13" t="str">
        <f t="shared" si="14"/>
        <v>=(O12+R12)</v>
      </c>
      <c r="U12" s="16" t="str">
        <f t="shared" si="15"/>
        <v>=(S12-J12)</v>
      </c>
      <c r="V12" s="17" t="s">
        <v>122</v>
      </c>
      <c r="W12" s="18" t="e">
        <f>VLOOKUP(V12,#REF!,2,0)</f>
        <v>#REF!</v>
      </c>
      <c r="X12" s="19" t="e">
        <f>VLOOKUP(V12,#REF!,6,0)</f>
        <v>#REF!</v>
      </c>
      <c r="Y12" s="20">
        <v>43156</v>
      </c>
      <c r="Z12" s="31">
        <v>44377</v>
      </c>
      <c r="AA12" s="21">
        <f t="shared" si="16"/>
        <v>1221</v>
      </c>
      <c r="AB12" s="40" t="e">
        <f t="shared" si="17"/>
        <v>#REF!</v>
      </c>
      <c r="AC12" s="16" t="e">
        <f t="shared" si="18"/>
        <v>#REF!</v>
      </c>
      <c r="AD12" s="16" t="e">
        <f t="shared" si="19"/>
        <v>#VALUE!</v>
      </c>
    </row>
    <row r="13" spans="1:30" x14ac:dyDescent="0.3">
      <c r="A13" s="83">
        <f t="shared" si="20"/>
        <v>13</v>
      </c>
      <c r="B13" s="71">
        <v>42491</v>
      </c>
      <c r="C13" s="74" t="str">
        <f>IF(VLOOKUP(B13,'MAPA DATA'!C:F,2,0)=1,"FACT_EMITIDA",IF(VLOOKUP(B13,'MAPA DATA'!C:F,3,0)=1,"FACT_EST_EFACT",(IF(VLOOKUP(B13,'MAPA DATA'!C:F,4,0)=1,"FACT_EST_CEN","SIN DATA"))))</f>
        <v>FACT_EST_EFACT</v>
      </c>
      <c r="D13" s="13" t="str">
        <f t="shared" si="1"/>
        <v>=SUMAR.SI(FACT_EST_EFACT!B:B;Reliquidacion!B13;FACT_EST_EFACT!F:F)</v>
      </c>
      <c r="E13" s="14" t="str">
        <f t="shared" si="2"/>
        <v>=(F13/D13)</v>
      </c>
      <c r="F13" s="13" t="str">
        <f t="shared" si="3"/>
        <v>=SUMAR.SI(FACT_EST_EFACT!B:B;Reliquidacion!B13;FACT_EST_EFACT!H:H)</v>
      </c>
      <c r="G13" s="15" t="str">
        <f t="shared" si="4"/>
        <v>=SUMAR.SI(FACT_EST_EFACT!B:B;Reliquidacion!B13;FACT_EST_EFACT!F:F)</v>
      </c>
      <c r="H13" s="14" t="str">
        <f t="shared" si="5"/>
        <v>=(I13/G13)</v>
      </c>
      <c r="I13" s="13" t="str">
        <f t="shared" si="6"/>
        <v>=SUMAR.SI(FACT_EST_EFACT!B:B;Reliquidacion!B13;FACT_EST_EFACT!H:H)</v>
      </c>
      <c r="J13" s="13" t="str">
        <f t="shared" si="7"/>
        <v>=(F13+I13)</v>
      </c>
      <c r="L13" s="72" t="str">
        <f>IF(VLOOKUP(B13,'MAPA DATA'!C:H,5,0)=1,"EFACT_CNE",IF(VLOOKUP(B13,'MAPA DATA'!C:H,6,0)=1,"EFACT_EST_CNE","SIN DATA"))</f>
        <v>EFACT_CNE</v>
      </c>
      <c r="M13" s="13" t="str">
        <f t="shared" si="8"/>
        <v>=SUMAR.SI(EFACT_CNE!B:B;Reliquidacion!B13;EFACT_CNE!S:S)</v>
      </c>
      <c r="N13" s="14" t="str">
        <f t="shared" si="9"/>
        <v>=(O13/M13)</v>
      </c>
      <c r="O13" s="13" t="str">
        <f t="shared" si="10"/>
        <v>=SUMAR.SI(EFACT_CNE!B:B;Reliquidacion!B13;EFACT_CNE!W:W)</v>
      </c>
      <c r="P13" s="15" t="str">
        <f t="shared" si="11"/>
        <v>=SUMAR.SI(EFACT_CNE!B:B;Reliquidacion!B13;EFACT_CNE!X:X)</v>
      </c>
      <c r="Q13" s="14" t="str">
        <f t="shared" si="12"/>
        <v>=(R13/P13)</v>
      </c>
      <c r="R13" s="13" t="str">
        <f t="shared" si="13"/>
        <v>=SUMAR.SI(EFACT_CNE!B:B;Reliquidacion!B13;EFACT_CNE!AB:AB)</v>
      </c>
      <c r="S13" s="13" t="str">
        <f t="shared" si="14"/>
        <v>=(O13+R13)</v>
      </c>
      <c r="U13" s="16" t="str">
        <f t="shared" si="15"/>
        <v>=(S13-J13)</v>
      </c>
      <c r="V13" s="17" t="s">
        <v>123</v>
      </c>
      <c r="W13" s="18" t="e">
        <f>VLOOKUP(V13,#REF!,2,0)</f>
        <v>#REF!</v>
      </c>
      <c r="X13" s="19" t="e">
        <f>VLOOKUP(V13,#REF!,6,0)</f>
        <v>#REF!</v>
      </c>
      <c r="Y13" s="20">
        <v>43156</v>
      </c>
      <c r="Z13" s="31">
        <v>44377</v>
      </c>
      <c r="AA13" s="21">
        <f t="shared" si="16"/>
        <v>1221</v>
      </c>
      <c r="AB13" s="40" t="e">
        <f t="shared" si="17"/>
        <v>#REF!</v>
      </c>
      <c r="AC13" s="16" t="e">
        <f t="shared" si="18"/>
        <v>#REF!</v>
      </c>
      <c r="AD13" s="16" t="e">
        <f t="shared" si="19"/>
        <v>#VALUE!</v>
      </c>
    </row>
    <row r="14" spans="1:30" x14ac:dyDescent="0.3">
      <c r="A14" s="83">
        <f t="shared" si="20"/>
        <v>14</v>
      </c>
      <c r="B14" s="71">
        <v>42522</v>
      </c>
      <c r="C14" s="74" t="str">
        <f>IF(VLOOKUP(B14,'MAPA DATA'!C:F,2,0)=1,"FACT_EMITIDA",IF(VLOOKUP(B14,'MAPA DATA'!C:F,3,0)=1,"FACT_EST_EFACT",(IF(VLOOKUP(B14,'MAPA DATA'!C:F,4,0)=1,"FACT_EST_CEN","SIN DATA"))))</f>
        <v>FACT_EST_EFACT</v>
      </c>
      <c r="D14" s="13" t="str">
        <f t="shared" si="1"/>
        <v>=SUMAR.SI(FACT_EST_EFACT!B:B;Reliquidacion!B14;FACT_EST_EFACT!F:F)</v>
      </c>
      <c r="E14" s="14" t="str">
        <f t="shared" si="2"/>
        <v>=(F14/D14)</v>
      </c>
      <c r="F14" s="13" t="str">
        <f t="shared" si="3"/>
        <v>=SUMAR.SI(FACT_EST_EFACT!B:B;Reliquidacion!B14;FACT_EST_EFACT!H:H)</v>
      </c>
      <c r="G14" s="15" t="str">
        <f t="shared" si="4"/>
        <v>=SUMAR.SI(FACT_EST_EFACT!B:B;Reliquidacion!B14;FACT_EST_EFACT!F:F)</v>
      </c>
      <c r="H14" s="14" t="str">
        <f t="shared" si="5"/>
        <v>=(I14/G14)</v>
      </c>
      <c r="I14" s="13" t="str">
        <f t="shared" si="6"/>
        <v>=SUMAR.SI(FACT_EST_EFACT!B:B;Reliquidacion!B14;FACT_EST_EFACT!H:H)</v>
      </c>
      <c r="J14" s="13" t="str">
        <f t="shared" si="7"/>
        <v>=(F14+I14)</v>
      </c>
      <c r="L14" s="72" t="str">
        <f>IF(VLOOKUP(B14,'MAPA DATA'!C:H,5,0)=1,"EFACT_CNE",IF(VLOOKUP(B14,'MAPA DATA'!C:H,6,0)=1,"EFACT_EST_CNE","SIN DATA"))</f>
        <v>EFACT_CNE</v>
      </c>
      <c r="M14" s="13" t="str">
        <f t="shared" si="8"/>
        <v>=SUMAR.SI(EFACT_CNE!B:B;Reliquidacion!B14;EFACT_CNE!S:S)</v>
      </c>
      <c r="N14" s="14" t="str">
        <f t="shared" si="9"/>
        <v>=(O14/M14)</v>
      </c>
      <c r="O14" s="13" t="str">
        <f t="shared" si="10"/>
        <v>=SUMAR.SI(EFACT_CNE!B:B;Reliquidacion!B14;EFACT_CNE!W:W)</v>
      </c>
      <c r="P14" s="15" t="str">
        <f t="shared" si="11"/>
        <v>=SUMAR.SI(EFACT_CNE!B:B;Reliquidacion!B14;EFACT_CNE!X:X)</v>
      </c>
      <c r="Q14" s="14" t="str">
        <f t="shared" si="12"/>
        <v>=(R14/P14)</v>
      </c>
      <c r="R14" s="13" t="str">
        <f t="shared" si="13"/>
        <v>=SUMAR.SI(EFACT_CNE!B:B;Reliquidacion!B14;EFACT_CNE!AB:AB)</v>
      </c>
      <c r="S14" s="13" t="str">
        <f t="shared" si="14"/>
        <v>=(O14+R14)</v>
      </c>
      <c r="U14" s="16" t="str">
        <f t="shared" si="15"/>
        <v>=(S14-J14)</v>
      </c>
      <c r="V14" s="17" t="s">
        <v>124</v>
      </c>
      <c r="W14" s="18" t="e">
        <f>VLOOKUP(V14,#REF!,2,0)</f>
        <v>#REF!</v>
      </c>
      <c r="X14" s="19" t="e">
        <f>VLOOKUP(V14,#REF!,6,0)</f>
        <v>#REF!</v>
      </c>
      <c r="Y14" s="20">
        <v>43156</v>
      </c>
      <c r="Z14" s="31">
        <v>44377</v>
      </c>
      <c r="AA14" s="21">
        <f t="shared" si="16"/>
        <v>1221</v>
      </c>
      <c r="AB14" s="40" t="e">
        <f t="shared" si="17"/>
        <v>#REF!</v>
      </c>
      <c r="AC14" s="16" t="e">
        <f t="shared" si="18"/>
        <v>#REF!</v>
      </c>
      <c r="AD14" s="16" t="e">
        <f t="shared" si="19"/>
        <v>#VALUE!</v>
      </c>
    </row>
    <row r="15" spans="1:30" x14ac:dyDescent="0.3">
      <c r="A15" s="83">
        <f t="shared" si="20"/>
        <v>15</v>
      </c>
      <c r="B15" s="71">
        <v>42552</v>
      </c>
      <c r="C15" s="74" t="str">
        <f>IF(VLOOKUP(B15,'MAPA DATA'!C:F,2,0)=1,"FACT_EMITIDA",IF(VLOOKUP(B15,'MAPA DATA'!C:F,3,0)=1,"FACT_EST_EFACT",(IF(VLOOKUP(B15,'MAPA DATA'!C:F,4,0)=1,"FACT_EST_CEN","SIN DATA"))))</f>
        <v>FACT_EST_EFACT</v>
      </c>
      <c r="D15" s="13" t="str">
        <f t="shared" si="1"/>
        <v>=SUMAR.SI(FACT_EST_EFACT!B:B;Reliquidacion!B15;FACT_EST_EFACT!F:F)</v>
      </c>
      <c r="E15" s="14" t="str">
        <f t="shared" si="2"/>
        <v>=(F15/D15)</v>
      </c>
      <c r="F15" s="13" t="str">
        <f t="shared" si="3"/>
        <v>=SUMAR.SI(FACT_EST_EFACT!B:B;Reliquidacion!B15;FACT_EST_EFACT!H:H)</v>
      </c>
      <c r="G15" s="15" t="str">
        <f t="shared" si="4"/>
        <v>=SUMAR.SI(FACT_EST_EFACT!B:B;Reliquidacion!B15;FACT_EST_EFACT!F:F)</v>
      </c>
      <c r="H15" s="14" t="str">
        <f t="shared" si="5"/>
        <v>=(I15/G15)</v>
      </c>
      <c r="I15" s="13" t="str">
        <f t="shared" si="6"/>
        <v>=SUMAR.SI(FACT_EST_EFACT!B:B;Reliquidacion!B15;FACT_EST_EFACT!H:H)</v>
      </c>
      <c r="J15" s="13" t="str">
        <f t="shared" si="7"/>
        <v>=(F15+I15)</v>
      </c>
      <c r="L15" s="72" t="str">
        <f>IF(VLOOKUP(B15,'MAPA DATA'!C:H,5,0)=1,"EFACT_CNE",IF(VLOOKUP(B15,'MAPA DATA'!C:H,6,0)=1,"EFACT_EST_CNE","SIN DATA"))</f>
        <v>EFACT_CNE</v>
      </c>
      <c r="M15" s="13" t="str">
        <f t="shared" si="8"/>
        <v>=SUMAR.SI(EFACT_CNE!B:B;Reliquidacion!B15;EFACT_CNE!S:S)</v>
      </c>
      <c r="N15" s="14" t="str">
        <f t="shared" si="9"/>
        <v>=(O15/M15)</v>
      </c>
      <c r="O15" s="13" t="str">
        <f t="shared" si="10"/>
        <v>=SUMAR.SI(EFACT_CNE!B:B;Reliquidacion!B15;EFACT_CNE!W:W)</v>
      </c>
      <c r="P15" s="15" t="str">
        <f t="shared" si="11"/>
        <v>=SUMAR.SI(EFACT_CNE!B:B;Reliquidacion!B15;EFACT_CNE!X:X)</v>
      </c>
      <c r="Q15" s="14" t="str">
        <f t="shared" si="12"/>
        <v>=(R15/P15)</v>
      </c>
      <c r="R15" s="13" t="str">
        <f t="shared" si="13"/>
        <v>=SUMAR.SI(EFACT_CNE!B:B;Reliquidacion!B15;EFACT_CNE!AB:AB)</v>
      </c>
      <c r="S15" s="13" t="str">
        <f t="shared" si="14"/>
        <v>=(O15+R15)</v>
      </c>
      <c r="U15" s="16" t="str">
        <f t="shared" si="15"/>
        <v>=(S15-J15)</v>
      </c>
      <c r="V15" s="17" t="s">
        <v>125</v>
      </c>
      <c r="W15" s="18" t="e">
        <f>VLOOKUP(V15,#REF!,2,0)</f>
        <v>#REF!</v>
      </c>
      <c r="X15" s="19" t="e">
        <f>VLOOKUP(V15,#REF!,6,0)</f>
        <v>#REF!</v>
      </c>
      <c r="Y15" s="20">
        <v>43156</v>
      </c>
      <c r="Z15" s="31">
        <v>44377</v>
      </c>
      <c r="AA15" s="21">
        <f t="shared" si="16"/>
        <v>1221</v>
      </c>
      <c r="AB15" s="40" t="e">
        <f t="shared" si="17"/>
        <v>#REF!</v>
      </c>
      <c r="AC15" s="16" t="e">
        <f t="shared" si="18"/>
        <v>#REF!</v>
      </c>
      <c r="AD15" s="16" t="e">
        <f t="shared" si="19"/>
        <v>#VALUE!</v>
      </c>
    </row>
    <row r="16" spans="1:30" x14ac:dyDescent="0.3">
      <c r="A16" s="83">
        <f t="shared" si="20"/>
        <v>16</v>
      </c>
      <c r="B16" s="71">
        <v>42583</v>
      </c>
      <c r="C16" s="74" t="str">
        <f>IF(VLOOKUP(B16,'MAPA DATA'!C:F,2,0)=1,"FACT_EMITIDA",IF(VLOOKUP(B16,'MAPA DATA'!C:F,3,0)=1,"FACT_EST_EFACT",(IF(VLOOKUP(B16,'MAPA DATA'!C:F,4,0)=1,"FACT_EST_CEN","SIN DATA"))))</f>
        <v>SIN DATA</v>
      </c>
      <c r="D16" s="13" t="str">
        <f t="shared" si="1"/>
        <v>=SUMAR.SI(SIN DATA!B:B;Reliquidacion!B16;SIN DATA!F:F)</v>
      </c>
      <c r="E16" s="14" t="str">
        <f t="shared" si="2"/>
        <v>=(F16/D16)</v>
      </c>
      <c r="F16" s="13" t="str">
        <f t="shared" si="3"/>
        <v>=SUMAR.SI(SIN DATA!B:B;Reliquidacion!B16;SIN DATA!H:H)</v>
      </c>
      <c r="G16" s="15" t="str">
        <f t="shared" si="4"/>
        <v>=SUMAR.SI(SIN DATA!B:B;Reliquidacion!B16;SIN DATA!F:F)</v>
      </c>
      <c r="H16" s="14" t="str">
        <f t="shared" si="5"/>
        <v>=(I16/G16)</v>
      </c>
      <c r="I16" s="13" t="str">
        <f t="shared" si="6"/>
        <v>=SUMAR.SI(SIN DATA!B:B;Reliquidacion!B16;SIN DATA!H:H)</v>
      </c>
      <c r="J16" s="13" t="str">
        <f t="shared" si="7"/>
        <v>=(F16+I16)</v>
      </c>
      <c r="L16" s="72" t="str">
        <f>IF(VLOOKUP(B16,'MAPA DATA'!C:H,5,0)=1,"EFACT_CNE",IF(VLOOKUP(B16,'MAPA DATA'!C:H,6,0)=1,"EFACT_EST_CNE","SIN DATA"))</f>
        <v>EFACT_CNE</v>
      </c>
      <c r="M16" s="13" t="str">
        <f t="shared" si="8"/>
        <v>=SUMAR.SI(EFACT_CNE!B:B;Reliquidacion!B16;EFACT_CNE!S:S)</v>
      </c>
      <c r="N16" s="14" t="str">
        <f t="shared" si="9"/>
        <v>=(O16/M16)</v>
      </c>
      <c r="O16" s="13" t="str">
        <f t="shared" si="10"/>
        <v>=SUMAR.SI(EFACT_CNE!B:B;Reliquidacion!B16;EFACT_CNE!W:W)</v>
      </c>
      <c r="P16" s="15" t="str">
        <f t="shared" si="11"/>
        <v>=SUMAR.SI(EFACT_CNE!B:B;Reliquidacion!B16;EFACT_CNE!X:X)</v>
      </c>
      <c r="Q16" s="14" t="str">
        <f t="shared" si="12"/>
        <v>=(R16/P16)</v>
      </c>
      <c r="R16" s="13" t="str">
        <f t="shared" si="13"/>
        <v>=SUMAR.SI(EFACT_CNE!B:B;Reliquidacion!B16;EFACT_CNE!AB:AB)</v>
      </c>
      <c r="S16" s="13" t="str">
        <f t="shared" si="14"/>
        <v>=(O16+R16)</v>
      </c>
      <c r="U16" s="16" t="str">
        <f t="shared" si="15"/>
        <v>=(S16-J16)</v>
      </c>
      <c r="V16" s="17" t="s">
        <v>126</v>
      </c>
      <c r="W16" s="18" t="e">
        <f>VLOOKUP(V16,#REF!,2,0)</f>
        <v>#REF!</v>
      </c>
      <c r="X16" s="19" t="e">
        <f>VLOOKUP(V16,#REF!,6,0)</f>
        <v>#REF!</v>
      </c>
      <c r="Y16" s="20">
        <v>43156</v>
      </c>
      <c r="Z16" s="31">
        <v>44377</v>
      </c>
      <c r="AA16" s="21">
        <f t="shared" si="16"/>
        <v>1221</v>
      </c>
      <c r="AB16" s="40" t="e">
        <f t="shared" si="17"/>
        <v>#REF!</v>
      </c>
      <c r="AC16" s="16" t="e">
        <f t="shared" si="18"/>
        <v>#REF!</v>
      </c>
      <c r="AD16" s="16" t="e">
        <f t="shared" si="19"/>
        <v>#VALUE!</v>
      </c>
    </row>
    <row r="17" spans="1:30" x14ac:dyDescent="0.3">
      <c r="A17" s="83">
        <f t="shared" si="20"/>
        <v>17</v>
      </c>
      <c r="B17" s="71">
        <v>42614</v>
      </c>
      <c r="C17" s="74" t="str">
        <f>IF(VLOOKUP(B17,'MAPA DATA'!C:F,2,0)=1,"FACT_EMITIDA",IF(VLOOKUP(B17,'MAPA DATA'!C:F,3,0)=1,"FACT_EST_EFACT",(IF(VLOOKUP(B17,'MAPA DATA'!C:F,4,0)=1,"FACT_EST_CEN","SIN DATA"))))</f>
        <v>FACT_EST_EFACT</v>
      </c>
      <c r="D17" s="13" t="str">
        <f t="shared" si="1"/>
        <v>=SUMAR.SI(FACT_EST_EFACT!B:B;Reliquidacion!B17;FACT_EST_EFACT!F:F)</v>
      </c>
      <c r="E17" s="14" t="str">
        <f t="shared" si="2"/>
        <v>=(F17/D17)</v>
      </c>
      <c r="F17" s="13" t="str">
        <f t="shared" si="3"/>
        <v>=SUMAR.SI(FACT_EST_EFACT!B:B;Reliquidacion!B17;FACT_EST_EFACT!H:H)</v>
      </c>
      <c r="G17" s="15" t="str">
        <f t="shared" si="4"/>
        <v>=SUMAR.SI(FACT_EST_EFACT!B:B;Reliquidacion!B17;FACT_EST_EFACT!F:F)</v>
      </c>
      <c r="H17" s="14" t="str">
        <f t="shared" si="5"/>
        <v>=(I17/G17)</v>
      </c>
      <c r="I17" s="13" t="str">
        <f t="shared" si="6"/>
        <v>=SUMAR.SI(FACT_EST_EFACT!B:B;Reliquidacion!B17;FACT_EST_EFACT!H:H)</v>
      </c>
      <c r="J17" s="13" t="str">
        <f t="shared" si="7"/>
        <v>=(F17+I17)</v>
      </c>
      <c r="L17" s="72" t="str">
        <f>IF(VLOOKUP(B17,'MAPA DATA'!C:H,5,0)=1,"EFACT_CNE",IF(VLOOKUP(B17,'MAPA DATA'!C:H,6,0)=1,"EFACT_EST_CNE","SIN DATA"))</f>
        <v>EFACT_CNE</v>
      </c>
      <c r="M17" s="13" t="str">
        <f t="shared" si="8"/>
        <v>=SUMAR.SI(EFACT_CNE!B:B;Reliquidacion!B17;EFACT_CNE!S:S)</v>
      </c>
      <c r="N17" s="14" t="str">
        <f t="shared" si="9"/>
        <v>=(O17/M17)</v>
      </c>
      <c r="O17" s="13" t="str">
        <f t="shared" si="10"/>
        <v>=SUMAR.SI(EFACT_CNE!B:B;Reliquidacion!B17;EFACT_CNE!W:W)</v>
      </c>
      <c r="P17" s="15" t="str">
        <f t="shared" si="11"/>
        <v>=SUMAR.SI(EFACT_CNE!B:B;Reliquidacion!B17;EFACT_CNE!X:X)</v>
      </c>
      <c r="Q17" s="14" t="str">
        <f t="shared" si="12"/>
        <v>=(R17/P17)</v>
      </c>
      <c r="R17" s="13" t="str">
        <f t="shared" si="13"/>
        <v>=SUMAR.SI(EFACT_CNE!B:B;Reliquidacion!B17;EFACT_CNE!AB:AB)</v>
      </c>
      <c r="S17" s="13" t="str">
        <f t="shared" si="14"/>
        <v>=(O17+R17)</v>
      </c>
      <c r="U17" s="16" t="str">
        <f t="shared" si="15"/>
        <v>=(S17-J17)</v>
      </c>
      <c r="V17" s="17" t="s">
        <v>127</v>
      </c>
      <c r="W17" s="18" t="e">
        <f>VLOOKUP(V17,#REF!,2,0)</f>
        <v>#REF!</v>
      </c>
      <c r="X17" s="19" t="e">
        <f>VLOOKUP(V17,#REF!,6,0)</f>
        <v>#REF!</v>
      </c>
      <c r="Y17" s="20">
        <v>43156</v>
      </c>
      <c r="Z17" s="31">
        <v>44377</v>
      </c>
      <c r="AA17" s="21">
        <f t="shared" si="16"/>
        <v>1221</v>
      </c>
      <c r="AB17" s="40" t="e">
        <f t="shared" si="17"/>
        <v>#REF!</v>
      </c>
      <c r="AC17" s="16" t="e">
        <f t="shared" si="18"/>
        <v>#REF!</v>
      </c>
      <c r="AD17" s="16" t="e">
        <f t="shared" si="19"/>
        <v>#VALUE!</v>
      </c>
    </row>
    <row r="18" spans="1:30" x14ac:dyDescent="0.3">
      <c r="A18" s="83">
        <f t="shared" si="20"/>
        <v>18</v>
      </c>
      <c r="B18" s="71">
        <v>42644</v>
      </c>
      <c r="C18" s="74" t="str">
        <f>IF(VLOOKUP(B18,'MAPA DATA'!C:F,2,0)=1,"FACT_EMITIDA",IF(VLOOKUP(B18,'MAPA DATA'!C:F,3,0)=1,"FACT_EST_EFACT",(IF(VLOOKUP(B18,'MAPA DATA'!C:F,4,0)=1,"FACT_EST_CEN","SIN DATA"))))</f>
        <v>FACT_EST_EFACT</v>
      </c>
      <c r="D18" s="13" t="str">
        <f t="shared" si="1"/>
        <v>=SUMAR.SI(FACT_EST_EFACT!B:B;Reliquidacion!B18;FACT_EST_EFACT!F:F)</v>
      </c>
      <c r="E18" s="14" t="str">
        <f t="shared" si="2"/>
        <v>=(F18/D18)</v>
      </c>
      <c r="F18" s="13" t="str">
        <f t="shared" si="3"/>
        <v>=SUMAR.SI(FACT_EST_EFACT!B:B;Reliquidacion!B18;FACT_EST_EFACT!H:H)</v>
      </c>
      <c r="G18" s="15" t="str">
        <f t="shared" si="4"/>
        <v>=SUMAR.SI(FACT_EST_EFACT!B:B;Reliquidacion!B18;FACT_EST_EFACT!F:F)</v>
      </c>
      <c r="H18" s="14" t="str">
        <f t="shared" si="5"/>
        <v>=(I18/G18)</v>
      </c>
      <c r="I18" s="13" t="str">
        <f t="shared" si="6"/>
        <v>=SUMAR.SI(FACT_EST_EFACT!B:B;Reliquidacion!B18;FACT_EST_EFACT!H:H)</v>
      </c>
      <c r="J18" s="13" t="str">
        <f t="shared" si="7"/>
        <v>=(F18+I18)</v>
      </c>
      <c r="L18" s="72" t="str">
        <f>IF(VLOOKUP(B18,'MAPA DATA'!C:H,5,0)=1,"EFACT_CNE",IF(VLOOKUP(B18,'MAPA DATA'!C:H,6,0)=1,"EFACT_EST_CNE","SIN DATA"))</f>
        <v>EFACT_CNE</v>
      </c>
      <c r="M18" s="13" t="str">
        <f t="shared" si="8"/>
        <v>=SUMAR.SI(EFACT_CNE!B:B;Reliquidacion!B18;EFACT_CNE!S:S)</v>
      </c>
      <c r="N18" s="14" t="str">
        <f t="shared" si="9"/>
        <v>=(O18/M18)</v>
      </c>
      <c r="O18" s="13" t="str">
        <f t="shared" si="10"/>
        <v>=SUMAR.SI(EFACT_CNE!B:B;Reliquidacion!B18;EFACT_CNE!W:W)</v>
      </c>
      <c r="P18" s="15" t="str">
        <f t="shared" si="11"/>
        <v>=SUMAR.SI(EFACT_CNE!B:B;Reliquidacion!B18;EFACT_CNE!X:X)</v>
      </c>
      <c r="Q18" s="14" t="str">
        <f t="shared" si="12"/>
        <v>=(R18/P18)</v>
      </c>
      <c r="R18" s="13" t="str">
        <f t="shared" si="13"/>
        <v>=SUMAR.SI(EFACT_CNE!B:B;Reliquidacion!B18;EFACT_CNE!AB:AB)</v>
      </c>
      <c r="S18" s="13" t="str">
        <f t="shared" si="14"/>
        <v>=(O18+R18)</v>
      </c>
      <c r="U18" s="16" t="str">
        <f t="shared" si="15"/>
        <v>=(S18-J18)</v>
      </c>
      <c r="V18" s="17" t="s">
        <v>128</v>
      </c>
      <c r="W18" s="18" t="e">
        <f>VLOOKUP(V18,#REF!,2,0)</f>
        <v>#REF!</v>
      </c>
      <c r="X18" s="19" t="e">
        <f>VLOOKUP(V18,#REF!,6,0)</f>
        <v>#REF!</v>
      </c>
      <c r="Y18" s="20">
        <v>43156</v>
      </c>
      <c r="Z18" s="31">
        <v>44377</v>
      </c>
      <c r="AA18" s="21">
        <f t="shared" si="16"/>
        <v>1221</v>
      </c>
      <c r="AB18" s="40" t="e">
        <f t="shared" si="17"/>
        <v>#REF!</v>
      </c>
      <c r="AC18" s="16" t="e">
        <f t="shared" si="18"/>
        <v>#REF!</v>
      </c>
      <c r="AD18" s="16" t="e">
        <f t="shared" si="19"/>
        <v>#VALUE!</v>
      </c>
    </row>
    <row r="19" spans="1:30" x14ac:dyDescent="0.3">
      <c r="A19" s="83">
        <f t="shared" si="20"/>
        <v>19</v>
      </c>
      <c r="B19" s="71">
        <v>42675</v>
      </c>
      <c r="C19" s="74" t="str">
        <f>IF(VLOOKUP(B19,'MAPA DATA'!C:F,2,0)=1,"FACT_EMITIDA",IF(VLOOKUP(B19,'MAPA DATA'!C:F,3,0)=1,"FACT_EST_EFACT",(IF(VLOOKUP(B19,'MAPA DATA'!C:F,4,0)=1,"FACT_EST_CEN","SIN DATA"))))</f>
        <v>FACT_EST_EFACT</v>
      </c>
      <c r="D19" s="13" t="str">
        <f t="shared" si="1"/>
        <v>=SUMAR.SI(FACT_EST_EFACT!B:B;Reliquidacion!B19;FACT_EST_EFACT!F:F)</v>
      </c>
      <c r="E19" s="14" t="str">
        <f t="shared" si="2"/>
        <v>=(F19/D19)</v>
      </c>
      <c r="F19" s="13" t="str">
        <f t="shared" si="3"/>
        <v>=SUMAR.SI(FACT_EST_EFACT!B:B;Reliquidacion!B19;FACT_EST_EFACT!H:H)</v>
      </c>
      <c r="G19" s="15" t="str">
        <f t="shared" si="4"/>
        <v>=SUMAR.SI(FACT_EST_EFACT!B:B;Reliquidacion!B19;FACT_EST_EFACT!F:F)</v>
      </c>
      <c r="H19" s="14" t="str">
        <f t="shared" si="5"/>
        <v>=(I19/G19)</v>
      </c>
      <c r="I19" s="13" t="str">
        <f t="shared" si="6"/>
        <v>=SUMAR.SI(FACT_EST_EFACT!B:B;Reliquidacion!B19;FACT_EST_EFACT!H:H)</v>
      </c>
      <c r="J19" s="13" t="str">
        <f t="shared" si="7"/>
        <v>=(F19+I19)</v>
      </c>
      <c r="L19" s="72" t="str">
        <f>IF(VLOOKUP(B19,'MAPA DATA'!C:H,5,0)=1,"EFACT_CNE",IF(VLOOKUP(B19,'MAPA DATA'!C:H,6,0)=1,"EFACT_EST_CNE","SIN DATA"))</f>
        <v>EFACT_CNE</v>
      </c>
      <c r="M19" s="13" t="str">
        <f t="shared" si="8"/>
        <v>=SUMAR.SI(EFACT_CNE!B:B;Reliquidacion!B19;EFACT_CNE!S:S)</v>
      </c>
      <c r="N19" s="14" t="str">
        <f t="shared" si="9"/>
        <v>=(O19/M19)</v>
      </c>
      <c r="O19" s="13" t="str">
        <f t="shared" si="10"/>
        <v>=SUMAR.SI(EFACT_CNE!B:B;Reliquidacion!B19;EFACT_CNE!W:W)</v>
      </c>
      <c r="P19" s="15" t="str">
        <f t="shared" si="11"/>
        <v>=SUMAR.SI(EFACT_CNE!B:B;Reliquidacion!B19;EFACT_CNE!X:X)</v>
      </c>
      <c r="Q19" s="14" t="str">
        <f t="shared" si="12"/>
        <v>=(R19/P19)</v>
      </c>
      <c r="R19" s="13" t="str">
        <f t="shared" si="13"/>
        <v>=SUMAR.SI(EFACT_CNE!B:B;Reliquidacion!B19;EFACT_CNE!AB:AB)</v>
      </c>
      <c r="S19" s="13" t="str">
        <f t="shared" si="14"/>
        <v>=(O19+R19)</v>
      </c>
      <c r="U19" s="16" t="str">
        <f t="shared" si="15"/>
        <v>=(S19-J19)</v>
      </c>
      <c r="V19" s="17" t="s">
        <v>129</v>
      </c>
      <c r="W19" s="18" t="e">
        <f>VLOOKUP(V19,#REF!,2,0)</f>
        <v>#REF!</v>
      </c>
      <c r="X19" s="19" t="e">
        <f>VLOOKUP(V19,#REF!,6,0)</f>
        <v>#REF!</v>
      </c>
      <c r="Y19" s="20">
        <v>43156</v>
      </c>
      <c r="Z19" s="31">
        <v>44377</v>
      </c>
      <c r="AA19" s="21">
        <f t="shared" si="16"/>
        <v>1221</v>
      </c>
      <c r="AB19" s="40" t="e">
        <f t="shared" si="17"/>
        <v>#REF!</v>
      </c>
      <c r="AC19" s="16" t="e">
        <f t="shared" si="18"/>
        <v>#REF!</v>
      </c>
      <c r="AD19" s="16" t="e">
        <f t="shared" si="19"/>
        <v>#VALUE!</v>
      </c>
    </row>
    <row r="20" spans="1:30" x14ac:dyDescent="0.3">
      <c r="A20" s="83">
        <f t="shared" si="20"/>
        <v>20</v>
      </c>
      <c r="B20" s="71">
        <v>42705</v>
      </c>
      <c r="C20" s="74" t="str">
        <f>IF(VLOOKUP(B20,'MAPA DATA'!C:F,2,0)=1,"FACT_EMITIDA",IF(VLOOKUP(B20,'MAPA DATA'!C:F,3,0)=1,"FACT_EST_EFACT",(IF(VLOOKUP(B20,'MAPA DATA'!C:F,4,0)=1,"FACT_EST_CEN","SIN DATA"))))</f>
        <v>FACT_EST_EFACT</v>
      </c>
      <c r="D20" s="13" t="str">
        <f t="shared" si="1"/>
        <v>=SUMAR.SI(FACT_EST_EFACT!B:B;Reliquidacion!B20;FACT_EST_EFACT!F:F)</v>
      </c>
      <c r="E20" s="14" t="str">
        <f t="shared" si="2"/>
        <v>=(F20/D20)</v>
      </c>
      <c r="F20" s="13" t="str">
        <f t="shared" si="3"/>
        <v>=SUMAR.SI(FACT_EST_EFACT!B:B;Reliquidacion!B20;FACT_EST_EFACT!H:H)</v>
      </c>
      <c r="G20" s="15" t="str">
        <f t="shared" si="4"/>
        <v>=SUMAR.SI(FACT_EST_EFACT!B:B;Reliquidacion!B20;FACT_EST_EFACT!F:F)</v>
      </c>
      <c r="H20" s="14" t="str">
        <f t="shared" si="5"/>
        <v>=(I20/G20)</v>
      </c>
      <c r="I20" s="13" t="str">
        <f t="shared" si="6"/>
        <v>=SUMAR.SI(FACT_EST_EFACT!B:B;Reliquidacion!B20;FACT_EST_EFACT!H:H)</v>
      </c>
      <c r="J20" s="13" t="str">
        <f t="shared" si="7"/>
        <v>=(F20+I20)</v>
      </c>
      <c r="L20" s="72" t="str">
        <f>IF(VLOOKUP(B20,'MAPA DATA'!C:H,5,0)=1,"EFACT_CNE",IF(VLOOKUP(B20,'MAPA DATA'!C:H,6,0)=1,"EFACT_EST_CNE","SIN DATA"))</f>
        <v>EFACT_CNE</v>
      </c>
      <c r="M20" s="13" t="str">
        <f t="shared" si="8"/>
        <v>=SUMAR.SI(EFACT_CNE!B:B;Reliquidacion!B20;EFACT_CNE!S:S)</v>
      </c>
      <c r="N20" s="14" t="str">
        <f t="shared" si="9"/>
        <v>=(O20/M20)</v>
      </c>
      <c r="O20" s="13" t="str">
        <f t="shared" si="10"/>
        <v>=SUMAR.SI(EFACT_CNE!B:B;Reliquidacion!B20;EFACT_CNE!W:W)</v>
      </c>
      <c r="P20" s="15" t="str">
        <f t="shared" si="11"/>
        <v>=SUMAR.SI(EFACT_CNE!B:B;Reliquidacion!B20;EFACT_CNE!X:X)</v>
      </c>
      <c r="Q20" s="14" t="str">
        <f t="shared" si="12"/>
        <v>=(R20/P20)</v>
      </c>
      <c r="R20" s="13" t="str">
        <f t="shared" si="13"/>
        <v>=SUMAR.SI(EFACT_CNE!B:B;Reliquidacion!B20;EFACT_CNE!AB:AB)</v>
      </c>
      <c r="S20" s="13" t="str">
        <f t="shared" si="14"/>
        <v>=(O20+R20)</v>
      </c>
      <c r="U20" s="16" t="str">
        <f t="shared" si="15"/>
        <v>=(S20-J20)</v>
      </c>
      <c r="V20" s="17" t="s">
        <v>130</v>
      </c>
      <c r="W20" s="18" t="e">
        <f>VLOOKUP(V20,#REF!,2,0)</f>
        <v>#REF!</v>
      </c>
      <c r="X20" s="19" t="e">
        <f>VLOOKUP(V20,#REF!,6,0)</f>
        <v>#REF!</v>
      </c>
      <c r="Y20" s="20">
        <v>43156</v>
      </c>
      <c r="Z20" s="31">
        <v>44377</v>
      </c>
      <c r="AA20" s="21">
        <f t="shared" si="16"/>
        <v>1221</v>
      </c>
      <c r="AB20" s="40" t="e">
        <f t="shared" si="17"/>
        <v>#REF!</v>
      </c>
      <c r="AC20" s="16" t="e">
        <f t="shared" si="18"/>
        <v>#REF!</v>
      </c>
      <c r="AD20" s="16" t="e">
        <f t="shared" si="19"/>
        <v>#VALUE!</v>
      </c>
    </row>
    <row r="21" spans="1:30" x14ac:dyDescent="0.3">
      <c r="A21" s="83">
        <f t="shared" si="20"/>
        <v>21</v>
      </c>
      <c r="B21" s="71">
        <v>42736</v>
      </c>
      <c r="C21" s="74" t="str">
        <f>IF(VLOOKUP(B21,'MAPA DATA'!C:F,2,0)=1,"FACT_EMITIDA",IF(VLOOKUP(B21,'MAPA DATA'!C:F,3,0)=1,"FACT_EST_EFACT",(IF(VLOOKUP(B21,'MAPA DATA'!C:F,4,0)=1,"FACT_EST_CEN","SIN DATA"))))</f>
        <v>SIN DATA</v>
      </c>
      <c r="D21" s="13" t="str">
        <f t="shared" si="1"/>
        <v>=SUMAR.SI(SIN DATA!B:B;Reliquidacion!B21;SIN DATA!F:F)</v>
      </c>
      <c r="E21" s="14" t="str">
        <f t="shared" si="2"/>
        <v>=(F21/D21)</v>
      </c>
      <c r="F21" s="13" t="str">
        <f t="shared" si="3"/>
        <v>=SUMAR.SI(SIN DATA!B:B;Reliquidacion!B21;SIN DATA!H:H)</v>
      </c>
      <c r="G21" s="15" t="str">
        <f t="shared" si="4"/>
        <v>=SUMAR.SI(SIN DATA!B:B;Reliquidacion!B21;SIN DATA!F:F)</v>
      </c>
      <c r="H21" s="14" t="str">
        <f t="shared" si="5"/>
        <v>=(I21/G21)</v>
      </c>
      <c r="I21" s="13" t="str">
        <f t="shared" si="6"/>
        <v>=SUMAR.SI(SIN DATA!B:B;Reliquidacion!B21;SIN DATA!H:H)</v>
      </c>
      <c r="J21" s="13" t="str">
        <f t="shared" si="7"/>
        <v>=(F21+I21)</v>
      </c>
      <c r="L21" s="72" t="str">
        <f>IF(VLOOKUP(B21,'MAPA DATA'!C:H,5,0)=1,"EFACT_CNE",IF(VLOOKUP(B21,'MAPA DATA'!C:H,6,0)=1,"EFACT_EST_CNE","SIN DATA"))</f>
        <v>EFACT_CNE</v>
      </c>
      <c r="M21" s="13" t="str">
        <f t="shared" si="8"/>
        <v>=SUMAR.SI(EFACT_CNE!B:B;Reliquidacion!B21;EFACT_CNE!S:S)</v>
      </c>
      <c r="N21" s="14" t="str">
        <f t="shared" si="9"/>
        <v>=(O21/M21)</v>
      </c>
      <c r="O21" s="13" t="str">
        <f t="shared" si="10"/>
        <v>=SUMAR.SI(EFACT_CNE!B:B;Reliquidacion!B21;EFACT_CNE!W:W)</v>
      </c>
      <c r="P21" s="15" t="str">
        <f t="shared" si="11"/>
        <v>=SUMAR.SI(EFACT_CNE!B:B;Reliquidacion!B21;EFACT_CNE!X:X)</v>
      </c>
      <c r="Q21" s="14" t="str">
        <f t="shared" si="12"/>
        <v>=(R21/P21)</v>
      </c>
      <c r="R21" s="13" t="str">
        <f t="shared" si="13"/>
        <v>=SUMAR.SI(EFACT_CNE!B:B;Reliquidacion!B21;EFACT_CNE!AB:AB)</v>
      </c>
      <c r="S21" s="13" t="str">
        <f t="shared" si="14"/>
        <v>=(O21+R21)</v>
      </c>
      <c r="U21" s="16" t="str">
        <f t="shared" si="15"/>
        <v>=(S21-J21)</v>
      </c>
      <c r="V21" s="17" t="s">
        <v>131</v>
      </c>
      <c r="W21" s="18" t="e">
        <f>VLOOKUP(V21,#REF!,2,0)</f>
        <v>#REF!</v>
      </c>
      <c r="X21" s="19" t="e">
        <f>VLOOKUP(V21,#REF!,6,0)</f>
        <v>#REF!</v>
      </c>
      <c r="Y21" s="20">
        <v>43156</v>
      </c>
      <c r="Z21" s="31">
        <v>44377</v>
      </c>
      <c r="AA21" s="21">
        <f t="shared" si="16"/>
        <v>1221</v>
      </c>
      <c r="AB21" s="40" t="e">
        <f t="shared" si="17"/>
        <v>#REF!</v>
      </c>
      <c r="AC21" s="16" t="e">
        <f t="shared" si="18"/>
        <v>#REF!</v>
      </c>
      <c r="AD21" s="16" t="e">
        <f t="shared" si="19"/>
        <v>#VALUE!</v>
      </c>
    </row>
    <row r="22" spans="1:30" x14ac:dyDescent="0.3">
      <c r="A22" s="83">
        <f t="shared" si="20"/>
        <v>22</v>
      </c>
      <c r="B22" s="71">
        <v>42767</v>
      </c>
      <c r="C22" s="74" t="str">
        <f>IF(VLOOKUP(B22,'MAPA DATA'!C:F,2,0)=1,"FACT_EMITIDA",IF(VLOOKUP(B22,'MAPA DATA'!C:F,3,0)=1,"FACT_EST_EFACT",(IF(VLOOKUP(B22,'MAPA DATA'!C:F,4,0)=1,"FACT_EST_CEN","SIN DATA"))))</f>
        <v>FACT_EST_EFACT</v>
      </c>
      <c r="D22" s="13" t="str">
        <f t="shared" si="1"/>
        <v>=SUMAR.SI(FACT_EST_EFACT!B:B;Reliquidacion!B22;FACT_EST_EFACT!F:F)</v>
      </c>
      <c r="E22" s="14" t="str">
        <f t="shared" si="2"/>
        <v>=(F22/D22)</v>
      </c>
      <c r="F22" s="13" t="str">
        <f t="shared" si="3"/>
        <v>=SUMAR.SI(FACT_EST_EFACT!B:B;Reliquidacion!B22;FACT_EST_EFACT!H:H)</v>
      </c>
      <c r="G22" s="15" t="str">
        <f t="shared" si="4"/>
        <v>=SUMAR.SI(FACT_EST_EFACT!B:B;Reliquidacion!B22;FACT_EST_EFACT!F:F)</v>
      </c>
      <c r="H22" s="14" t="str">
        <f t="shared" si="5"/>
        <v>=(I22/G22)</v>
      </c>
      <c r="I22" s="13" t="str">
        <f t="shared" si="6"/>
        <v>=SUMAR.SI(FACT_EST_EFACT!B:B;Reliquidacion!B22;FACT_EST_EFACT!H:H)</v>
      </c>
      <c r="J22" s="13" t="str">
        <f t="shared" si="7"/>
        <v>=(F22+I22)</v>
      </c>
      <c r="L22" s="72" t="str">
        <f>IF(VLOOKUP(B22,'MAPA DATA'!C:H,5,0)=1,"EFACT_CNE",IF(VLOOKUP(B22,'MAPA DATA'!C:H,6,0)=1,"EFACT_EST_CNE","SIN DATA"))</f>
        <v>EFACT_CNE</v>
      </c>
      <c r="M22" s="13" t="str">
        <f t="shared" si="8"/>
        <v>=SUMAR.SI(EFACT_CNE!B:B;Reliquidacion!B22;EFACT_CNE!S:S)</v>
      </c>
      <c r="N22" s="14" t="str">
        <f t="shared" si="9"/>
        <v>=(O22/M22)</v>
      </c>
      <c r="O22" s="13" t="str">
        <f t="shared" si="10"/>
        <v>=SUMAR.SI(EFACT_CNE!B:B;Reliquidacion!B22;EFACT_CNE!W:W)</v>
      </c>
      <c r="P22" s="15" t="str">
        <f t="shared" si="11"/>
        <v>=SUMAR.SI(EFACT_CNE!B:B;Reliquidacion!B22;EFACT_CNE!X:X)</v>
      </c>
      <c r="Q22" s="14" t="str">
        <f t="shared" si="12"/>
        <v>=(R22/P22)</v>
      </c>
      <c r="R22" s="13" t="str">
        <f t="shared" si="13"/>
        <v>=SUMAR.SI(EFACT_CNE!B:B;Reliquidacion!B22;EFACT_CNE!AB:AB)</v>
      </c>
      <c r="S22" s="13" t="str">
        <f t="shared" si="14"/>
        <v>=(O22+R22)</v>
      </c>
      <c r="U22" s="16" t="str">
        <f t="shared" si="15"/>
        <v>=(S22-J22)</v>
      </c>
      <c r="V22" s="17" t="s">
        <v>132</v>
      </c>
      <c r="W22" s="18" t="e">
        <f>VLOOKUP(V22,#REF!,2,0)</f>
        <v>#REF!</v>
      </c>
      <c r="X22" s="19" t="e">
        <f>VLOOKUP(V22,#REF!,6,0)</f>
        <v>#REF!</v>
      </c>
      <c r="Y22" s="20">
        <v>43156</v>
      </c>
      <c r="Z22" s="31">
        <v>44377</v>
      </c>
      <c r="AA22" s="21">
        <f t="shared" si="16"/>
        <v>1221</v>
      </c>
      <c r="AB22" s="40" t="e">
        <f t="shared" si="17"/>
        <v>#REF!</v>
      </c>
      <c r="AC22" s="16" t="e">
        <f t="shared" si="18"/>
        <v>#REF!</v>
      </c>
      <c r="AD22" s="16" t="e">
        <f t="shared" si="19"/>
        <v>#VALUE!</v>
      </c>
    </row>
    <row r="23" spans="1:30" x14ac:dyDescent="0.3">
      <c r="A23" s="83">
        <f t="shared" si="20"/>
        <v>23</v>
      </c>
      <c r="B23" s="71">
        <v>42795</v>
      </c>
      <c r="C23" s="74" t="str">
        <f>IF(VLOOKUP(B23,'MAPA DATA'!C:F,2,0)=1,"FACT_EMITIDA",IF(VLOOKUP(B23,'MAPA DATA'!C:F,3,0)=1,"FACT_EST_EFACT",(IF(VLOOKUP(B23,'MAPA DATA'!C:F,4,0)=1,"FACT_EST_CEN","SIN DATA"))))</f>
        <v>FACT_EST_EFACT</v>
      </c>
      <c r="D23" s="13" t="str">
        <f t="shared" si="1"/>
        <v>=SUMAR.SI(FACT_EST_EFACT!B:B;Reliquidacion!B23;FACT_EST_EFACT!F:F)</v>
      </c>
      <c r="E23" s="14" t="str">
        <f t="shared" si="2"/>
        <v>=(F23/D23)</v>
      </c>
      <c r="F23" s="13" t="str">
        <f t="shared" si="3"/>
        <v>=SUMAR.SI(FACT_EST_EFACT!B:B;Reliquidacion!B23;FACT_EST_EFACT!H:H)</v>
      </c>
      <c r="G23" s="15" t="str">
        <f t="shared" si="4"/>
        <v>=SUMAR.SI(FACT_EST_EFACT!B:B;Reliquidacion!B23;FACT_EST_EFACT!F:F)</v>
      </c>
      <c r="H23" s="14" t="str">
        <f>CONCATENATE("=(I",A23,"/G",A23,")")</f>
        <v>=(I23/G23)</v>
      </c>
      <c r="I23" s="13" t="str">
        <f>CONCATENATE("=SUMAR.SI(",IF(C23="FACT_EMITIDA","SIGGE_P",C23),"!B:B;Reliquidacion!B",A23,";",IF(C23="FACT_EMITIDA","SIGGE_P",C23),"!H:H)")</f>
        <v>=SUMAR.SI(FACT_EST_EFACT!B:B;Reliquidacion!B23;FACT_EST_EFACT!H:H)</v>
      </c>
      <c r="J23" s="13" t="str">
        <f t="shared" si="7"/>
        <v>=(F23+I23)</v>
      </c>
      <c r="L23" s="72" t="str">
        <f>IF(VLOOKUP(B23,'MAPA DATA'!C:H,5,0)=1,"EFACT_CNE",IF(VLOOKUP(B23,'MAPA DATA'!C:H,6,0)=1,"EFACT_EST_CNE","SIN DATA"))</f>
        <v>EFACT_CNE</v>
      </c>
      <c r="M23" s="13" t="str">
        <f t="shared" si="8"/>
        <v>=SUMAR.SI(EFACT_CNE!B:B;Reliquidacion!B23;EFACT_CNE!S:S)</v>
      </c>
      <c r="N23" s="14" t="str">
        <f t="shared" si="9"/>
        <v>=(O23/M23)</v>
      </c>
      <c r="O23" s="13" t="str">
        <f t="shared" si="10"/>
        <v>=SUMAR.SI(EFACT_CNE!B:B;Reliquidacion!B23;EFACT_CNE!W:W)</v>
      </c>
      <c r="P23" s="15" t="str">
        <f t="shared" si="11"/>
        <v>=SUMAR.SI(EFACT_CNE!B:B;Reliquidacion!B23;EFACT_CNE!X:X)</v>
      </c>
      <c r="Q23" s="14" t="str">
        <f t="shared" si="12"/>
        <v>=(R23/P23)</v>
      </c>
      <c r="R23" s="13" t="str">
        <f t="shared" si="13"/>
        <v>=SUMAR.SI(EFACT_CNE!B:B;Reliquidacion!B23;EFACT_CNE!AB:AB)</v>
      </c>
      <c r="S23" s="13" t="str">
        <f t="shared" si="14"/>
        <v>=(O23+R23)</v>
      </c>
      <c r="U23" s="16" t="str">
        <f t="shared" si="15"/>
        <v>=(S23-J23)</v>
      </c>
      <c r="V23" s="44"/>
      <c r="W23" s="45"/>
      <c r="X23" s="46"/>
      <c r="Y23" s="47"/>
      <c r="Z23" s="48"/>
      <c r="AA23" s="49"/>
      <c r="AB23" s="50"/>
      <c r="AC23" s="43"/>
      <c r="AD23" s="43"/>
    </row>
    <row r="24" spans="1:30" x14ac:dyDescent="0.3">
      <c r="A24" s="83">
        <f t="shared" si="20"/>
        <v>24</v>
      </c>
      <c r="B24" s="71">
        <v>42826</v>
      </c>
      <c r="C24" s="74" t="str">
        <f>IF(VLOOKUP(B24,'MAPA DATA'!C:F,2,0)=1,"FACT_EMITIDA",IF(VLOOKUP(B24,'MAPA DATA'!C:F,3,0)=1,"FACT_EST_EFACT",(IF(VLOOKUP(B24,'MAPA DATA'!C:F,4,0)=1,"FACT_EST_CEN","SIN DATA"))))</f>
        <v>FACT_EST_EFACT</v>
      </c>
      <c r="D24" s="13" t="str">
        <f t="shared" si="1"/>
        <v>=SUMAR.SI(FACT_EST_EFACT!B:B;Reliquidacion!B24;FACT_EST_EFACT!F:F)</v>
      </c>
      <c r="E24" s="14" t="str">
        <f t="shared" si="2"/>
        <v>=(F24/D24)</v>
      </c>
      <c r="F24" s="13" t="str">
        <f t="shared" si="3"/>
        <v>=SUMAR.SI(FACT_EST_EFACT!B:B;Reliquidacion!B24;FACT_EST_EFACT!H:H)</v>
      </c>
      <c r="G24" s="15" t="str">
        <f t="shared" si="4"/>
        <v>=SUMAR.SI(FACT_EST_EFACT!B:B;Reliquidacion!B24;FACT_EST_EFACT!F:F)</v>
      </c>
      <c r="H24" s="14" t="str">
        <f t="shared" si="5"/>
        <v>=(I24/G24)</v>
      </c>
      <c r="I24" s="13" t="str">
        <f t="shared" si="6"/>
        <v>=SUMAR.SI(FACT_EST_EFACT!B:B;Reliquidacion!B24;FACT_EST_EFACT!H:H)</v>
      </c>
      <c r="J24" s="13" t="str">
        <f t="shared" si="7"/>
        <v>=(F24+I24)</v>
      </c>
      <c r="L24" s="72" t="str">
        <f>IF(VLOOKUP(B24,'MAPA DATA'!C:H,5,0)=1,"EFACT_CNE",IF(VLOOKUP(B24,'MAPA DATA'!C:H,6,0)=1,"EFACT_EST_CNE","SIN DATA"))</f>
        <v>EFACT_CNE</v>
      </c>
      <c r="M24" s="13" t="str">
        <f t="shared" si="8"/>
        <v>=SUMAR.SI(EFACT_CNE!B:B;Reliquidacion!B24;EFACT_CNE!S:S)</v>
      </c>
      <c r="N24" s="14" t="str">
        <f t="shared" si="9"/>
        <v>=(O24/M24)</v>
      </c>
      <c r="O24" s="13" t="str">
        <f t="shared" si="10"/>
        <v>=SUMAR.SI(EFACT_CNE!B:B;Reliquidacion!B24;EFACT_CNE!W:W)</v>
      </c>
      <c r="P24" s="15" t="str">
        <f t="shared" si="11"/>
        <v>=SUMAR.SI(EFACT_CNE!B:B;Reliquidacion!B24;EFACT_CNE!X:X)</v>
      </c>
      <c r="Q24" s="14" t="str">
        <f t="shared" si="12"/>
        <v>=(R24/P24)</v>
      </c>
      <c r="R24" s="13" t="str">
        <f t="shared" si="13"/>
        <v>=SUMAR.SI(EFACT_CNE!B:B;Reliquidacion!B24;EFACT_CNE!AB:AB)</v>
      </c>
      <c r="S24" s="13" t="str">
        <f t="shared" si="14"/>
        <v>=(O24+R24)</v>
      </c>
      <c r="U24" s="16" t="str">
        <f t="shared" si="15"/>
        <v>=(S24-J24)</v>
      </c>
      <c r="V24" s="44"/>
      <c r="W24" s="45"/>
      <c r="X24" s="46"/>
      <c r="Y24" s="47"/>
      <c r="Z24" s="48"/>
      <c r="AA24" s="49"/>
      <c r="AB24" s="50"/>
      <c r="AC24" s="43"/>
      <c r="AD24" s="43"/>
    </row>
    <row r="25" spans="1:30" x14ac:dyDescent="0.3">
      <c r="A25" s="83">
        <f t="shared" si="20"/>
        <v>25</v>
      </c>
      <c r="B25" s="71">
        <v>42856</v>
      </c>
      <c r="C25" s="74" t="str">
        <f>IF(VLOOKUP(B25,'MAPA DATA'!C:F,2,0)=1,"FACT_EMITIDA",IF(VLOOKUP(B25,'MAPA DATA'!C:F,3,0)=1,"FACT_EST_EFACT",(IF(VLOOKUP(B25,'MAPA DATA'!C:F,4,0)=1,"FACT_EST_CEN","SIN DATA"))))</f>
        <v>FACT_EST_EFACT</v>
      </c>
      <c r="D25" s="13" t="str">
        <f t="shared" si="1"/>
        <v>=SUMAR.SI(FACT_EST_EFACT!B:B;Reliquidacion!B25;FACT_EST_EFACT!F:F)</v>
      </c>
      <c r="E25" s="14" t="str">
        <f t="shared" si="2"/>
        <v>=(F25/D25)</v>
      </c>
      <c r="F25" s="13" t="str">
        <f t="shared" si="3"/>
        <v>=SUMAR.SI(FACT_EST_EFACT!B:B;Reliquidacion!B25;FACT_EST_EFACT!H:H)</v>
      </c>
      <c r="G25" s="15" t="str">
        <f t="shared" si="4"/>
        <v>=SUMAR.SI(FACT_EST_EFACT!B:B;Reliquidacion!B25;FACT_EST_EFACT!F:F)</v>
      </c>
      <c r="H25" s="14" t="str">
        <f t="shared" si="5"/>
        <v>=(I25/G25)</v>
      </c>
      <c r="I25" s="13" t="str">
        <f t="shared" si="6"/>
        <v>=SUMAR.SI(FACT_EST_EFACT!B:B;Reliquidacion!B25;FACT_EST_EFACT!H:H)</v>
      </c>
      <c r="J25" s="13" t="str">
        <f t="shared" si="7"/>
        <v>=(F25+I25)</v>
      </c>
      <c r="L25" s="72" t="str">
        <f>IF(VLOOKUP(B25,'MAPA DATA'!C:H,5,0)=1,"EFACT_CNE",IF(VLOOKUP(B25,'MAPA DATA'!C:H,6,0)=1,"EFACT_EST_CNE","SIN DATA"))</f>
        <v>EFACT_CNE</v>
      </c>
      <c r="M25" s="13" t="str">
        <f t="shared" si="8"/>
        <v>=SUMAR.SI(EFACT_CNE!B:B;Reliquidacion!B25;EFACT_CNE!S:S)</v>
      </c>
      <c r="N25" s="14" t="str">
        <f t="shared" si="9"/>
        <v>=(O25/M25)</v>
      </c>
      <c r="O25" s="13" t="str">
        <f t="shared" si="10"/>
        <v>=SUMAR.SI(EFACT_CNE!B:B;Reliquidacion!B25;EFACT_CNE!W:W)</v>
      </c>
      <c r="P25" s="15" t="str">
        <f t="shared" si="11"/>
        <v>=SUMAR.SI(EFACT_CNE!B:B;Reliquidacion!B25;EFACT_CNE!X:X)</v>
      </c>
      <c r="Q25" s="14" t="str">
        <f t="shared" si="12"/>
        <v>=(R25/P25)</v>
      </c>
      <c r="R25" s="13" t="str">
        <f t="shared" si="13"/>
        <v>=SUMAR.SI(EFACT_CNE!B:B;Reliquidacion!B25;EFACT_CNE!AB:AB)</v>
      </c>
      <c r="S25" s="13" t="str">
        <f t="shared" si="14"/>
        <v>=(O25+R25)</v>
      </c>
      <c r="U25" s="16" t="str">
        <f t="shared" si="15"/>
        <v>=(S25-J25)</v>
      </c>
      <c r="V25" s="44"/>
      <c r="W25" s="45"/>
      <c r="X25" s="46"/>
      <c r="Y25" s="47"/>
      <c r="Z25" s="48"/>
      <c r="AA25" s="49"/>
      <c r="AB25" s="50"/>
      <c r="AC25" s="43"/>
      <c r="AD25" s="43"/>
    </row>
    <row r="26" spans="1:30" x14ac:dyDescent="0.3">
      <c r="A26" s="83">
        <f t="shared" si="20"/>
        <v>26</v>
      </c>
      <c r="B26" s="71">
        <v>42887</v>
      </c>
      <c r="C26" s="74" t="str">
        <f>IF(VLOOKUP(B26,'MAPA DATA'!C:F,2,0)=1,"FACT_EMITIDA",IF(VLOOKUP(B26,'MAPA DATA'!C:F,3,0)=1,"FACT_EST_EFACT",(IF(VLOOKUP(B26,'MAPA DATA'!C:F,4,0)=1,"FACT_EST_CEN","SIN DATA"))))</f>
        <v>FACT_EST_EFACT</v>
      </c>
      <c r="D26" s="13" t="str">
        <f t="shared" si="1"/>
        <v>=SUMAR.SI(FACT_EST_EFACT!B:B;Reliquidacion!B26;FACT_EST_EFACT!F:F)</v>
      </c>
      <c r="E26" s="14" t="str">
        <f t="shared" si="2"/>
        <v>=(F26/D26)</v>
      </c>
      <c r="F26" s="13" t="str">
        <f t="shared" si="3"/>
        <v>=SUMAR.SI(FACT_EST_EFACT!B:B;Reliquidacion!B26;FACT_EST_EFACT!H:H)</v>
      </c>
      <c r="G26" s="15" t="str">
        <f t="shared" si="4"/>
        <v>=SUMAR.SI(FACT_EST_EFACT!B:B;Reliquidacion!B26;FACT_EST_EFACT!F:F)</v>
      </c>
      <c r="H26" s="14" t="str">
        <f t="shared" si="5"/>
        <v>=(I26/G26)</v>
      </c>
      <c r="I26" s="13" t="str">
        <f t="shared" si="6"/>
        <v>=SUMAR.SI(FACT_EST_EFACT!B:B;Reliquidacion!B26;FACT_EST_EFACT!H:H)</v>
      </c>
      <c r="J26" s="13" t="str">
        <f t="shared" si="7"/>
        <v>=(F26+I26)</v>
      </c>
      <c r="L26" s="72" t="str">
        <f>IF(VLOOKUP(B26,'MAPA DATA'!C:H,5,0)=1,"EFACT_CNE",IF(VLOOKUP(B26,'MAPA DATA'!C:H,6,0)=1,"EFACT_EST_CNE","SIN DATA"))</f>
        <v>EFACT_CNE</v>
      </c>
      <c r="M26" s="13" t="str">
        <f t="shared" si="8"/>
        <v>=SUMAR.SI(EFACT_CNE!B:B;Reliquidacion!B26;EFACT_CNE!S:S)</v>
      </c>
      <c r="N26" s="14" t="str">
        <f t="shared" si="9"/>
        <v>=(O26/M26)</v>
      </c>
      <c r="O26" s="13" t="str">
        <f t="shared" si="10"/>
        <v>=SUMAR.SI(EFACT_CNE!B:B;Reliquidacion!B26;EFACT_CNE!W:W)</v>
      </c>
      <c r="P26" s="15" t="str">
        <f t="shared" si="11"/>
        <v>=SUMAR.SI(EFACT_CNE!B:B;Reliquidacion!B26;EFACT_CNE!X:X)</v>
      </c>
      <c r="Q26" s="14" t="str">
        <f t="shared" si="12"/>
        <v>=(R26/P26)</v>
      </c>
      <c r="R26" s="13" t="str">
        <f t="shared" si="13"/>
        <v>=SUMAR.SI(EFACT_CNE!B:B;Reliquidacion!B26;EFACT_CNE!AB:AB)</v>
      </c>
      <c r="S26" s="13" t="str">
        <f t="shared" si="14"/>
        <v>=(O26+R26)</v>
      </c>
      <c r="U26" s="16" t="str">
        <f t="shared" si="15"/>
        <v>=(S26-J26)</v>
      </c>
      <c r="V26" s="44"/>
      <c r="W26" s="45"/>
      <c r="X26" s="46"/>
      <c r="Y26" s="47"/>
      <c r="Z26" s="48"/>
      <c r="AA26" s="49"/>
      <c r="AB26" s="50"/>
      <c r="AC26" s="43"/>
      <c r="AD26" s="43"/>
    </row>
    <row r="27" spans="1:30" x14ac:dyDescent="0.3">
      <c r="A27" s="83">
        <f t="shared" si="20"/>
        <v>27</v>
      </c>
      <c r="B27" s="71">
        <v>42917</v>
      </c>
      <c r="C27" s="74" t="str">
        <f>IF(VLOOKUP(B27,'MAPA DATA'!C:F,2,0)=1,"FACT_EMITIDA",IF(VLOOKUP(B27,'MAPA DATA'!C:F,3,0)=1,"FACT_EST_EFACT",(IF(VLOOKUP(B27,'MAPA DATA'!C:F,4,0)=1,"FACT_EST_CEN","SIN DATA"))))</f>
        <v>FACT_EST_EFACT</v>
      </c>
      <c r="D27" s="13" t="str">
        <f t="shared" si="1"/>
        <v>=SUMAR.SI(FACT_EST_EFACT!B:B;Reliquidacion!B27;FACT_EST_EFACT!F:F)</v>
      </c>
      <c r="E27" s="14" t="str">
        <f t="shared" si="2"/>
        <v>=(F27/D27)</v>
      </c>
      <c r="F27" s="13" t="str">
        <f t="shared" si="3"/>
        <v>=SUMAR.SI(FACT_EST_EFACT!B:B;Reliquidacion!B27;FACT_EST_EFACT!H:H)</v>
      </c>
      <c r="G27" s="15" t="str">
        <f t="shared" si="4"/>
        <v>=SUMAR.SI(FACT_EST_EFACT!B:B;Reliquidacion!B27;FACT_EST_EFACT!F:F)</v>
      </c>
      <c r="H27" s="14" t="str">
        <f t="shared" si="5"/>
        <v>=(I27/G27)</v>
      </c>
      <c r="I27" s="13" t="str">
        <f t="shared" si="6"/>
        <v>=SUMAR.SI(FACT_EST_EFACT!B:B;Reliquidacion!B27;FACT_EST_EFACT!H:H)</v>
      </c>
      <c r="J27" s="13" t="str">
        <f t="shared" si="7"/>
        <v>=(F27+I27)</v>
      </c>
      <c r="L27" s="72" t="str">
        <f>IF(VLOOKUP(B27,'MAPA DATA'!C:H,5,0)=1,"EFACT_CNE",IF(VLOOKUP(B27,'MAPA DATA'!C:H,6,0)=1,"EFACT_EST_CNE","SIN DATA"))</f>
        <v>EFACT_CNE</v>
      </c>
      <c r="M27" s="13" t="str">
        <f t="shared" si="8"/>
        <v>=SUMAR.SI(EFACT_CNE!B:B;Reliquidacion!B27;EFACT_CNE!S:S)</v>
      </c>
      <c r="N27" s="14" t="str">
        <f t="shared" si="9"/>
        <v>=(O27/M27)</v>
      </c>
      <c r="O27" s="13" t="str">
        <f t="shared" si="10"/>
        <v>=SUMAR.SI(EFACT_CNE!B:B;Reliquidacion!B27;EFACT_CNE!W:W)</v>
      </c>
      <c r="P27" s="15" t="str">
        <f t="shared" si="11"/>
        <v>=SUMAR.SI(EFACT_CNE!B:B;Reliquidacion!B27;EFACT_CNE!X:X)</v>
      </c>
      <c r="Q27" s="14" t="str">
        <f t="shared" si="12"/>
        <v>=(R27/P27)</v>
      </c>
      <c r="R27" s="13" t="str">
        <f t="shared" si="13"/>
        <v>=SUMAR.SI(EFACT_CNE!B:B;Reliquidacion!B27;EFACT_CNE!AB:AB)</v>
      </c>
      <c r="S27" s="13" t="str">
        <f t="shared" si="14"/>
        <v>=(O27+R27)</v>
      </c>
      <c r="U27" s="16" t="str">
        <f t="shared" si="15"/>
        <v>=(S27-J27)</v>
      </c>
      <c r="V27" s="44"/>
      <c r="W27" s="45"/>
      <c r="X27" s="46"/>
      <c r="Y27" s="47"/>
      <c r="Z27" s="48"/>
      <c r="AA27" s="49"/>
      <c r="AB27" s="50"/>
      <c r="AC27" s="43"/>
      <c r="AD27" s="43"/>
    </row>
    <row r="28" spans="1:30" x14ac:dyDescent="0.3">
      <c r="A28" s="83">
        <f t="shared" si="20"/>
        <v>28</v>
      </c>
      <c r="B28" s="71">
        <v>42948</v>
      </c>
      <c r="C28" s="74" t="str">
        <f>IF(VLOOKUP(B28,'MAPA DATA'!C:F,2,0)=1,"FACT_EMITIDA",IF(VLOOKUP(B28,'MAPA DATA'!C:F,3,0)=1,"FACT_EST_EFACT",(IF(VLOOKUP(B28,'MAPA DATA'!C:F,4,0)=1,"FACT_EST_CEN","SIN DATA"))))</f>
        <v>FACT_EST_EFACT</v>
      </c>
      <c r="D28" s="13" t="str">
        <f t="shared" si="1"/>
        <v>=SUMAR.SI(FACT_EST_EFACT!B:B;Reliquidacion!B28;FACT_EST_EFACT!F:F)</v>
      </c>
      <c r="E28" s="14" t="str">
        <f t="shared" si="2"/>
        <v>=(F28/D28)</v>
      </c>
      <c r="F28" s="13" t="str">
        <f t="shared" si="3"/>
        <v>=SUMAR.SI(FACT_EST_EFACT!B:B;Reliquidacion!B28;FACT_EST_EFACT!H:H)</v>
      </c>
      <c r="G28" s="15" t="str">
        <f t="shared" si="4"/>
        <v>=SUMAR.SI(FACT_EST_EFACT!B:B;Reliquidacion!B28;FACT_EST_EFACT!F:F)</v>
      </c>
      <c r="H28" s="14" t="str">
        <f t="shared" si="5"/>
        <v>=(I28/G28)</v>
      </c>
      <c r="I28" s="13" t="str">
        <f t="shared" si="6"/>
        <v>=SUMAR.SI(FACT_EST_EFACT!B:B;Reliquidacion!B28;FACT_EST_EFACT!H:H)</v>
      </c>
      <c r="J28" s="13" t="str">
        <f t="shared" si="7"/>
        <v>=(F28+I28)</v>
      </c>
      <c r="L28" s="72" t="str">
        <f>IF(VLOOKUP(B28,'MAPA DATA'!C:H,5,0)=1,"EFACT_CNE",IF(VLOOKUP(B28,'MAPA DATA'!C:H,6,0)=1,"EFACT_EST_CNE","SIN DATA"))</f>
        <v>EFACT_CNE</v>
      </c>
      <c r="M28" s="13" t="str">
        <f t="shared" si="8"/>
        <v>=SUMAR.SI(EFACT_CNE!B:B;Reliquidacion!B28;EFACT_CNE!S:S)</v>
      </c>
      <c r="N28" s="14" t="str">
        <f t="shared" si="9"/>
        <v>=(O28/M28)</v>
      </c>
      <c r="O28" s="13" t="str">
        <f t="shared" si="10"/>
        <v>=SUMAR.SI(EFACT_CNE!B:B;Reliquidacion!B28;EFACT_CNE!W:W)</v>
      </c>
      <c r="P28" s="15" t="str">
        <f t="shared" si="11"/>
        <v>=SUMAR.SI(EFACT_CNE!B:B;Reliquidacion!B28;EFACT_CNE!X:X)</v>
      </c>
      <c r="Q28" s="14" t="str">
        <f t="shared" si="12"/>
        <v>=(R28/P28)</v>
      </c>
      <c r="R28" s="13" t="str">
        <f t="shared" si="13"/>
        <v>=SUMAR.SI(EFACT_CNE!B:B;Reliquidacion!B28;EFACT_CNE!AB:AB)</v>
      </c>
      <c r="S28" s="13" t="str">
        <f t="shared" si="14"/>
        <v>=(O28+R28)</v>
      </c>
      <c r="U28" s="16" t="str">
        <f t="shared" si="15"/>
        <v>=(S28-J28)</v>
      </c>
      <c r="V28" s="44"/>
      <c r="W28" s="45"/>
      <c r="X28" s="46"/>
      <c r="Y28" s="47"/>
      <c r="Z28" s="48"/>
      <c r="AA28" s="49"/>
      <c r="AB28" s="50"/>
      <c r="AC28" s="43"/>
      <c r="AD28" s="43"/>
    </row>
    <row r="29" spans="1:30" x14ac:dyDescent="0.3">
      <c r="A29" s="83">
        <f t="shared" si="20"/>
        <v>29</v>
      </c>
      <c r="B29" s="71">
        <v>42979</v>
      </c>
      <c r="C29" s="74" t="str">
        <f>IF(VLOOKUP(B29,'MAPA DATA'!C:F,2,0)=1,"FACT_EMITIDA",IF(VLOOKUP(B29,'MAPA DATA'!C:F,3,0)=1,"FACT_EST_EFACT",(IF(VLOOKUP(B29,'MAPA DATA'!C:F,4,0)=1,"FACT_EST_CEN","SIN DATA"))))</f>
        <v>FACT_EST_EFACT</v>
      </c>
      <c r="D29" s="13" t="str">
        <f t="shared" si="1"/>
        <v>=SUMAR.SI(FACT_EST_EFACT!B:B;Reliquidacion!B29;FACT_EST_EFACT!F:F)</v>
      </c>
      <c r="E29" s="14" t="str">
        <f t="shared" si="2"/>
        <v>=(F29/D29)</v>
      </c>
      <c r="F29" s="13" t="str">
        <f t="shared" si="3"/>
        <v>=SUMAR.SI(FACT_EST_EFACT!B:B;Reliquidacion!B29;FACT_EST_EFACT!H:H)</v>
      </c>
      <c r="G29" s="15" t="str">
        <f t="shared" si="4"/>
        <v>=SUMAR.SI(FACT_EST_EFACT!B:B;Reliquidacion!B29;FACT_EST_EFACT!F:F)</v>
      </c>
      <c r="H29" s="14" t="str">
        <f t="shared" si="5"/>
        <v>=(I29/G29)</v>
      </c>
      <c r="I29" s="13" t="str">
        <f t="shared" si="6"/>
        <v>=SUMAR.SI(FACT_EST_EFACT!B:B;Reliquidacion!B29;FACT_EST_EFACT!H:H)</v>
      </c>
      <c r="J29" s="13" t="str">
        <f t="shared" si="7"/>
        <v>=(F29+I29)</v>
      </c>
      <c r="L29" s="72" t="str">
        <f>IF(VLOOKUP(B29,'MAPA DATA'!C:H,5,0)=1,"EFACT_CNE",IF(VLOOKUP(B29,'MAPA DATA'!C:H,6,0)=1,"EFACT_EST_CNE","SIN DATA"))</f>
        <v>EFACT_CNE</v>
      </c>
      <c r="M29" s="13" t="str">
        <f t="shared" si="8"/>
        <v>=SUMAR.SI(EFACT_CNE!B:B;Reliquidacion!B29;EFACT_CNE!S:S)</v>
      </c>
      <c r="N29" s="14" t="str">
        <f t="shared" si="9"/>
        <v>=(O29/M29)</v>
      </c>
      <c r="O29" s="13" t="str">
        <f t="shared" si="10"/>
        <v>=SUMAR.SI(EFACT_CNE!B:B;Reliquidacion!B29;EFACT_CNE!W:W)</v>
      </c>
      <c r="P29" s="15" t="str">
        <f t="shared" si="11"/>
        <v>=SUMAR.SI(EFACT_CNE!B:B;Reliquidacion!B29;EFACT_CNE!X:X)</v>
      </c>
      <c r="Q29" s="14" t="str">
        <f t="shared" si="12"/>
        <v>=(R29/P29)</v>
      </c>
      <c r="R29" s="13" t="str">
        <f t="shared" si="13"/>
        <v>=SUMAR.SI(EFACT_CNE!B:B;Reliquidacion!B29;EFACT_CNE!AB:AB)</v>
      </c>
      <c r="S29" s="13" t="str">
        <f t="shared" si="14"/>
        <v>=(O29+R29)</v>
      </c>
      <c r="U29" s="16" t="str">
        <f t="shared" si="15"/>
        <v>=(S29-J29)</v>
      </c>
      <c r="V29" s="44"/>
      <c r="W29" s="45"/>
      <c r="X29" s="46"/>
      <c r="Y29" s="47"/>
      <c r="Z29" s="48"/>
      <c r="AA29" s="49"/>
      <c r="AB29" s="50"/>
      <c r="AC29" s="43"/>
      <c r="AD29" s="43"/>
    </row>
    <row r="30" spans="1:30" x14ac:dyDescent="0.3">
      <c r="A30" s="83">
        <f t="shared" si="20"/>
        <v>30</v>
      </c>
      <c r="B30" s="71">
        <v>43009</v>
      </c>
      <c r="C30" s="74" t="str">
        <f>IF(VLOOKUP(B30,'MAPA DATA'!C:F,2,0)=1,"FACT_EMITIDA",IF(VLOOKUP(B30,'MAPA DATA'!C:F,3,0)=1,"FACT_EST_EFACT",(IF(VLOOKUP(B30,'MAPA DATA'!C:F,4,0)=1,"FACT_EST_CEN","SIN DATA"))))</f>
        <v>FACT_EST_EFACT</v>
      </c>
      <c r="D30" s="13" t="str">
        <f t="shared" si="1"/>
        <v>=SUMAR.SI(FACT_EST_EFACT!B:B;Reliquidacion!B30;FACT_EST_EFACT!F:F)</v>
      </c>
      <c r="E30" s="14" t="str">
        <f t="shared" si="2"/>
        <v>=(F30/D30)</v>
      </c>
      <c r="F30" s="13" t="str">
        <f t="shared" si="3"/>
        <v>=SUMAR.SI(FACT_EST_EFACT!B:B;Reliquidacion!B30;FACT_EST_EFACT!H:H)</v>
      </c>
      <c r="G30" s="15" t="str">
        <f t="shared" si="4"/>
        <v>=SUMAR.SI(FACT_EST_EFACT!B:B;Reliquidacion!B30;FACT_EST_EFACT!F:F)</v>
      </c>
      <c r="H30" s="14" t="str">
        <f t="shared" si="5"/>
        <v>=(I30/G30)</v>
      </c>
      <c r="I30" s="13" t="str">
        <f t="shared" si="6"/>
        <v>=SUMAR.SI(FACT_EST_EFACT!B:B;Reliquidacion!B30;FACT_EST_EFACT!H:H)</v>
      </c>
      <c r="J30" s="13" t="str">
        <f t="shared" si="7"/>
        <v>=(F30+I30)</v>
      </c>
      <c r="L30" s="72" t="str">
        <f>IF(VLOOKUP(B30,'MAPA DATA'!C:H,5,0)=1,"EFACT_CNE",IF(VLOOKUP(B30,'MAPA DATA'!C:H,6,0)=1,"EFACT_EST_CNE","SIN DATA"))</f>
        <v>EFACT_CNE</v>
      </c>
      <c r="M30" s="13" t="str">
        <f t="shared" si="8"/>
        <v>=SUMAR.SI(EFACT_CNE!B:B;Reliquidacion!B30;EFACT_CNE!S:S)</v>
      </c>
      <c r="N30" s="14" t="str">
        <f t="shared" si="9"/>
        <v>=(O30/M30)</v>
      </c>
      <c r="O30" s="13" t="str">
        <f t="shared" si="10"/>
        <v>=SUMAR.SI(EFACT_CNE!B:B;Reliquidacion!B30;EFACT_CNE!W:W)</v>
      </c>
      <c r="P30" s="15" t="str">
        <f t="shared" si="11"/>
        <v>=SUMAR.SI(EFACT_CNE!B:B;Reliquidacion!B30;EFACT_CNE!X:X)</v>
      </c>
      <c r="Q30" s="14" t="str">
        <f t="shared" si="12"/>
        <v>=(R30/P30)</v>
      </c>
      <c r="R30" s="13" t="str">
        <f t="shared" si="13"/>
        <v>=SUMAR.SI(EFACT_CNE!B:B;Reliquidacion!B30;EFACT_CNE!AB:AB)</v>
      </c>
      <c r="S30" s="13" t="str">
        <f t="shared" si="14"/>
        <v>=(O30+R30)</v>
      </c>
      <c r="U30" s="16" t="str">
        <f t="shared" si="15"/>
        <v>=(S30-J30)</v>
      </c>
      <c r="V30" s="44"/>
      <c r="W30" s="45"/>
      <c r="X30" s="46"/>
      <c r="Y30" s="47"/>
      <c r="Z30" s="48"/>
      <c r="AA30" s="49"/>
      <c r="AB30" s="50"/>
      <c r="AC30" s="43"/>
      <c r="AD30" s="43"/>
    </row>
    <row r="31" spans="1:30" x14ac:dyDescent="0.3">
      <c r="A31" s="83">
        <f t="shared" si="20"/>
        <v>31</v>
      </c>
      <c r="B31" s="71">
        <v>43040</v>
      </c>
      <c r="C31" s="74" t="str">
        <f>IF(VLOOKUP(B31,'MAPA DATA'!C:F,2,0)=1,"FACT_EMITIDA",IF(VLOOKUP(B31,'MAPA DATA'!C:F,3,0)=1,"FACT_EST_EFACT",(IF(VLOOKUP(B31,'MAPA DATA'!C:F,4,0)=1,"FACT_EST_CEN","SIN DATA"))))</f>
        <v>FACT_EST_EFACT</v>
      </c>
      <c r="D31" s="13" t="str">
        <f t="shared" si="1"/>
        <v>=SUMAR.SI(FACT_EST_EFACT!B:B;Reliquidacion!B31;FACT_EST_EFACT!F:F)</v>
      </c>
      <c r="E31" s="14" t="str">
        <f t="shared" si="2"/>
        <v>=(F31/D31)</v>
      </c>
      <c r="F31" s="13" t="str">
        <f t="shared" si="3"/>
        <v>=SUMAR.SI(FACT_EST_EFACT!B:B;Reliquidacion!B31;FACT_EST_EFACT!H:H)</v>
      </c>
      <c r="G31" s="15" t="str">
        <f t="shared" si="4"/>
        <v>=SUMAR.SI(FACT_EST_EFACT!B:B;Reliquidacion!B31;FACT_EST_EFACT!F:F)</v>
      </c>
      <c r="H31" s="14" t="str">
        <f t="shared" si="5"/>
        <v>=(I31/G31)</v>
      </c>
      <c r="I31" s="13" t="str">
        <f t="shared" si="6"/>
        <v>=SUMAR.SI(FACT_EST_EFACT!B:B;Reliquidacion!B31;FACT_EST_EFACT!H:H)</v>
      </c>
      <c r="J31" s="13" t="str">
        <f t="shared" si="7"/>
        <v>=(F31+I31)</v>
      </c>
      <c r="L31" s="72" t="str">
        <f>IF(VLOOKUP(B31,'MAPA DATA'!C:H,5,0)=1,"EFACT_CNE",IF(VLOOKUP(B31,'MAPA DATA'!C:H,6,0)=1,"EFACT_EST_CNE","SIN DATA"))</f>
        <v>EFACT_CNE</v>
      </c>
      <c r="M31" s="13" t="str">
        <f t="shared" si="8"/>
        <v>=SUMAR.SI(EFACT_CNE!B:B;Reliquidacion!B31;EFACT_CNE!S:S)</v>
      </c>
      <c r="N31" s="14" t="str">
        <f t="shared" si="9"/>
        <v>=(O31/M31)</v>
      </c>
      <c r="O31" s="13" t="str">
        <f t="shared" si="10"/>
        <v>=SUMAR.SI(EFACT_CNE!B:B;Reliquidacion!B31;EFACT_CNE!W:W)</v>
      </c>
      <c r="P31" s="15" t="str">
        <f t="shared" si="11"/>
        <v>=SUMAR.SI(EFACT_CNE!B:B;Reliquidacion!B31;EFACT_CNE!X:X)</v>
      </c>
      <c r="Q31" s="14" t="str">
        <f t="shared" si="12"/>
        <v>=(R31/P31)</v>
      </c>
      <c r="R31" s="13" t="str">
        <f t="shared" si="13"/>
        <v>=SUMAR.SI(EFACT_CNE!B:B;Reliquidacion!B31;EFACT_CNE!AB:AB)</v>
      </c>
      <c r="S31" s="13" t="str">
        <f t="shared" si="14"/>
        <v>=(O31+R31)</v>
      </c>
      <c r="U31" s="16" t="str">
        <f t="shared" si="15"/>
        <v>=(S31-J31)</v>
      </c>
      <c r="V31" s="44"/>
      <c r="W31" s="45"/>
      <c r="X31" s="46"/>
      <c r="Y31" s="47"/>
      <c r="Z31" s="48"/>
      <c r="AA31" s="49"/>
      <c r="AB31" s="50"/>
      <c r="AC31" s="43"/>
      <c r="AD31" s="43"/>
    </row>
    <row r="32" spans="1:30" x14ac:dyDescent="0.3">
      <c r="A32" s="83">
        <f t="shared" si="20"/>
        <v>32</v>
      </c>
      <c r="B32" s="71">
        <v>43070</v>
      </c>
      <c r="C32" s="74" t="str">
        <f>IF(VLOOKUP(B32,'MAPA DATA'!C:F,2,0)=1,"FACT_EMITIDA",IF(VLOOKUP(B32,'MAPA DATA'!C:F,3,0)=1,"FACT_EST_EFACT",(IF(VLOOKUP(B32,'MAPA DATA'!C:F,4,0)=1,"FACT_EST_CEN","SIN DATA"))))</f>
        <v>FACT_EST_EFACT</v>
      </c>
      <c r="D32" s="13" t="str">
        <f t="shared" si="1"/>
        <v>=SUMAR.SI(FACT_EST_EFACT!B:B;Reliquidacion!B32;FACT_EST_EFACT!F:F)</v>
      </c>
      <c r="E32" s="14" t="str">
        <f t="shared" si="2"/>
        <v>=(F32/D32)</v>
      </c>
      <c r="F32" s="13" t="str">
        <f t="shared" si="3"/>
        <v>=SUMAR.SI(FACT_EST_EFACT!B:B;Reliquidacion!B32;FACT_EST_EFACT!H:H)</v>
      </c>
      <c r="G32" s="15" t="str">
        <f t="shared" si="4"/>
        <v>=SUMAR.SI(FACT_EST_EFACT!B:B;Reliquidacion!B32;FACT_EST_EFACT!F:F)</v>
      </c>
      <c r="H32" s="14" t="str">
        <f t="shared" si="5"/>
        <v>=(I32/G32)</v>
      </c>
      <c r="I32" s="13" t="str">
        <f t="shared" si="6"/>
        <v>=SUMAR.SI(FACT_EST_EFACT!B:B;Reliquidacion!B32;FACT_EST_EFACT!H:H)</v>
      </c>
      <c r="J32" s="13" t="str">
        <f t="shared" si="7"/>
        <v>=(F32+I32)</v>
      </c>
      <c r="L32" s="72" t="str">
        <f>IF(VLOOKUP(B32,'MAPA DATA'!C:H,5,0)=1,"EFACT_CNE",IF(VLOOKUP(B32,'MAPA DATA'!C:H,6,0)=1,"EFACT_EST_CNE","SIN DATA"))</f>
        <v>EFACT_CNE</v>
      </c>
      <c r="M32" s="13" t="str">
        <f t="shared" si="8"/>
        <v>=SUMAR.SI(EFACT_CNE!B:B;Reliquidacion!B32;EFACT_CNE!S:S)</v>
      </c>
      <c r="N32" s="14" t="str">
        <f t="shared" si="9"/>
        <v>=(O32/M32)</v>
      </c>
      <c r="O32" s="13" t="str">
        <f t="shared" si="10"/>
        <v>=SUMAR.SI(EFACT_CNE!B:B;Reliquidacion!B32;EFACT_CNE!W:W)</v>
      </c>
      <c r="P32" s="15" t="str">
        <f t="shared" si="11"/>
        <v>=SUMAR.SI(EFACT_CNE!B:B;Reliquidacion!B32;EFACT_CNE!X:X)</v>
      </c>
      <c r="Q32" s="14" t="str">
        <f t="shared" si="12"/>
        <v>=(R32/P32)</v>
      </c>
      <c r="R32" s="13" t="str">
        <f t="shared" si="13"/>
        <v>=SUMAR.SI(EFACT_CNE!B:B;Reliquidacion!B32;EFACT_CNE!AB:AB)</v>
      </c>
      <c r="S32" s="13" t="str">
        <f t="shared" si="14"/>
        <v>=(O32+R32)</v>
      </c>
      <c r="U32" s="16" t="str">
        <f t="shared" si="15"/>
        <v>=(S32-J32)</v>
      </c>
      <c r="V32" s="44"/>
      <c r="W32" s="45"/>
      <c r="X32" s="46"/>
      <c r="Y32" s="47"/>
      <c r="Z32" s="48"/>
      <c r="AA32" s="49"/>
      <c r="AB32" s="50"/>
      <c r="AC32" s="43"/>
      <c r="AD32" s="43"/>
    </row>
    <row r="33" spans="1:30" ht="14.4" customHeight="1" x14ac:dyDescent="0.3">
      <c r="A33" s="83">
        <f t="shared" si="20"/>
        <v>33</v>
      </c>
      <c r="B33" s="71">
        <v>43101</v>
      </c>
      <c r="C33" s="74" t="str">
        <f>IF(VLOOKUP(B33,'MAPA DATA'!C:F,2,0)=1,"FACT_EMITIDA",IF(VLOOKUP(B33,'MAPA DATA'!C:F,3,0)=1,"FACT_EST_EFACT",(IF(VLOOKUP(B33,'MAPA DATA'!C:F,4,0)=1,"FACT_EST_CEN","SIN DATA"))))</f>
        <v>FACT_EST_EFACT</v>
      </c>
      <c r="D33" s="13" t="str">
        <f t="shared" si="1"/>
        <v>=SUMAR.SI(FACT_EST_EFACT!B:B;Reliquidacion!B33;FACT_EST_EFACT!F:F)</v>
      </c>
      <c r="E33" s="14" t="str">
        <f t="shared" si="2"/>
        <v>=(F33/D33)</v>
      </c>
      <c r="F33" s="13" t="str">
        <f t="shared" si="3"/>
        <v>=SUMAR.SI(FACT_EST_EFACT!B:B;Reliquidacion!B33;FACT_EST_EFACT!H:H)</v>
      </c>
      <c r="G33" s="15" t="str">
        <f t="shared" si="4"/>
        <v>=SUMAR.SI(FACT_EST_EFACT!B:B;Reliquidacion!B33;FACT_EST_EFACT!F:F)</v>
      </c>
      <c r="H33" s="14" t="str">
        <f t="shared" si="5"/>
        <v>=(I33/G33)</v>
      </c>
      <c r="I33" s="13" t="str">
        <f t="shared" si="6"/>
        <v>=SUMAR.SI(FACT_EST_EFACT!B:B;Reliquidacion!B33;FACT_EST_EFACT!H:H)</v>
      </c>
      <c r="J33" s="13" t="str">
        <f t="shared" si="7"/>
        <v>=(F33+I33)</v>
      </c>
      <c r="L33" s="72" t="str">
        <f>IF(VLOOKUP(B33,'MAPA DATA'!C:H,5,0)=1,"EFACT_CNE",IF(VLOOKUP(B33,'MAPA DATA'!C:H,6,0)=1,"EFACT_EST_CNE","SIN DATA"))</f>
        <v>EFACT_CNE</v>
      </c>
      <c r="M33" s="13" t="str">
        <f t="shared" si="8"/>
        <v>=SUMAR.SI(EFACT_CNE!B:B;Reliquidacion!B33;EFACT_CNE!S:S)</v>
      </c>
      <c r="N33" s="14" t="str">
        <f t="shared" si="9"/>
        <v>=(O33/M33)</v>
      </c>
      <c r="O33" s="13" t="str">
        <f t="shared" si="10"/>
        <v>=SUMAR.SI(EFACT_CNE!B:B;Reliquidacion!B33;EFACT_CNE!W:W)</v>
      </c>
      <c r="P33" s="15" t="str">
        <f t="shared" si="11"/>
        <v>=SUMAR.SI(EFACT_CNE!B:B;Reliquidacion!B33;EFACT_CNE!X:X)</v>
      </c>
      <c r="Q33" s="14" t="str">
        <f t="shared" si="12"/>
        <v>=(R33/P33)</v>
      </c>
      <c r="R33" s="13" t="str">
        <f t="shared" si="13"/>
        <v>=SUMAR.SI(EFACT_CNE!B:B;Reliquidacion!B33;EFACT_CNE!AB:AB)</v>
      </c>
      <c r="S33" s="13" t="str">
        <f t="shared" si="14"/>
        <v>=(O33+R33)</v>
      </c>
      <c r="U33" s="16" t="str">
        <f t="shared" si="15"/>
        <v>=(S33-J33)</v>
      </c>
      <c r="V33" s="17" t="s">
        <v>79</v>
      </c>
      <c r="W33" s="18" t="e">
        <f>VLOOKUP(V33,#REF!,2,0)</f>
        <v>#REF!</v>
      </c>
      <c r="X33" s="19" t="e">
        <f>VLOOKUP(V33,#REF!,6,0)</f>
        <v>#REF!</v>
      </c>
      <c r="Y33" s="20">
        <v>43156</v>
      </c>
      <c r="Z33" s="31">
        <v>44377</v>
      </c>
      <c r="AA33" s="21">
        <f t="shared" ref="AA33:AA65" si="21">Z33-Y33</f>
        <v>1221</v>
      </c>
      <c r="AB33" s="40" t="e">
        <f>+(1+X33)^(AA33/360)-1</f>
        <v>#REF!</v>
      </c>
      <c r="AC33" s="16" t="e">
        <f>AB33*U33</f>
        <v>#REF!</v>
      </c>
      <c r="AD33" s="16" t="e">
        <f>+U33+AC33</f>
        <v>#VALUE!</v>
      </c>
    </row>
    <row r="34" spans="1:30" x14ac:dyDescent="0.3">
      <c r="A34" s="83">
        <f t="shared" si="20"/>
        <v>34</v>
      </c>
      <c r="B34" s="71">
        <v>43132</v>
      </c>
      <c r="C34" s="74" t="str">
        <f>IF(VLOOKUP(B34,'MAPA DATA'!C:F,2,0)=1,"FACT_EMITIDA",IF(VLOOKUP(B34,'MAPA DATA'!C:F,3,0)=1,"FACT_EST_EFACT",(IF(VLOOKUP(B34,'MAPA DATA'!C:F,4,0)=1,"FACT_EST_CEN","SIN DATA"))))</f>
        <v>FACT_EST_EFACT</v>
      </c>
      <c r="D34" s="13" t="str">
        <f t="shared" si="1"/>
        <v>=SUMAR.SI(FACT_EST_EFACT!B:B;Reliquidacion!B34;FACT_EST_EFACT!F:F)</v>
      </c>
      <c r="E34" s="14" t="str">
        <f t="shared" si="2"/>
        <v>=(F34/D34)</v>
      </c>
      <c r="F34" s="13" t="str">
        <f t="shared" si="3"/>
        <v>=SUMAR.SI(FACT_EST_EFACT!B:B;Reliquidacion!B34;FACT_EST_EFACT!H:H)</v>
      </c>
      <c r="G34" s="15" t="str">
        <f t="shared" si="4"/>
        <v>=SUMAR.SI(FACT_EST_EFACT!B:B;Reliquidacion!B34;FACT_EST_EFACT!F:F)</v>
      </c>
      <c r="H34" s="14" t="str">
        <f t="shared" si="5"/>
        <v>=(I34/G34)</v>
      </c>
      <c r="I34" s="13" t="str">
        <f t="shared" si="6"/>
        <v>=SUMAR.SI(FACT_EST_EFACT!B:B;Reliquidacion!B34;FACT_EST_EFACT!H:H)</v>
      </c>
      <c r="J34" s="13" t="str">
        <f t="shared" si="7"/>
        <v>=(F34+I34)</v>
      </c>
      <c r="L34" s="72" t="str">
        <f>IF(VLOOKUP(B34,'MAPA DATA'!C:H,5,0)=1,"EFACT_CNE",IF(VLOOKUP(B34,'MAPA DATA'!C:H,6,0)=1,"EFACT_EST_CNE","SIN DATA"))</f>
        <v>EFACT_CNE</v>
      </c>
      <c r="M34" s="13" t="str">
        <f t="shared" si="8"/>
        <v>=SUMAR.SI(EFACT_CNE!B:B;Reliquidacion!B34;EFACT_CNE!S:S)</v>
      </c>
      <c r="N34" s="14" t="str">
        <f t="shared" si="9"/>
        <v>=(O34/M34)</v>
      </c>
      <c r="O34" s="13" t="str">
        <f t="shared" si="10"/>
        <v>=SUMAR.SI(EFACT_CNE!B:B;Reliquidacion!B34;EFACT_CNE!W:W)</v>
      </c>
      <c r="P34" s="15" t="str">
        <f t="shared" si="11"/>
        <v>=SUMAR.SI(EFACT_CNE!B:B;Reliquidacion!B34;EFACT_CNE!X:X)</v>
      </c>
      <c r="Q34" s="14" t="str">
        <f t="shared" si="12"/>
        <v>=(R34/P34)</v>
      </c>
      <c r="R34" s="13" t="str">
        <f t="shared" si="13"/>
        <v>=SUMAR.SI(EFACT_CNE!B:B;Reliquidacion!B34;EFACT_CNE!AB:AB)</v>
      </c>
      <c r="S34" s="13" t="str">
        <f t="shared" si="14"/>
        <v>=(O34+R34)</v>
      </c>
      <c r="U34" s="16" t="str">
        <f t="shared" si="15"/>
        <v>=(S34-J34)</v>
      </c>
      <c r="V34" s="17" t="s">
        <v>79</v>
      </c>
      <c r="W34" s="18" t="e">
        <f>VLOOKUP(V34,#REF!,2,0)</f>
        <v>#REF!</v>
      </c>
      <c r="X34" s="19" t="e">
        <f>VLOOKUP(V34,#REF!,6,0)</f>
        <v>#REF!</v>
      </c>
      <c r="Y34" s="20">
        <v>43184</v>
      </c>
      <c r="Z34" s="20">
        <f>Z33</f>
        <v>44377</v>
      </c>
      <c r="AA34" s="21">
        <f t="shared" si="21"/>
        <v>1193</v>
      </c>
      <c r="AB34" s="40" t="e">
        <f t="shared" ref="AB34:AB65" si="22">+(1+X34)^(AA34/360)-1</f>
        <v>#REF!</v>
      </c>
      <c r="AC34" s="16" t="e">
        <f t="shared" ref="AC34:AC65" si="23">AB34*U34</f>
        <v>#REF!</v>
      </c>
      <c r="AD34" s="16" t="e">
        <f t="shared" ref="AD34:AD65" si="24">+U34+AC34</f>
        <v>#VALUE!</v>
      </c>
    </row>
    <row r="35" spans="1:30" x14ac:dyDescent="0.3">
      <c r="A35" s="83">
        <f t="shared" si="20"/>
        <v>35</v>
      </c>
      <c r="B35" s="71">
        <v>43160</v>
      </c>
      <c r="C35" s="74" t="str">
        <f>IF(VLOOKUP(B35,'MAPA DATA'!C:F,2,0)=1,"FACT_EMITIDA",IF(VLOOKUP(B35,'MAPA DATA'!C:F,3,0)=1,"FACT_EST_EFACT",(IF(VLOOKUP(B35,'MAPA DATA'!C:F,4,0)=1,"FACT_EST_CEN","SIN DATA"))))</f>
        <v>FACT_EST_EFACT</v>
      </c>
      <c r="D35" s="13" t="str">
        <f t="shared" si="1"/>
        <v>=SUMAR.SI(FACT_EST_EFACT!B:B;Reliquidacion!B35;FACT_EST_EFACT!F:F)</v>
      </c>
      <c r="E35" s="14" t="str">
        <f t="shared" si="2"/>
        <v>=(F35/D35)</v>
      </c>
      <c r="F35" s="13" t="str">
        <f t="shared" si="3"/>
        <v>=SUMAR.SI(FACT_EST_EFACT!B:B;Reliquidacion!B35;FACT_EST_EFACT!H:H)</v>
      </c>
      <c r="G35" s="15" t="str">
        <f t="shared" si="4"/>
        <v>=SUMAR.SI(FACT_EST_EFACT!B:B;Reliquidacion!B35;FACT_EST_EFACT!F:F)</v>
      </c>
      <c r="H35" s="14" t="str">
        <f t="shared" si="5"/>
        <v>=(I35/G35)</v>
      </c>
      <c r="I35" s="13" t="str">
        <f t="shared" si="6"/>
        <v>=SUMAR.SI(FACT_EST_EFACT!B:B;Reliquidacion!B35;FACT_EST_EFACT!H:H)</v>
      </c>
      <c r="J35" s="13" t="str">
        <f t="shared" si="7"/>
        <v>=(F35+I35)</v>
      </c>
      <c r="L35" s="72" t="str">
        <f>IF(VLOOKUP(B35,'MAPA DATA'!C:H,5,0)=1,"EFACT_CNE",IF(VLOOKUP(B35,'MAPA DATA'!C:H,6,0)=1,"EFACT_EST_CNE","SIN DATA"))</f>
        <v>EFACT_CNE</v>
      </c>
      <c r="M35" s="13" t="str">
        <f t="shared" si="8"/>
        <v>=SUMAR.SI(EFACT_CNE!B:B;Reliquidacion!B35;EFACT_CNE!S:S)</v>
      </c>
      <c r="N35" s="14" t="str">
        <f t="shared" si="9"/>
        <v>=(O35/M35)</v>
      </c>
      <c r="O35" s="13" t="str">
        <f t="shared" si="10"/>
        <v>=SUMAR.SI(EFACT_CNE!B:B;Reliquidacion!B35;EFACT_CNE!W:W)</v>
      </c>
      <c r="P35" s="15" t="str">
        <f t="shared" si="11"/>
        <v>=SUMAR.SI(EFACT_CNE!B:B;Reliquidacion!B35;EFACT_CNE!X:X)</v>
      </c>
      <c r="Q35" s="14" t="str">
        <f t="shared" si="12"/>
        <v>=(R35/P35)</v>
      </c>
      <c r="R35" s="13" t="str">
        <f t="shared" si="13"/>
        <v>=SUMAR.SI(EFACT_CNE!B:B;Reliquidacion!B35;EFACT_CNE!AB:AB)</v>
      </c>
      <c r="S35" s="13" t="str">
        <f t="shared" si="14"/>
        <v>=(O35+R35)</v>
      </c>
      <c r="U35" s="16" t="str">
        <f t="shared" si="15"/>
        <v>=(S35-J35)</v>
      </c>
      <c r="V35" s="17" t="s">
        <v>82</v>
      </c>
      <c r="W35" s="18" t="e">
        <f>VLOOKUP(V35,#REF!,2,0)</f>
        <v>#REF!</v>
      </c>
      <c r="X35" s="19" t="e">
        <f>VLOOKUP(V35,#REF!,6,0)</f>
        <v>#REF!</v>
      </c>
      <c r="Y35" s="20">
        <v>43215</v>
      </c>
      <c r="Z35" s="20">
        <f t="shared" ref="Z35:Z61" si="25">Z34</f>
        <v>44377</v>
      </c>
      <c r="AA35" s="21">
        <f t="shared" si="21"/>
        <v>1162</v>
      </c>
      <c r="AB35" s="40" t="e">
        <f t="shared" si="22"/>
        <v>#REF!</v>
      </c>
      <c r="AC35" s="16" t="e">
        <f t="shared" si="23"/>
        <v>#REF!</v>
      </c>
      <c r="AD35" s="16" t="e">
        <f t="shared" si="24"/>
        <v>#VALUE!</v>
      </c>
    </row>
    <row r="36" spans="1:30" x14ac:dyDescent="0.3">
      <c r="A36" s="83">
        <f t="shared" si="20"/>
        <v>36</v>
      </c>
      <c r="B36" s="71">
        <v>43191</v>
      </c>
      <c r="C36" s="74" t="str">
        <f>IF(VLOOKUP(B36,'MAPA DATA'!C:F,2,0)=1,"FACT_EMITIDA",IF(VLOOKUP(B36,'MAPA DATA'!C:F,3,0)=1,"FACT_EST_EFACT",(IF(VLOOKUP(B36,'MAPA DATA'!C:F,4,0)=1,"FACT_EST_CEN","SIN DATA"))))</f>
        <v>FACT_EST_EFACT</v>
      </c>
      <c r="D36" s="13" t="str">
        <f t="shared" si="1"/>
        <v>=SUMAR.SI(FACT_EST_EFACT!B:B;Reliquidacion!B36;FACT_EST_EFACT!F:F)</v>
      </c>
      <c r="E36" s="14" t="str">
        <f t="shared" si="2"/>
        <v>=(F36/D36)</v>
      </c>
      <c r="F36" s="13" t="str">
        <f t="shared" si="3"/>
        <v>=SUMAR.SI(FACT_EST_EFACT!B:B;Reliquidacion!B36;FACT_EST_EFACT!H:H)</v>
      </c>
      <c r="G36" s="15" t="str">
        <f t="shared" si="4"/>
        <v>=SUMAR.SI(FACT_EST_EFACT!B:B;Reliquidacion!B36;FACT_EST_EFACT!F:F)</v>
      </c>
      <c r="H36" s="14" t="str">
        <f t="shared" si="5"/>
        <v>=(I36/G36)</v>
      </c>
      <c r="I36" s="13" t="str">
        <f t="shared" si="6"/>
        <v>=SUMAR.SI(FACT_EST_EFACT!B:B;Reliquidacion!B36;FACT_EST_EFACT!H:H)</v>
      </c>
      <c r="J36" s="13" t="str">
        <f t="shared" si="7"/>
        <v>=(F36+I36)</v>
      </c>
      <c r="L36" s="72" t="str">
        <f>IF(VLOOKUP(B36,'MAPA DATA'!C:H,5,0)=1,"EFACT_CNE",IF(VLOOKUP(B36,'MAPA DATA'!C:H,6,0)=1,"EFACT_EST_CNE","SIN DATA"))</f>
        <v>EFACT_CNE</v>
      </c>
      <c r="M36" s="13" t="str">
        <f t="shared" si="8"/>
        <v>=SUMAR.SI(EFACT_CNE!B:B;Reliquidacion!B36;EFACT_CNE!S:S)</v>
      </c>
      <c r="N36" s="14" t="str">
        <f t="shared" si="9"/>
        <v>=(O36/M36)</v>
      </c>
      <c r="O36" s="13" t="str">
        <f t="shared" si="10"/>
        <v>=SUMAR.SI(EFACT_CNE!B:B;Reliquidacion!B36;EFACT_CNE!W:W)</v>
      </c>
      <c r="P36" s="15" t="str">
        <f t="shared" si="11"/>
        <v>=SUMAR.SI(EFACT_CNE!B:B;Reliquidacion!B36;EFACT_CNE!X:X)</v>
      </c>
      <c r="Q36" s="14" t="str">
        <f t="shared" si="12"/>
        <v>=(R36/P36)</v>
      </c>
      <c r="R36" s="13" t="str">
        <f t="shared" si="13"/>
        <v>=SUMAR.SI(EFACT_CNE!B:B;Reliquidacion!B36;EFACT_CNE!AB:AB)</v>
      </c>
      <c r="S36" s="13" t="str">
        <f t="shared" si="14"/>
        <v>=(O36+R36)</v>
      </c>
      <c r="U36" s="16" t="str">
        <f t="shared" si="15"/>
        <v>=(S36-J36)</v>
      </c>
      <c r="V36" s="17" t="s">
        <v>82</v>
      </c>
      <c r="W36" s="18" t="e">
        <f>VLOOKUP(V36,#REF!,2,0)</f>
        <v>#REF!</v>
      </c>
      <c r="X36" s="19" t="e">
        <f>VLOOKUP(V36,#REF!,6,0)</f>
        <v>#REF!</v>
      </c>
      <c r="Y36" s="20">
        <v>43245</v>
      </c>
      <c r="Z36" s="20">
        <f t="shared" si="25"/>
        <v>44377</v>
      </c>
      <c r="AA36" s="21">
        <f t="shared" si="21"/>
        <v>1132</v>
      </c>
      <c r="AB36" s="40" t="e">
        <f t="shared" si="22"/>
        <v>#REF!</v>
      </c>
      <c r="AC36" s="16" t="e">
        <f t="shared" si="23"/>
        <v>#REF!</v>
      </c>
      <c r="AD36" s="16" t="e">
        <f t="shared" si="24"/>
        <v>#VALUE!</v>
      </c>
    </row>
    <row r="37" spans="1:30" x14ac:dyDescent="0.3">
      <c r="A37" s="83">
        <f t="shared" si="20"/>
        <v>37</v>
      </c>
      <c r="B37" s="71">
        <v>43221</v>
      </c>
      <c r="C37" s="74" t="str">
        <f>IF(VLOOKUP(B37,'MAPA DATA'!C:F,2,0)=1,"FACT_EMITIDA",IF(VLOOKUP(B37,'MAPA DATA'!C:F,3,0)=1,"FACT_EST_EFACT",(IF(VLOOKUP(B37,'MAPA DATA'!C:F,4,0)=1,"FACT_EST_CEN","SIN DATA"))))</f>
        <v>FACT_EST_EFACT</v>
      </c>
      <c r="D37" s="13" t="str">
        <f t="shared" si="1"/>
        <v>=SUMAR.SI(FACT_EST_EFACT!B:B;Reliquidacion!B37;FACT_EST_EFACT!F:F)</v>
      </c>
      <c r="E37" s="14" t="str">
        <f t="shared" si="2"/>
        <v>=(F37/D37)</v>
      </c>
      <c r="F37" s="13" t="str">
        <f t="shared" si="3"/>
        <v>=SUMAR.SI(FACT_EST_EFACT!B:B;Reliquidacion!B37;FACT_EST_EFACT!H:H)</v>
      </c>
      <c r="G37" s="15" t="str">
        <f t="shared" si="4"/>
        <v>=SUMAR.SI(FACT_EST_EFACT!B:B;Reliquidacion!B37;FACT_EST_EFACT!F:F)</v>
      </c>
      <c r="H37" s="14" t="str">
        <f t="shared" si="5"/>
        <v>=(I37/G37)</v>
      </c>
      <c r="I37" s="13" t="str">
        <f t="shared" si="6"/>
        <v>=SUMAR.SI(FACT_EST_EFACT!B:B;Reliquidacion!B37;FACT_EST_EFACT!H:H)</v>
      </c>
      <c r="J37" s="13" t="str">
        <f t="shared" si="7"/>
        <v>=(F37+I37)</v>
      </c>
      <c r="L37" s="72" t="str">
        <f>IF(VLOOKUP(B37,'MAPA DATA'!C:H,5,0)=1,"EFACT_CNE",IF(VLOOKUP(B37,'MAPA DATA'!C:H,6,0)=1,"EFACT_EST_CNE","SIN DATA"))</f>
        <v>EFACT_CNE</v>
      </c>
      <c r="M37" s="13" t="str">
        <f t="shared" si="8"/>
        <v>=SUMAR.SI(EFACT_CNE!B:B;Reliquidacion!B37;EFACT_CNE!S:S)</v>
      </c>
      <c r="N37" s="14" t="str">
        <f t="shared" si="9"/>
        <v>=(O37/M37)</v>
      </c>
      <c r="O37" s="13" t="str">
        <f t="shared" si="10"/>
        <v>=SUMAR.SI(EFACT_CNE!B:B;Reliquidacion!B37;EFACT_CNE!W:W)</v>
      </c>
      <c r="P37" s="15" t="str">
        <f t="shared" si="11"/>
        <v>=SUMAR.SI(EFACT_CNE!B:B;Reliquidacion!B37;EFACT_CNE!X:X)</v>
      </c>
      <c r="Q37" s="14" t="str">
        <f t="shared" si="12"/>
        <v>=(R37/P37)</v>
      </c>
      <c r="R37" s="13" t="str">
        <f t="shared" si="13"/>
        <v>=SUMAR.SI(EFACT_CNE!B:B;Reliquidacion!B37;EFACT_CNE!AB:AB)</v>
      </c>
      <c r="S37" s="13" t="str">
        <f t="shared" si="14"/>
        <v>=(O37+R37)</v>
      </c>
      <c r="U37" s="16" t="str">
        <f t="shared" si="15"/>
        <v>=(S37-J37)</v>
      </c>
      <c r="V37" s="17" t="s">
        <v>82</v>
      </c>
      <c r="W37" s="18" t="e">
        <f>VLOOKUP(V37,#REF!,2,0)</f>
        <v>#REF!</v>
      </c>
      <c r="X37" s="19" t="e">
        <f>VLOOKUP(V37,#REF!,6,0)</f>
        <v>#REF!</v>
      </c>
      <c r="Y37" s="20">
        <v>43276</v>
      </c>
      <c r="Z37" s="20">
        <f t="shared" si="25"/>
        <v>44377</v>
      </c>
      <c r="AA37" s="21">
        <f t="shared" si="21"/>
        <v>1101</v>
      </c>
      <c r="AB37" s="40" t="e">
        <f t="shared" si="22"/>
        <v>#REF!</v>
      </c>
      <c r="AC37" s="16" t="e">
        <f t="shared" si="23"/>
        <v>#REF!</v>
      </c>
      <c r="AD37" s="16" t="e">
        <f t="shared" si="24"/>
        <v>#VALUE!</v>
      </c>
    </row>
    <row r="38" spans="1:30" x14ac:dyDescent="0.3">
      <c r="A38" s="83">
        <f t="shared" si="20"/>
        <v>38</v>
      </c>
      <c r="B38" s="71">
        <v>43252</v>
      </c>
      <c r="C38" s="74" t="str">
        <f>IF(VLOOKUP(B38,'MAPA DATA'!C:F,2,0)=1,"FACT_EMITIDA",IF(VLOOKUP(B38,'MAPA DATA'!C:F,3,0)=1,"FACT_EST_EFACT",(IF(VLOOKUP(B38,'MAPA DATA'!C:F,4,0)=1,"FACT_EST_CEN","SIN DATA"))))</f>
        <v>FACT_EST_EFACT</v>
      </c>
      <c r="D38" s="13" t="str">
        <f t="shared" si="1"/>
        <v>=SUMAR.SI(FACT_EST_EFACT!B:B;Reliquidacion!B38;FACT_EST_EFACT!F:F)</v>
      </c>
      <c r="E38" s="14" t="str">
        <f t="shared" si="2"/>
        <v>=(F38/D38)</v>
      </c>
      <c r="F38" s="13" t="str">
        <f t="shared" si="3"/>
        <v>=SUMAR.SI(FACT_EST_EFACT!B:B;Reliquidacion!B38;FACT_EST_EFACT!H:H)</v>
      </c>
      <c r="G38" s="15" t="str">
        <f t="shared" si="4"/>
        <v>=SUMAR.SI(FACT_EST_EFACT!B:B;Reliquidacion!B38;FACT_EST_EFACT!F:F)</v>
      </c>
      <c r="H38" s="14" t="str">
        <f t="shared" si="5"/>
        <v>=(I38/G38)</v>
      </c>
      <c r="I38" s="13" t="str">
        <f t="shared" si="6"/>
        <v>=SUMAR.SI(FACT_EST_EFACT!B:B;Reliquidacion!B38;FACT_EST_EFACT!H:H)</v>
      </c>
      <c r="J38" s="13" t="str">
        <f t="shared" si="7"/>
        <v>=(F38+I38)</v>
      </c>
      <c r="L38" s="72" t="str">
        <f>IF(VLOOKUP(B38,'MAPA DATA'!C:H,5,0)=1,"EFACT_CNE",IF(VLOOKUP(B38,'MAPA DATA'!C:H,6,0)=1,"EFACT_EST_CNE","SIN DATA"))</f>
        <v>EFACT_CNE</v>
      </c>
      <c r="M38" s="13" t="str">
        <f t="shared" si="8"/>
        <v>=SUMAR.SI(EFACT_CNE!B:B;Reliquidacion!B38;EFACT_CNE!S:S)</v>
      </c>
      <c r="N38" s="14" t="str">
        <f t="shared" si="9"/>
        <v>=(O38/M38)</v>
      </c>
      <c r="O38" s="13" t="str">
        <f t="shared" si="10"/>
        <v>=SUMAR.SI(EFACT_CNE!B:B;Reliquidacion!B38;EFACT_CNE!W:W)</v>
      </c>
      <c r="P38" s="15" t="str">
        <f t="shared" si="11"/>
        <v>=SUMAR.SI(EFACT_CNE!B:B;Reliquidacion!B38;EFACT_CNE!X:X)</v>
      </c>
      <c r="Q38" s="14" t="str">
        <f t="shared" si="12"/>
        <v>=(R38/P38)</v>
      </c>
      <c r="R38" s="13" t="str">
        <f t="shared" si="13"/>
        <v>=SUMAR.SI(EFACT_CNE!B:B;Reliquidacion!B38;EFACT_CNE!AB:AB)</v>
      </c>
      <c r="S38" s="13" t="str">
        <f t="shared" si="14"/>
        <v>=(O38+R38)</v>
      </c>
      <c r="U38" s="16" t="str">
        <f t="shared" si="15"/>
        <v>=(S38-J38)</v>
      </c>
      <c r="V38" s="17" t="s">
        <v>82</v>
      </c>
      <c r="W38" s="18" t="e">
        <f>VLOOKUP(V38,#REF!,2,0)</f>
        <v>#REF!</v>
      </c>
      <c r="X38" s="19" t="e">
        <f>VLOOKUP(V38,#REF!,6,0)</f>
        <v>#REF!</v>
      </c>
      <c r="Y38" s="20">
        <v>43306</v>
      </c>
      <c r="Z38" s="20">
        <f t="shared" si="25"/>
        <v>44377</v>
      </c>
      <c r="AA38" s="21">
        <f t="shared" si="21"/>
        <v>1071</v>
      </c>
      <c r="AB38" s="40" t="e">
        <f t="shared" si="22"/>
        <v>#REF!</v>
      </c>
      <c r="AC38" s="16" t="e">
        <f t="shared" si="23"/>
        <v>#REF!</v>
      </c>
      <c r="AD38" s="16" t="e">
        <f t="shared" si="24"/>
        <v>#VALUE!</v>
      </c>
    </row>
    <row r="39" spans="1:30" x14ac:dyDescent="0.3">
      <c r="A39" s="83">
        <f t="shared" si="20"/>
        <v>39</v>
      </c>
      <c r="B39" s="71">
        <v>43282</v>
      </c>
      <c r="C39" s="74" t="str">
        <f>IF(VLOOKUP(B39,'MAPA DATA'!C:F,2,0)=1,"FACT_EMITIDA",IF(VLOOKUP(B39,'MAPA DATA'!C:F,3,0)=1,"FACT_EST_EFACT",(IF(VLOOKUP(B39,'MAPA DATA'!C:F,4,0)=1,"FACT_EST_CEN","SIN DATA"))))</f>
        <v>FACT_EST_EFACT</v>
      </c>
      <c r="D39" s="13" t="str">
        <f t="shared" si="1"/>
        <v>=SUMAR.SI(FACT_EST_EFACT!B:B;Reliquidacion!B39;FACT_EST_EFACT!F:F)</v>
      </c>
      <c r="E39" s="14" t="str">
        <f t="shared" si="2"/>
        <v>=(F39/D39)</v>
      </c>
      <c r="F39" s="13" t="str">
        <f t="shared" si="3"/>
        <v>=SUMAR.SI(FACT_EST_EFACT!B:B;Reliquidacion!B39;FACT_EST_EFACT!H:H)</v>
      </c>
      <c r="G39" s="15" t="str">
        <f t="shared" si="4"/>
        <v>=SUMAR.SI(FACT_EST_EFACT!B:B;Reliquidacion!B39;FACT_EST_EFACT!F:F)</v>
      </c>
      <c r="H39" s="14" t="str">
        <f t="shared" si="5"/>
        <v>=(I39/G39)</v>
      </c>
      <c r="I39" s="13" t="str">
        <f t="shared" si="6"/>
        <v>=SUMAR.SI(FACT_EST_EFACT!B:B;Reliquidacion!B39;FACT_EST_EFACT!H:H)</v>
      </c>
      <c r="J39" s="13" t="str">
        <f t="shared" si="7"/>
        <v>=(F39+I39)</v>
      </c>
      <c r="L39" s="72" t="str">
        <f>IF(VLOOKUP(B39,'MAPA DATA'!C:H,5,0)=1,"EFACT_CNE",IF(VLOOKUP(B39,'MAPA DATA'!C:H,6,0)=1,"EFACT_EST_CNE","SIN DATA"))</f>
        <v>EFACT_CNE</v>
      </c>
      <c r="M39" s="13" t="str">
        <f t="shared" si="8"/>
        <v>=SUMAR.SI(EFACT_CNE!B:B;Reliquidacion!B39;EFACT_CNE!S:S)</v>
      </c>
      <c r="N39" s="14" t="str">
        <f t="shared" si="9"/>
        <v>=(O39/M39)</v>
      </c>
      <c r="O39" s="13" t="str">
        <f t="shared" si="10"/>
        <v>=SUMAR.SI(EFACT_CNE!B:B;Reliquidacion!B39;EFACT_CNE!W:W)</v>
      </c>
      <c r="P39" s="15" t="str">
        <f t="shared" si="11"/>
        <v>=SUMAR.SI(EFACT_CNE!B:B;Reliquidacion!B39;EFACT_CNE!X:X)</v>
      </c>
      <c r="Q39" s="14" t="str">
        <f t="shared" si="12"/>
        <v>=(R39/P39)</v>
      </c>
      <c r="R39" s="13" t="str">
        <f t="shared" si="13"/>
        <v>=SUMAR.SI(EFACT_CNE!B:B;Reliquidacion!B39;EFACT_CNE!AB:AB)</v>
      </c>
      <c r="S39" s="13" t="str">
        <f t="shared" si="14"/>
        <v>=(O39+R39)</v>
      </c>
      <c r="U39" s="16" t="str">
        <f t="shared" si="15"/>
        <v>=(S39-J39)</v>
      </c>
      <c r="V39" s="17" t="s">
        <v>82</v>
      </c>
      <c r="W39" s="18" t="e">
        <f>VLOOKUP(V39,#REF!,2,0)</f>
        <v>#REF!</v>
      </c>
      <c r="X39" s="19" t="e">
        <f>VLOOKUP(V39,#REF!,6,0)</f>
        <v>#REF!</v>
      </c>
      <c r="Y39" s="20">
        <v>43337</v>
      </c>
      <c r="Z39" s="20">
        <f t="shared" si="25"/>
        <v>44377</v>
      </c>
      <c r="AA39" s="21">
        <f t="shared" si="21"/>
        <v>1040</v>
      </c>
      <c r="AB39" s="40" t="e">
        <f t="shared" si="22"/>
        <v>#REF!</v>
      </c>
      <c r="AC39" s="16" t="e">
        <f t="shared" si="23"/>
        <v>#REF!</v>
      </c>
      <c r="AD39" s="16" t="e">
        <f t="shared" si="24"/>
        <v>#VALUE!</v>
      </c>
    </row>
    <row r="40" spans="1:30" x14ac:dyDescent="0.3">
      <c r="A40" s="83">
        <f t="shared" si="20"/>
        <v>40</v>
      </c>
      <c r="B40" s="71">
        <v>43313</v>
      </c>
      <c r="C40" s="74" t="str">
        <f>IF(VLOOKUP(B40,'MAPA DATA'!C:F,2,0)=1,"FACT_EMITIDA",IF(VLOOKUP(B40,'MAPA DATA'!C:F,3,0)=1,"FACT_EST_EFACT",(IF(VLOOKUP(B40,'MAPA DATA'!C:F,4,0)=1,"FACT_EST_CEN","SIN DATA"))))</f>
        <v>FACT_EST_EFACT</v>
      </c>
      <c r="D40" s="13" t="str">
        <f t="shared" si="1"/>
        <v>=SUMAR.SI(FACT_EST_EFACT!B:B;Reliquidacion!B40;FACT_EST_EFACT!F:F)</v>
      </c>
      <c r="E40" s="14" t="str">
        <f t="shared" si="2"/>
        <v>=(F40/D40)</v>
      </c>
      <c r="F40" s="13" t="str">
        <f t="shared" si="3"/>
        <v>=SUMAR.SI(FACT_EST_EFACT!B:B;Reliquidacion!B40;FACT_EST_EFACT!H:H)</v>
      </c>
      <c r="G40" s="15" t="str">
        <f t="shared" si="4"/>
        <v>=SUMAR.SI(FACT_EST_EFACT!B:B;Reliquidacion!B40;FACT_EST_EFACT!F:F)</v>
      </c>
      <c r="H40" s="14" t="str">
        <f t="shared" si="5"/>
        <v>=(I40/G40)</v>
      </c>
      <c r="I40" s="13" t="str">
        <f t="shared" si="6"/>
        <v>=SUMAR.SI(FACT_EST_EFACT!B:B;Reliquidacion!B40;FACT_EST_EFACT!H:H)</v>
      </c>
      <c r="J40" s="13" t="str">
        <f t="shared" si="7"/>
        <v>=(F40+I40)</v>
      </c>
      <c r="L40" s="72" t="str">
        <f>IF(VLOOKUP(B40,'MAPA DATA'!C:H,5,0)=1,"EFACT_CNE",IF(VLOOKUP(B40,'MAPA DATA'!C:H,6,0)=1,"EFACT_EST_CNE","SIN DATA"))</f>
        <v>EFACT_CNE</v>
      </c>
      <c r="M40" s="13" t="str">
        <f t="shared" si="8"/>
        <v>=SUMAR.SI(EFACT_CNE!B:B;Reliquidacion!B40;EFACT_CNE!S:S)</v>
      </c>
      <c r="N40" s="14" t="str">
        <f t="shared" si="9"/>
        <v>=(O40/M40)</v>
      </c>
      <c r="O40" s="13" t="str">
        <f t="shared" si="10"/>
        <v>=SUMAR.SI(EFACT_CNE!B:B;Reliquidacion!B40;EFACT_CNE!W:W)</v>
      </c>
      <c r="P40" s="15" t="str">
        <f t="shared" si="11"/>
        <v>=SUMAR.SI(EFACT_CNE!B:B;Reliquidacion!B40;EFACT_CNE!X:X)</v>
      </c>
      <c r="Q40" s="14" t="str">
        <f t="shared" si="12"/>
        <v>=(R40/P40)</v>
      </c>
      <c r="R40" s="13" t="str">
        <f t="shared" si="13"/>
        <v>=SUMAR.SI(EFACT_CNE!B:B;Reliquidacion!B40;EFACT_CNE!AB:AB)</v>
      </c>
      <c r="S40" s="13" t="str">
        <f t="shared" si="14"/>
        <v>=(O40+R40)</v>
      </c>
      <c r="U40" s="16" t="str">
        <f t="shared" si="15"/>
        <v>=(S40-J40)</v>
      </c>
      <c r="V40" s="17" t="s">
        <v>82</v>
      </c>
      <c r="W40" s="18" t="e">
        <f>VLOOKUP(V40,#REF!,2,0)</f>
        <v>#REF!</v>
      </c>
      <c r="X40" s="19" t="e">
        <f>VLOOKUP(V40,#REF!,6,0)</f>
        <v>#REF!</v>
      </c>
      <c r="Y40" s="20">
        <v>43368</v>
      </c>
      <c r="Z40" s="20">
        <f t="shared" si="25"/>
        <v>44377</v>
      </c>
      <c r="AA40" s="21">
        <f t="shared" si="21"/>
        <v>1009</v>
      </c>
      <c r="AB40" s="40" t="e">
        <f t="shared" si="22"/>
        <v>#REF!</v>
      </c>
      <c r="AC40" s="16" t="e">
        <f t="shared" si="23"/>
        <v>#REF!</v>
      </c>
      <c r="AD40" s="16" t="e">
        <f t="shared" si="24"/>
        <v>#VALUE!</v>
      </c>
    </row>
    <row r="41" spans="1:30" x14ac:dyDescent="0.3">
      <c r="A41" s="83">
        <f t="shared" si="20"/>
        <v>41</v>
      </c>
      <c r="B41" s="71">
        <v>43344</v>
      </c>
      <c r="C41" s="74" t="str">
        <f>IF(VLOOKUP(B41,'MAPA DATA'!C:F,2,0)=1,"FACT_EMITIDA",IF(VLOOKUP(B41,'MAPA DATA'!C:F,3,0)=1,"FACT_EST_EFACT",(IF(VLOOKUP(B41,'MAPA DATA'!C:F,4,0)=1,"FACT_EST_CEN","SIN DATA"))))</f>
        <v>FACT_EMITIDA</v>
      </c>
      <c r="D41" s="13" t="str">
        <f t="shared" si="1"/>
        <v>=SUMAR.SI(SIGGE_E!B:B;Reliquidacion!B41;SIGGE_E!F:F)</v>
      </c>
      <c r="E41" s="14" t="str">
        <f t="shared" si="2"/>
        <v>=(F41/D41)</v>
      </c>
      <c r="F41" s="13" t="str">
        <f t="shared" si="3"/>
        <v>=SUMAR.SI(SIGGE_E!B:B;Reliquidacion!B41;SIGGE_E!H:H)</v>
      </c>
      <c r="G41" s="15" t="str">
        <f t="shared" si="4"/>
        <v>=SUMAR.SI(SIGGE_P!B:B;Reliquidacion!B41;SIGGE_P!F:F)</v>
      </c>
      <c r="H41" s="14" t="str">
        <f t="shared" si="5"/>
        <v>=(I41/G41)</v>
      </c>
      <c r="I41" s="13" t="str">
        <f t="shared" si="6"/>
        <v>=SUMAR.SI(SIGGE_P!B:B;Reliquidacion!B41;SIGGE_P!H:H)</v>
      </c>
      <c r="J41" s="13" t="str">
        <f t="shared" si="7"/>
        <v>=(F41+I41)</v>
      </c>
      <c r="L41" s="72" t="str">
        <f>IF(VLOOKUP(B41,'MAPA DATA'!C:H,5,0)=1,"EFACT_CNE",IF(VLOOKUP(B41,'MAPA DATA'!C:H,6,0)=1,"EFACT_EST_CNE","SIN DATA"))</f>
        <v>EFACT_CNE</v>
      </c>
      <c r="M41" s="13" t="str">
        <f t="shared" si="8"/>
        <v>=SUMAR.SI(EFACT_CNE!B:B;Reliquidacion!B41;EFACT_CNE!S:S)</v>
      </c>
      <c r="N41" s="14" t="str">
        <f t="shared" si="9"/>
        <v>=(O41/M41)</v>
      </c>
      <c r="O41" s="13" t="str">
        <f t="shared" si="10"/>
        <v>=SUMAR.SI(EFACT_CNE!B:B;Reliquidacion!B41;EFACT_CNE!W:W)</v>
      </c>
      <c r="P41" s="15" t="str">
        <f t="shared" si="11"/>
        <v>=SUMAR.SI(EFACT_CNE!B:B;Reliquidacion!B41;EFACT_CNE!X:X)</v>
      </c>
      <c r="Q41" s="14" t="str">
        <f t="shared" si="12"/>
        <v>=(R41/P41)</v>
      </c>
      <c r="R41" s="13" t="str">
        <f t="shared" si="13"/>
        <v>=SUMAR.SI(EFACT_CNE!B:B;Reliquidacion!B41;EFACT_CNE!AB:AB)</v>
      </c>
      <c r="S41" s="13" t="str">
        <f t="shared" si="14"/>
        <v>=(O41+R41)</v>
      </c>
      <c r="U41" s="16" t="str">
        <f t="shared" si="15"/>
        <v>=(S41-J41)</v>
      </c>
      <c r="V41" s="17" t="s">
        <v>83</v>
      </c>
      <c r="W41" s="18" t="e">
        <f>VLOOKUP(V41,#REF!,2,0)</f>
        <v>#REF!</v>
      </c>
      <c r="X41" s="19" t="e">
        <f>VLOOKUP(V41,#REF!,6,0)</f>
        <v>#REF!</v>
      </c>
      <c r="Y41" s="20">
        <v>43398</v>
      </c>
      <c r="Z41" s="20">
        <f t="shared" si="25"/>
        <v>44377</v>
      </c>
      <c r="AA41" s="21">
        <f t="shared" si="21"/>
        <v>979</v>
      </c>
      <c r="AB41" s="40" t="e">
        <f t="shared" si="22"/>
        <v>#REF!</v>
      </c>
      <c r="AC41" s="16" t="e">
        <f t="shared" si="23"/>
        <v>#REF!</v>
      </c>
      <c r="AD41" s="16" t="e">
        <f t="shared" si="24"/>
        <v>#VALUE!</v>
      </c>
    </row>
    <row r="42" spans="1:30" x14ac:dyDescent="0.3">
      <c r="A42" s="83">
        <f t="shared" si="20"/>
        <v>42</v>
      </c>
      <c r="B42" s="71">
        <v>43374</v>
      </c>
      <c r="C42" s="74" t="str">
        <f>IF(VLOOKUP(B42,'MAPA DATA'!C:F,2,0)=1,"FACT_EMITIDA",IF(VLOOKUP(B42,'MAPA DATA'!C:F,3,0)=1,"FACT_EST_EFACT",(IF(VLOOKUP(B42,'MAPA DATA'!C:F,4,0)=1,"FACT_EST_CEN","SIN DATA"))))</f>
        <v>FACT_EMITIDA</v>
      </c>
      <c r="D42" s="13" t="str">
        <f t="shared" si="1"/>
        <v>=SUMAR.SI(SIGGE_E!B:B;Reliquidacion!B42;SIGGE_E!F:F)</v>
      </c>
      <c r="E42" s="14" t="str">
        <f t="shared" si="2"/>
        <v>=(F42/D42)</v>
      </c>
      <c r="F42" s="13" t="str">
        <f t="shared" si="3"/>
        <v>=SUMAR.SI(SIGGE_E!B:B;Reliquidacion!B42;SIGGE_E!H:H)</v>
      </c>
      <c r="G42" s="15" t="str">
        <f t="shared" si="4"/>
        <v>=SUMAR.SI(SIGGE_P!B:B;Reliquidacion!B42;SIGGE_P!F:F)</v>
      </c>
      <c r="H42" s="14" t="str">
        <f t="shared" si="5"/>
        <v>=(I42/G42)</v>
      </c>
      <c r="I42" s="13" t="str">
        <f t="shared" si="6"/>
        <v>=SUMAR.SI(SIGGE_P!B:B;Reliquidacion!B42;SIGGE_P!H:H)</v>
      </c>
      <c r="J42" s="13" t="str">
        <f t="shared" si="7"/>
        <v>=(F42+I42)</v>
      </c>
      <c r="L42" s="72" t="str">
        <f>IF(VLOOKUP(B42,'MAPA DATA'!C:H,5,0)=1,"EFACT_CNE",IF(VLOOKUP(B42,'MAPA DATA'!C:H,6,0)=1,"EFACT_EST_CNE","SIN DATA"))</f>
        <v>EFACT_CNE</v>
      </c>
      <c r="M42" s="13" t="str">
        <f t="shared" si="8"/>
        <v>=SUMAR.SI(EFACT_CNE!B:B;Reliquidacion!B42;EFACT_CNE!S:S)</v>
      </c>
      <c r="N42" s="14" t="str">
        <f t="shared" si="9"/>
        <v>=(O42/M42)</v>
      </c>
      <c r="O42" s="13" t="str">
        <f t="shared" si="10"/>
        <v>=SUMAR.SI(EFACT_CNE!B:B;Reliquidacion!B42;EFACT_CNE!W:W)</v>
      </c>
      <c r="P42" s="15" t="str">
        <f t="shared" si="11"/>
        <v>=SUMAR.SI(EFACT_CNE!B:B;Reliquidacion!B42;EFACT_CNE!X:X)</v>
      </c>
      <c r="Q42" s="14" t="str">
        <f t="shared" si="12"/>
        <v>=(R42/P42)</v>
      </c>
      <c r="R42" s="13" t="str">
        <f t="shared" si="13"/>
        <v>=SUMAR.SI(EFACT_CNE!B:B;Reliquidacion!B42;EFACT_CNE!AB:AB)</v>
      </c>
      <c r="S42" s="13" t="str">
        <f t="shared" si="14"/>
        <v>=(O42+R42)</v>
      </c>
      <c r="U42" s="16" t="str">
        <f t="shared" si="15"/>
        <v>=(S42-J42)</v>
      </c>
      <c r="V42" s="17" t="s">
        <v>83</v>
      </c>
      <c r="W42" s="18" t="e">
        <f>VLOOKUP(V42,#REF!,2,0)</f>
        <v>#REF!</v>
      </c>
      <c r="X42" s="19" t="e">
        <f>VLOOKUP(V42,#REF!,6,0)</f>
        <v>#REF!</v>
      </c>
      <c r="Y42" s="20">
        <v>43429</v>
      </c>
      <c r="Z42" s="20">
        <f t="shared" si="25"/>
        <v>44377</v>
      </c>
      <c r="AA42" s="21">
        <f t="shared" si="21"/>
        <v>948</v>
      </c>
      <c r="AB42" s="40" t="e">
        <f t="shared" si="22"/>
        <v>#REF!</v>
      </c>
      <c r="AC42" s="16" t="e">
        <f t="shared" si="23"/>
        <v>#REF!</v>
      </c>
      <c r="AD42" s="16" t="e">
        <f t="shared" si="24"/>
        <v>#VALUE!</v>
      </c>
    </row>
    <row r="43" spans="1:30" x14ac:dyDescent="0.3">
      <c r="A43" s="83">
        <f t="shared" si="20"/>
        <v>43</v>
      </c>
      <c r="B43" s="71">
        <v>43405</v>
      </c>
      <c r="C43" s="74" t="str">
        <f>IF(VLOOKUP(B43,'MAPA DATA'!C:F,2,0)=1,"FACT_EMITIDA",IF(VLOOKUP(B43,'MAPA DATA'!C:F,3,0)=1,"FACT_EST_EFACT",(IF(VLOOKUP(B43,'MAPA DATA'!C:F,4,0)=1,"FACT_EST_CEN","SIN DATA"))))</f>
        <v>FACT_EMITIDA</v>
      </c>
      <c r="D43" s="13" t="str">
        <f t="shared" si="1"/>
        <v>=SUMAR.SI(SIGGE_E!B:B;Reliquidacion!B43;SIGGE_E!F:F)</v>
      </c>
      <c r="E43" s="14" t="str">
        <f t="shared" si="2"/>
        <v>=(F43/D43)</v>
      </c>
      <c r="F43" s="13" t="str">
        <f t="shared" si="3"/>
        <v>=SUMAR.SI(SIGGE_E!B:B;Reliquidacion!B43;SIGGE_E!H:H)</v>
      </c>
      <c r="G43" s="15" t="str">
        <f t="shared" si="4"/>
        <v>=SUMAR.SI(SIGGE_P!B:B;Reliquidacion!B43;SIGGE_P!F:F)</v>
      </c>
      <c r="H43" s="14" t="str">
        <f t="shared" si="5"/>
        <v>=(I43/G43)</v>
      </c>
      <c r="I43" s="13" t="str">
        <f t="shared" si="6"/>
        <v>=SUMAR.SI(SIGGE_P!B:B;Reliquidacion!B43;SIGGE_P!H:H)</v>
      </c>
      <c r="J43" s="13" t="str">
        <f t="shared" si="7"/>
        <v>=(F43+I43)</v>
      </c>
      <c r="L43" s="72" t="str">
        <f>IF(VLOOKUP(B43,'MAPA DATA'!C:H,5,0)=1,"EFACT_CNE",IF(VLOOKUP(B43,'MAPA DATA'!C:H,6,0)=1,"EFACT_EST_CNE","SIN DATA"))</f>
        <v>EFACT_CNE</v>
      </c>
      <c r="M43" s="13" t="str">
        <f t="shared" si="8"/>
        <v>=SUMAR.SI(EFACT_CNE!B:B;Reliquidacion!B43;EFACT_CNE!S:S)</v>
      </c>
      <c r="N43" s="14" t="str">
        <f t="shared" si="9"/>
        <v>=(O43/M43)</v>
      </c>
      <c r="O43" s="13" t="str">
        <f t="shared" si="10"/>
        <v>=SUMAR.SI(EFACT_CNE!B:B;Reliquidacion!B43;EFACT_CNE!W:W)</v>
      </c>
      <c r="P43" s="15" t="str">
        <f t="shared" si="11"/>
        <v>=SUMAR.SI(EFACT_CNE!B:B;Reliquidacion!B43;EFACT_CNE!X:X)</v>
      </c>
      <c r="Q43" s="14" t="str">
        <f t="shared" si="12"/>
        <v>=(R43/P43)</v>
      </c>
      <c r="R43" s="13" t="str">
        <f t="shared" si="13"/>
        <v>=SUMAR.SI(EFACT_CNE!B:B;Reliquidacion!B43;EFACT_CNE!AB:AB)</v>
      </c>
      <c r="S43" s="13" t="str">
        <f t="shared" si="14"/>
        <v>=(O43+R43)</v>
      </c>
      <c r="U43" s="16" t="str">
        <f t="shared" si="15"/>
        <v>=(S43-J43)</v>
      </c>
      <c r="V43" s="17" t="s">
        <v>83</v>
      </c>
      <c r="W43" s="18" t="e">
        <f>VLOOKUP(V43,#REF!,2,0)</f>
        <v>#REF!</v>
      </c>
      <c r="X43" s="19" t="e">
        <f>VLOOKUP(V43,#REF!,6,0)</f>
        <v>#REF!</v>
      </c>
      <c r="Y43" s="20">
        <v>43459</v>
      </c>
      <c r="Z43" s="20">
        <f t="shared" si="25"/>
        <v>44377</v>
      </c>
      <c r="AA43" s="21">
        <f t="shared" si="21"/>
        <v>918</v>
      </c>
      <c r="AB43" s="40" t="e">
        <f t="shared" si="22"/>
        <v>#REF!</v>
      </c>
      <c r="AC43" s="16" t="e">
        <f t="shared" si="23"/>
        <v>#REF!</v>
      </c>
      <c r="AD43" s="16" t="e">
        <f t="shared" si="24"/>
        <v>#VALUE!</v>
      </c>
    </row>
    <row r="44" spans="1:30" x14ac:dyDescent="0.3">
      <c r="A44" s="83">
        <f t="shared" si="20"/>
        <v>44</v>
      </c>
      <c r="B44" s="71">
        <v>43435</v>
      </c>
      <c r="C44" s="74" t="str">
        <f>IF(VLOOKUP(B44,'MAPA DATA'!C:F,2,0)=1,"FACT_EMITIDA",IF(VLOOKUP(B44,'MAPA DATA'!C:F,3,0)=1,"FACT_EST_EFACT",(IF(VLOOKUP(B44,'MAPA DATA'!C:F,4,0)=1,"FACT_EST_CEN","SIN DATA"))))</f>
        <v>FACT_EMITIDA</v>
      </c>
      <c r="D44" s="13" t="str">
        <f t="shared" si="1"/>
        <v>=SUMAR.SI(SIGGE_E!B:B;Reliquidacion!B44;SIGGE_E!F:F)</v>
      </c>
      <c r="E44" s="14" t="str">
        <f t="shared" si="2"/>
        <v>=(F44/D44)</v>
      </c>
      <c r="F44" s="13" t="str">
        <f t="shared" si="3"/>
        <v>=SUMAR.SI(SIGGE_E!B:B;Reliquidacion!B44;SIGGE_E!H:H)</v>
      </c>
      <c r="G44" s="15" t="str">
        <f t="shared" si="4"/>
        <v>=SUMAR.SI(SIGGE_P!B:B;Reliquidacion!B44;SIGGE_P!F:F)</v>
      </c>
      <c r="H44" s="14" t="str">
        <f t="shared" si="5"/>
        <v>=(I44/G44)</v>
      </c>
      <c r="I44" s="13" t="str">
        <f t="shared" si="6"/>
        <v>=SUMAR.SI(SIGGE_P!B:B;Reliquidacion!B44;SIGGE_P!H:H)</v>
      </c>
      <c r="J44" s="13" t="str">
        <f t="shared" si="7"/>
        <v>=(F44+I44)</v>
      </c>
      <c r="L44" s="72" t="str">
        <f>IF(VLOOKUP(B44,'MAPA DATA'!C:H,5,0)=1,"EFACT_CNE",IF(VLOOKUP(B44,'MAPA DATA'!C:H,6,0)=1,"EFACT_EST_CNE","SIN DATA"))</f>
        <v>EFACT_CNE</v>
      </c>
      <c r="M44" s="13" t="str">
        <f t="shared" si="8"/>
        <v>=SUMAR.SI(EFACT_CNE!B:B;Reliquidacion!B44;EFACT_CNE!S:S)</v>
      </c>
      <c r="N44" s="14" t="str">
        <f t="shared" si="9"/>
        <v>=(O44/M44)</v>
      </c>
      <c r="O44" s="13" t="str">
        <f t="shared" si="10"/>
        <v>=SUMAR.SI(EFACT_CNE!B:B;Reliquidacion!B44;EFACT_CNE!W:W)</v>
      </c>
      <c r="P44" s="15" t="str">
        <f t="shared" si="11"/>
        <v>=SUMAR.SI(EFACT_CNE!B:B;Reliquidacion!B44;EFACT_CNE!X:X)</v>
      </c>
      <c r="Q44" s="14" t="str">
        <f t="shared" si="12"/>
        <v>=(R44/P44)</v>
      </c>
      <c r="R44" s="13" t="str">
        <f t="shared" si="13"/>
        <v>=SUMAR.SI(EFACT_CNE!B:B;Reliquidacion!B44;EFACT_CNE!AB:AB)</v>
      </c>
      <c r="S44" s="13" t="str">
        <f t="shared" si="14"/>
        <v>=(O44+R44)</v>
      </c>
      <c r="U44" s="16" t="str">
        <f t="shared" si="15"/>
        <v>=(S44-J44)</v>
      </c>
      <c r="V44" s="17" t="s">
        <v>83</v>
      </c>
      <c r="W44" s="18" t="e">
        <f>VLOOKUP(V44,#REF!,2,0)</f>
        <v>#REF!</v>
      </c>
      <c r="X44" s="19" t="e">
        <f>VLOOKUP(V44,#REF!,6,0)</f>
        <v>#REF!</v>
      </c>
      <c r="Y44" s="20">
        <v>43490</v>
      </c>
      <c r="Z44" s="20">
        <f t="shared" si="25"/>
        <v>44377</v>
      </c>
      <c r="AA44" s="21">
        <f t="shared" si="21"/>
        <v>887</v>
      </c>
      <c r="AB44" s="40" t="e">
        <f t="shared" si="22"/>
        <v>#REF!</v>
      </c>
      <c r="AC44" s="16" t="e">
        <f t="shared" si="23"/>
        <v>#REF!</v>
      </c>
      <c r="AD44" s="16" t="e">
        <f t="shared" si="24"/>
        <v>#VALUE!</v>
      </c>
    </row>
    <row r="45" spans="1:30" x14ac:dyDescent="0.3">
      <c r="A45" s="83">
        <f t="shared" si="20"/>
        <v>45</v>
      </c>
      <c r="B45" s="71">
        <v>43466</v>
      </c>
      <c r="C45" s="74" t="str">
        <f>IF(VLOOKUP(B45,'MAPA DATA'!C:F,2,0)=1,"FACT_EMITIDA",IF(VLOOKUP(B45,'MAPA DATA'!C:F,3,0)=1,"FACT_EST_EFACT",(IF(VLOOKUP(B45,'MAPA DATA'!C:F,4,0)=1,"FACT_EST_CEN","SIN DATA"))))</f>
        <v>FACT_EMITIDA</v>
      </c>
      <c r="D45" s="13" t="str">
        <f t="shared" si="1"/>
        <v>=SUMAR.SI(SIGGE_E!B:B;Reliquidacion!B45;SIGGE_E!F:F)</v>
      </c>
      <c r="E45" s="14" t="str">
        <f t="shared" si="2"/>
        <v>=(F45/D45)</v>
      </c>
      <c r="F45" s="13" t="str">
        <f t="shared" si="3"/>
        <v>=SUMAR.SI(SIGGE_E!B:B;Reliquidacion!B45;SIGGE_E!H:H)</v>
      </c>
      <c r="G45" s="15" t="str">
        <f t="shared" si="4"/>
        <v>=SUMAR.SI(SIGGE_P!B:B;Reliquidacion!B45;SIGGE_P!F:F)</v>
      </c>
      <c r="H45" s="14" t="str">
        <f t="shared" si="5"/>
        <v>=(I45/G45)</v>
      </c>
      <c r="I45" s="13" t="str">
        <f t="shared" si="6"/>
        <v>=SUMAR.SI(SIGGE_P!B:B;Reliquidacion!B45;SIGGE_P!H:H)</v>
      </c>
      <c r="J45" s="13" t="str">
        <f t="shared" si="7"/>
        <v>=(F45+I45)</v>
      </c>
      <c r="L45" s="72" t="str">
        <f>IF(VLOOKUP(B45,'MAPA DATA'!C:H,5,0)=1,"EFACT_CNE",IF(VLOOKUP(B45,'MAPA DATA'!C:H,6,0)=1,"EFACT_EST_CNE","SIN DATA"))</f>
        <v>EFACT_CNE</v>
      </c>
      <c r="M45" s="13" t="str">
        <f t="shared" si="8"/>
        <v>=SUMAR.SI(EFACT_CNE!B:B;Reliquidacion!B45;EFACT_CNE!S:S)</v>
      </c>
      <c r="N45" s="14" t="str">
        <f t="shared" si="9"/>
        <v>=(O45/M45)</v>
      </c>
      <c r="O45" s="13" t="str">
        <f t="shared" si="10"/>
        <v>=SUMAR.SI(EFACT_CNE!B:B;Reliquidacion!B45;EFACT_CNE!W:W)</v>
      </c>
      <c r="P45" s="15" t="str">
        <f t="shared" si="11"/>
        <v>=SUMAR.SI(EFACT_CNE!B:B;Reliquidacion!B45;EFACT_CNE!X:X)</v>
      </c>
      <c r="Q45" s="14" t="str">
        <f t="shared" si="12"/>
        <v>=(R45/P45)</v>
      </c>
      <c r="R45" s="13" t="str">
        <f t="shared" si="13"/>
        <v>=SUMAR.SI(EFACT_CNE!B:B;Reliquidacion!B45;EFACT_CNE!AB:AB)</v>
      </c>
      <c r="S45" s="13" t="str">
        <f t="shared" si="14"/>
        <v>=(O45+R45)</v>
      </c>
      <c r="U45" s="16" t="str">
        <f t="shared" si="15"/>
        <v>=(S45-J45)</v>
      </c>
      <c r="V45" s="17" t="s">
        <v>83</v>
      </c>
      <c r="W45" s="18" t="e">
        <f>VLOOKUP(V45,#REF!,2,0)</f>
        <v>#REF!</v>
      </c>
      <c r="X45" s="19" t="e">
        <f>VLOOKUP(V45,#REF!,6,0)</f>
        <v>#REF!</v>
      </c>
      <c r="Y45" s="20">
        <v>43521</v>
      </c>
      <c r="Z45" s="20">
        <f t="shared" si="25"/>
        <v>44377</v>
      </c>
      <c r="AA45" s="21">
        <f t="shared" si="21"/>
        <v>856</v>
      </c>
      <c r="AB45" s="40" t="e">
        <f t="shared" si="22"/>
        <v>#REF!</v>
      </c>
      <c r="AC45" s="16" t="e">
        <f t="shared" si="23"/>
        <v>#REF!</v>
      </c>
      <c r="AD45" s="16" t="e">
        <f t="shared" si="24"/>
        <v>#VALUE!</v>
      </c>
    </row>
    <row r="46" spans="1:30" x14ac:dyDescent="0.3">
      <c r="A46" s="83">
        <f t="shared" si="20"/>
        <v>46</v>
      </c>
      <c r="B46" s="71">
        <v>43497</v>
      </c>
      <c r="C46" s="74" t="str">
        <f>IF(VLOOKUP(B46,'MAPA DATA'!C:F,2,0)=1,"FACT_EMITIDA",IF(VLOOKUP(B46,'MAPA DATA'!C:F,3,0)=1,"FACT_EST_EFACT",(IF(VLOOKUP(B46,'MAPA DATA'!C:F,4,0)=1,"FACT_EST_CEN","SIN DATA"))))</f>
        <v>FACT_EMITIDA</v>
      </c>
      <c r="D46" s="13" t="str">
        <f t="shared" si="1"/>
        <v>=SUMAR.SI(SIGGE_E!B:B;Reliquidacion!B46;SIGGE_E!F:F)</v>
      </c>
      <c r="E46" s="14" t="str">
        <f t="shared" si="2"/>
        <v>=(F46/D46)</v>
      </c>
      <c r="F46" s="13" t="str">
        <f t="shared" si="3"/>
        <v>=SUMAR.SI(SIGGE_E!B:B;Reliquidacion!B46;SIGGE_E!H:H)</v>
      </c>
      <c r="G46" s="15" t="str">
        <f t="shared" si="4"/>
        <v>=SUMAR.SI(SIGGE_P!B:B;Reliquidacion!B46;SIGGE_P!F:F)</v>
      </c>
      <c r="H46" s="14" t="str">
        <f t="shared" si="5"/>
        <v>=(I46/G46)</v>
      </c>
      <c r="I46" s="13" t="str">
        <f t="shared" si="6"/>
        <v>=SUMAR.SI(SIGGE_P!B:B;Reliquidacion!B46;SIGGE_P!H:H)</v>
      </c>
      <c r="J46" s="13" t="str">
        <f t="shared" si="7"/>
        <v>=(F46+I46)</v>
      </c>
      <c r="L46" s="72" t="str">
        <f>IF(VLOOKUP(B46,'MAPA DATA'!C:H,5,0)=1,"EFACT_CNE",IF(VLOOKUP(B46,'MAPA DATA'!C:H,6,0)=1,"EFACT_EST_CNE","SIN DATA"))</f>
        <v>EFACT_CNE</v>
      </c>
      <c r="M46" s="13" t="str">
        <f t="shared" si="8"/>
        <v>=SUMAR.SI(EFACT_CNE!B:B;Reliquidacion!B46;EFACT_CNE!S:S)</v>
      </c>
      <c r="N46" s="14" t="str">
        <f t="shared" si="9"/>
        <v>=(O46/M46)</v>
      </c>
      <c r="O46" s="13" t="str">
        <f t="shared" si="10"/>
        <v>=SUMAR.SI(EFACT_CNE!B:B;Reliquidacion!B46;EFACT_CNE!W:W)</v>
      </c>
      <c r="P46" s="15" t="str">
        <f t="shared" si="11"/>
        <v>=SUMAR.SI(EFACT_CNE!B:B;Reliquidacion!B46;EFACT_CNE!X:X)</v>
      </c>
      <c r="Q46" s="14" t="str">
        <f t="shared" si="12"/>
        <v>=(R46/P46)</v>
      </c>
      <c r="R46" s="13" t="str">
        <f t="shared" si="13"/>
        <v>=SUMAR.SI(EFACT_CNE!B:B;Reliquidacion!B46;EFACT_CNE!AB:AB)</v>
      </c>
      <c r="S46" s="13" t="str">
        <f t="shared" si="14"/>
        <v>=(O46+R46)</v>
      </c>
      <c r="U46" s="16" t="str">
        <f t="shared" si="15"/>
        <v>=(S46-J46)</v>
      </c>
      <c r="V46" s="17" t="s">
        <v>83</v>
      </c>
      <c r="W46" s="18" t="e">
        <f>VLOOKUP(V46,#REF!,2,0)</f>
        <v>#REF!</v>
      </c>
      <c r="X46" s="19" t="e">
        <f>VLOOKUP(V46,#REF!,6,0)</f>
        <v>#REF!</v>
      </c>
      <c r="Y46" s="20">
        <v>43549</v>
      </c>
      <c r="Z46" s="20">
        <f t="shared" si="25"/>
        <v>44377</v>
      </c>
      <c r="AA46" s="21">
        <f t="shared" si="21"/>
        <v>828</v>
      </c>
      <c r="AB46" s="40" t="e">
        <f t="shared" si="22"/>
        <v>#REF!</v>
      </c>
      <c r="AC46" s="16" t="e">
        <f t="shared" si="23"/>
        <v>#REF!</v>
      </c>
      <c r="AD46" s="16" t="e">
        <f t="shared" si="24"/>
        <v>#VALUE!</v>
      </c>
    </row>
    <row r="47" spans="1:30" x14ac:dyDescent="0.3">
      <c r="A47" s="83">
        <f t="shared" si="20"/>
        <v>47</v>
      </c>
      <c r="B47" s="71">
        <v>43525</v>
      </c>
      <c r="C47" s="74" t="str">
        <f>IF(VLOOKUP(B47,'MAPA DATA'!C:F,2,0)=1,"FACT_EMITIDA",IF(VLOOKUP(B47,'MAPA DATA'!C:F,3,0)=1,"FACT_EST_EFACT",(IF(VLOOKUP(B47,'MAPA DATA'!C:F,4,0)=1,"FACT_EST_CEN","SIN DATA"))))</f>
        <v>FACT_EMITIDA</v>
      </c>
      <c r="D47" s="13" t="str">
        <f t="shared" si="1"/>
        <v>=SUMAR.SI(SIGGE_E!B:B;Reliquidacion!B47;SIGGE_E!F:F)</v>
      </c>
      <c r="E47" s="14" t="str">
        <f t="shared" si="2"/>
        <v>=(F47/D47)</v>
      </c>
      <c r="F47" s="13" t="str">
        <f t="shared" si="3"/>
        <v>=SUMAR.SI(SIGGE_E!B:B;Reliquidacion!B47;SIGGE_E!H:H)</v>
      </c>
      <c r="G47" s="15" t="str">
        <f t="shared" si="4"/>
        <v>=SUMAR.SI(SIGGE_P!B:B;Reliquidacion!B47;SIGGE_P!F:F)</v>
      </c>
      <c r="H47" s="14" t="str">
        <f t="shared" si="5"/>
        <v>=(I47/G47)</v>
      </c>
      <c r="I47" s="13" t="str">
        <f t="shared" si="6"/>
        <v>=SUMAR.SI(SIGGE_P!B:B;Reliquidacion!B47;SIGGE_P!H:H)</v>
      </c>
      <c r="J47" s="13" t="str">
        <f t="shared" si="7"/>
        <v>=(F47+I47)</v>
      </c>
      <c r="L47" s="72" t="str">
        <f>IF(VLOOKUP(B47,'MAPA DATA'!C:H,5,0)=1,"EFACT_CNE",IF(VLOOKUP(B47,'MAPA DATA'!C:H,6,0)=1,"EFACT_EST_CNE","SIN DATA"))</f>
        <v>EFACT_CNE</v>
      </c>
      <c r="M47" s="13" t="str">
        <f t="shared" si="8"/>
        <v>=SUMAR.SI(EFACT_CNE!B:B;Reliquidacion!B47;EFACT_CNE!S:S)</v>
      </c>
      <c r="N47" s="14" t="str">
        <f t="shared" si="9"/>
        <v>=(O47/M47)</v>
      </c>
      <c r="O47" s="13" t="str">
        <f t="shared" si="10"/>
        <v>=SUMAR.SI(EFACT_CNE!B:B;Reliquidacion!B47;EFACT_CNE!W:W)</v>
      </c>
      <c r="P47" s="15" t="str">
        <f t="shared" si="11"/>
        <v>=SUMAR.SI(EFACT_CNE!B:B;Reliquidacion!B47;EFACT_CNE!X:X)</v>
      </c>
      <c r="Q47" s="14" t="str">
        <f t="shared" si="12"/>
        <v>=(R47/P47)</v>
      </c>
      <c r="R47" s="13" t="str">
        <f t="shared" si="13"/>
        <v>=SUMAR.SI(EFACT_CNE!B:B;Reliquidacion!B47;EFACT_CNE!AB:AB)</v>
      </c>
      <c r="S47" s="13" t="str">
        <f t="shared" si="14"/>
        <v>=(O47+R47)</v>
      </c>
      <c r="U47" s="16" t="str">
        <f t="shared" si="15"/>
        <v>=(S47-J47)</v>
      </c>
      <c r="V47" s="17" t="s">
        <v>83</v>
      </c>
      <c r="W47" s="18" t="e">
        <f>VLOOKUP(V47,#REF!,2,0)</f>
        <v>#REF!</v>
      </c>
      <c r="X47" s="19" t="e">
        <f>VLOOKUP(V47,#REF!,6,0)</f>
        <v>#REF!</v>
      </c>
      <c r="Y47" s="20">
        <v>43580</v>
      </c>
      <c r="Z47" s="20">
        <f t="shared" si="25"/>
        <v>44377</v>
      </c>
      <c r="AA47" s="21">
        <f t="shared" si="21"/>
        <v>797</v>
      </c>
      <c r="AB47" s="40" t="e">
        <f t="shared" si="22"/>
        <v>#REF!</v>
      </c>
      <c r="AC47" s="16" t="e">
        <f t="shared" si="23"/>
        <v>#REF!</v>
      </c>
      <c r="AD47" s="16" t="e">
        <f t="shared" si="24"/>
        <v>#VALUE!</v>
      </c>
    </row>
    <row r="48" spans="1:30" x14ac:dyDescent="0.3">
      <c r="A48" s="83">
        <f t="shared" si="20"/>
        <v>48</v>
      </c>
      <c r="B48" s="71">
        <v>43556</v>
      </c>
      <c r="C48" s="74" t="str">
        <f>IF(VLOOKUP(B48,'MAPA DATA'!C:F,2,0)=1,"FACT_EMITIDA",IF(VLOOKUP(B48,'MAPA DATA'!C:F,3,0)=1,"FACT_EST_EFACT",(IF(VLOOKUP(B48,'MAPA DATA'!C:F,4,0)=1,"FACT_EST_CEN","SIN DATA"))))</f>
        <v>FACT_EMITIDA</v>
      </c>
      <c r="D48" s="13" t="str">
        <f t="shared" si="1"/>
        <v>=SUMAR.SI(SIGGE_E!B:B;Reliquidacion!B48;SIGGE_E!F:F)</v>
      </c>
      <c r="E48" s="14" t="str">
        <f t="shared" si="2"/>
        <v>=(F48/D48)</v>
      </c>
      <c r="F48" s="13" t="str">
        <f t="shared" si="3"/>
        <v>=SUMAR.SI(SIGGE_E!B:B;Reliquidacion!B48;SIGGE_E!H:H)</v>
      </c>
      <c r="G48" s="15" t="str">
        <f t="shared" si="4"/>
        <v>=SUMAR.SI(SIGGE_P!B:B;Reliquidacion!B48;SIGGE_P!F:F)</v>
      </c>
      <c r="H48" s="14" t="str">
        <f t="shared" si="5"/>
        <v>=(I48/G48)</v>
      </c>
      <c r="I48" s="13" t="str">
        <f t="shared" si="6"/>
        <v>=SUMAR.SI(SIGGE_P!B:B;Reliquidacion!B48;SIGGE_P!H:H)</v>
      </c>
      <c r="J48" s="13" t="str">
        <f t="shared" si="7"/>
        <v>=(F48+I48)</v>
      </c>
      <c r="L48" s="72" t="str">
        <f>IF(VLOOKUP(B48,'MAPA DATA'!C:H,5,0)=1,"EFACT_CNE",IF(VLOOKUP(B48,'MAPA DATA'!C:H,6,0)=1,"EFACT_EST_CNE","SIN DATA"))</f>
        <v>EFACT_CNE</v>
      </c>
      <c r="M48" s="13" t="str">
        <f t="shared" si="8"/>
        <v>=SUMAR.SI(EFACT_CNE!B:B;Reliquidacion!B48;EFACT_CNE!S:S)</v>
      </c>
      <c r="N48" s="14" t="str">
        <f t="shared" si="9"/>
        <v>=(O48/M48)</v>
      </c>
      <c r="O48" s="13" t="str">
        <f t="shared" si="10"/>
        <v>=SUMAR.SI(EFACT_CNE!B:B;Reliquidacion!B48;EFACT_CNE!W:W)</v>
      </c>
      <c r="P48" s="15" t="str">
        <f t="shared" si="11"/>
        <v>=SUMAR.SI(EFACT_CNE!B:B;Reliquidacion!B48;EFACT_CNE!X:X)</v>
      </c>
      <c r="Q48" s="14" t="str">
        <f t="shared" si="12"/>
        <v>=(R48/P48)</v>
      </c>
      <c r="R48" s="13" t="str">
        <f t="shared" si="13"/>
        <v>=SUMAR.SI(EFACT_CNE!B:B;Reliquidacion!B48;EFACT_CNE!AB:AB)</v>
      </c>
      <c r="S48" s="13" t="str">
        <f t="shared" si="14"/>
        <v>=(O48+R48)</v>
      </c>
      <c r="U48" s="16" t="str">
        <f t="shared" si="15"/>
        <v>=(S48-J48)</v>
      </c>
      <c r="V48" s="17" t="s">
        <v>83</v>
      </c>
      <c r="W48" s="18" t="e">
        <f>VLOOKUP(V48,#REF!,2,0)</f>
        <v>#REF!</v>
      </c>
      <c r="X48" s="19" t="e">
        <f>VLOOKUP(V48,#REF!,6,0)</f>
        <v>#REF!</v>
      </c>
      <c r="Y48" s="20">
        <v>43610</v>
      </c>
      <c r="Z48" s="20">
        <f t="shared" si="25"/>
        <v>44377</v>
      </c>
      <c r="AA48" s="21">
        <f t="shared" si="21"/>
        <v>767</v>
      </c>
      <c r="AB48" s="40" t="e">
        <f t="shared" si="22"/>
        <v>#REF!</v>
      </c>
      <c r="AC48" s="16" t="e">
        <f t="shared" si="23"/>
        <v>#REF!</v>
      </c>
      <c r="AD48" s="16" t="e">
        <f t="shared" si="24"/>
        <v>#VALUE!</v>
      </c>
    </row>
    <row r="49" spans="1:30" x14ac:dyDescent="0.3">
      <c r="A49" s="83">
        <f t="shared" si="20"/>
        <v>49</v>
      </c>
      <c r="B49" s="71">
        <v>43586</v>
      </c>
      <c r="C49" s="74" t="str">
        <f>IF(VLOOKUP(B49,'MAPA DATA'!C:F,2,0)=1,"FACT_EMITIDA",IF(VLOOKUP(B49,'MAPA DATA'!C:F,3,0)=1,"FACT_EST_EFACT",(IF(VLOOKUP(B49,'MAPA DATA'!C:F,4,0)=1,"FACT_EST_CEN","SIN DATA"))))</f>
        <v>FACT_EMITIDA</v>
      </c>
      <c r="D49" s="13" t="str">
        <f t="shared" si="1"/>
        <v>=SUMAR.SI(SIGGE_E!B:B;Reliquidacion!B49;SIGGE_E!F:F)</v>
      </c>
      <c r="E49" s="14" t="str">
        <f t="shared" si="2"/>
        <v>=(F49/D49)</v>
      </c>
      <c r="F49" s="13" t="str">
        <f t="shared" si="3"/>
        <v>=SUMAR.SI(SIGGE_E!B:B;Reliquidacion!B49;SIGGE_E!H:H)</v>
      </c>
      <c r="G49" s="15" t="str">
        <f t="shared" si="4"/>
        <v>=SUMAR.SI(SIGGE_P!B:B;Reliquidacion!B49;SIGGE_P!F:F)</v>
      </c>
      <c r="H49" s="14" t="str">
        <f t="shared" si="5"/>
        <v>=(I49/G49)</v>
      </c>
      <c r="I49" s="13" t="str">
        <f t="shared" si="6"/>
        <v>=SUMAR.SI(SIGGE_P!B:B;Reliquidacion!B49;SIGGE_P!H:H)</v>
      </c>
      <c r="J49" s="13" t="str">
        <f t="shared" si="7"/>
        <v>=(F49+I49)</v>
      </c>
      <c r="L49" s="72" t="str">
        <f>IF(VLOOKUP(B49,'MAPA DATA'!C:H,5,0)=1,"EFACT_CNE",IF(VLOOKUP(B49,'MAPA DATA'!C:H,6,0)=1,"EFACT_EST_CNE","SIN DATA"))</f>
        <v>EFACT_CNE</v>
      </c>
      <c r="M49" s="13" t="str">
        <f t="shared" si="8"/>
        <v>=SUMAR.SI(EFACT_CNE!B:B;Reliquidacion!B49;EFACT_CNE!S:S)</v>
      </c>
      <c r="N49" s="14" t="str">
        <f t="shared" si="9"/>
        <v>=(O49/M49)</v>
      </c>
      <c r="O49" s="13" t="str">
        <f t="shared" si="10"/>
        <v>=SUMAR.SI(EFACT_CNE!B:B;Reliquidacion!B49;EFACT_CNE!W:W)</v>
      </c>
      <c r="P49" s="15" t="str">
        <f t="shared" si="11"/>
        <v>=SUMAR.SI(EFACT_CNE!B:B;Reliquidacion!B49;EFACT_CNE!X:X)</v>
      </c>
      <c r="Q49" s="14" t="str">
        <f t="shared" si="12"/>
        <v>=(R49/P49)</v>
      </c>
      <c r="R49" s="13" t="str">
        <f t="shared" si="13"/>
        <v>=SUMAR.SI(EFACT_CNE!B:B;Reliquidacion!B49;EFACT_CNE!AB:AB)</v>
      </c>
      <c r="S49" s="13" t="str">
        <f t="shared" si="14"/>
        <v>=(O49+R49)</v>
      </c>
      <c r="U49" s="16" t="str">
        <f t="shared" si="15"/>
        <v>=(S49-J49)</v>
      </c>
      <c r="V49" s="17" t="s">
        <v>83</v>
      </c>
      <c r="W49" s="18" t="e">
        <f>VLOOKUP(V49,#REF!,2,0)</f>
        <v>#REF!</v>
      </c>
      <c r="X49" s="19" t="e">
        <f>VLOOKUP(V49,#REF!,6,0)</f>
        <v>#REF!</v>
      </c>
      <c r="Y49" s="20">
        <v>43641</v>
      </c>
      <c r="Z49" s="20">
        <f t="shared" si="25"/>
        <v>44377</v>
      </c>
      <c r="AA49" s="21">
        <f t="shared" si="21"/>
        <v>736</v>
      </c>
      <c r="AB49" s="40" t="e">
        <f t="shared" si="22"/>
        <v>#REF!</v>
      </c>
      <c r="AC49" s="16" t="e">
        <f t="shared" si="23"/>
        <v>#REF!</v>
      </c>
      <c r="AD49" s="16" t="e">
        <f t="shared" si="24"/>
        <v>#VALUE!</v>
      </c>
    </row>
    <row r="50" spans="1:30" x14ac:dyDescent="0.3">
      <c r="A50" s="83">
        <f t="shared" si="20"/>
        <v>50</v>
      </c>
      <c r="B50" s="71">
        <v>43617</v>
      </c>
      <c r="C50" s="74" t="str">
        <f>IF(VLOOKUP(B50,'MAPA DATA'!C:F,2,0)=1,"FACT_EMITIDA",IF(VLOOKUP(B50,'MAPA DATA'!C:F,3,0)=1,"FACT_EST_EFACT",(IF(VLOOKUP(B50,'MAPA DATA'!C:F,4,0)=1,"FACT_EST_CEN","SIN DATA"))))</f>
        <v>FACT_EMITIDA</v>
      </c>
      <c r="D50" s="13" t="str">
        <f t="shared" si="1"/>
        <v>=SUMAR.SI(SIGGE_E!B:B;Reliquidacion!B50;SIGGE_E!F:F)</v>
      </c>
      <c r="E50" s="14" t="str">
        <f t="shared" si="2"/>
        <v>=(F50/D50)</v>
      </c>
      <c r="F50" s="13" t="str">
        <f t="shared" si="3"/>
        <v>=SUMAR.SI(SIGGE_E!B:B;Reliquidacion!B50;SIGGE_E!H:H)</v>
      </c>
      <c r="G50" s="15" t="str">
        <f t="shared" si="4"/>
        <v>=SUMAR.SI(SIGGE_P!B:B;Reliquidacion!B50;SIGGE_P!F:F)</v>
      </c>
      <c r="H50" s="14" t="str">
        <f t="shared" si="5"/>
        <v>=(I50/G50)</v>
      </c>
      <c r="I50" s="13" t="str">
        <f t="shared" si="6"/>
        <v>=SUMAR.SI(SIGGE_P!B:B;Reliquidacion!B50;SIGGE_P!H:H)</v>
      </c>
      <c r="J50" s="13" t="str">
        <f t="shared" si="7"/>
        <v>=(F50+I50)</v>
      </c>
      <c r="L50" s="72" t="str">
        <f>IF(VLOOKUP(B50,'MAPA DATA'!C:H,5,0)=1,"EFACT_CNE",IF(VLOOKUP(B50,'MAPA DATA'!C:H,6,0)=1,"EFACT_EST_CNE","SIN DATA"))</f>
        <v>EFACT_CNE</v>
      </c>
      <c r="M50" s="13" t="str">
        <f t="shared" si="8"/>
        <v>=SUMAR.SI(EFACT_CNE!B:B;Reliquidacion!B50;EFACT_CNE!S:S)</v>
      </c>
      <c r="N50" s="14" t="str">
        <f t="shared" si="9"/>
        <v>=(O50/M50)</v>
      </c>
      <c r="O50" s="13" t="str">
        <f t="shared" si="10"/>
        <v>=SUMAR.SI(EFACT_CNE!B:B;Reliquidacion!B50;EFACT_CNE!W:W)</v>
      </c>
      <c r="P50" s="15" t="str">
        <f t="shared" si="11"/>
        <v>=SUMAR.SI(EFACT_CNE!B:B;Reliquidacion!B50;EFACT_CNE!X:X)</v>
      </c>
      <c r="Q50" s="14" t="str">
        <f t="shared" si="12"/>
        <v>=(R50/P50)</v>
      </c>
      <c r="R50" s="13" t="str">
        <f t="shared" si="13"/>
        <v>=SUMAR.SI(EFACT_CNE!B:B;Reliquidacion!B50;EFACT_CNE!AB:AB)</v>
      </c>
      <c r="S50" s="13" t="str">
        <f t="shared" si="14"/>
        <v>=(O50+R50)</v>
      </c>
      <c r="U50" s="16" t="str">
        <f t="shared" si="15"/>
        <v>=(S50-J50)</v>
      </c>
      <c r="V50" s="17" t="s">
        <v>83</v>
      </c>
      <c r="W50" s="18" t="e">
        <f>VLOOKUP(V50,#REF!,2,0)</f>
        <v>#REF!</v>
      </c>
      <c r="X50" s="19" t="e">
        <f>VLOOKUP(V50,#REF!,6,0)</f>
        <v>#REF!</v>
      </c>
      <c r="Y50" s="20">
        <v>43671</v>
      </c>
      <c r="Z50" s="20">
        <f t="shared" si="25"/>
        <v>44377</v>
      </c>
      <c r="AA50" s="21">
        <f t="shared" si="21"/>
        <v>706</v>
      </c>
      <c r="AB50" s="40" t="e">
        <f t="shared" si="22"/>
        <v>#REF!</v>
      </c>
      <c r="AC50" s="16" t="e">
        <f t="shared" si="23"/>
        <v>#REF!</v>
      </c>
      <c r="AD50" s="16" t="e">
        <f t="shared" si="24"/>
        <v>#VALUE!</v>
      </c>
    </row>
    <row r="51" spans="1:30" x14ac:dyDescent="0.3">
      <c r="A51" s="83">
        <f t="shared" si="20"/>
        <v>51</v>
      </c>
      <c r="B51" s="71">
        <v>43647</v>
      </c>
      <c r="C51" s="74" t="str">
        <f>IF(VLOOKUP(B51,'MAPA DATA'!C:F,2,0)=1,"FACT_EMITIDA",IF(VLOOKUP(B51,'MAPA DATA'!C:F,3,0)=1,"FACT_EST_EFACT",(IF(VLOOKUP(B51,'MAPA DATA'!C:F,4,0)=1,"FACT_EST_CEN","SIN DATA"))))</f>
        <v>FACT_EMITIDA</v>
      </c>
      <c r="D51" s="13" t="str">
        <f t="shared" si="1"/>
        <v>=SUMAR.SI(SIGGE_E!B:B;Reliquidacion!B51;SIGGE_E!F:F)</v>
      </c>
      <c r="E51" s="14" t="str">
        <f t="shared" si="2"/>
        <v>=(F51/D51)</v>
      </c>
      <c r="F51" s="13" t="str">
        <f t="shared" si="3"/>
        <v>=SUMAR.SI(SIGGE_E!B:B;Reliquidacion!B51;SIGGE_E!H:H)</v>
      </c>
      <c r="G51" s="15" t="str">
        <f t="shared" si="4"/>
        <v>=SUMAR.SI(SIGGE_P!B:B;Reliquidacion!B51;SIGGE_P!F:F)</v>
      </c>
      <c r="H51" s="14" t="str">
        <f t="shared" si="5"/>
        <v>=(I51/G51)</v>
      </c>
      <c r="I51" s="13" t="str">
        <f t="shared" si="6"/>
        <v>=SUMAR.SI(SIGGE_P!B:B;Reliquidacion!B51;SIGGE_P!H:H)</v>
      </c>
      <c r="J51" s="13" t="str">
        <f t="shared" si="7"/>
        <v>=(F51+I51)</v>
      </c>
      <c r="L51" s="72" t="str">
        <f>IF(VLOOKUP(B51,'MAPA DATA'!C:H,5,0)=1,"EFACT_CNE",IF(VLOOKUP(B51,'MAPA DATA'!C:H,6,0)=1,"EFACT_EST_CNE","SIN DATA"))</f>
        <v>EFACT_CNE</v>
      </c>
      <c r="M51" s="13" t="str">
        <f t="shared" si="8"/>
        <v>=SUMAR.SI(EFACT_CNE!B:B;Reliquidacion!B51;EFACT_CNE!S:S)</v>
      </c>
      <c r="N51" s="14" t="str">
        <f t="shared" si="9"/>
        <v>=(O51/M51)</v>
      </c>
      <c r="O51" s="13" t="str">
        <f t="shared" si="10"/>
        <v>=SUMAR.SI(EFACT_CNE!B:B;Reliquidacion!B51;EFACT_CNE!W:W)</v>
      </c>
      <c r="P51" s="15" t="str">
        <f t="shared" si="11"/>
        <v>=SUMAR.SI(EFACT_CNE!B:B;Reliquidacion!B51;EFACT_CNE!X:X)</v>
      </c>
      <c r="Q51" s="14" t="str">
        <f t="shared" si="12"/>
        <v>=(R51/P51)</v>
      </c>
      <c r="R51" s="13" t="str">
        <f t="shared" si="13"/>
        <v>=SUMAR.SI(EFACT_CNE!B:B;Reliquidacion!B51;EFACT_CNE!AB:AB)</v>
      </c>
      <c r="S51" s="13" t="str">
        <f t="shared" si="14"/>
        <v>=(O51+R51)</v>
      </c>
      <c r="U51" s="16" t="str">
        <f t="shared" si="15"/>
        <v>=(S51-J51)</v>
      </c>
      <c r="V51" s="17" t="s">
        <v>83</v>
      </c>
      <c r="W51" s="18" t="e">
        <f>VLOOKUP(V51,#REF!,2,0)</f>
        <v>#REF!</v>
      </c>
      <c r="X51" s="19" t="e">
        <f>VLOOKUP(V51,#REF!,6,0)</f>
        <v>#REF!</v>
      </c>
      <c r="Y51" s="20">
        <v>43702</v>
      </c>
      <c r="Z51" s="20">
        <f t="shared" si="25"/>
        <v>44377</v>
      </c>
      <c r="AA51" s="21">
        <f t="shared" si="21"/>
        <v>675</v>
      </c>
      <c r="AB51" s="40" t="e">
        <f t="shared" si="22"/>
        <v>#REF!</v>
      </c>
      <c r="AC51" s="16" t="e">
        <f t="shared" si="23"/>
        <v>#REF!</v>
      </c>
      <c r="AD51" s="16" t="e">
        <f t="shared" si="24"/>
        <v>#VALUE!</v>
      </c>
    </row>
    <row r="52" spans="1:30" x14ac:dyDescent="0.3">
      <c r="A52" s="83">
        <f t="shared" si="20"/>
        <v>52</v>
      </c>
      <c r="B52" s="71">
        <v>43678</v>
      </c>
      <c r="C52" s="74" t="str">
        <f>IF(VLOOKUP(B52,'MAPA DATA'!C:F,2,0)=1,"FACT_EMITIDA",IF(VLOOKUP(B52,'MAPA DATA'!C:F,3,0)=1,"FACT_EST_EFACT",(IF(VLOOKUP(B52,'MAPA DATA'!C:F,4,0)=1,"FACT_EST_CEN","SIN DATA"))))</f>
        <v>FACT_EMITIDA</v>
      </c>
      <c r="D52" s="13" t="str">
        <f t="shared" si="1"/>
        <v>=SUMAR.SI(SIGGE_E!B:B;Reliquidacion!B52;SIGGE_E!F:F)</v>
      </c>
      <c r="E52" s="14" t="str">
        <f t="shared" si="2"/>
        <v>=(F52/D52)</v>
      </c>
      <c r="F52" s="13" t="str">
        <f t="shared" si="3"/>
        <v>=SUMAR.SI(SIGGE_E!B:B;Reliquidacion!B52;SIGGE_E!H:H)</v>
      </c>
      <c r="G52" s="15" t="str">
        <f t="shared" si="4"/>
        <v>=SUMAR.SI(SIGGE_P!B:B;Reliquidacion!B52;SIGGE_P!F:F)</v>
      </c>
      <c r="H52" s="14" t="str">
        <f t="shared" si="5"/>
        <v>=(I52/G52)</v>
      </c>
      <c r="I52" s="13" t="str">
        <f t="shared" si="6"/>
        <v>=SUMAR.SI(SIGGE_P!B:B;Reliquidacion!B52;SIGGE_P!H:H)</v>
      </c>
      <c r="J52" s="13" t="str">
        <f t="shared" si="7"/>
        <v>=(F52+I52)</v>
      </c>
      <c r="L52" s="72" t="str">
        <f>IF(VLOOKUP(B52,'MAPA DATA'!C:H,5,0)=1,"EFACT_CNE",IF(VLOOKUP(B52,'MAPA DATA'!C:H,6,0)=1,"EFACT_EST_CNE","SIN DATA"))</f>
        <v>EFACT_CNE</v>
      </c>
      <c r="M52" s="13" t="str">
        <f t="shared" si="8"/>
        <v>=SUMAR.SI(EFACT_CNE!B:B;Reliquidacion!B52;EFACT_CNE!S:S)</v>
      </c>
      <c r="N52" s="14" t="str">
        <f t="shared" si="9"/>
        <v>=(O52/M52)</v>
      </c>
      <c r="O52" s="13" t="str">
        <f t="shared" si="10"/>
        <v>=SUMAR.SI(EFACT_CNE!B:B;Reliquidacion!B52;EFACT_CNE!W:W)</v>
      </c>
      <c r="P52" s="15" t="str">
        <f t="shared" si="11"/>
        <v>=SUMAR.SI(EFACT_CNE!B:B;Reliquidacion!B52;EFACT_CNE!X:X)</v>
      </c>
      <c r="Q52" s="14" t="str">
        <f t="shared" si="12"/>
        <v>=(R52/P52)</v>
      </c>
      <c r="R52" s="13" t="str">
        <f t="shared" si="13"/>
        <v>=SUMAR.SI(EFACT_CNE!B:B;Reliquidacion!B52;EFACT_CNE!AB:AB)</v>
      </c>
      <c r="S52" s="13" t="str">
        <f t="shared" si="14"/>
        <v>=(O52+R52)</v>
      </c>
      <c r="U52" s="16" t="str">
        <f t="shared" si="15"/>
        <v>=(S52-J52)</v>
      </c>
      <c r="V52" s="17" t="s">
        <v>83</v>
      </c>
      <c r="W52" s="18" t="e">
        <f>VLOOKUP(V52,#REF!,2,0)</f>
        <v>#REF!</v>
      </c>
      <c r="X52" s="19" t="e">
        <f>VLOOKUP(V52,#REF!,6,0)</f>
        <v>#REF!</v>
      </c>
      <c r="Y52" s="20">
        <v>43733</v>
      </c>
      <c r="Z52" s="20">
        <f t="shared" si="25"/>
        <v>44377</v>
      </c>
      <c r="AA52" s="21">
        <f t="shared" si="21"/>
        <v>644</v>
      </c>
      <c r="AB52" s="40" t="e">
        <f t="shared" si="22"/>
        <v>#REF!</v>
      </c>
      <c r="AC52" s="16" t="e">
        <f t="shared" si="23"/>
        <v>#REF!</v>
      </c>
      <c r="AD52" s="16" t="e">
        <f t="shared" si="24"/>
        <v>#VALUE!</v>
      </c>
    </row>
    <row r="53" spans="1:30" x14ac:dyDescent="0.3">
      <c r="A53" s="83">
        <f t="shared" si="20"/>
        <v>53</v>
      </c>
      <c r="B53" s="71">
        <v>43709</v>
      </c>
      <c r="C53" s="74" t="str">
        <f>IF(VLOOKUP(B53,'MAPA DATA'!C:F,2,0)=1,"FACT_EMITIDA",IF(VLOOKUP(B53,'MAPA DATA'!C:F,3,0)=1,"FACT_EST_EFACT",(IF(VLOOKUP(B53,'MAPA DATA'!C:F,4,0)=1,"FACT_EST_CEN","SIN DATA"))))</f>
        <v>FACT_EMITIDA</v>
      </c>
      <c r="D53" s="13" t="str">
        <f t="shared" si="1"/>
        <v>=SUMAR.SI(SIGGE_E!B:B;Reliquidacion!B53;SIGGE_E!F:F)</v>
      </c>
      <c r="E53" s="14" t="str">
        <f t="shared" si="2"/>
        <v>=(F53/D53)</v>
      </c>
      <c r="F53" s="13" t="str">
        <f t="shared" si="3"/>
        <v>=SUMAR.SI(SIGGE_E!B:B;Reliquidacion!B53;SIGGE_E!H:H)</v>
      </c>
      <c r="G53" s="15" t="str">
        <f t="shared" si="4"/>
        <v>=SUMAR.SI(SIGGE_P!B:B;Reliquidacion!B53;SIGGE_P!F:F)</v>
      </c>
      <c r="H53" s="14" t="str">
        <f t="shared" si="5"/>
        <v>=(I53/G53)</v>
      </c>
      <c r="I53" s="13" t="str">
        <f t="shared" si="6"/>
        <v>=SUMAR.SI(SIGGE_P!B:B;Reliquidacion!B53;SIGGE_P!H:H)</v>
      </c>
      <c r="J53" s="13" t="str">
        <f t="shared" si="7"/>
        <v>=(F53+I53)</v>
      </c>
      <c r="L53" s="72" t="str">
        <f>IF(VLOOKUP(B53,'MAPA DATA'!C:H,5,0)=1,"EFACT_CNE",IF(VLOOKUP(B53,'MAPA DATA'!C:H,6,0)=1,"EFACT_EST_CNE","SIN DATA"))</f>
        <v>EFACT_CNE</v>
      </c>
      <c r="M53" s="13" t="str">
        <f t="shared" si="8"/>
        <v>=SUMAR.SI(EFACT_CNE!B:B;Reliquidacion!B53;EFACT_CNE!S:S)</v>
      </c>
      <c r="N53" s="14" t="str">
        <f t="shared" si="9"/>
        <v>=(O53/M53)</v>
      </c>
      <c r="O53" s="13" t="str">
        <f t="shared" si="10"/>
        <v>=SUMAR.SI(EFACT_CNE!B:B;Reliquidacion!B53;EFACT_CNE!W:W)</v>
      </c>
      <c r="P53" s="15" t="str">
        <f t="shared" si="11"/>
        <v>=SUMAR.SI(EFACT_CNE!B:B;Reliquidacion!B53;EFACT_CNE!X:X)</v>
      </c>
      <c r="Q53" s="14" t="str">
        <f t="shared" si="12"/>
        <v>=(R53/P53)</v>
      </c>
      <c r="R53" s="13" t="str">
        <f t="shared" si="13"/>
        <v>=SUMAR.SI(EFACT_CNE!B:B;Reliquidacion!B53;EFACT_CNE!AB:AB)</v>
      </c>
      <c r="S53" s="13" t="str">
        <f t="shared" si="14"/>
        <v>=(O53+R53)</v>
      </c>
      <c r="U53" s="16" t="str">
        <f t="shared" si="15"/>
        <v>=(S53-J53)</v>
      </c>
      <c r="V53" s="17" t="s">
        <v>83</v>
      </c>
      <c r="W53" s="18" t="e">
        <f>VLOOKUP(V53,#REF!,2,0)</f>
        <v>#REF!</v>
      </c>
      <c r="X53" s="19" t="e">
        <f>VLOOKUP(V53,#REF!,6,0)</f>
        <v>#REF!</v>
      </c>
      <c r="Y53" s="20">
        <v>43763</v>
      </c>
      <c r="Z53" s="20">
        <f t="shared" si="25"/>
        <v>44377</v>
      </c>
      <c r="AA53" s="21">
        <f t="shared" si="21"/>
        <v>614</v>
      </c>
      <c r="AB53" s="40" t="e">
        <f t="shared" si="22"/>
        <v>#REF!</v>
      </c>
      <c r="AC53" s="16" t="e">
        <f t="shared" si="23"/>
        <v>#REF!</v>
      </c>
      <c r="AD53" s="16" t="e">
        <f t="shared" si="24"/>
        <v>#VALUE!</v>
      </c>
    </row>
    <row r="54" spans="1:30" x14ac:dyDescent="0.3">
      <c r="A54" s="83">
        <f t="shared" si="20"/>
        <v>54</v>
      </c>
      <c r="B54" s="71">
        <v>43739</v>
      </c>
      <c r="C54" s="74" t="str">
        <f>IF(VLOOKUP(B54,'MAPA DATA'!C:F,2,0)=1,"FACT_EMITIDA",IF(VLOOKUP(B54,'MAPA DATA'!C:F,3,0)=1,"FACT_EST_EFACT",(IF(VLOOKUP(B54,'MAPA DATA'!C:F,4,0)=1,"FACT_EST_CEN","SIN DATA"))))</f>
        <v>FACT_EMITIDA</v>
      </c>
      <c r="D54" s="13" t="str">
        <f t="shared" si="1"/>
        <v>=SUMAR.SI(SIGGE_E!B:B;Reliquidacion!B54;SIGGE_E!F:F)</v>
      </c>
      <c r="E54" s="14" t="str">
        <f t="shared" si="2"/>
        <v>=(F54/D54)</v>
      </c>
      <c r="F54" s="13" t="str">
        <f t="shared" si="3"/>
        <v>=SUMAR.SI(SIGGE_E!B:B;Reliquidacion!B54;SIGGE_E!H:H)</v>
      </c>
      <c r="G54" s="15" t="str">
        <f t="shared" si="4"/>
        <v>=SUMAR.SI(SIGGE_P!B:B;Reliquidacion!B54;SIGGE_P!F:F)</v>
      </c>
      <c r="H54" s="14" t="str">
        <f t="shared" si="5"/>
        <v>=(I54/G54)</v>
      </c>
      <c r="I54" s="13" t="str">
        <f t="shared" si="6"/>
        <v>=SUMAR.SI(SIGGE_P!B:B;Reliquidacion!B54;SIGGE_P!H:H)</v>
      </c>
      <c r="J54" s="13" t="str">
        <f t="shared" si="7"/>
        <v>=(F54+I54)</v>
      </c>
      <c r="L54" s="72" t="str">
        <f>IF(VLOOKUP(B54,'MAPA DATA'!C:H,5,0)=1,"EFACT_CNE",IF(VLOOKUP(B54,'MAPA DATA'!C:H,6,0)=1,"EFACT_EST_CNE","SIN DATA"))</f>
        <v>EFACT_CNE</v>
      </c>
      <c r="M54" s="13" t="str">
        <f t="shared" si="8"/>
        <v>=SUMAR.SI(EFACT_CNE!B:B;Reliquidacion!B54;EFACT_CNE!S:S)</v>
      </c>
      <c r="N54" s="14" t="str">
        <f t="shared" si="9"/>
        <v>=(O54/M54)</v>
      </c>
      <c r="O54" s="13" t="str">
        <f t="shared" si="10"/>
        <v>=SUMAR.SI(EFACT_CNE!B:B;Reliquidacion!B54;EFACT_CNE!W:W)</v>
      </c>
      <c r="P54" s="15" t="str">
        <f t="shared" si="11"/>
        <v>=SUMAR.SI(EFACT_CNE!B:B;Reliquidacion!B54;EFACT_CNE!X:X)</v>
      </c>
      <c r="Q54" s="14" t="str">
        <f t="shared" si="12"/>
        <v>=(R54/P54)</v>
      </c>
      <c r="R54" s="13" t="str">
        <f t="shared" si="13"/>
        <v>=SUMAR.SI(EFACT_CNE!B:B;Reliquidacion!B54;EFACT_CNE!AB:AB)</v>
      </c>
      <c r="S54" s="13" t="str">
        <f t="shared" si="14"/>
        <v>=(O54+R54)</v>
      </c>
      <c r="U54" s="16" t="str">
        <f t="shared" si="15"/>
        <v>=(S54-J54)</v>
      </c>
      <c r="V54" s="17" t="s">
        <v>83</v>
      </c>
      <c r="W54" s="18" t="e">
        <f>VLOOKUP(V54,#REF!,2,0)</f>
        <v>#REF!</v>
      </c>
      <c r="X54" s="19" t="e">
        <f>VLOOKUP(V54,#REF!,6,0)</f>
        <v>#REF!</v>
      </c>
      <c r="Y54" s="20">
        <v>43794</v>
      </c>
      <c r="Z54" s="20">
        <f t="shared" si="25"/>
        <v>44377</v>
      </c>
      <c r="AA54" s="21">
        <f t="shared" si="21"/>
        <v>583</v>
      </c>
      <c r="AB54" s="40" t="e">
        <f t="shared" si="22"/>
        <v>#REF!</v>
      </c>
      <c r="AC54" s="16" t="e">
        <f t="shared" si="23"/>
        <v>#REF!</v>
      </c>
      <c r="AD54" s="16" t="e">
        <f t="shared" si="24"/>
        <v>#VALUE!</v>
      </c>
    </row>
    <row r="55" spans="1:30" x14ac:dyDescent="0.3">
      <c r="A55" s="83">
        <f t="shared" si="20"/>
        <v>55</v>
      </c>
      <c r="B55" s="71">
        <v>43770</v>
      </c>
      <c r="C55" s="74" t="str">
        <f>IF(VLOOKUP(B55,'MAPA DATA'!C:F,2,0)=1,"FACT_EMITIDA",IF(VLOOKUP(B55,'MAPA DATA'!C:F,3,0)=1,"FACT_EST_EFACT",(IF(VLOOKUP(B55,'MAPA DATA'!C:F,4,0)=1,"FACT_EST_CEN","SIN DATA"))))</f>
        <v>FACT_EMITIDA</v>
      </c>
      <c r="D55" s="13" t="str">
        <f t="shared" si="1"/>
        <v>=SUMAR.SI(SIGGE_E!B:B;Reliquidacion!B55;SIGGE_E!F:F)</v>
      </c>
      <c r="E55" s="14" t="str">
        <f t="shared" si="2"/>
        <v>=(F55/D55)</v>
      </c>
      <c r="F55" s="13" t="str">
        <f t="shared" si="3"/>
        <v>=SUMAR.SI(SIGGE_E!B:B;Reliquidacion!B55;SIGGE_E!H:H)</v>
      </c>
      <c r="G55" s="15" t="str">
        <f t="shared" si="4"/>
        <v>=SUMAR.SI(SIGGE_P!B:B;Reliquidacion!B55;SIGGE_P!F:F)</v>
      </c>
      <c r="H55" s="14" t="str">
        <f t="shared" si="5"/>
        <v>=(I55/G55)</v>
      </c>
      <c r="I55" s="13" t="str">
        <f t="shared" si="6"/>
        <v>=SUMAR.SI(SIGGE_P!B:B;Reliquidacion!B55;SIGGE_P!H:H)</v>
      </c>
      <c r="J55" s="13" t="str">
        <f t="shared" si="7"/>
        <v>=(F55+I55)</v>
      </c>
      <c r="L55" s="72" t="str">
        <f>IF(VLOOKUP(B55,'MAPA DATA'!C:H,5,0)=1,"EFACT_CNE",IF(VLOOKUP(B55,'MAPA DATA'!C:H,6,0)=1,"EFACT_EST_CNE","SIN DATA"))</f>
        <v>EFACT_CNE</v>
      </c>
      <c r="M55" s="13" t="str">
        <f t="shared" si="8"/>
        <v>=SUMAR.SI(EFACT_CNE!B:B;Reliquidacion!B55;EFACT_CNE!S:S)</v>
      </c>
      <c r="N55" s="14" t="str">
        <f t="shared" si="9"/>
        <v>=(O55/M55)</v>
      </c>
      <c r="O55" s="13" t="str">
        <f t="shared" si="10"/>
        <v>=SUMAR.SI(EFACT_CNE!B:B;Reliquidacion!B55;EFACT_CNE!W:W)</v>
      </c>
      <c r="P55" s="15" t="str">
        <f t="shared" si="11"/>
        <v>=SUMAR.SI(EFACT_CNE!B:B;Reliquidacion!B55;EFACT_CNE!X:X)</v>
      </c>
      <c r="Q55" s="14" t="str">
        <f t="shared" si="12"/>
        <v>=(R55/P55)</v>
      </c>
      <c r="R55" s="13" t="str">
        <f t="shared" si="13"/>
        <v>=SUMAR.SI(EFACT_CNE!B:B;Reliquidacion!B55;EFACT_CNE!AB:AB)</v>
      </c>
      <c r="S55" s="13" t="str">
        <f t="shared" si="14"/>
        <v>=(O55+R55)</v>
      </c>
      <c r="U55" s="16" t="str">
        <f t="shared" si="15"/>
        <v>=(S55-J55)</v>
      </c>
      <c r="V55" s="17" t="s">
        <v>83</v>
      </c>
      <c r="W55" s="18" t="e">
        <f>VLOOKUP(V55,#REF!,2,0)</f>
        <v>#REF!</v>
      </c>
      <c r="X55" s="19" t="e">
        <f>VLOOKUP(V55,#REF!,6,0)</f>
        <v>#REF!</v>
      </c>
      <c r="Y55" s="20">
        <v>43824</v>
      </c>
      <c r="Z55" s="20">
        <f t="shared" si="25"/>
        <v>44377</v>
      </c>
      <c r="AA55" s="21">
        <f t="shared" si="21"/>
        <v>553</v>
      </c>
      <c r="AB55" s="40" t="e">
        <f t="shared" si="22"/>
        <v>#REF!</v>
      </c>
      <c r="AC55" s="16" t="e">
        <f t="shared" si="23"/>
        <v>#REF!</v>
      </c>
      <c r="AD55" s="16" t="e">
        <f t="shared" si="24"/>
        <v>#VALUE!</v>
      </c>
    </row>
    <row r="56" spans="1:30" x14ac:dyDescent="0.3">
      <c r="A56" s="83">
        <f t="shared" si="20"/>
        <v>56</v>
      </c>
      <c r="B56" s="71">
        <v>43800</v>
      </c>
      <c r="C56" s="74" t="str">
        <f>IF(VLOOKUP(B56,'MAPA DATA'!C:F,2,0)=1,"FACT_EMITIDA",IF(VLOOKUP(B56,'MAPA DATA'!C:F,3,0)=1,"FACT_EST_EFACT",(IF(VLOOKUP(B56,'MAPA DATA'!C:F,4,0)=1,"FACT_EST_CEN","SIN DATA"))))</f>
        <v>FACT_EMITIDA</v>
      </c>
      <c r="D56" s="13" t="str">
        <f t="shared" si="1"/>
        <v>=SUMAR.SI(SIGGE_E!B:B;Reliquidacion!B56;SIGGE_E!F:F)</v>
      </c>
      <c r="E56" s="14" t="str">
        <f t="shared" si="2"/>
        <v>=(F56/D56)</v>
      </c>
      <c r="F56" s="13" t="str">
        <f t="shared" si="3"/>
        <v>=SUMAR.SI(SIGGE_E!B:B;Reliquidacion!B56;SIGGE_E!H:H)</v>
      </c>
      <c r="G56" s="15" t="str">
        <f t="shared" si="4"/>
        <v>=SUMAR.SI(SIGGE_P!B:B;Reliquidacion!B56;SIGGE_P!F:F)</v>
      </c>
      <c r="H56" s="14" t="str">
        <f t="shared" si="5"/>
        <v>=(I56/G56)</v>
      </c>
      <c r="I56" s="13" t="str">
        <f t="shared" si="6"/>
        <v>=SUMAR.SI(SIGGE_P!B:B;Reliquidacion!B56;SIGGE_P!H:H)</v>
      </c>
      <c r="J56" s="13" t="str">
        <f t="shared" si="7"/>
        <v>=(F56+I56)</v>
      </c>
      <c r="L56" s="72" t="str">
        <f>IF(VLOOKUP(B56,'MAPA DATA'!C:H,5,0)=1,"EFACT_CNE",IF(VLOOKUP(B56,'MAPA DATA'!C:H,6,0)=1,"EFACT_EST_CNE","SIN DATA"))</f>
        <v>EFACT_CNE</v>
      </c>
      <c r="M56" s="13" t="str">
        <f t="shared" si="8"/>
        <v>=SUMAR.SI(EFACT_CNE!B:B;Reliquidacion!B56;EFACT_CNE!S:S)</v>
      </c>
      <c r="N56" s="14" t="str">
        <f t="shared" si="9"/>
        <v>=(O56/M56)</v>
      </c>
      <c r="O56" s="13" t="str">
        <f t="shared" si="10"/>
        <v>=SUMAR.SI(EFACT_CNE!B:B;Reliquidacion!B56;EFACT_CNE!W:W)</v>
      </c>
      <c r="P56" s="15" t="str">
        <f t="shared" si="11"/>
        <v>=SUMAR.SI(EFACT_CNE!B:B;Reliquidacion!B56;EFACT_CNE!X:X)</v>
      </c>
      <c r="Q56" s="14" t="str">
        <f t="shared" si="12"/>
        <v>=(R56/P56)</v>
      </c>
      <c r="R56" s="13" t="str">
        <f t="shared" si="13"/>
        <v>=SUMAR.SI(EFACT_CNE!B:B;Reliquidacion!B56;EFACT_CNE!AB:AB)</v>
      </c>
      <c r="S56" s="13" t="str">
        <f t="shared" si="14"/>
        <v>=(O56+R56)</v>
      </c>
      <c r="U56" s="16" t="str">
        <f t="shared" si="15"/>
        <v>=(S56-J56)</v>
      </c>
      <c r="V56" s="17" t="s">
        <v>83</v>
      </c>
      <c r="W56" s="18" t="e">
        <f>VLOOKUP(V56,#REF!,2,0)</f>
        <v>#REF!</v>
      </c>
      <c r="X56" s="19" t="e">
        <f>VLOOKUP(V56,#REF!,6,0)</f>
        <v>#REF!</v>
      </c>
      <c r="Y56" s="20">
        <v>43855</v>
      </c>
      <c r="Z56" s="20">
        <f t="shared" si="25"/>
        <v>44377</v>
      </c>
      <c r="AA56" s="21">
        <f t="shared" si="21"/>
        <v>522</v>
      </c>
      <c r="AB56" s="40" t="e">
        <f t="shared" si="22"/>
        <v>#REF!</v>
      </c>
      <c r="AC56" s="16" t="e">
        <f t="shared" si="23"/>
        <v>#REF!</v>
      </c>
      <c r="AD56" s="16" t="e">
        <f t="shared" si="24"/>
        <v>#VALUE!</v>
      </c>
    </row>
    <row r="57" spans="1:30" x14ac:dyDescent="0.3">
      <c r="A57" s="83">
        <f t="shared" si="20"/>
        <v>57</v>
      </c>
      <c r="B57" s="71">
        <v>43831</v>
      </c>
      <c r="C57" s="74" t="str">
        <f>IF(VLOOKUP(B57,'MAPA DATA'!C:F,2,0)=1,"FACT_EMITIDA",IF(VLOOKUP(B57,'MAPA DATA'!C:F,3,0)=1,"FACT_EST_EFACT",(IF(VLOOKUP(B57,'MAPA DATA'!C:F,4,0)=1,"FACT_EST_CEN","SIN DATA"))))</f>
        <v>FACT_EMITIDA</v>
      </c>
      <c r="D57" s="13" t="str">
        <f t="shared" si="1"/>
        <v>=SUMAR.SI(SIGGE_E!B:B;Reliquidacion!B57;SIGGE_E!F:F)</v>
      </c>
      <c r="E57" s="14" t="str">
        <f t="shared" si="2"/>
        <v>=(F57/D57)</v>
      </c>
      <c r="F57" s="13" t="str">
        <f t="shared" si="3"/>
        <v>=SUMAR.SI(SIGGE_E!B:B;Reliquidacion!B57;SIGGE_E!H:H)</v>
      </c>
      <c r="G57" s="15" t="str">
        <f t="shared" si="4"/>
        <v>=SUMAR.SI(SIGGE_P!B:B;Reliquidacion!B57;SIGGE_P!F:F)</v>
      </c>
      <c r="H57" s="14" t="str">
        <f t="shared" si="5"/>
        <v>=(I57/G57)</v>
      </c>
      <c r="I57" s="13" t="str">
        <f t="shared" si="6"/>
        <v>=SUMAR.SI(SIGGE_P!B:B;Reliquidacion!B57;SIGGE_P!H:H)</v>
      </c>
      <c r="J57" s="13" t="str">
        <f t="shared" si="7"/>
        <v>=(F57+I57)</v>
      </c>
      <c r="L57" s="72" t="str">
        <f>IF(VLOOKUP(B57,'MAPA DATA'!C:H,5,0)=1,"EFACT_CNE",IF(VLOOKUP(B57,'MAPA DATA'!C:H,6,0)=1,"EFACT_EST_CNE","SIN DATA"))</f>
        <v>SIN DATA</v>
      </c>
      <c r="M57" s="13" t="str">
        <f t="shared" si="8"/>
        <v>=SUMAR.SI(SIN DATA!B:B;Reliquidacion!B57;SIN DATA!S:S)</v>
      </c>
      <c r="N57" s="14" t="str">
        <f t="shared" si="9"/>
        <v>=(O57/M57)</v>
      </c>
      <c r="O57" s="13" t="str">
        <f t="shared" si="10"/>
        <v>=SUMAR.SI(SIN DATA!B:B;Reliquidacion!B57;SIN DATA!W:W)</v>
      </c>
      <c r="P57" s="15" t="str">
        <f t="shared" si="11"/>
        <v>=SUMAR.SI(SIN DATA!B:B;Reliquidacion!B57;SIN DATA!X:X)</v>
      </c>
      <c r="Q57" s="14" t="str">
        <f t="shared" si="12"/>
        <v>=(R57/P57)</v>
      </c>
      <c r="R57" s="13" t="str">
        <f t="shared" si="13"/>
        <v>=SUMAR.SI(SIN DATA!B:B;Reliquidacion!B57;SIN DATA!AB:AB)</v>
      </c>
      <c r="S57" s="13" t="str">
        <f t="shared" si="14"/>
        <v>=(O57+R57)</v>
      </c>
      <c r="U57" s="16" t="str">
        <f t="shared" si="15"/>
        <v>=(S57-J57)</v>
      </c>
      <c r="V57" s="17" t="s">
        <v>84</v>
      </c>
      <c r="W57" s="18" t="e">
        <f>VLOOKUP(V57,#REF!,2,0)</f>
        <v>#REF!</v>
      </c>
      <c r="X57" s="19" t="e">
        <f>VLOOKUP(V57,#REF!,6,0)</f>
        <v>#REF!</v>
      </c>
      <c r="Y57" s="20">
        <v>43886</v>
      </c>
      <c r="Z57" s="20">
        <f t="shared" si="25"/>
        <v>44377</v>
      </c>
      <c r="AA57" s="21">
        <f t="shared" si="21"/>
        <v>491</v>
      </c>
      <c r="AB57" s="40" t="e">
        <f t="shared" si="22"/>
        <v>#REF!</v>
      </c>
      <c r="AC57" s="16" t="e">
        <f t="shared" si="23"/>
        <v>#REF!</v>
      </c>
      <c r="AD57" s="16" t="e">
        <f t="shared" si="24"/>
        <v>#VALUE!</v>
      </c>
    </row>
    <row r="58" spans="1:30" x14ac:dyDescent="0.3">
      <c r="A58" s="83">
        <f t="shared" si="20"/>
        <v>58</v>
      </c>
      <c r="B58" s="71">
        <v>43862</v>
      </c>
      <c r="C58" s="74" t="str">
        <f>IF(VLOOKUP(B58,'MAPA DATA'!C:F,2,0)=1,"FACT_EMITIDA",IF(VLOOKUP(B58,'MAPA DATA'!C:F,3,0)=1,"FACT_EST_EFACT",(IF(VLOOKUP(B58,'MAPA DATA'!C:F,4,0)=1,"FACT_EST_CEN","SIN DATA"))))</f>
        <v>FACT_EMITIDA</v>
      </c>
      <c r="D58" s="13" t="str">
        <f t="shared" si="1"/>
        <v>=SUMAR.SI(SIGGE_E!B:B;Reliquidacion!B58;SIGGE_E!F:F)</v>
      </c>
      <c r="E58" s="14" t="str">
        <f t="shared" si="2"/>
        <v>=(F58/D58)</v>
      </c>
      <c r="F58" s="13" t="str">
        <f t="shared" si="3"/>
        <v>=SUMAR.SI(SIGGE_E!B:B;Reliquidacion!B58;SIGGE_E!H:H)</v>
      </c>
      <c r="G58" s="15" t="str">
        <f t="shared" si="4"/>
        <v>=SUMAR.SI(SIGGE_P!B:B;Reliquidacion!B58;SIGGE_P!F:F)</v>
      </c>
      <c r="H58" s="14" t="str">
        <f t="shared" si="5"/>
        <v>=(I58/G58)</v>
      </c>
      <c r="I58" s="13" t="str">
        <f t="shared" si="6"/>
        <v>=SUMAR.SI(SIGGE_P!B:B;Reliquidacion!B58;SIGGE_P!H:H)</v>
      </c>
      <c r="J58" s="13" t="str">
        <f t="shared" si="7"/>
        <v>=(F58+I58)</v>
      </c>
      <c r="L58" s="72" t="str">
        <f>IF(VLOOKUP(B58,'MAPA DATA'!C:H,5,0)=1,"EFACT_CNE",IF(VLOOKUP(B58,'MAPA DATA'!C:H,6,0)=1,"EFACT_EST_CNE","SIN DATA"))</f>
        <v>SIN DATA</v>
      </c>
      <c r="M58" s="13" t="str">
        <f t="shared" si="8"/>
        <v>=SUMAR.SI(SIN DATA!B:B;Reliquidacion!B58;SIN DATA!S:S)</v>
      </c>
      <c r="N58" s="14" t="str">
        <f t="shared" si="9"/>
        <v>=(O58/M58)</v>
      </c>
      <c r="O58" s="13" t="str">
        <f t="shared" si="10"/>
        <v>=SUMAR.SI(SIN DATA!B:B;Reliquidacion!B58;SIN DATA!W:W)</v>
      </c>
      <c r="P58" s="15" t="str">
        <f t="shared" si="11"/>
        <v>=SUMAR.SI(SIN DATA!B:B;Reliquidacion!B58;SIN DATA!X:X)</v>
      </c>
      <c r="Q58" s="14" t="str">
        <f t="shared" si="12"/>
        <v>=(R58/P58)</v>
      </c>
      <c r="R58" s="13" t="str">
        <f t="shared" si="13"/>
        <v>=SUMAR.SI(SIN DATA!B:B;Reliquidacion!B58;SIN DATA!AB:AB)</v>
      </c>
      <c r="S58" s="13" t="str">
        <f t="shared" si="14"/>
        <v>=(O58+R58)</v>
      </c>
      <c r="U58" s="16" t="str">
        <f t="shared" si="15"/>
        <v>=(S58-J58)</v>
      </c>
      <c r="V58" s="17" t="s">
        <v>84</v>
      </c>
      <c r="W58" s="18" t="e">
        <f>VLOOKUP(V58,#REF!,2,0)</f>
        <v>#REF!</v>
      </c>
      <c r="X58" s="19" t="e">
        <f>VLOOKUP(V58,#REF!,6,0)</f>
        <v>#REF!</v>
      </c>
      <c r="Y58" s="20">
        <v>43915</v>
      </c>
      <c r="Z58" s="20">
        <f t="shared" si="25"/>
        <v>44377</v>
      </c>
      <c r="AA58" s="21">
        <f t="shared" si="21"/>
        <v>462</v>
      </c>
      <c r="AB58" s="40" t="e">
        <f t="shared" si="22"/>
        <v>#REF!</v>
      </c>
      <c r="AC58" s="16" t="e">
        <f t="shared" si="23"/>
        <v>#REF!</v>
      </c>
      <c r="AD58" s="16" t="e">
        <f t="shared" si="24"/>
        <v>#VALUE!</v>
      </c>
    </row>
    <row r="59" spans="1:30" x14ac:dyDescent="0.3">
      <c r="A59" s="83">
        <f t="shared" si="20"/>
        <v>59</v>
      </c>
      <c r="B59" s="71">
        <v>43891</v>
      </c>
      <c r="C59" s="74" t="str">
        <f>IF(VLOOKUP(B59,'MAPA DATA'!C:F,2,0)=1,"FACT_EMITIDA",IF(VLOOKUP(B59,'MAPA DATA'!C:F,3,0)=1,"FACT_EST_EFACT",(IF(VLOOKUP(B59,'MAPA DATA'!C:F,4,0)=1,"FACT_EST_CEN","SIN DATA"))))</f>
        <v>FACT_EMITIDA</v>
      </c>
      <c r="D59" s="13" t="str">
        <f t="shared" si="1"/>
        <v>=SUMAR.SI(SIGGE_E!B:B;Reliquidacion!B59;SIGGE_E!F:F)</v>
      </c>
      <c r="E59" s="14" t="str">
        <f t="shared" si="2"/>
        <v>=(F59/D59)</v>
      </c>
      <c r="F59" s="13" t="str">
        <f t="shared" si="3"/>
        <v>=SUMAR.SI(SIGGE_E!B:B;Reliquidacion!B59;SIGGE_E!H:H)</v>
      </c>
      <c r="G59" s="15" t="str">
        <f t="shared" si="4"/>
        <v>=SUMAR.SI(SIGGE_P!B:B;Reliquidacion!B59;SIGGE_P!F:F)</v>
      </c>
      <c r="H59" s="14" t="str">
        <f t="shared" si="5"/>
        <v>=(I59/G59)</v>
      </c>
      <c r="I59" s="13" t="str">
        <f t="shared" si="6"/>
        <v>=SUMAR.SI(SIGGE_P!B:B;Reliquidacion!B59;SIGGE_P!H:H)</v>
      </c>
      <c r="J59" s="13" t="str">
        <f t="shared" si="7"/>
        <v>=(F59+I59)</v>
      </c>
      <c r="L59" s="72" t="str">
        <f>IF(VLOOKUP(B59,'MAPA DATA'!C:H,5,0)=1,"EFACT_CNE",IF(VLOOKUP(B59,'MAPA DATA'!C:H,6,0)=1,"EFACT_EST_CNE","SIN DATA"))</f>
        <v>SIN DATA</v>
      </c>
      <c r="M59" s="13" t="str">
        <f t="shared" si="8"/>
        <v>=SUMAR.SI(SIN DATA!B:B;Reliquidacion!B59;SIN DATA!S:S)</v>
      </c>
      <c r="N59" s="14" t="str">
        <f t="shared" si="9"/>
        <v>=(O59/M59)</v>
      </c>
      <c r="O59" s="13" t="str">
        <f t="shared" si="10"/>
        <v>=SUMAR.SI(SIN DATA!B:B;Reliquidacion!B59;SIN DATA!W:W)</v>
      </c>
      <c r="P59" s="15" t="str">
        <f t="shared" si="11"/>
        <v>=SUMAR.SI(SIN DATA!B:B;Reliquidacion!B59;SIN DATA!X:X)</v>
      </c>
      <c r="Q59" s="14" t="str">
        <f t="shared" si="12"/>
        <v>=(R59/P59)</v>
      </c>
      <c r="R59" s="13" t="str">
        <f t="shared" si="13"/>
        <v>=SUMAR.SI(SIN DATA!B:B;Reliquidacion!B59;SIN DATA!AB:AB)</v>
      </c>
      <c r="S59" s="13" t="str">
        <f t="shared" si="14"/>
        <v>=(O59+R59)</v>
      </c>
      <c r="U59" s="16" t="str">
        <f t="shared" si="15"/>
        <v>=(S59-J59)</v>
      </c>
      <c r="V59" s="17" t="s">
        <v>84</v>
      </c>
      <c r="W59" s="18" t="e">
        <f>VLOOKUP(V59,#REF!,2,0)</f>
        <v>#REF!</v>
      </c>
      <c r="X59" s="19" t="e">
        <f>VLOOKUP(V59,#REF!,6,0)</f>
        <v>#REF!</v>
      </c>
      <c r="Y59" s="20">
        <v>43946</v>
      </c>
      <c r="Z59" s="20">
        <f t="shared" si="25"/>
        <v>44377</v>
      </c>
      <c r="AA59" s="21">
        <f t="shared" si="21"/>
        <v>431</v>
      </c>
      <c r="AB59" s="40" t="e">
        <f t="shared" si="22"/>
        <v>#REF!</v>
      </c>
      <c r="AC59" s="16" t="e">
        <f t="shared" si="23"/>
        <v>#REF!</v>
      </c>
      <c r="AD59" s="16" t="e">
        <f t="shared" si="24"/>
        <v>#VALUE!</v>
      </c>
    </row>
    <row r="60" spans="1:30" x14ac:dyDescent="0.3">
      <c r="A60" s="83">
        <f t="shared" si="20"/>
        <v>60</v>
      </c>
      <c r="B60" s="71">
        <v>43922</v>
      </c>
      <c r="C60" s="74" t="str">
        <f>IF(VLOOKUP(B60,'MAPA DATA'!C:F,2,0)=1,"FACT_EMITIDA",IF(VLOOKUP(B60,'MAPA DATA'!C:F,3,0)=1,"FACT_EST_EFACT",(IF(VLOOKUP(B60,'MAPA DATA'!C:F,4,0)=1,"FACT_EST_CEN","SIN DATA"))))</f>
        <v>FACT_EMITIDA</v>
      </c>
      <c r="D60" s="13" t="str">
        <f t="shared" si="1"/>
        <v>=SUMAR.SI(SIGGE_E!B:B;Reliquidacion!B60;SIGGE_E!F:F)</v>
      </c>
      <c r="E60" s="14" t="str">
        <f t="shared" si="2"/>
        <v>=(F60/D60)</v>
      </c>
      <c r="F60" s="13" t="str">
        <f t="shared" si="3"/>
        <v>=SUMAR.SI(SIGGE_E!B:B;Reliquidacion!B60;SIGGE_E!H:H)</v>
      </c>
      <c r="G60" s="15" t="str">
        <f t="shared" si="4"/>
        <v>=SUMAR.SI(SIGGE_P!B:B;Reliquidacion!B60;SIGGE_P!F:F)</v>
      </c>
      <c r="H60" s="14" t="str">
        <f t="shared" si="5"/>
        <v>=(I60/G60)</v>
      </c>
      <c r="I60" s="13" t="str">
        <f t="shared" si="6"/>
        <v>=SUMAR.SI(SIGGE_P!B:B;Reliquidacion!B60;SIGGE_P!H:H)</v>
      </c>
      <c r="J60" s="13" t="str">
        <f t="shared" si="7"/>
        <v>=(F60+I60)</v>
      </c>
      <c r="L60" s="72" t="str">
        <f>IF(VLOOKUP(B60,'MAPA DATA'!C:H,5,0)=1,"EFACT_CNE",IF(VLOOKUP(B60,'MAPA DATA'!C:H,6,0)=1,"EFACT_EST_CNE","SIN DATA"))</f>
        <v>SIN DATA</v>
      </c>
      <c r="M60" s="13" t="str">
        <f t="shared" si="8"/>
        <v>=SUMAR.SI(SIN DATA!B:B;Reliquidacion!B60;SIN DATA!S:S)</v>
      </c>
      <c r="N60" s="14" t="str">
        <f t="shared" si="9"/>
        <v>=(O60/M60)</v>
      </c>
      <c r="O60" s="13" t="str">
        <f t="shared" si="10"/>
        <v>=SUMAR.SI(SIN DATA!B:B;Reliquidacion!B60;SIN DATA!W:W)</v>
      </c>
      <c r="P60" s="15" t="str">
        <f t="shared" si="11"/>
        <v>=SUMAR.SI(SIN DATA!B:B;Reliquidacion!B60;SIN DATA!X:X)</v>
      </c>
      <c r="Q60" s="14" t="str">
        <f t="shared" si="12"/>
        <v>=(R60/P60)</v>
      </c>
      <c r="R60" s="13" t="str">
        <f t="shared" si="13"/>
        <v>=SUMAR.SI(SIN DATA!B:B;Reliquidacion!B60;SIN DATA!AB:AB)</v>
      </c>
      <c r="S60" s="13" t="str">
        <f t="shared" si="14"/>
        <v>=(O60+R60)</v>
      </c>
      <c r="U60" s="16" t="str">
        <f t="shared" si="15"/>
        <v>=(S60-J60)</v>
      </c>
      <c r="V60" s="17" t="s">
        <v>84</v>
      </c>
      <c r="W60" s="18" t="e">
        <f>VLOOKUP(V60,#REF!,2,0)</f>
        <v>#REF!</v>
      </c>
      <c r="X60" s="19" t="e">
        <f>VLOOKUP(V60,#REF!,6,0)</f>
        <v>#REF!</v>
      </c>
      <c r="Y60" s="20">
        <v>43976</v>
      </c>
      <c r="Z60" s="20">
        <f t="shared" si="25"/>
        <v>44377</v>
      </c>
      <c r="AA60" s="21">
        <f t="shared" si="21"/>
        <v>401</v>
      </c>
      <c r="AB60" s="40" t="e">
        <f t="shared" si="22"/>
        <v>#REF!</v>
      </c>
      <c r="AC60" s="16" t="e">
        <f t="shared" si="23"/>
        <v>#REF!</v>
      </c>
      <c r="AD60" s="16" t="e">
        <f t="shared" si="24"/>
        <v>#VALUE!</v>
      </c>
    </row>
    <row r="61" spans="1:30" x14ac:dyDescent="0.3">
      <c r="A61" s="83">
        <f t="shared" si="20"/>
        <v>61</v>
      </c>
      <c r="B61" s="71">
        <v>43952</v>
      </c>
      <c r="C61" s="74" t="str">
        <f>IF(VLOOKUP(B61,'MAPA DATA'!C:F,2,0)=1,"FACT_EMITIDA",IF(VLOOKUP(B61,'MAPA DATA'!C:F,3,0)=1,"FACT_EST_EFACT",(IF(VLOOKUP(B61,'MAPA DATA'!C:F,4,0)=1,"FACT_EST_CEN","SIN DATA"))))</f>
        <v>FACT_EMITIDA</v>
      </c>
      <c r="D61" s="13" t="str">
        <f t="shared" si="1"/>
        <v>=SUMAR.SI(SIGGE_E!B:B;Reliquidacion!B61;SIGGE_E!F:F)</v>
      </c>
      <c r="E61" s="14" t="str">
        <f t="shared" si="2"/>
        <v>=(F61/D61)</v>
      </c>
      <c r="F61" s="13" t="str">
        <f t="shared" si="3"/>
        <v>=SUMAR.SI(SIGGE_E!B:B;Reliquidacion!B61;SIGGE_E!H:H)</v>
      </c>
      <c r="G61" s="15" t="str">
        <f t="shared" si="4"/>
        <v>=SUMAR.SI(SIGGE_P!B:B;Reliquidacion!B61;SIGGE_P!F:F)</v>
      </c>
      <c r="H61" s="14" t="str">
        <f t="shared" si="5"/>
        <v>=(I61/G61)</v>
      </c>
      <c r="I61" s="13" t="str">
        <f t="shared" si="6"/>
        <v>=SUMAR.SI(SIGGE_P!B:B;Reliquidacion!B61;SIGGE_P!H:H)</v>
      </c>
      <c r="J61" s="13" t="str">
        <f t="shared" si="7"/>
        <v>=(F61+I61)</v>
      </c>
      <c r="L61" s="72" t="str">
        <f>IF(VLOOKUP(B61,'MAPA DATA'!C:H,5,0)=1,"EFACT_CNE",IF(VLOOKUP(B61,'MAPA DATA'!C:H,6,0)=1,"EFACT_EST_CNE","SIN DATA"))</f>
        <v>SIN DATA</v>
      </c>
      <c r="M61" s="13" t="str">
        <f t="shared" si="8"/>
        <v>=SUMAR.SI(SIN DATA!B:B;Reliquidacion!B61;SIN DATA!S:S)</v>
      </c>
      <c r="N61" s="14" t="str">
        <f t="shared" si="9"/>
        <v>=(O61/M61)</v>
      </c>
      <c r="O61" s="13" t="str">
        <f t="shared" si="10"/>
        <v>=SUMAR.SI(SIN DATA!B:B;Reliquidacion!B61;SIN DATA!W:W)</v>
      </c>
      <c r="P61" s="15" t="str">
        <f t="shared" si="11"/>
        <v>=SUMAR.SI(SIN DATA!B:B;Reliquidacion!B61;SIN DATA!X:X)</v>
      </c>
      <c r="Q61" s="14" t="str">
        <f t="shared" si="12"/>
        <v>=(R61/P61)</v>
      </c>
      <c r="R61" s="13" t="str">
        <f t="shared" si="13"/>
        <v>=SUMAR.SI(SIN DATA!B:B;Reliquidacion!B61;SIN DATA!AB:AB)</v>
      </c>
      <c r="S61" s="13" t="str">
        <f t="shared" si="14"/>
        <v>=(O61+R61)</v>
      </c>
      <c r="U61" s="16" t="str">
        <f t="shared" si="15"/>
        <v>=(S61-J61)</v>
      </c>
      <c r="V61" s="17" t="s">
        <v>84</v>
      </c>
      <c r="W61" s="18" t="e">
        <f>VLOOKUP(V61,#REF!,2,0)</f>
        <v>#REF!</v>
      </c>
      <c r="X61" s="19" t="e">
        <f>VLOOKUP(V61,#REF!,6,0)</f>
        <v>#REF!</v>
      </c>
      <c r="Y61" s="20">
        <v>44007</v>
      </c>
      <c r="Z61" s="20">
        <f t="shared" si="25"/>
        <v>44377</v>
      </c>
      <c r="AA61" s="21">
        <f t="shared" si="21"/>
        <v>370</v>
      </c>
      <c r="AB61" s="40" t="e">
        <f t="shared" si="22"/>
        <v>#REF!</v>
      </c>
      <c r="AC61" s="16" t="e">
        <f t="shared" si="23"/>
        <v>#REF!</v>
      </c>
      <c r="AD61" s="16" t="e">
        <f t="shared" si="24"/>
        <v>#VALUE!</v>
      </c>
    </row>
    <row r="62" spans="1:30" x14ac:dyDescent="0.3">
      <c r="A62" s="83">
        <f t="shared" si="20"/>
        <v>62</v>
      </c>
      <c r="B62" s="71">
        <v>43983</v>
      </c>
      <c r="C62" s="74" t="str">
        <f>IF(VLOOKUP(B62,'MAPA DATA'!C:F,2,0)=1,"FACT_EMITIDA",IF(VLOOKUP(B62,'MAPA DATA'!C:F,3,0)=1,"FACT_EST_EFACT",(IF(VLOOKUP(B62,'MAPA DATA'!C:F,4,0)=1,"FACT_EST_CEN","SIN DATA"))))</f>
        <v>FACT_EMITIDA</v>
      </c>
      <c r="D62" s="13" t="str">
        <f t="shared" si="1"/>
        <v>=SUMAR.SI(SIGGE_E!B:B;Reliquidacion!B62;SIGGE_E!F:F)</v>
      </c>
      <c r="E62" s="14" t="str">
        <f t="shared" si="2"/>
        <v>=(F62/D62)</v>
      </c>
      <c r="F62" s="13" t="str">
        <f t="shared" si="3"/>
        <v>=SUMAR.SI(SIGGE_E!B:B;Reliquidacion!B62;SIGGE_E!H:H)</v>
      </c>
      <c r="G62" s="15" t="str">
        <f t="shared" si="4"/>
        <v>=SUMAR.SI(SIGGE_P!B:B;Reliquidacion!B62;SIGGE_P!F:F)</v>
      </c>
      <c r="H62" s="14" t="str">
        <f t="shared" si="5"/>
        <v>=(I62/G62)</v>
      </c>
      <c r="I62" s="13" t="str">
        <f t="shared" si="6"/>
        <v>=SUMAR.SI(SIGGE_P!B:B;Reliquidacion!B62;SIGGE_P!H:H)</v>
      </c>
      <c r="J62" s="13" t="str">
        <f t="shared" si="7"/>
        <v>=(F62+I62)</v>
      </c>
      <c r="L62" s="72" t="str">
        <f>IF(VLOOKUP(B62,'MAPA DATA'!C:H,5,0)=1,"EFACT_CNE",IF(VLOOKUP(B62,'MAPA DATA'!C:H,6,0)=1,"EFACT_EST_CNE","SIN DATA"))</f>
        <v>SIN DATA</v>
      </c>
      <c r="M62" s="13" t="str">
        <f t="shared" si="8"/>
        <v>=SUMAR.SI(SIN DATA!B:B;Reliquidacion!B62;SIN DATA!S:S)</v>
      </c>
      <c r="N62" s="14" t="str">
        <f t="shared" si="9"/>
        <v>=(O62/M62)</v>
      </c>
      <c r="O62" s="13" t="str">
        <f t="shared" si="10"/>
        <v>=SUMAR.SI(SIN DATA!B:B;Reliquidacion!B62;SIN DATA!W:W)</v>
      </c>
      <c r="P62" s="15" t="str">
        <f t="shared" si="11"/>
        <v>=SUMAR.SI(SIN DATA!B:B;Reliquidacion!B62;SIN DATA!X:X)</v>
      </c>
      <c r="Q62" s="14" t="str">
        <f t="shared" si="12"/>
        <v>=(R62/P62)</v>
      </c>
      <c r="R62" s="13" t="str">
        <f t="shared" si="13"/>
        <v>=SUMAR.SI(SIN DATA!B:B;Reliquidacion!B62;SIN DATA!AB:AB)</v>
      </c>
      <c r="S62" s="13" t="str">
        <f t="shared" si="14"/>
        <v>=(O62+R62)</v>
      </c>
      <c r="U62" s="16" t="str">
        <f t="shared" si="15"/>
        <v>=(S62-J62)</v>
      </c>
      <c r="V62" s="17" t="s">
        <v>84</v>
      </c>
      <c r="W62" s="18" t="e">
        <f>VLOOKUP(V62,#REF!,2,0)</f>
        <v>#REF!</v>
      </c>
      <c r="X62" s="19" t="e">
        <f>VLOOKUP(V62,#REF!,6,0)</f>
        <v>#REF!</v>
      </c>
      <c r="Y62" s="20">
        <v>44037</v>
      </c>
      <c r="Z62" s="20">
        <f>Z60</f>
        <v>44377</v>
      </c>
      <c r="AA62" s="21">
        <f t="shared" ref="AA62:AA64" si="26">Z62-Y62</f>
        <v>340</v>
      </c>
      <c r="AB62" s="40" t="e">
        <f t="shared" ref="AB62:AB64" si="27">+(1+X62)^(AA62/360)-1</f>
        <v>#REF!</v>
      </c>
      <c r="AC62" s="23" t="e">
        <f t="shared" ref="AC62:AC64" si="28">AB62*U62</f>
        <v>#REF!</v>
      </c>
      <c r="AD62" s="23" t="e">
        <f t="shared" ref="AD62:AD64" si="29">+U62+AC62</f>
        <v>#VALUE!</v>
      </c>
    </row>
    <row r="63" spans="1:30" x14ac:dyDescent="0.3">
      <c r="A63" s="83">
        <f t="shared" si="20"/>
        <v>63</v>
      </c>
      <c r="B63" s="71">
        <v>44013</v>
      </c>
      <c r="C63" s="74" t="str">
        <f>IF(VLOOKUP(B63,'MAPA DATA'!C:F,2,0)=1,"FACT_EMITIDA",IF(VLOOKUP(B63,'MAPA DATA'!C:F,3,0)=1,"FACT_EST_EFACT",(IF(VLOOKUP(B63,'MAPA DATA'!C:F,4,0)=1,"FACT_EST_CEN","SIN DATA"))))</f>
        <v>FACT_EMITIDA</v>
      </c>
      <c r="D63" s="13" t="str">
        <f t="shared" si="1"/>
        <v>=SUMAR.SI(SIGGE_E!B:B;Reliquidacion!B63;SIGGE_E!F:F)</v>
      </c>
      <c r="E63" s="14" t="str">
        <f t="shared" si="2"/>
        <v>=(F63/D63)</v>
      </c>
      <c r="F63" s="13" t="str">
        <f t="shared" si="3"/>
        <v>=SUMAR.SI(SIGGE_E!B:B;Reliquidacion!B63;SIGGE_E!H:H)</v>
      </c>
      <c r="G63" s="15" t="str">
        <f t="shared" si="4"/>
        <v>=SUMAR.SI(SIGGE_P!B:B;Reliquidacion!B63;SIGGE_P!F:F)</v>
      </c>
      <c r="H63" s="14" t="str">
        <f t="shared" si="5"/>
        <v>=(I63/G63)</v>
      </c>
      <c r="I63" s="13" t="str">
        <f t="shared" si="6"/>
        <v>=SUMAR.SI(SIGGE_P!B:B;Reliquidacion!B63;SIGGE_P!H:H)</v>
      </c>
      <c r="J63" s="13" t="str">
        <f t="shared" si="7"/>
        <v>=(F63+I63)</v>
      </c>
      <c r="L63" s="72" t="str">
        <f>IF(VLOOKUP(B63,'MAPA DATA'!C:H,5,0)=1,"EFACT_CNE",IF(VLOOKUP(B63,'MAPA DATA'!C:H,6,0)=1,"EFACT_EST_CNE","SIN DATA"))</f>
        <v>SIN DATA</v>
      </c>
      <c r="M63" s="13" t="str">
        <f t="shared" si="8"/>
        <v>=SUMAR.SI(SIN DATA!B:B;Reliquidacion!B63;SIN DATA!S:S)</v>
      </c>
      <c r="N63" s="14" t="str">
        <f t="shared" si="9"/>
        <v>=(O63/M63)</v>
      </c>
      <c r="O63" s="13" t="str">
        <f t="shared" si="10"/>
        <v>=SUMAR.SI(SIN DATA!B:B;Reliquidacion!B63;SIN DATA!W:W)</v>
      </c>
      <c r="P63" s="15" t="str">
        <f t="shared" si="11"/>
        <v>=SUMAR.SI(SIN DATA!B:B;Reliquidacion!B63;SIN DATA!X:X)</v>
      </c>
      <c r="Q63" s="14" t="str">
        <f t="shared" si="12"/>
        <v>=(R63/P63)</v>
      </c>
      <c r="R63" s="13" t="str">
        <f t="shared" si="13"/>
        <v>=SUMAR.SI(SIN DATA!B:B;Reliquidacion!B63;SIN DATA!AB:AB)</v>
      </c>
      <c r="S63" s="13" t="str">
        <f t="shared" si="14"/>
        <v>=(O63+R63)</v>
      </c>
      <c r="U63" s="16" t="str">
        <f t="shared" si="15"/>
        <v>=(S63-J63)</v>
      </c>
      <c r="V63" s="17" t="s">
        <v>97</v>
      </c>
      <c r="W63" s="18" t="e">
        <f>VLOOKUP(V63,#REF!,2,0)</f>
        <v>#REF!</v>
      </c>
      <c r="X63" s="19" t="e">
        <f>VLOOKUP(V63,#REF!,6,0)</f>
        <v>#REF!</v>
      </c>
      <c r="Y63" s="20">
        <v>44068</v>
      </c>
      <c r="Z63" s="20">
        <f t="shared" ref="Z63:Z64" si="30">Z59</f>
        <v>44377</v>
      </c>
      <c r="AA63" s="21">
        <f t="shared" si="26"/>
        <v>309</v>
      </c>
      <c r="AB63" s="40" t="e">
        <f t="shared" si="27"/>
        <v>#REF!</v>
      </c>
      <c r="AC63" s="23" t="e">
        <f t="shared" si="28"/>
        <v>#REF!</v>
      </c>
      <c r="AD63" s="23" t="e">
        <f t="shared" si="29"/>
        <v>#VALUE!</v>
      </c>
    </row>
    <row r="64" spans="1:30" x14ac:dyDescent="0.3">
      <c r="A64" s="83">
        <f t="shared" si="20"/>
        <v>64</v>
      </c>
      <c r="B64" s="71">
        <v>44044</v>
      </c>
      <c r="C64" s="74" t="str">
        <f>IF(VLOOKUP(B64,'MAPA DATA'!C:F,2,0)=1,"FACT_EMITIDA",IF(VLOOKUP(B64,'MAPA DATA'!C:F,3,0)=1,"FACT_EST_EFACT",(IF(VLOOKUP(B64,'MAPA DATA'!C:F,4,0)=1,"FACT_EST_CEN","SIN DATA"))))</f>
        <v>FACT_EMITIDA</v>
      </c>
      <c r="D64" s="13" t="str">
        <f t="shared" si="1"/>
        <v>=SUMAR.SI(SIGGE_E!B:B;Reliquidacion!B64;SIGGE_E!F:F)</v>
      </c>
      <c r="E64" s="14" t="str">
        <f t="shared" si="2"/>
        <v>=(F64/D64)</v>
      </c>
      <c r="F64" s="13" t="str">
        <f t="shared" si="3"/>
        <v>=SUMAR.SI(SIGGE_E!B:B;Reliquidacion!B64;SIGGE_E!H:H)</v>
      </c>
      <c r="G64" s="15" t="str">
        <f t="shared" si="4"/>
        <v>=SUMAR.SI(SIGGE_P!B:B;Reliquidacion!B64;SIGGE_P!F:F)</v>
      </c>
      <c r="H64" s="14" t="str">
        <f t="shared" si="5"/>
        <v>=(I64/G64)</v>
      </c>
      <c r="I64" s="13" t="str">
        <f t="shared" si="6"/>
        <v>=SUMAR.SI(SIGGE_P!B:B;Reliquidacion!B64;SIGGE_P!H:H)</v>
      </c>
      <c r="J64" s="13" t="str">
        <f t="shared" si="7"/>
        <v>=(F64+I64)</v>
      </c>
      <c r="L64" s="72" t="str">
        <f>IF(VLOOKUP(B64,'MAPA DATA'!C:H,5,0)=1,"EFACT_CNE",IF(VLOOKUP(B64,'MAPA DATA'!C:H,6,0)=1,"EFACT_EST_CNE","SIN DATA"))</f>
        <v>SIN DATA</v>
      </c>
      <c r="M64" s="13" t="str">
        <f t="shared" si="8"/>
        <v>=SUMAR.SI(SIN DATA!B:B;Reliquidacion!B64;SIN DATA!S:S)</v>
      </c>
      <c r="N64" s="14" t="str">
        <f t="shared" si="9"/>
        <v>=(O64/M64)</v>
      </c>
      <c r="O64" s="13" t="str">
        <f t="shared" si="10"/>
        <v>=SUMAR.SI(SIN DATA!B:B;Reliquidacion!B64;SIN DATA!W:W)</v>
      </c>
      <c r="P64" s="15" t="str">
        <f t="shared" si="11"/>
        <v>=SUMAR.SI(SIN DATA!B:B;Reliquidacion!B64;SIN DATA!X:X)</v>
      </c>
      <c r="Q64" s="14" t="str">
        <f t="shared" si="12"/>
        <v>=(R64/P64)</v>
      </c>
      <c r="R64" s="13" t="str">
        <f t="shared" si="13"/>
        <v>=SUMAR.SI(SIN DATA!B:B;Reliquidacion!B64;SIN DATA!AB:AB)</v>
      </c>
      <c r="S64" s="13" t="str">
        <f t="shared" si="14"/>
        <v>=(O64+R64)</v>
      </c>
      <c r="U64" s="16" t="str">
        <f t="shared" si="15"/>
        <v>=(S64-J64)</v>
      </c>
      <c r="V64" s="17" t="s">
        <v>97</v>
      </c>
      <c r="W64" s="18" t="e">
        <f>VLOOKUP(V64,#REF!,2,0)</f>
        <v>#REF!</v>
      </c>
      <c r="X64" s="19" t="e">
        <f>VLOOKUP(V64,#REF!,6,0)</f>
        <v>#REF!</v>
      </c>
      <c r="Y64" s="20">
        <v>44099</v>
      </c>
      <c r="Z64" s="20">
        <f t="shared" si="30"/>
        <v>44377</v>
      </c>
      <c r="AA64" s="21">
        <f t="shared" si="26"/>
        <v>278</v>
      </c>
      <c r="AB64" s="40" t="e">
        <f t="shared" si="27"/>
        <v>#REF!</v>
      </c>
      <c r="AC64" s="23" t="e">
        <f t="shared" si="28"/>
        <v>#REF!</v>
      </c>
      <c r="AD64" s="23" t="e">
        <f t="shared" si="29"/>
        <v>#VALUE!</v>
      </c>
    </row>
    <row r="65" spans="1:30" ht="15" thickBot="1" x14ac:dyDescent="0.35">
      <c r="A65" s="83">
        <f>A64+1</f>
        <v>65</v>
      </c>
      <c r="B65" s="71">
        <v>44075</v>
      </c>
      <c r="C65" s="74" t="str">
        <f>IF(VLOOKUP(B65,'MAPA DATA'!C:F,2,0)=1,"FACT_EMITIDA",IF(VLOOKUP(B65,'MAPA DATA'!C:F,3,0)=1,"FACT_EST_EFACT",(IF(VLOOKUP(B65,'MAPA DATA'!C:F,4,0)=1,"FACT_EST_CEN","SIN DATA"))))</f>
        <v>FACT_EMITIDA</v>
      </c>
      <c r="D65" s="13" t="str">
        <f t="shared" si="1"/>
        <v>=SUMAR.SI(SIGGE_E!B:B;Reliquidacion!B65;SIGGE_E!F:F)</v>
      </c>
      <c r="E65" s="14" t="str">
        <f t="shared" si="2"/>
        <v>=(F65/D65)</v>
      </c>
      <c r="F65" s="13" t="str">
        <f t="shared" si="3"/>
        <v>=SUMAR.SI(SIGGE_E!B:B;Reliquidacion!B65;SIGGE_E!H:H)</v>
      </c>
      <c r="G65" s="15" t="str">
        <f t="shared" si="4"/>
        <v>=SUMAR.SI(SIGGE_P!B:B;Reliquidacion!B65;SIGGE_P!F:F)</v>
      </c>
      <c r="H65" s="14" t="str">
        <f t="shared" si="5"/>
        <v>=(I65/G65)</v>
      </c>
      <c r="I65" s="13" t="str">
        <f t="shared" si="6"/>
        <v>=SUMAR.SI(SIGGE_P!B:B;Reliquidacion!B65;SIGGE_P!H:H)</v>
      </c>
      <c r="J65" s="13" t="str">
        <f t="shared" si="7"/>
        <v>=(F65+I65)</v>
      </c>
      <c r="L65" s="72" t="str">
        <f>IF(VLOOKUP(B65,'MAPA DATA'!C:H,5,0)=1,"EFACT_CNE",IF(VLOOKUP(B65,'MAPA DATA'!C:H,6,0)=1,"EFACT_EST_CNE","SIN DATA"))</f>
        <v>SIN DATA</v>
      </c>
      <c r="M65" s="13" t="str">
        <f t="shared" si="8"/>
        <v>=SUMAR.SI(SIN DATA!B:B;Reliquidacion!B65;SIN DATA!S:S)</v>
      </c>
      <c r="N65" s="14" t="str">
        <f t="shared" si="9"/>
        <v>=(O65/M65)</v>
      </c>
      <c r="O65" s="13" t="str">
        <f t="shared" si="10"/>
        <v>=SUMAR.SI(SIN DATA!B:B;Reliquidacion!B65;SIN DATA!W:W)</v>
      </c>
      <c r="P65" s="15" t="str">
        <f t="shared" si="11"/>
        <v>=SUMAR.SI(SIN DATA!B:B;Reliquidacion!B65;SIN DATA!X:X)</v>
      </c>
      <c r="Q65" s="14" t="str">
        <f t="shared" si="12"/>
        <v>=(R65/P65)</v>
      </c>
      <c r="R65" s="13" t="str">
        <f t="shared" si="13"/>
        <v>=SUMAR.SI(SIN DATA!B:B;Reliquidacion!B65;SIN DATA!AB:AB)</v>
      </c>
      <c r="S65" s="13" t="str">
        <f t="shared" si="14"/>
        <v>=(O65+R65)</v>
      </c>
      <c r="U65" s="16" t="str">
        <f t="shared" si="15"/>
        <v>=(S65-J65)</v>
      </c>
      <c r="V65" s="17" t="s">
        <v>97</v>
      </c>
      <c r="W65" s="18" t="e">
        <f>VLOOKUP(V65,#REF!,2,0)</f>
        <v>#REF!</v>
      </c>
      <c r="X65" s="19" t="e">
        <f>VLOOKUP(V65,#REF!,6,0)</f>
        <v>#REF!</v>
      </c>
      <c r="Y65" s="20">
        <v>44129</v>
      </c>
      <c r="Z65" s="20">
        <f>Z61</f>
        <v>44377</v>
      </c>
      <c r="AA65" s="21">
        <f t="shared" si="21"/>
        <v>248</v>
      </c>
      <c r="AB65" s="40" t="e">
        <f t="shared" si="22"/>
        <v>#REF!</v>
      </c>
      <c r="AC65" s="23" t="e">
        <f t="shared" si="23"/>
        <v>#REF!</v>
      </c>
      <c r="AD65" s="23" t="e">
        <f t="shared" si="24"/>
        <v>#VALUE!</v>
      </c>
    </row>
    <row r="66" spans="1:30" ht="15" thickBot="1" x14ac:dyDescent="0.35">
      <c r="Y66" s="1"/>
      <c r="AC66" s="24" t="s">
        <v>74</v>
      </c>
      <c r="AD66" s="25" t="e">
        <f>SUM(AD33:AD65)</f>
        <v>#VALUE!</v>
      </c>
    </row>
    <row r="68" spans="1:30" x14ac:dyDescent="0.3">
      <c r="AB68" s="32" t="s">
        <v>92</v>
      </c>
      <c r="AC68" s="33" t="s">
        <v>93</v>
      </c>
      <c r="AD68" s="34"/>
    </row>
    <row r="69" spans="1:30" x14ac:dyDescent="0.3">
      <c r="AB69" s="35" t="s">
        <v>94</v>
      </c>
      <c r="AC69" s="22" t="s">
        <v>95</v>
      </c>
      <c r="AD69" s="36"/>
    </row>
  </sheetData>
  <mergeCells count="4">
    <mergeCell ref="U7:U8"/>
    <mergeCell ref="C7:J7"/>
    <mergeCell ref="U6:AC6"/>
    <mergeCell ref="L7:S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abSelected="1" zoomScale="70" zoomScaleNormal="70" workbookViewId="0">
      <selection activeCell="I23" sqref="I23"/>
    </sheetView>
  </sheetViews>
  <sheetFormatPr baseColWidth="10" defaultRowHeight="14.4" x14ac:dyDescent="0.3"/>
  <cols>
    <col min="1" max="1" width="10.44140625" bestFit="1" customWidth="1"/>
    <col min="2" max="3" width="18.88671875" customWidth="1"/>
    <col min="4" max="5" width="15.109375" bestFit="1" customWidth="1"/>
    <col min="6" max="6" width="13.44140625" bestFit="1" customWidth="1"/>
    <col min="7" max="7" width="15.109375" customWidth="1"/>
    <col min="8" max="8" width="18.88671875" customWidth="1"/>
    <col min="12" max="12" width="14.33203125" customWidth="1"/>
  </cols>
  <sheetData>
    <row r="1" spans="1:13" ht="7.2" customHeight="1" x14ac:dyDescent="0.3"/>
    <row r="2" spans="1:13" x14ac:dyDescent="0.3">
      <c r="A2" s="6" t="s">
        <v>64</v>
      </c>
      <c r="B2" s="51" t="s">
        <v>133</v>
      </c>
      <c r="D2" s="59" t="s">
        <v>428</v>
      </c>
      <c r="E2" s="62" t="s">
        <v>433</v>
      </c>
      <c r="F2" s="62"/>
      <c r="G2" s="62"/>
      <c r="H2" s="62"/>
      <c r="I2" s="62"/>
      <c r="J2" s="62"/>
      <c r="K2" s="62"/>
      <c r="L2" s="62"/>
      <c r="M2" s="63"/>
    </row>
    <row r="3" spans="1:13" x14ac:dyDescent="0.3">
      <c r="A3" s="7" t="s">
        <v>65</v>
      </c>
      <c r="B3" s="52" t="s">
        <v>134</v>
      </c>
      <c r="D3" s="61" t="s">
        <v>430</v>
      </c>
      <c r="E3" s="64" t="s">
        <v>434</v>
      </c>
      <c r="F3" s="64"/>
      <c r="G3" s="64"/>
      <c r="H3" s="64"/>
      <c r="I3" s="64"/>
      <c r="J3" s="64"/>
      <c r="K3" s="64"/>
      <c r="L3" s="64"/>
      <c r="M3" s="65"/>
    </row>
    <row r="4" spans="1:13" x14ac:dyDescent="0.3">
      <c r="A4" s="7" t="s">
        <v>47</v>
      </c>
      <c r="B4" s="8" t="s">
        <v>69</v>
      </c>
      <c r="D4" s="60" t="s">
        <v>429</v>
      </c>
      <c r="E4" s="66" t="s">
        <v>435</v>
      </c>
      <c r="F4" s="62"/>
      <c r="G4" s="62"/>
      <c r="H4" s="62"/>
      <c r="I4" s="62"/>
      <c r="J4" s="62"/>
      <c r="K4" s="62"/>
      <c r="L4" s="62"/>
      <c r="M4" s="63"/>
    </row>
    <row r="5" spans="1:13" x14ac:dyDescent="0.3">
      <c r="A5" s="9" t="s">
        <v>44</v>
      </c>
      <c r="B5" s="53" t="s">
        <v>135</v>
      </c>
      <c r="D5" s="60" t="s">
        <v>431</v>
      </c>
      <c r="E5" s="67" t="s">
        <v>436</v>
      </c>
      <c r="F5" s="58"/>
      <c r="G5" s="58"/>
      <c r="H5" s="58"/>
      <c r="I5" s="58"/>
      <c r="J5" s="58"/>
      <c r="K5" s="58"/>
      <c r="L5" s="58"/>
      <c r="M5" s="68"/>
    </row>
    <row r="6" spans="1:13" x14ac:dyDescent="0.3">
      <c r="D6" s="61" t="s">
        <v>432</v>
      </c>
      <c r="E6" s="69" t="s">
        <v>437</v>
      </c>
      <c r="F6" s="64"/>
      <c r="G6" s="64"/>
      <c r="H6" s="64"/>
      <c r="I6" s="64"/>
      <c r="J6" s="64"/>
      <c r="K6" s="64"/>
      <c r="L6" s="64"/>
      <c r="M6" s="65"/>
    </row>
    <row r="8" spans="1:13" x14ac:dyDescent="0.3">
      <c r="D8" s="78" t="s">
        <v>439</v>
      </c>
      <c r="E8" s="78"/>
      <c r="F8" s="78"/>
      <c r="G8" s="78" t="s">
        <v>438</v>
      </c>
      <c r="H8" s="78"/>
    </row>
    <row r="9" spans="1:13" x14ac:dyDescent="0.3">
      <c r="A9" s="79" t="s">
        <v>440</v>
      </c>
      <c r="B9" s="80"/>
      <c r="C9" s="81"/>
      <c r="D9" s="74">
        <v>1</v>
      </c>
      <c r="E9" s="74">
        <v>2</v>
      </c>
      <c r="F9" s="74">
        <v>3</v>
      </c>
      <c r="G9" s="74">
        <v>1</v>
      </c>
      <c r="H9" s="74">
        <v>2</v>
      </c>
    </row>
    <row r="10" spans="1:13" x14ac:dyDescent="0.3">
      <c r="A10" s="70" t="s">
        <v>427</v>
      </c>
      <c r="B10" s="70" t="s">
        <v>3</v>
      </c>
      <c r="C10" s="70" t="s">
        <v>78</v>
      </c>
      <c r="D10" s="74" t="s">
        <v>429</v>
      </c>
      <c r="E10" s="74" t="s">
        <v>431</v>
      </c>
      <c r="F10" s="74" t="s">
        <v>432</v>
      </c>
      <c r="G10" s="74" t="s">
        <v>428</v>
      </c>
      <c r="H10" s="74" t="s">
        <v>430</v>
      </c>
    </row>
    <row r="11" spans="1:13" x14ac:dyDescent="0.3">
      <c r="A11" s="57">
        <v>2016</v>
      </c>
      <c r="B11" s="57">
        <v>1</v>
      </c>
      <c r="C11" s="73">
        <v>42370</v>
      </c>
      <c r="D11" s="5">
        <f>IF(COUNTIF(FACT_EMITIDA!B:B,'MAPA DATA'!C11)&gt;0,1,0)</f>
        <v>0</v>
      </c>
      <c r="E11" s="5">
        <f>IF(COUNTIF(FACT_EST_EFACT!B:B,'MAPA DATA'!C11)&gt;0,1,0)</f>
        <v>0</v>
      </c>
      <c r="F11" s="5">
        <f>IF(COUNTIF(FACT_EST_CEN!B:B,'MAPA DATA'!C11)&gt;0,1,0)</f>
        <v>0</v>
      </c>
      <c r="G11" s="5">
        <f>IF(COUNTIF(EFACT_CNE!B:B,'MAPA DATA'!C11)&gt;0,1,0)</f>
        <v>1</v>
      </c>
      <c r="H11" s="5">
        <f>IF(COUNTIF(EFACT_EST_CEN!B:B,'MAPA DATA'!C11)&gt;0,1,0)</f>
        <v>0</v>
      </c>
    </row>
    <row r="12" spans="1:13" x14ac:dyDescent="0.3">
      <c r="A12" s="57">
        <v>2016</v>
      </c>
      <c r="B12" s="57">
        <v>2</v>
      </c>
      <c r="C12" s="73">
        <v>42401</v>
      </c>
      <c r="D12" s="5">
        <f>IF(COUNTIF(FACT_EMITIDA!B:B,'MAPA DATA'!C12)&gt;0,1,0)</f>
        <v>0</v>
      </c>
      <c r="E12" s="5">
        <f>IF(COUNTIF(FACT_EST_EFACT!B:B,'MAPA DATA'!C12)&gt;0,1,0)</f>
        <v>0</v>
      </c>
      <c r="F12" s="5">
        <f>IF(COUNTIF(FACT_EST_CEN!B:B,'MAPA DATA'!C12)&gt;0,1,0)</f>
        <v>0</v>
      </c>
      <c r="G12" s="5">
        <f>IF(COUNTIF(EFACT_CNE!B:B,'MAPA DATA'!C12)&gt;0,1,0)</f>
        <v>1</v>
      </c>
      <c r="H12" s="5">
        <f>IF(COUNTIF(EFACT_EST_CEN!B:B,'MAPA DATA'!C12)&gt;0,1,0)</f>
        <v>0</v>
      </c>
    </row>
    <row r="13" spans="1:13" x14ac:dyDescent="0.3">
      <c r="A13" s="57">
        <v>2016</v>
      </c>
      <c r="B13" s="57">
        <v>3</v>
      </c>
      <c r="C13" s="73">
        <v>42430</v>
      </c>
      <c r="D13" s="5">
        <f>IF(COUNTIF(FACT_EMITIDA!B:B,'MAPA DATA'!C13)&gt;0,1,0)</f>
        <v>0</v>
      </c>
      <c r="E13" s="5">
        <f>IF(COUNTIF(FACT_EST_EFACT!B:B,'MAPA DATA'!C13)&gt;0,1,0)</f>
        <v>1</v>
      </c>
      <c r="F13" s="5">
        <f>IF(COUNTIF(FACT_EST_CEN!B:B,'MAPA DATA'!C13)&gt;0,1,0)</f>
        <v>0</v>
      </c>
      <c r="G13" s="5">
        <f>IF(COUNTIF(EFACT_CNE!B:B,'MAPA DATA'!C13)&gt;0,1,0)</f>
        <v>1</v>
      </c>
      <c r="H13" s="5">
        <f>IF(COUNTIF(EFACT_EST_CEN!B:B,'MAPA DATA'!C13)&gt;0,1,0)</f>
        <v>0</v>
      </c>
    </row>
    <row r="14" spans="1:13" x14ac:dyDescent="0.3">
      <c r="A14" s="57">
        <v>2016</v>
      </c>
      <c r="B14" s="57">
        <v>4</v>
      </c>
      <c r="C14" s="73">
        <v>42461</v>
      </c>
      <c r="D14" s="5">
        <f>IF(COUNTIF(FACT_EMITIDA!B:B,'MAPA DATA'!C14)&gt;0,1,0)</f>
        <v>0</v>
      </c>
      <c r="E14" s="5">
        <f>IF(COUNTIF(FACT_EST_EFACT!B:B,'MAPA DATA'!C14)&gt;0,1,0)</f>
        <v>1</v>
      </c>
      <c r="F14" s="5">
        <f>IF(COUNTIF(FACT_EST_CEN!B:B,'MAPA DATA'!C14)&gt;0,1,0)</f>
        <v>0</v>
      </c>
      <c r="G14" s="5">
        <f>IF(COUNTIF(EFACT_CNE!B:B,'MAPA DATA'!C14)&gt;0,1,0)</f>
        <v>1</v>
      </c>
      <c r="H14" s="5">
        <f>IF(COUNTIF(EFACT_EST_CEN!B:B,'MAPA DATA'!C14)&gt;0,1,0)</f>
        <v>0</v>
      </c>
    </row>
    <row r="15" spans="1:13" x14ac:dyDescent="0.3">
      <c r="A15" s="57">
        <v>2016</v>
      </c>
      <c r="B15" s="57">
        <v>5</v>
      </c>
      <c r="C15" s="73">
        <v>42491</v>
      </c>
      <c r="D15" s="5">
        <f>IF(COUNTIF(FACT_EMITIDA!B:B,'MAPA DATA'!C15)&gt;0,1,0)</f>
        <v>0</v>
      </c>
      <c r="E15" s="5">
        <f>IF(COUNTIF(FACT_EST_EFACT!B:B,'MAPA DATA'!C15)&gt;0,1,0)</f>
        <v>1</v>
      </c>
      <c r="F15" s="5">
        <f>IF(COUNTIF(FACT_EST_CEN!B:B,'MAPA DATA'!C15)&gt;0,1,0)</f>
        <v>0</v>
      </c>
      <c r="G15" s="5">
        <f>IF(COUNTIF(EFACT_CNE!B:B,'MAPA DATA'!C15)&gt;0,1,0)</f>
        <v>1</v>
      </c>
      <c r="H15" s="5">
        <f>IF(COUNTIF(EFACT_EST_CEN!B:B,'MAPA DATA'!C15)&gt;0,1,0)</f>
        <v>0</v>
      </c>
    </row>
    <row r="16" spans="1:13" x14ac:dyDescent="0.3">
      <c r="A16" s="57">
        <v>2016</v>
      </c>
      <c r="B16" s="57">
        <v>6</v>
      </c>
      <c r="C16" s="73">
        <v>42522</v>
      </c>
      <c r="D16" s="5">
        <f>IF(COUNTIF(FACT_EMITIDA!B:B,'MAPA DATA'!C16)&gt;0,1,0)</f>
        <v>0</v>
      </c>
      <c r="E16" s="5">
        <f>IF(COUNTIF(FACT_EST_EFACT!B:B,'MAPA DATA'!C16)&gt;0,1,0)</f>
        <v>1</v>
      </c>
      <c r="F16" s="5">
        <f>IF(COUNTIF(FACT_EST_CEN!B:B,'MAPA DATA'!C16)&gt;0,1,0)</f>
        <v>0</v>
      </c>
      <c r="G16" s="5">
        <f>IF(COUNTIF(EFACT_CNE!B:B,'MAPA DATA'!C16)&gt;0,1,0)</f>
        <v>1</v>
      </c>
      <c r="H16" s="5">
        <f>IF(COUNTIF(EFACT_EST_CEN!B:B,'MAPA DATA'!C16)&gt;0,1,0)</f>
        <v>0</v>
      </c>
    </row>
    <row r="17" spans="1:8" x14ac:dyDescent="0.3">
      <c r="A17" s="57">
        <v>2016</v>
      </c>
      <c r="B17" s="57">
        <v>7</v>
      </c>
      <c r="C17" s="73">
        <v>42552</v>
      </c>
      <c r="D17" s="5">
        <f>IF(COUNTIF(FACT_EMITIDA!B:B,'MAPA DATA'!C17)&gt;0,1,0)</f>
        <v>0</v>
      </c>
      <c r="E17" s="5">
        <f>IF(COUNTIF(FACT_EST_EFACT!B:B,'MAPA DATA'!C17)&gt;0,1,0)</f>
        <v>1</v>
      </c>
      <c r="F17" s="5">
        <f>IF(COUNTIF(FACT_EST_CEN!B:B,'MAPA DATA'!C17)&gt;0,1,0)</f>
        <v>0</v>
      </c>
      <c r="G17" s="5">
        <f>IF(COUNTIF(EFACT_CNE!B:B,'MAPA DATA'!C17)&gt;0,1,0)</f>
        <v>1</v>
      </c>
      <c r="H17" s="5">
        <f>IF(COUNTIF(EFACT_EST_CEN!B:B,'MAPA DATA'!C17)&gt;0,1,0)</f>
        <v>0</v>
      </c>
    </row>
    <row r="18" spans="1:8" x14ac:dyDescent="0.3">
      <c r="A18" s="57">
        <v>2016</v>
      </c>
      <c r="B18" s="57">
        <v>8</v>
      </c>
      <c r="C18" s="73">
        <v>42583</v>
      </c>
      <c r="D18" s="5">
        <f>IF(COUNTIF(FACT_EMITIDA!B:B,'MAPA DATA'!C18)&gt;0,1,0)</f>
        <v>0</v>
      </c>
      <c r="E18" s="5">
        <f>IF(COUNTIF(FACT_EST_EFACT!B:B,'MAPA DATA'!C18)&gt;0,1,0)</f>
        <v>0</v>
      </c>
      <c r="F18" s="5">
        <f>IF(COUNTIF(FACT_EST_CEN!B:B,'MAPA DATA'!C18)&gt;0,1,0)</f>
        <v>0</v>
      </c>
      <c r="G18" s="5">
        <f>IF(COUNTIF(EFACT_CNE!B:B,'MAPA DATA'!C18)&gt;0,1,0)</f>
        <v>1</v>
      </c>
      <c r="H18" s="5">
        <f>IF(COUNTIF(EFACT_EST_CEN!B:B,'MAPA DATA'!C18)&gt;0,1,0)</f>
        <v>0</v>
      </c>
    </row>
    <row r="19" spans="1:8" x14ac:dyDescent="0.3">
      <c r="A19" s="57">
        <v>2016</v>
      </c>
      <c r="B19" s="57">
        <v>9</v>
      </c>
      <c r="C19" s="73">
        <v>42614</v>
      </c>
      <c r="D19" s="5">
        <f>IF(COUNTIF(FACT_EMITIDA!B:B,'MAPA DATA'!C19)&gt;0,1,0)</f>
        <v>0</v>
      </c>
      <c r="E19" s="5">
        <f>IF(COUNTIF(FACT_EST_EFACT!B:B,'MAPA DATA'!C19)&gt;0,1,0)</f>
        <v>1</v>
      </c>
      <c r="F19" s="5">
        <f>IF(COUNTIF(FACT_EST_CEN!B:B,'MAPA DATA'!C19)&gt;0,1,0)</f>
        <v>0</v>
      </c>
      <c r="G19" s="5">
        <f>IF(COUNTIF(EFACT_CNE!B:B,'MAPA DATA'!C19)&gt;0,1,0)</f>
        <v>1</v>
      </c>
      <c r="H19" s="5">
        <f>IF(COUNTIF(EFACT_EST_CEN!B:B,'MAPA DATA'!C19)&gt;0,1,0)</f>
        <v>0</v>
      </c>
    </row>
    <row r="20" spans="1:8" x14ac:dyDescent="0.3">
      <c r="A20" s="57">
        <v>2016</v>
      </c>
      <c r="B20" s="57">
        <v>10</v>
      </c>
      <c r="C20" s="73">
        <v>42644</v>
      </c>
      <c r="D20" s="5">
        <f>IF(COUNTIF(FACT_EMITIDA!B:B,'MAPA DATA'!C20)&gt;0,1,0)</f>
        <v>0</v>
      </c>
      <c r="E20" s="5">
        <f>IF(COUNTIF(FACT_EST_EFACT!B:B,'MAPA DATA'!C20)&gt;0,1,0)</f>
        <v>1</v>
      </c>
      <c r="F20" s="5">
        <f>IF(COUNTIF(FACT_EST_CEN!B:B,'MAPA DATA'!C20)&gt;0,1,0)</f>
        <v>0</v>
      </c>
      <c r="G20" s="5">
        <f>IF(COUNTIF(EFACT_CNE!B:B,'MAPA DATA'!C20)&gt;0,1,0)</f>
        <v>1</v>
      </c>
      <c r="H20" s="5">
        <f>IF(COUNTIF(EFACT_EST_CEN!B:B,'MAPA DATA'!C20)&gt;0,1,0)</f>
        <v>0</v>
      </c>
    </row>
    <row r="21" spans="1:8" x14ac:dyDescent="0.3">
      <c r="A21" s="57">
        <v>2016</v>
      </c>
      <c r="B21" s="57">
        <v>11</v>
      </c>
      <c r="C21" s="73">
        <v>42675</v>
      </c>
      <c r="D21" s="5">
        <f>IF(COUNTIF(FACT_EMITIDA!B:B,'MAPA DATA'!C21)&gt;0,1,0)</f>
        <v>0</v>
      </c>
      <c r="E21" s="5">
        <f>IF(COUNTIF(FACT_EST_EFACT!B:B,'MAPA DATA'!C21)&gt;0,1,0)</f>
        <v>1</v>
      </c>
      <c r="F21" s="5">
        <f>IF(COUNTIF(FACT_EST_CEN!B:B,'MAPA DATA'!C21)&gt;0,1,0)</f>
        <v>0</v>
      </c>
      <c r="G21" s="5">
        <f>IF(COUNTIF(EFACT_CNE!B:B,'MAPA DATA'!C21)&gt;0,1,0)</f>
        <v>1</v>
      </c>
      <c r="H21" s="5">
        <f>IF(COUNTIF(EFACT_EST_CEN!B:B,'MAPA DATA'!C21)&gt;0,1,0)</f>
        <v>0</v>
      </c>
    </row>
    <row r="22" spans="1:8" x14ac:dyDescent="0.3">
      <c r="A22" s="57">
        <v>2016</v>
      </c>
      <c r="B22" s="57">
        <v>12</v>
      </c>
      <c r="C22" s="73">
        <v>42705</v>
      </c>
      <c r="D22" s="5">
        <f>IF(COUNTIF(FACT_EMITIDA!B:B,'MAPA DATA'!C22)&gt;0,1,0)</f>
        <v>0</v>
      </c>
      <c r="E22" s="5">
        <f>IF(COUNTIF(FACT_EST_EFACT!B:B,'MAPA DATA'!C22)&gt;0,1,0)</f>
        <v>1</v>
      </c>
      <c r="F22" s="5">
        <f>IF(COUNTIF(FACT_EST_CEN!B:B,'MAPA DATA'!C22)&gt;0,1,0)</f>
        <v>0</v>
      </c>
      <c r="G22" s="5">
        <f>IF(COUNTIF(EFACT_CNE!B:B,'MAPA DATA'!C22)&gt;0,1,0)</f>
        <v>1</v>
      </c>
      <c r="H22" s="5">
        <f>IF(COUNTIF(EFACT_EST_CEN!B:B,'MAPA DATA'!C22)&gt;0,1,0)</f>
        <v>0</v>
      </c>
    </row>
    <row r="23" spans="1:8" x14ac:dyDescent="0.3">
      <c r="A23" s="57">
        <f>A11+1</f>
        <v>2017</v>
      </c>
      <c r="B23" s="57">
        <f>B11</f>
        <v>1</v>
      </c>
      <c r="C23" s="73">
        <v>42736</v>
      </c>
      <c r="D23" s="5">
        <f>IF(COUNTIF(FACT_EMITIDA!B:B,'MAPA DATA'!C23)&gt;0,1,0)</f>
        <v>0</v>
      </c>
      <c r="E23" s="5">
        <f>IF(COUNTIF(FACT_EST_EFACT!B:B,'MAPA DATA'!C23)&gt;0,1,0)</f>
        <v>0</v>
      </c>
      <c r="F23" s="5">
        <f>IF(COUNTIF(FACT_EST_CEN!B:B,'MAPA DATA'!C23)&gt;0,1,0)</f>
        <v>0</v>
      </c>
      <c r="G23" s="5">
        <f>IF(COUNTIF(EFACT_CNE!B:B,'MAPA DATA'!C23)&gt;0,1,0)</f>
        <v>1</v>
      </c>
      <c r="H23" s="5">
        <f>IF(COUNTIF(EFACT_EST_CEN!B:B,'MAPA DATA'!C23)&gt;0,1,0)</f>
        <v>0</v>
      </c>
    </row>
    <row r="24" spans="1:8" x14ac:dyDescent="0.3">
      <c r="A24" s="57">
        <f t="shared" ref="A24:A67" si="0">A12+1</f>
        <v>2017</v>
      </c>
      <c r="B24" s="57">
        <f t="shared" ref="B24:B67" si="1">B12</f>
        <v>2</v>
      </c>
      <c r="C24" s="73">
        <v>42767</v>
      </c>
      <c r="D24" s="5">
        <f>IF(COUNTIF(FACT_EMITIDA!B:B,'MAPA DATA'!C24)&gt;0,1,0)</f>
        <v>0</v>
      </c>
      <c r="E24" s="5">
        <f>IF(COUNTIF(FACT_EST_EFACT!B:B,'MAPA DATA'!C24)&gt;0,1,0)</f>
        <v>1</v>
      </c>
      <c r="F24" s="5">
        <f>IF(COUNTIF(FACT_EST_CEN!B:B,'MAPA DATA'!C24)&gt;0,1,0)</f>
        <v>0</v>
      </c>
      <c r="G24" s="5">
        <f>IF(COUNTIF(EFACT_CNE!B:B,'MAPA DATA'!C24)&gt;0,1,0)</f>
        <v>1</v>
      </c>
      <c r="H24" s="5">
        <f>IF(COUNTIF(EFACT_EST_CEN!B:B,'MAPA DATA'!C24)&gt;0,1,0)</f>
        <v>0</v>
      </c>
    </row>
    <row r="25" spans="1:8" x14ac:dyDescent="0.3">
      <c r="A25" s="57">
        <f t="shared" si="0"/>
        <v>2017</v>
      </c>
      <c r="B25" s="57">
        <f t="shared" si="1"/>
        <v>3</v>
      </c>
      <c r="C25" s="73">
        <v>42795</v>
      </c>
      <c r="D25" s="5">
        <f>IF(COUNTIF(FACT_EMITIDA!B:B,'MAPA DATA'!C25)&gt;0,1,0)</f>
        <v>0</v>
      </c>
      <c r="E25" s="5">
        <f>IF(COUNTIF(FACT_EST_EFACT!B:B,'MAPA DATA'!C25)&gt;0,1,0)</f>
        <v>1</v>
      </c>
      <c r="F25" s="5">
        <f>IF(COUNTIF(FACT_EST_CEN!B:B,'MAPA DATA'!C25)&gt;0,1,0)</f>
        <v>0</v>
      </c>
      <c r="G25" s="5">
        <f>IF(COUNTIF(EFACT_CNE!B:B,'MAPA DATA'!C25)&gt;0,1,0)</f>
        <v>1</v>
      </c>
      <c r="H25" s="5">
        <f>IF(COUNTIF(EFACT_EST_CEN!B:B,'MAPA DATA'!C25)&gt;0,1,0)</f>
        <v>0</v>
      </c>
    </row>
    <row r="26" spans="1:8" x14ac:dyDescent="0.3">
      <c r="A26" s="57">
        <f t="shared" si="0"/>
        <v>2017</v>
      </c>
      <c r="B26" s="57">
        <f t="shared" si="1"/>
        <v>4</v>
      </c>
      <c r="C26" s="73">
        <v>42826</v>
      </c>
      <c r="D26" s="5">
        <f>IF(COUNTIF(FACT_EMITIDA!B:B,'MAPA DATA'!C26)&gt;0,1,0)</f>
        <v>0</v>
      </c>
      <c r="E26" s="5">
        <f>IF(COUNTIF(FACT_EST_EFACT!B:B,'MAPA DATA'!C26)&gt;0,1,0)</f>
        <v>1</v>
      </c>
      <c r="F26" s="5">
        <f>IF(COUNTIF(FACT_EST_CEN!B:B,'MAPA DATA'!C26)&gt;0,1,0)</f>
        <v>0</v>
      </c>
      <c r="G26" s="5">
        <f>IF(COUNTIF(EFACT_CNE!B:B,'MAPA DATA'!C26)&gt;0,1,0)</f>
        <v>1</v>
      </c>
      <c r="H26" s="5">
        <f>IF(COUNTIF(EFACT_EST_CEN!B:B,'MAPA DATA'!C26)&gt;0,1,0)</f>
        <v>0</v>
      </c>
    </row>
    <row r="27" spans="1:8" x14ac:dyDescent="0.3">
      <c r="A27" s="57">
        <f t="shared" si="0"/>
        <v>2017</v>
      </c>
      <c r="B27" s="57">
        <f t="shared" si="1"/>
        <v>5</v>
      </c>
      <c r="C27" s="73">
        <v>42856</v>
      </c>
      <c r="D27" s="5">
        <f>IF(COUNTIF(FACT_EMITIDA!B:B,'MAPA DATA'!C27)&gt;0,1,0)</f>
        <v>0</v>
      </c>
      <c r="E27" s="5">
        <f>IF(COUNTIF(FACT_EST_EFACT!B:B,'MAPA DATA'!C27)&gt;0,1,0)</f>
        <v>1</v>
      </c>
      <c r="F27" s="5">
        <f>IF(COUNTIF(FACT_EST_CEN!B:B,'MAPA DATA'!C27)&gt;0,1,0)</f>
        <v>0</v>
      </c>
      <c r="G27" s="5">
        <f>IF(COUNTIF(EFACT_CNE!B:B,'MAPA DATA'!C27)&gt;0,1,0)</f>
        <v>1</v>
      </c>
      <c r="H27" s="5">
        <f>IF(COUNTIF(EFACT_EST_CEN!B:B,'MAPA DATA'!C27)&gt;0,1,0)</f>
        <v>0</v>
      </c>
    </row>
    <row r="28" spans="1:8" x14ac:dyDescent="0.3">
      <c r="A28" s="57">
        <f t="shared" si="0"/>
        <v>2017</v>
      </c>
      <c r="B28" s="57">
        <f t="shared" si="1"/>
        <v>6</v>
      </c>
      <c r="C28" s="73">
        <v>42887</v>
      </c>
      <c r="D28" s="5">
        <f>IF(COUNTIF(FACT_EMITIDA!B:B,'MAPA DATA'!C28)&gt;0,1,0)</f>
        <v>0</v>
      </c>
      <c r="E28" s="5">
        <f>IF(COUNTIF(FACT_EST_EFACT!B:B,'MAPA DATA'!C28)&gt;0,1,0)</f>
        <v>1</v>
      </c>
      <c r="F28" s="5">
        <f>IF(COUNTIF(FACT_EST_CEN!B:B,'MAPA DATA'!C28)&gt;0,1,0)</f>
        <v>0</v>
      </c>
      <c r="G28" s="5">
        <f>IF(COUNTIF(EFACT_CNE!B:B,'MAPA DATA'!C28)&gt;0,1,0)</f>
        <v>1</v>
      </c>
      <c r="H28" s="5">
        <f>IF(COUNTIF(EFACT_EST_CEN!B:B,'MAPA DATA'!C28)&gt;0,1,0)</f>
        <v>0</v>
      </c>
    </row>
    <row r="29" spans="1:8" x14ac:dyDescent="0.3">
      <c r="A29" s="57">
        <f t="shared" si="0"/>
        <v>2017</v>
      </c>
      <c r="B29" s="57">
        <f t="shared" si="1"/>
        <v>7</v>
      </c>
      <c r="C29" s="73">
        <v>42917</v>
      </c>
      <c r="D29" s="5">
        <f>IF(COUNTIF(FACT_EMITIDA!B:B,'MAPA DATA'!C29)&gt;0,1,0)</f>
        <v>0</v>
      </c>
      <c r="E29" s="5">
        <f>IF(COUNTIF(FACT_EST_EFACT!B:B,'MAPA DATA'!C29)&gt;0,1,0)</f>
        <v>1</v>
      </c>
      <c r="F29" s="5">
        <f>IF(COUNTIF(FACT_EST_CEN!B:B,'MAPA DATA'!C29)&gt;0,1,0)</f>
        <v>0</v>
      </c>
      <c r="G29" s="5">
        <f>IF(COUNTIF(EFACT_CNE!B:B,'MAPA DATA'!C29)&gt;0,1,0)</f>
        <v>1</v>
      </c>
      <c r="H29" s="5">
        <f>IF(COUNTIF(EFACT_EST_CEN!B:B,'MAPA DATA'!C29)&gt;0,1,0)</f>
        <v>0</v>
      </c>
    </row>
    <row r="30" spans="1:8" x14ac:dyDescent="0.3">
      <c r="A30" s="57">
        <f t="shared" si="0"/>
        <v>2017</v>
      </c>
      <c r="B30" s="57">
        <f t="shared" si="1"/>
        <v>8</v>
      </c>
      <c r="C30" s="73">
        <v>42948</v>
      </c>
      <c r="D30" s="5">
        <f>IF(COUNTIF(FACT_EMITIDA!B:B,'MAPA DATA'!C30)&gt;0,1,0)</f>
        <v>0</v>
      </c>
      <c r="E30" s="5">
        <f>IF(COUNTIF(FACT_EST_EFACT!B:B,'MAPA DATA'!C30)&gt;0,1,0)</f>
        <v>1</v>
      </c>
      <c r="F30" s="5">
        <f>IF(COUNTIF(FACT_EST_CEN!B:B,'MAPA DATA'!C30)&gt;0,1,0)</f>
        <v>0</v>
      </c>
      <c r="G30" s="5">
        <f>IF(COUNTIF(EFACT_CNE!B:B,'MAPA DATA'!C30)&gt;0,1,0)</f>
        <v>1</v>
      </c>
      <c r="H30" s="5">
        <f>IF(COUNTIF(EFACT_EST_CEN!B:B,'MAPA DATA'!C30)&gt;0,1,0)</f>
        <v>0</v>
      </c>
    </row>
    <row r="31" spans="1:8" x14ac:dyDescent="0.3">
      <c r="A31" s="57">
        <f t="shared" si="0"/>
        <v>2017</v>
      </c>
      <c r="B31" s="57">
        <f t="shared" si="1"/>
        <v>9</v>
      </c>
      <c r="C31" s="73">
        <v>42979</v>
      </c>
      <c r="D31" s="5">
        <f>IF(COUNTIF(FACT_EMITIDA!B:B,'MAPA DATA'!C31)&gt;0,1,0)</f>
        <v>0</v>
      </c>
      <c r="E31" s="5">
        <f>IF(COUNTIF(FACT_EST_EFACT!B:B,'MAPA DATA'!C31)&gt;0,1,0)</f>
        <v>1</v>
      </c>
      <c r="F31" s="5">
        <f>IF(COUNTIF(FACT_EST_CEN!B:B,'MAPA DATA'!C31)&gt;0,1,0)</f>
        <v>0</v>
      </c>
      <c r="G31" s="5">
        <f>IF(COUNTIF(EFACT_CNE!B:B,'MAPA DATA'!C31)&gt;0,1,0)</f>
        <v>1</v>
      </c>
      <c r="H31" s="5">
        <f>IF(COUNTIF(EFACT_EST_CEN!B:B,'MAPA DATA'!C31)&gt;0,1,0)</f>
        <v>0</v>
      </c>
    </row>
    <row r="32" spans="1:8" x14ac:dyDescent="0.3">
      <c r="A32" s="57">
        <f t="shared" si="0"/>
        <v>2017</v>
      </c>
      <c r="B32" s="57">
        <f t="shared" si="1"/>
        <v>10</v>
      </c>
      <c r="C32" s="73">
        <v>43009</v>
      </c>
      <c r="D32" s="5">
        <f>IF(COUNTIF(FACT_EMITIDA!B:B,'MAPA DATA'!C32)&gt;0,1,0)</f>
        <v>0</v>
      </c>
      <c r="E32" s="5">
        <f>IF(COUNTIF(FACT_EST_EFACT!B:B,'MAPA DATA'!C32)&gt;0,1,0)</f>
        <v>1</v>
      </c>
      <c r="F32" s="5">
        <f>IF(COUNTIF(FACT_EST_CEN!B:B,'MAPA DATA'!C32)&gt;0,1,0)</f>
        <v>0</v>
      </c>
      <c r="G32" s="5">
        <f>IF(COUNTIF(EFACT_CNE!B:B,'MAPA DATA'!C32)&gt;0,1,0)</f>
        <v>1</v>
      </c>
      <c r="H32" s="5">
        <f>IF(COUNTIF(EFACT_EST_CEN!B:B,'MAPA DATA'!C32)&gt;0,1,0)</f>
        <v>0</v>
      </c>
    </row>
    <row r="33" spans="1:8" x14ac:dyDescent="0.3">
      <c r="A33" s="57">
        <f t="shared" si="0"/>
        <v>2017</v>
      </c>
      <c r="B33" s="57">
        <f t="shared" si="1"/>
        <v>11</v>
      </c>
      <c r="C33" s="73">
        <v>43040</v>
      </c>
      <c r="D33" s="5">
        <f>IF(COUNTIF(FACT_EMITIDA!B:B,'MAPA DATA'!C33)&gt;0,1,0)</f>
        <v>0</v>
      </c>
      <c r="E33" s="5">
        <f>IF(COUNTIF(FACT_EST_EFACT!B:B,'MAPA DATA'!C33)&gt;0,1,0)</f>
        <v>1</v>
      </c>
      <c r="F33" s="5">
        <f>IF(COUNTIF(FACT_EST_CEN!B:B,'MAPA DATA'!C33)&gt;0,1,0)</f>
        <v>0</v>
      </c>
      <c r="G33" s="5">
        <f>IF(COUNTIF(EFACT_CNE!B:B,'MAPA DATA'!C33)&gt;0,1,0)</f>
        <v>1</v>
      </c>
      <c r="H33" s="5">
        <f>IF(COUNTIF(EFACT_EST_CEN!B:B,'MAPA DATA'!C33)&gt;0,1,0)</f>
        <v>0</v>
      </c>
    </row>
    <row r="34" spans="1:8" x14ac:dyDescent="0.3">
      <c r="A34" s="57">
        <f t="shared" si="0"/>
        <v>2017</v>
      </c>
      <c r="B34" s="57">
        <f t="shared" si="1"/>
        <v>12</v>
      </c>
      <c r="C34" s="73">
        <v>43070</v>
      </c>
      <c r="D34" s="5">
        <f>IF(COUNTIF(FACT_EMITIDA!B:B,'MAPA DATA'!C34)&gt;0,1,0)</f>
        <v>0</v>
      </c>
      <c r="E34" s="5">
        <f>IF(COUNTIF(FACT_EST_EFACT!B:B,'MAPA DATA'!C34)&gt;0,1,0)</f>
        <v>1</v>
      </c>
      <c r="F34" s="5">
        <f>IF(COUNTIF(FACT_EST_CEN!B:B,'MAPA DATA'!C34)&gt;0,1,0)</f>
        <v>0</v>
      </c>
      <c r="G34" s="5">
        <f>IF(COUNTIF(EFACT_CNE!B:B,'MAPA DATA'!C34)&gt;0,1,0)</f>
        <v>1</v>
      </c>
      <c r="H34" s="5">
        <f>IF(COUNTIF(EFACT_EST_CEN!B:B,'MAPA DATA'!C34)&gt;0,1,0)</f>
        <v>0</v>
      </c>
    </row>
    <row r="35" spans="1:8" x14ac:dyDescent="0.3">
      <c r="A35" s="57">
        <f t="shared" si="0"/>
        <v>2018</v>
      </c>
      <c r="B35" s="57">
        <f t="shared" si="1"/>
        <v>1</v>
      </c>
      <c r="C35" s="73">
        <v>43101</v>
      </c>
      <c r="D35" s="5">
        <f>IF(COUNTIF(FACT_EMITIDA!B:B,'MAPA DATA'!C35)&gt;0,1,0)</f>
        <v>0</v>
      </c>
      <c r="E35" s="5">
        <f>IF(COUNTIF(FACT_EST_EFACT!B:B,'MAPA DATA'!C35)&gt;0,1,0)</f>
        <v>1</v>
      </c>
      <c r="F35" s="5">
        <f>IF(COUNTIF(FACT_EST_CEN!B:B,'MAPA DATA'!C35)&gt;0,1,0)</f>
        <v>0</v>
      </c>
      <c r="G35" s="5">
        <f>IF(COUNTIF(EFACT_CNE!B:B,'MAPA DATA'!C35)&gt;0,1,0)</f>
        <v>1</v>
      </c>
      <c r="H35" s="5">
        <f>IF(COUNTIF(EFACT_EST_CEN!B:B,'MAPA DATA'!C35)&gt;0,1,0)</f>
        <v>0</v>
      </c>
    </row>
    <row r="36" spans="1:8" x14ac:dyDescent="0.3">
      <c r="A36" s="57">
        <f t="shared" si="0"/>
        <v>2018</v>
      </c>
      <c r="B36" s="57">
        <f t="shared" si="1"/>
        <v>2</v>
      </c>
      <c r="C36" s="73">
        <v>43132</v>
      </c>
      <c r="D36" s="5">
        <f>IF(COUNTIF(FACT_EMITIDA!B:B,'MAPA DATA'!C36)&gt;0,1,0)</f>
        <v>0</v>
      </c>
      <c r="E36" s="5">
        <f>IF(COUNTIF(FACT_EST_EFACT!B:B,'MAPA DATA'!C36)&gt;0,1,0)</f>
        <v>1</v>
      </c>
      <c r="F36" s="5">
        <f>IF(COUNTIF(FACT_EST_CEN!B:B,'MAPA DATA'!C36)&gt;0,1,0)</f>
        <v>0</v>
      </c>
      <c r="G36" s="5">
        <f>IF(COUNTIF(EFACT_CNE!B:B,'MAPA DATA'!C36)&gt;0,1,0)</f>
        <v>1</v>
      </c>
      <c r="H36" s="5">
        <f>IF(COUNTIF(EFACT_EST_CEN!B:B,'MAPA DATA'!C36)&gt;0,1,0)</f>
        <v>0</v>
      </c>
    </row>
    <row r="37" spans="1:8" x14ac:dyDescent="0.3">
      <c r="A37" s="57">
        <f t="shared" si="0"/>
        <v>2018</v>
      </c>
      <c r="B37" s="57">
        <f t="shared" si="1"/>
        <v>3</v>
      </c>
      <c r="C37" s="73">
        <v>43160</v>
      </c>
      <c r="D37" s="5">
        <f>IF(COUNTIF(FACT_EMITIDA!B:B,'MAPA DATA'!C37)&gt;0,1,0)</f>
        <v>0</v>
      </c>
      <c r="E37" s="5">
        <f>IF(COUNTIF(FACT_EST_EFACT!B:B,'MAPA DATA'!C37)&gt;0,1,0)</f>
        <v>1</v>
      </c>
      <c r="F37" s="5">
        <f>IF(COUNTIF(FACT_EST_CEN!B:B,'MAPA DATA'!C37)&gt;0,1,0)</f>
        <v>0</v>
      </c>
      <c r="G37" s="5">
        <f>IF(COUNTIF(EFACT_CNE!B:B,'MAPA DATA'!C37)&gt;0,1,0)</f>
        <v>1</v>
      </c>
      <c r="H37" s="5">
        <f>IF(COUNTIF(EFACT_EST_CEN!B:B,'MAPA DATA'!C37)&gt;0,1,0)</f>
        <v>0</v>
      </c>
    </row>
    <row r="38" spans="1:8" x14ac:dyDescent="0.3">
      <c r="A38" s="57">
        <f t="shared" si="0"/>
        <v>2018</v>
      </c>
      <c r="B38" s="57">
        <f t="shared" si="1"/>
        <v>4</v>
      </c>
      <c r="C38" s="73">
        <v>43191</v>
      </c>
      <c r="D38" s="5">
        <f>IF(COUNTIF(FACT_EMITIDA!B:B,'MAPA DATA'!C38)&gt;0,1,0)</f>
        <v>0</v>
      </c>
      <c r="E38" s="5">
        <f>IF(COUNTIF(FACT_EST_EFACT!B:B,'MAPA DATA'!C38)&gt;0,1,0)</f>
        <v>1</v>
      </c>
      <c r="F38" s="5">
        <f>IF(COUNTIF(FACT_EST_CEN!B:B,'MAPA DATA'!C38)&gt;0,1,0)</f>
        <v>0</v>
      </c>
      <c r="G38" s="5">
        <f>IF(COUNTIF(EFACT_CNE!B:B,'MAPA DATA'!C38)&gt;0,1,0)</f>
        <v>1</v>
      </c>
      <c r="H38" s="5">
        <f>IF(COUNTIF(EFACT_EST_CEN!B:B,'MAPA DATA'!C38)&gt;0,1,0)</f>
        <v>0</v>
      </c>
    </row>
    <row r="39" spans="1:8" x14ac:dyDescent="0.3">
      <c r="A39" s="57">
        <f t="shared" si="0"/>
        <v>2018</v>
      </c>
      <c r="B39" s="57">
        <f t="shared" si="1"/>
        <v>5</v>
      </c>
      <c r="C39" s="73">
        <v>43221</v>
      </c>
      <c r="D39" s="5">
        <f>IF(COUNTIF(FACT_EMITIDA!B:B,'MAPA DATA'!C39)&gt;0,1,0)</f>
        <v>0</v>
      </c>
      <c r="E39" s="5">
        <f>IF(COUNTIF(FACT_EST_EFACT!B:B,'MAPA DATA'!C39)&gt;0,1,0)</f>
        <v>1</v>
      </c>
      <c r="F39" s="5">
        <f>IF(COUNTIF(FACT_EST_CEN!B:B,'MAPA DATA'!C39)&gt;0,1,0)</f>
        <v>0</v>
      </c>
      <c r="G39" s="5">
        <f>IF(COUNTIF(EFACT_CNE!B:B,'MAPA DATA'!C39)&gt;0,1,0)</f>
        <v>1</v>
      </c>
      <c r="H39" s="5">
        <f>IF(COUNTIF(EFACT_EST_CEN!B:B,'MAPA DATA'!C39)&gt;0,1,0)</f>
        <v>0</v>
      </c>
    </row>
    <row r="40" spans="1:8" x14ac:dyDescent="0.3">
      <c r="A40" s="57">
        <f t="shared" si="0"/>
        <v>2018</v>
      </c>
      <c r="B40" s="57">
        <f t="shared" si="1"/>
        <v>6</v>
      </c>
      <c r="C40" s="73">
        <v>43252</v>
      </c>
      <c r="D40" s="5">
        <f>IF(COUNTIF(FACT_EMITIDA!B:B,'MAPA DATA'!C40)&gt;0,1,0)</f>
        <v>0</v>
      </c>
      <c r="E40" s="5">
        <f>IF(COUNTIF(FACT_EST_EFACT!B:B,'MAPA DATA'!C40)&gt;0,1,0)</f>
        <v>1</v>
      </c>
      <c r="F40" s="5">
        <f>IF(COUNTIF(FACT_EST_CEN!B:B,'MAPA DATA'!C40)&gt;0,1,0)</f>
        <v>0</v>
      </c>
      <c r="G40" s="5">
        <f>IF(COUNTIF(EFACT_CNE!B:B,'MAPA DATA'!C40)&gt;0,1,0)</f>
        <v>1</v>
      </c>
      <c r="H40" s="5">
        <f>IF(COUNTIF(EFACT_EST_CEN!B:B,'MAPA DATA'!C40)&gt;0,1,0)</f>
        <v>0</v>
      </c>
    </row>
    <row r="41" spans="1:8" x14ac:dyDescent="0.3">
      <c r="A41" s="57">
        <f t="shared" si="0"/>
        <v>2018</v>
      </c>
      <c r="B41" s="57">
        <f t="shared" si="1"/>
        <v>7</v>
      </c>
      <c r="C41" s="73">
        <v>43282</v>
      </c>
      <c r="D41" s="5">
        <f>IF(COUNTIF(FACT_EMITIDA!B:B,'MAPA DATA'!C41)&gt;0,1,0)</f>
        <v>0</v>
      </c>
      <c r="E41" s="5">
        <f>IF(COUNTIF(FACT_EST_EFACT!B:B,'MAPA DATA'!C41)&gt;0,1,0)</f>
        <v>1</v>
      </c>
      <c r="F41" s="5">
        <f>IF(COUNTIF(FACT_EST_CEN!B:B,'MAPA DATA'!C41)&gt;0,1,0)</f>
        <v>0</v>
      </c>
      <c r="G41" s="5">
        <f>IF(COUNTIF(EFACT_CNE!B:B,'MAPA DATA'!C41)&gt;0,1,0)</f>
        <v>1</v>
      </c>
      <c r="H41" s="5">
        <f>IF(COUNTIF(EFACT_EST_CEN!B:B,'MAPA DATA'!C41)&gt;0,1,0)</f>
        <v>0</v>
      </c>
    </row>
    <row r="42" spans="1:8" x14ac:dyDescent="0.3">
      <c r="A42" s="57">
        <f t="shared" si="0"/>
        <v>2018</v>
      </c>
      <c r="B42" s="57">
        <f t="shared" si="1"/>
        <v>8</v>
      </c>
      <c r="C42" s="73">
        <v>43313</v>
      </c>
      <c r="D42" s="5">
        <f>IF(COUNTIF(FACT_EMITIDA!B:B,'MAPA DATA'!C42)&gt;0,1,0)</f>
        <v>0</v>
      </c>
      <c r="E42" s="5">
        <f>IF(COUNTIF(FACT_EST_EFACT!B:B,'MAPA DATA'!C42)&gt;0,1,0)</f>
        <v>1</v>
      </c>
      <c r="F42" s="5">
        <f>IF(COUNTIF(FACT_EST_CEN!B:B,'MAPA DATA'!C42)&gt;0,1,0)</f>
        <v>0</v>
      </c>
      <c r="G42" s="5">
        <f>IF(COUNTIF(EFACT_CNE!B:B,'MAPA DATA'!C42)&gt;0,1,0)</f>
        <v>1</v>
      </c>
      <c r="H42" s="5">
        <f>IF(COUNTIF(EFACT_EST_CEN!B:B,'MAPA DATA'!C42)&gt;0,1,0)</f>
        <v>0</v>
      </c>
    </row>
    <row r="43" spans="1:8" x14ac:dyDescent="0.3">
      <c r="A43" s="57">
        <f t="shared" si="0"/>
        <v>2018</v>
      </c>
      <c r="B43" s="57">
        <f t="shared" si="1"/>
        <v>9</v>
      </c>
      <c r="C43" s="73">
        <v>43344</v>
      </c>
      <c r="D43" s="5">
        <f>IF(COUNTIF(FACT_EMITIDA!B:B,'MAPA DATA'!C43)&gt;0,1,0)</f>
        <v>1</v>
      </c>
      <c r="E43" s="5">
        <f>IF(COUNTIF(FACT_EST_EFACT!B:B,'MAPA DATA'!C43)&gt;0,1,0)</f>
        <v>1</v>
      </c>
      <c r="F43" s="5">
        <f>IF(COUNTIF(FACT_EST_CEN!B:B,'MAPA DATA'!C43)&gt;0,1,0)</f>
        <v>0</v>
      </c>
      <c r="G43" s="5">
        <f>IF(COUNTIF(EFACT_CNE!B:B,'MAPA DATA'!C43)&gt;0,1,0)</f>
        <v>1</v>
      </c>
      <c r="H43" s="5">
        <f>IF(COUNTIF(EFACT_EST_CEN!B:B,'MAPA DATA'!C43)&gt;0,1,0)</f>
        <v>0</v>
      </c>
    </row>
    <row r="44" spans="1:8" x14ac:dyDescent="0.3">
      <c r="A44" s="57">
        <f t="shared" si="0"/>
        <v>2018</v>
      </c>
      <c r="B44" s="57">
        <f t="shared" si="1"/>
        <v>10</v>
      </c>
      <c r="C44" s="73">
        <v>43374</v>
      </c>
      <c r="D44" s="5">
        <f>IF(COUNTIF(FACT_EMITIDA!B:B,'MAPA DATA'!C44)&gt;0,1,0)</f>
        <v>1</v>
      </c>
      <c r="E44" s="5">
        <f>IF(COUNTIF(FACT_EST_EFACT!B:B,'MAPA DATA'!C44)&gt;0,1,0)</f>
        <v>1</v>
      </c>
      <c r="F44" s="5">
        <f>IF(COUNTIF(FACT_EST_CEN!B:B,'MAPA DATA'!C44)&gt;0,1,0)</f>
        <v>0</v>
      </c>
      <c r="G44" s="5">
        <f>IF(COUNTIF(EFACT_CNE!B:B,'MAPA DATA'!C44)&gt;0,1,0)</f>
        <v>1</v>
      </c>
      <c r="H44" s="5">
        <f>IF(COUNTIF(EFACT_EST_CEN!B:B,'MAPA DATA'!C44)&gt;0,1,0)</f>
        <v>0</v>
      </c>
    </row>
    <row r="45" spans="1:8" x14ac:dyDescent="0.3">
      <c r="A45" s="57">
        <f t="shared" si="0"/>
        <v>2018</v>
      </c>
      <c r="B45" s="57">
        <f t="shared" si="1"/>
        <v>11</v>
      </c>
      <c r="C45" s="73">
        <v>43405</v>
      </c>
      <c r="D45" s="5">
        <f>IF(COUNTIF(FACT_EMITIDA!B:B,'MAPA DATA'!C45)&gt;0,1,0)</f>
        <v>1</v>
      </c>
      <c r="E45" s="5">
        <f>IF(COUNTIF(FACT_EST_EFACT!B:B,'MAPA DATA'!C45)&gt;0,1,0)</f>
        <v>1</v>
      </c>
      <c r="F45" s="5">
        <f>IF(COUNTIF(FACT_EST_CEN!B:B,'MAPA DATA'!C45)&gt;0,1,0)</f>
        <v>0</v>
      </c>
      <c r="G45" s="5">
        <f>IF(COUNTIF(EFACT_CNE!B:B,'MAPA DATA'!C45)&gt;0,1,0)</f>
        <v>1</v>
      </c>
      <c r="H45" s="5">
        <f>IF(COUNTIF(EFACT_EST_CEN!B:B,'MAPA DATA'!C45)&gt;0,1,0)</f>
        <v>0</v>
      </c>
    </row>
    <row r="46" spans="1:8" x14ac:dyDescent="0.3">
      <c r="A46" s="57">
        <f t="shared" si="0"/>
        <v>2018</v>
      </c>
      <c r="B46" s="57">
        <f t="shared" si="1"/>
        <v>12</v>
      </c>
      <c r="C46" s="73">
        <v>43435</v>
      </c>
      <c r="D46" s="5">
        <f>IF(COUNTIF(FACT_EMITIDA!B:B,'MAPA DATA'!C46)&gt;0,1,0)</f>
        <v>1</v>
      </c>
      <c r="E46" s="5">
        <f>IF(COUNTIF(FACT_EST_EFACT!B:B,'MAPA DATA'!C46)&gt;0,1,0)</f>
        <v>1</v>
      </c>
      <c r="F46" s="5">
        <f>IF(COUNTIF(FACT_EST_CEN!B:B,'MAPA DATA'!C46)&gt;0,1,0)</f>
        <v>0</v>
      </c>
      <c r="G46" s="5">
        <f>IF(COUNTIF(EFACT_CNE!B:B,'MAPA DATA'!C46)&gt;0,1,0)</f>
        <v>1</v>
      </c>
      <c r="H46" s="5">
        <f>IF(COUNTIF(EFACT_EST_CEN!B:B,'MAPA DATA'!C46)&gt;0,1,0)</f>
        <v>0</v>
      </c>
    </row>
    <row r="47" spans="1:8" x14ac:dyDescent="0.3">
      <c r="A47" s="57">
        <f t="shared" si="0"/>
        <v>2019</v>
      </c>
      <c r="B47" s="57">
        <f t="shared" si="1"/>
        <v>1</v>
      </c>
      <c r="C47" s="73">
        <v>43466</v>
      </c>
      <c r="D47" s="5">
        <f>IF(COUNTIF(FACT_EMITIDA!B:B,'MAPA DATA'!C47)&gt;0,1,0)</f>
        <v>1</v>
      </c>
      <c r="E47" s="5">
        <f>IF(COUNTIF(FACT_EST_EFACT!B:B,'MAPA DATA'!C47)&gt;0,1,0)</f>
        <v>1</v>
      </c>
      <c r="F47" s="5">
        <f>IF(COUNTIF(FACT_EST_CEN!B:B,'MAPA DATA'!C47)&gt;0,1,0)</f>
        <v>0</v>
      </c>
      <c r="G47" s="5">
        <f>IF(COUNTIF(EFACT_CNE!B:B,'MAPA DATA'!C47)&gt;0,1,0)</f>
        <v>1</v>
      </c>
      <c r="H47" s="5">
        <f>IF(COUNTIF(EFACT_EST_CEN!B:B,'MAPA DATA'!C47)&gt;0,1,0)</f>
        <v>0</v>
      </c>
    </row>
    <row r="48" spans="1:8" x14ac:dyDescent="0.3">
      <c r="A48" s="57">
        <f t="shared" si="0"/>
        <v>2019</v>
      </c>
      <c r="B48" s="57">
        <f t="shared" si="1"/>
        <v>2</v>
      </c>
      <c r="C48" s="73">
        <v>43497</v>
      </c>
      <c r="D48" s="5">
        <f>IF(COUNTIF(FACT_EMITIDA!B:B,'MAPA DATA'!C48)&gt;0,1,0)</f>
        <v>1</v>
      </c>
      <c r="E48" s="5">
        <f>IF(COUNTIF(FACT_EST_EFACT!B:B,'MAPA DATA'!C48)&gt;0,1,0)</f>
        <v>1</v>
      </c>
      <c r="F48" s="5">
        <f>IF(COUNTIF(FACT_EST_CEN!B:B,'MAPA DATA'!C48)&gt;0,1,0)</f>
        <v>0</v>
      </c>
      <c r="G48" s="5">
        <f>IF(COUNTIF(EFACT_CNE!B:B,'MAPA DATA'!C48)&gt;0,1,0)</f>
        <v>1</v>
      </c>
      <c r="H48" s="5">
        <f>IF(COUNTIF(EFACT_EST_CEN!B:B,'MAPA DATA'!C48)&gt;0,1,0)</f>
        <v>0</v>
      </c>
    </row>
    <row r="49" spans="1:8" x14ac:dyDescent="0.3">
      <c r="A49" s="57">
        <f t="shared" si="0"/>
        <v>2019</v>
      </c>
      <c r="B49" s="57">
        <f t="shared" si="1"/>
        <v>3</v>
      </c>
      <c r="C49" s="73">
        <v>43525</v>
      </c>
      <c r="D49" s="5">
        <f>IF(COUNTIF(FACT_EMITIDA!B:B,'MAPA DATA'!C49)&gt;0,1,0)</f>
        <v>1</v>
      </c>
      <c r="E49" s="5">
        <f>IF(COUNTIF(FACT_EST_EFACT!B:B,'MAPA DATA'!C49)&gt;0,1,0)</f>
        <v>1</v>
      </c>
      <c r="F49" s="5">
        <f>IF(COUNTIF(FACT_EST_CEN!B:B,'MAPA DATA'!C49)&gt;0,1,0)</f>
        <v>0</v>
      </c>
      <c r="G49" s="5">
        <f>IF(COUNTIF(EFACT_CNE!B:B,'MAPA DATA'!C49)&gt;0,1,0)</f>
        <v>1</v>
      </c>
      <c r="H49" s="5">
        <f>IF(COUNTIF(EFACT_EST_CEN!B:B,'MAPA DATA'!C49)&gt;0,1,0)</f>
        <v>0</v>
      </c>
    </row>
    <row r="50" spans="1:8" x14ac:dyDescent="0.3">
      <c r="A50" s="57">
        <f t="shared" si="0"/>
        <v>2019</v>
      </c>
      <c r="B50" s="57">
        <f t="shared" si="1"/>
        <v>4</v>
      </c>
      <c r="C50" s="73">
        <v>43556</v>
      </c>
      <c r="D50" s="5">
        <f>IF(COUNTIF(FACT_EMITIDA!B:B,'MAPA DATA'!C50)&gt;0,1,0)</f>
        <v>1</v>
      </c>
      <c r="E50" s="5">
        <f>IF(COUNTIF(FACT_EST_EFACT!B:B,'MAPA DATA'!C50)&gt;0,1,0)</f>
        <v>1</v>
      </c>
      <c r="F50" s="5">
        <f>IF(COUNTIF(FACT_EST_CEN!B:B,'MAPA DATA'!C50)&gt;0,1,0)</f>
        <v>0</v>
      </c>
      <c r="G50" s="5">
        <f>IF(COUNTIF(EFACT_CNE!B:B,'MAPA DATA'!C50)&gt;0,1,0)</f>
        <v>1</v>
      </c>
      <c r="H50" s="5">
        <f>IF(COUNTIF(EFACT_EST_CEN!B:B,'MAPA DATA'!C50)&gt;0,1,0)</f>
        <v>0</v>
      </c>
    </row>
    <row r="51" spans="1:8" x14ac:dyDescent="0.3">
      <c r="A51" s="57">
        <f t="shared" si="0"/>
        <v>2019</v>
      </c>
      <c r="B51" s="57">
        <f t="shared" si="1"/>
        <v>5</v>
      </c>
      <c r="C51" s="73">
        <v>43586</v>
      </c>
      <c r="D51" s="5">
        <f>IF(COUNTIF(FACT_EMITIDA!B:B,'MAPA DATA'!C51)&gt;0,1,0)</f>
        <v>1</v>
      </c>
      <c r="E51" s="5">
        <f>IF(COUNTIF(FACT_EST_EFACT!B:B,'MAPA DATA'!C51)&gt;0,1,0)</f>
        <v>1</v>
      </c>
      <c r="F51" s="5">
        <f>IF(COUNTIF(FACT_EST_CEN!B:B,'MAPA DATA'!C51)&gt;0,1,0)</f>
        <v>0</v>
      </c>
      <c r="G51" s="5">
        <f>IF(COUNTIF(EFACT_CNE!B:B,'MAPA DATA'!C51)&gt;0,1,0)</f>
        <v>1</v>
      </c>
      <c r="H51" s="5">
        <f>IF(COUNTIF(EFACT_EST_CEN!B:B,'MAPA DATA'!C51)&gt;0,1,0)</f>
        <v>0</v>
      </c>
    </row>
    <row r="52" spans="1:8" x14ac:dyDescent="0.3">
      <c r="A52" s="57">
        <f t="shared" si="0"/>
        <v>2019</v>
      </c>
      <c r="B52" s="57">
        <f t="shared" si="1"/>
        <v>6</v>
      </c>
      <c r="C52" s="73">
        <v>43617</v>
      </c>
      <c r="D52" s="5">
        <f>IF(COUNTIF(FACT_EMITIDA!B:B,'MAPA DATA'!C52)&gt;0,1,0)</f>
        <v>1</v>
      </c>
      <c r="E52" s="5">
        <f>IF(COUNTIF(FACT_EST_EFACT!B:B,'MAPA DATA'!C52)&gt;0,1,0)</f>
        <v>1</v>
      </c>
      <c r="F52" s="5">
        <f>IF(COUNTIF(FACT_EST_CEN!B:B,'MAPA DATA'!C52)&gt;0,1,0)</f>
        <v>0</v>
      </c>
      <c r="G52" s="5">
        <f>IF(COUNTIF(EFACT_CNE!B:B,'MAPA DATA'!C52)&gt;0,1,0)</f>
        <v>1</v>
      </c>
      <c r="H52" s="5">
        <f>IF(COUNTIF(EFACT_EST_CEN!B:B,'MAPA DATA'!C52)&gt;0,1,0)</f>
        <v>0</v>
      </c>
    </row>
    <row r="53" spans="1:8" x14ac:dyDescent="0.3">
      <c r="A53" s="57">
        <f>A41+1</f>
        <v>2019</v>
      </c>
      <c r="B53" s="57">
        <f>B41</f>
        <v>7</v>
      </c>
      <c r="C53" s="73">
        <v>43647</v>
      </c>
      <c r="D53" s="5">
        <f>IF(COUNTIF(FACT_EMITIDA!B:B,'MAPA DATA'!C53)&gt;0,1,0)</f>
        <v>1</v>
      </c>
      <c r="E53" s="5">
        <f>IF(COUNTIF(FACT_EST_EFACT!B:B,'MAPA DATA'!C53)&gt;0,1,0)</f>
        <v>1</v>
      </c>
      <c r="F53" s="5">
        <f>IF(COUNTIF(FACT_EST_CEN!B:B,'MAPA DATA'!C53)&gt;0,1,0)</f>
        <v>0</v>
      </c>
      <c r="G53" s="5">
        <f>IF(COUNTIF(EFACT_CNE!B:B,'MAPA DATA'!C53)&gt;0,1,0)</f>
        <v>1</v>
      </c>
      <c r="H53" s="5">
        <f>IF(COUNTIF(EFACT_EST_CEN!B:B,'MAPA DATA'!C53)&gt;0,1,0)</f>
        <v>0</v>
      </c>
    </row>
    <row r="54" spans="1:8" x14ac:dyDescent="0.3">
      <c r="A54" s="57">
        <f t="shared" si="0"/>
        <v>2019</v>
      </c>
      <c r="B54" s="57">
        <f t="shared" si="1"/>
        <v>8</v>
      </c>
      <c r="C54" s="73">
        <v>43678</v>
      </c>
      <c r="D54" s="5">
        <f>IF(COUNTIF(FACT_EMITIDA!B:B,'MAPA DATA'!C54)&gt;0,1,0)</f>
        <v>1</v>
      </c>
      <c r="E54" s="5">
        <f>IF(COUNTIF(FACT_EST_EFACT!B:B,'MAPA DATA'!C54)&gt;0,1,0)</f>
        <v>1</v>
      </c>
      <c r="F54" s="5">
        <f>IF(COUNTIF(FACT_EST_CEN!B:B,'MAPA DATA'!C54)&gt;0,1,0)</f>
        <v>0</v>
      </c>
      <c r="G54" s="5">
        <f>IF(COUNTIF(EFACT_CNE!B:B,'MAPA DATA'!C54)&gt;0,1,0)</f>
        <v>1</v>
      </c>
      <c r="H54" s="5">
        <f>IF(COUNTIF(EFACT_EST_CEN!B:B,'MAPA DATA'!C54)&gt;0,1,0)</f>
        <v>0</v>
      </c>
    </row>
    <row r="55" spans="1:8" x14ac:dyDescent="0.3">
      <c r="A55" s="57">
        <f t="shared" si="0"/>
        <v>2019</v>
      </c>
      <c r="B55" s="57">
        <f t="shared" si="1"/>
        <v>9</v>
      </c>
      <c r="C55" s="73">
        <v>43709</v>
      </c>
      <c r="D55" s="5">
        <f>IF(COUNTIF(FACT_EMITIDA!B:B,'MAPA DATA'!C55)&gt;0,1,0)</f>
        <v>1</v>
      </c>
      <c r="E55" s="5">
        <f>IF(COUNTIF(FACT_EST_EFACT!B:B,'MAPA DATA'!C55)&gt;0,1,0)</f>
        <v>1</v>
      </c>
      <c r="F55" s="5">
        <f>IF(COUNTIF(FACT_EST_CEN!B:B,'MAPA DATA'!C55)&gt;0,1,0)</f>
        <v>0</v>
      </c>
      <c r="G55" s="5">
        <f>IF(COUNTIF(EFACT_CNE!B:B,'MAPA DATA'!C55)&gt;0,1,0)</f>
        <v>1</v>
      </c>
      <c r="H55" s="5">
        <f>IF(COUNTIF(EFACT_EST_CEN!B:B,'MAPA DATA'!C55)&gt;0,1,0)</f>
        <v>0</v>
      </c>
    </row>
    <row r="56" spans="1:8" x14ac:dyDescent="0.3">
      <c r="A56" s="57">
        <f t="shared" si="0"/>
        <v>2019</v>
      </c>
      <c r="B56" s="57">
        <f t="shared" si="1"/>
        <v>10</v>
      </c>
      <c r="C56" s="73">
        <v>43739</v>
      </c>
      <c r="D56" s="5">
        <f>IF(COUNTIF(FACT_EMITIDA!B:B,'MAPA DATA'!C56)&gt;0,1,0)</f>
        <v>1</v>
      </c>
      <c r="E56" s="5">
        <f>IF(COUNTIF(FACT_EST_EFACT!B:B,'MAPA DATA'!C56)&gt;0,1,0)</f>
        <v>1</v>
      </c>
      <c r="F56" s="5">
        <f>IF(COUNTIF(FACT_EST_CEN!B:B,'MAPA DATA'!C56)&gt;0,1,0)</f>
        <v>0</v>
      </c>
      <c r="G56" s="5">
        <f>IF(COUNTIF(EFACT_CNE!B:B,'MAPA DATA'!C56)&gt;0,1,0)</f>
        <v>1</v>
      </c>
      <c r="H56" s="5">
        <f>IF(COUNTIF(EFACT_EST_CEN!B:B,'MAPA DATA'!C56)&gt;0,1,0)</f>
        <v>0</v>
      </c>
    </row>
    <row r="57" spans="1:8" x14ac:dyDescent="0.3">
      <c r="A57" s="57">
        <f t="shared" si="0"/>
        <v>2019</v>
      </c>
      <c r="B57" s="57">
        <f t="shared" si="1"/>
        <v>11</v>
      </c>
      <c r="C57" s="73">
        <v>43770</v>
      </c>
      <c r="D57" s="5">
        <f>IF(COUNTIF(FACT_EMITIDA!B:B,'MAPA DATA'!C57)&gt;0,1,0)</f>
        <v>1</v>
      </c>
      <c r="E57" s="5">
        <f>IF(COUNTIF(FACT_EST_EFACT!B:B,'MAPA DATA'!C57)&gt;0,1,0)</f>
        <v>1</v>
      </c>
      <c r="F57" s="5">
        <f>IF(COUNTIF(FACT_EST_CEN!B:B,'MAPA DATA'!C57)&gt;0,1,0)</f>
        <v>0</v>
      </c>
      <c r="G57" s="5">
        <f>IF(COUNTIF(EFACT_CNE!B:B,'MAPA DATA'!C57)&gt;0,1,0)</f>
        <v>1</v>
      </c>
      <c r="H57" s="5">
        <f>IF(COUNTIF(EFACT_EST_CEN!B:B,'MAPA DATA'!C57)&gt;0,1,0)</f>
        <v>0</v>
      </c>
    </row>
    <row r="58" spans="1:8" x14ac:dyDescent="0.3">
      <c r="A58" s="57">
        <f t="shared" si="0"/>
        <v>2019</v>
      </c>
      <c r="B58" s="57">
        <f t="shared" si="1"/>
        <v>12</v>
      </c>
      <c r="C58" s="73">
        <v>43800</v>
      </c>
      <c r="D58" s="5">
        <f>IF(COUNTIF(FACT_EMITIDA!B:B,'MAPA DATA'!C58)&gt;0,1,0)</f>
        <v>1</v>
      </c>
      <c r="E58" s="5">
        <f>IF(COUNTIF(FACT_EST_EFACT!B:B,'MAPA DATA'!C58)&gt;0,1,0)</f>
        <v>1</v>
      </c>
      <c r="F58" s="5">
        <f>IF(COUNTIF(FACT_EST_CEN!B:B,'MAPA DATA'!C58)&gt;0,1,0)</f>
        <v>0</v>
      </c>
      <c r="G58" s="5">
        <f>IF(COUNTIF(EFACT_CNE!B:B,'MAPA DATA'!C58)&gt;0,1,0)</f>
        <v>1</v>
      </c>
      <c r="H58" s="5">
        <f>IF(COUNTIF(EFACT_EST_CEN!B:B,'MAPA DATA'!C58)&gt;0,1,0)</f>
        <v>0</v>
      </c>
    </row>
    <row r="59" spans="1:8" x14ac:dyDescent="0.3">
      <c r="A59" s="57">
        <f t="shared" si="0"/>
        <v>2020</v>
      </c>
      <c r="B59" s="57">
        <f t="shared" si="1"/>
        <v>1</v>
      </c>
      <c r="C59" s="73">
        <v>43831</v>
      </c>
      <c r="D59" s="5">
        <f>IF(COUNTIF(FACT_EMITIDA!B:B,'MAPA DATA'!C59)&gt;0,1,0)</f>
        <v>1</v>
      </c>
      <c r="E59" s="5">
        <f>IF(COUNTIF(FACT_EST_EFACT!B:B,'MAPA DATA'!C59)&gt;0,1,0)</f>
        <v>1</v>
      </c>
      <c r="F59" s="5">
        <f>IF(COUNTIF(FACT_EST_CEN!B:B,'MAPA DATA'!C59)&gt;0,1,0)</f>
        <v>0</v>
      </c>
      <c r="G59" s="5">
        <f>IF(COUNTIF(EFACT_CNE!B:B,'MAPA DATA'!C59)&gt;0,1,0)</f>
        <v>0</v>
      </c>
      <c r="H59" s="5">
        <f>IF(COUNTIF(EFACT_EST_CEN!B:B,'MAPA DATA'!C59)&gt;0,1,0)</f>
        <v>0</v>
      </c>
    </row>
    <row r="60" spans="1:8" x14ac:dyDescent="0.3">
      <c r="A60" s="57">
        <f>A48+1</f>
        <v>2020</v>
      </c>
      <c r="B60" s="57">
        <f>B48</f>
        <v>2</v>
      </c>
      <c r="C60" s="73">
        <v>43862</v>
      </c>
      <c r="D60" s="5">
        <f>IF(COUNTIF(FACT_EMITIDA!B:B,'MAPA DATA'!C60)&gt;0,1,0)</f>
        <v>1</v>
      </c>
      <c r="E60" s="5">
        <f>IF(COUNTIF(FACT_EST_EFACT!B:B,'MAPA DATA'!C60)&gt;0,1,0)</f>
        <v>1</v>
      </c>
      <c r="F60" s="5">
        <f>IF(COUNTIF(FACT_EST_CEN!B:B,'MAPA DATA'!C60)&gt;0,1,0)</f>
        <v>0</v>
      </c>
      <c r="G60" s="5">
        <f>IF(COUNTIF(EFACT_CNE!B:B,'MAPA DATA'!C60)&gt;0,1,0)</f>
        <v>0</v>
      </c>
      <c r="H60" s="5">
        <f>IF(COUNTIF(EFACT_EST_CEN!B:B,'MAPA DATA'!C60)&gt;0,1,0)</f>
        <v>0</v>
      </c>
    </row>
    <row r="61" spans="1:8" x14ac:dyDescent="0.3">
      <c r="A61" s="57">
        <f t="shared" si="0"/>
        <v>2020</v>
      </c>
      <c r="B61" s="57">
        <f t="shared" si="1"/>
        <v>3</v>
      </c>
      <c r="C61" s="73">
        <v>43891</v>
      </c>
      <c r="D61" s="5">
        <f>IF(COUNTIF(FACT_EMITIDA!B:B,'MAPA DATA'!C61)&gt;0,1,0)</f>
        <v>1</v>
      </c>
      <c r="E61" s="5">
        <f>IF(COUNTIF(FACT_EST_EFACT!B:B,'MAPA DATA'!C61)&gt;0,1,0)</f>
        <v>1</v>
      </c>
      <c r="F61" s="5">
        <f>IF(COUNTIF(FACT_EST_CEN!B:B,'MAPA DATA'!C61)&gt;0,1,0)</f>
        <v>0</v>
      </c>
      <c r="G61" s="5">
        <f>IF(COUNTIF(EFACT_CNE!B:B,'MAPA DATA'!C61)&gt;0,1,0)</f>
        <v>0</v>
      </c>
      <c r="H61" s="5">
        <f>IF(COUNTIF(EFACT_EST_CEN!B:B,'MAPA DATA'!C61)&gt;0,1,0)</f>
        <v>0</v>
      </c>
    </row>
    <row r="62" spans="1:8" x14ac:dyDescent="0.3">
      <c r="A62" s="57">
        <f t="shared" si="0"/>
        <v>2020</v>
      </c>
      <c r="B62" s="57">
        <f t="shared" si="1"/>
        <v>4</v>
      </c>
      <c r="C62" s="73">
        <v>43922</v>
      </c>
      <c r="D62" s="5">
        <f>IF(COUNTIF(FACT_EMITIDA!B:B,'MAPA DATA'!C62)&gt;0,1,0)</f>
        <v>1</v>
      </c>
      <c r="E62" s="5">
        <f>IF(COUNTIF(FACT_EST_EFACT!B:B,'MAPA DATA'!C62)&gt;0,1,0)</f>
        <v>1</v>
      </c>
      <c r="F62" s="5">
        <f>IF(COUNTIF(FACT_EST_CEN!B:B,'MAPA DATA'!C62)&gt;0,1,0)</f>
        <v>0</v>
      </c>
      <c r="G62" s="5">
        <f>IF(COUNTIF(EFACT_CNE!B:B,'MAPA DATA'!C62)&gt;0,1,0)</f>
        <v>0</v>
      </c>
      <c r="H62" s="5">
        <f>IF(COUNTIF(EFACT_EST_CEN!B:B,'MAPA DATA'!C62)&gt;0,1,0)</f>
        <v>0</v>
      </c>
    </row>
    <row r="63" spans="1:8" x14ac:dyDescent="0.3">
      <c r="A63" s="57">
        <f t="shared" si="0"/>
        <v>2020</v>
      </c>
      <c r="B63" s="57">
        <f t="shared" si="1"/>
        <v>5</v>
      </c>
      <c r="C63" s="73">
        <v>43952</v>
      </c>
      <c r="D63" s="5">
        <f>IF(COUNTIF(FACT_EMITIDA!B:B,'MAPA DATA'!C63)&gt;0,1,0)</f>
        <v>1</v>
      </c>
      <c r="E63" s="5">
        <f>IF(COUNTIF(FACT_EST_EFACT!B:B,'MAPA DATA'!C63)&gt;0,1,0)</f>
        <v>1</v>
      </c>
      <c r="F63" s="5">
        <f>IF(COUNTIF(FACT_EST_CEN!B:B,'MAPA DATA'!C63)&gt;0,1,0)</f>
        <v>0</v>
      </c>
      <c r="G63" s="5">
        <f>IF(COUNTIF(EFACT_CNE!B:B,'MAPA DATA'!C63)&gt;0,1,0)</f>
        <v>0</v>
      </c>
      <c r="H63" s="5">
        <f>IF(COUNTIF(EFACT_EST_CEN!B:B,'MAPA DATA'!C63)&gt;0,1,0)</f>
        <v>0</v>
      </c>
    </row>
    <row r="64" spans="1:8" x14ac:dyDescent="0.3">
      <c r="A64" s="57">
        <f t="shared" si="0"/>
        <v>2020</v>
      </c>
      <c r="B64" s="57">
        <f t="shared" si="1"/>
        <v>6</v>
      </c>
      <c r="C64" s="73">
        <v>43983</v>
      </c>
      <c r="D64" s="5">
        <f>IF(COUNTIF(FACT_EMITIDA!B:B,'MAPA DATA'!C64)&gt;0,1,0)</f>
        <v>1</v>
      </c>
      <c r="E64" s="5">
        <f>IF(COUNTIF(FACT_EST_EFACT!B:B,'MAPA DATA'!C64)&gt;0,1,0)</f>
        <v>1</v>
      </c>
      <c r="F64" s="5">
        <f>IF(COUNTIF(FACT_EST_CEN!B:B,'MAPA DATA'!C64)&gt;0,1,0)</f>
        <v>0</v>
      </c>
      <c r="G64" s="5">
        <f>IF(COUNTIF(EFACT_CNE!B:B,'MAPA DATA'!C64)&gt;0,1,0)</f>
        <v>0</v>
      </c>
      <c r="H64" s="5">
        <f>IF(COUNTIF(EFACT_EST_CEN!B:B,'MAPA DATA'!C64)&gt;0,1,0)</f>
        <v>0</v>
      </c>
    </row>
    <row r="65" spans="1:8" x14ac:dyDescent="0.3">
      <c r="A65" s="57">
        <f t="shared" si="0"/>
        <v>2020</v>
      </c>
      <c r="B65" s="57">
        <f t="shared" si="1"/>
        <v>7</v>
      </c>
      <c r="C65" s="73">
        <v>44013</v>
      </c>
      <c r="D65" s="5">
        <f>IF(COUNTIF(FACT_EMITIDA!B:B,'MAPA DATA'!C65)&gt;0,1,0)</f>
        <v>1</v>
      </c>
      <c r="E65" s="5">
        <f>IF(COUNTIF(FACT_EST_EFACT!B:B,'MAPA DATA'!C65)&gt;0,1,0)</f>
        <v>0</v>
      </c>
      <c r="F65" s="5">
        <f>IF(COUNTIF(FACT_EST_CEN!B:B,'MAPA DATA'!C65)&gt;0,1,0)</f>
        <v>0</v>
      </c>
      <c r="G65" s="5">
        <f>IF(COUNTIF(EFACT_CNE!B:B,'MAPA DATA'!C65)&gt;0,1,0)</f>
        <v>0</v>
      </c>
      <c r="H65" s="5">
        <f>IF(COUNTIF(EFACT_EST_CEN!B:B,'MAPA DATA'!C65)&gt;0,1,0)</f>
        <v>0</v>
      </c>
    </row>
    <row r="66" spans="1:8" x14ac:dyDescent="0.3">
      <c r="A66" s="57">
        <f t="shared" si="0"/>
        <v>2020</v>
      </c>
      <c r="B66" s="57">
        <f t="shared" si="1"/>
        <v>8</v>
      </c>
      <c r="C66" s="73">
        <v>44044</v>
      </c>
      <c r="D66" s="5">
        <f>IF(COUNTIF(FACT_EMITIDA!B:B,'MAPA DATA'!C66)&gt;0,1,0)</f>
        <v>1</v>
      </c>
      <c r="E66" s="5">
        <f>IF(COUNTIF(FACT_EST_EFACT!B:B,'MAPA DATA'!C66)&gt;0,1,0)</f>
        <v>0</v>
      </c>
      <c r="F66" s="5">
        <f>IF(COUNTIF(FACT_EST_CEN!B:B,'MAPA DATA'!C66)&gt;0,1,0)</f>
        <v>0</v>
      </c>
      <c r="G66" s="5">
        <f>IF(COUNTIF(EFACT_CNE!B:B,'MAPA DATA'!C66)&gt;0,1,0)</f>
        <v>0</v>
      </c>
      <c r="H66" s="5">
        <f>IF(COUNTIF(EFACT_EST_CEN!B:B,'MAPA DATA'!C66)&gt;0,1,0)</f>
        <v>0</v>
      </c>
    </row>
    <row r="67" spans="1:8" x14ac:dyDescent="0.3">
      <c r="A67" s="57">
        <f t="shared" si="0"/>
        <v>2020</v>
      </c>
      <c r="B67" s="57">
        <f t="shared" si="1"/>
        <v>9</v>
      </c>
      <c r="C67" s="73">
        <v>44075</v>
      </c>
      <c r="D67" s="5">
        <f>IF(COUNTIF(FACT_EMITIDA!B:B,'MAPA DATA'!C67)&gt;0,1,0)</f>
        <v>1</v>
      </c>
      <c r="E67" s="5">
        <f>IF(COUNTIF(FACT_EST_EFACT!B:B,'MAPA DATA'!C67)&gt;0,1,0)</f>
        <v>0</v>
      </c>
      <c r="F67" s="5">
        <f>IF(COUNTIF(FACT_EST_CEN!B:B,'MAPA DATA'!C67)&gt;0,1,0)</f>
        <v>0</v>
      </c>
      <c r="G67" s="5">
        <f>IF(COUNTIF(EFACT_CNE!B:B,'MAPA DATA'!C67)&gt;0,1,0)</f>
        <v>0</v>
      </c>
      <c r="H67" s="5">
        <f>IF(COUNTIF(EFACT_EST_CEN!B:B,'MAPA DATA'!C67)&gt;0,1,0)</f>
        <v>0</v>
      </c>
    </row>
  </sheetData>
  <mergeCells count="3">
    <mergeCell ref="G8:H8"/>
    <mergeCell ref="D8:F8"/>
    <mergeCell ref="A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"/>
  <sheetViews>
    <sheetView workbookViewId="0">
      <selection activeCell="C7" sqref="C7:J7"/>
    </sheetView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AE11713"/>
  <sheetViews>
    <sheetView zoomScale="70" zoomScaleNormal="70" workbookViewId="0">
      <selection activeCell="J7" sqref="J7"/>
    </sheetView>
  </sheetViews>
  <sheetFormatPr baseColWidth="10" defaultRowHeight="14.4" x14ac:dyDescent="0.3"/>
  <cols>
    <col min="1" max="1" width="12.6640625" bestFit="1" customWidth="1"/>
    <col min="2" max="2" width="17.109375" style="1" bestFit="1" customWidth="1"/>
    <col min="3" max="3" width="8" bestFit="1" customWidth="1"/>
    <col min="4" max="4" width="7.109375" bestFit="1" customWidth="1"/>
    <col min="5" max="5" width="16.6640625" bestFit="1" customWidth="1"/>
    <col min="6" max="6" width="11.88671875" bestFit="1" customWidth="1"/>
    <col min="7" max="7" width="27" bestFit="1" customWidth="1"/>
    <col min="8" max="9" width="26.109375" bestFit="1" customWidth="1"/>
    <col min="10" max="10" width="59.44140625" bestFit="1" customWidth="1"/>
    <col min="11" max="11" width="16.6640625" bestFit="1" customWidth="1"/>
    <col min="12" max="12" width="21.33203125" bestFit="1" customWidth="1"/>
    <col min="13" max="14" width="15" bestFit="1" customWidth="1"/>
    <col min="15" max="15" width="10.33203125" bestFit="1" customWidth="1"/>
    <col min="16" max="16" width="21.88671875" bestFit="1" customWidth="1"/>
    <col min="17" max="17" width="9.5546875" bestFit="1" customWidth="1"/>
    <col min="18" max="18" width="15.88671875" bestFit="1" customWidth="1"/>
    <col min="19" max="19" width="12" bestFit="1" customWidth="1"/>
    <col min="20" max="20" width="14.6640625" customWidth="1"/>
    <col min="21" max="21" width="17.44140625" bestFit="1" customWidth="1"/>
    <col min="22" max="22" width="15.88671875" bestFit="1" customWidth="1"/>
    <col min="23" max="23" width="19.44140625" style="12" bestFit="1" customWidth="1"/>
    <col min="24" max="24" width="19.109375" bestFit="1" customWidth="1"/>
    <col min="25" max="25" width="17.44140625" bestFit="1" customWidth="1"/>
    <col min="26" max="26" width="23.5546875" bestFit="1" customWidth="1"/>
    <col min="27" max="27" width="13.109375" bestFit="1" customWidth="1"/>
    <col min="28" max="28" width="21.109375" bestFit="1" customWidth="1"/>
    <col min="30" max="30" width="25.88671875" bestFit="1" customWidth="1"/>
    <col min="31" max="31" width="11.5546875" style="42"/>
  </cols>
  <sheetData>
    <row r="1" spans="1:3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99</v>
      </c>
      <c r="V1" s="2" t="s">
        <v>20</v>
      </c>
      <c r="W1" s="41" t="s">
        <v>100</v>
      </c>
      <c r="X1" s="2" t="s">
        <v>21</v>
      </c>
      <c r="Y1" s="2" t="s">
        <v>22</v>
      </c>
      <c r="Z1" s="2" t="s">
        <v>101</v>
      </c>
      <c r="AA1" t="s">
        <v>23</v>
      </c>
      <c r="AB1" t="s">
        <v>102</v>
      </c>
      <c r="AC1" t="s">
        <v>24</v>
      </c>
      <c r="AD1" t="s">
        <v>78</v>
      </c>
    </row>
    <row r="2" spans="1:30" x14ac:dyDescent="0.3">
      <c r="A2">
        <v>607827</v>
      </c>
      <c r="B2" t="s">
        <v>142</v>
      </c>
      <c r="C2">
        <v>2016</v>
      </c>
      <c r="D2">
        <v>3</v>
      </c>
      <c r="E2" t="s">
        <v>111</v>
      </c>
      <c r="F2" t="s">
        <v>108</v>
      </c>
      <c r="G2" t="s">
        <v>108</v>
      </c>
      <c r="H2" t="s">
        <v>25</v>
      </c>
      <c r="I2" t="s">
        <v>137</v>
      </c>
      <c r="J2" t="s">
        <v>138</v>
      </c>
      <c r="K2" t="s">
        <v>141</v>
      </c>
      <c r="L2" t="s">
        <v>140</v>
      </c>
      <c r="M2">
        <v>1703.6853574199999</v>
      </c>
      <c r="N2">
        <v>0</v>
      </c>
      <c r="O2" t="s">
        <v>103</v>
      </c>
      <c r="P2" s="56">
        <v>44330.494940509263</v>
      </c>
      <c r="Q2">
        <v>5439222</v>
      </c>
      <c r="R2" t="s">
        <v>98</v>
      </c>
      <c r="S2">
        <v>45.689989320000002</v>
      </c>
      <c r="W2"/>
      <c r="X2">
        <v>0</v>
      </c>
      <c r="AC2" t="s">
        <v>108</v>
      </c>
      <c r="AD2" s="56">
        <v>42430</v>
      </c>
    </row>
    <row r="3" spans="1:30" x14ac:dyDescent="0.3">
      <c r="A3">
        <v>607809</v>
      </c>
      <c r="B3" t="s">
        <v>142</v>
      </c>
      <c r="C3">
        <v>2016</v>
      </c>
      <c r="D3">
        <v>3</v>
      </c>
      <c r="E3" t="s">
        <v>109</v>
      </c>
      <c r="F3" t="s">
        <v>108</v>
      </c>
      <c r="G3" t="s">
        <v>108</v>
      </c>
      <c r="H3" t="s">
        <v>25</v>
      </c>
      <c r="I3" t="s">
        <v>137</v>
      </c>
      <c r="J3" t="s">
        <v>138</v>
      </c>
      <c r="K3" t="s">
        <v>139</v>
      </c>
      <c r="L3" t="s">
        <v>140</v>
      </c>
      <c r="M3">
        <v>6396.77665523</v>
      </c>
      <c r="N3">
        <v>0</v>
      </c>
      <c r="O3" t="s">
        <v>103</v>
      </c>
      <c r="P3" s="56">
        <v>44330.494939849537</v>
      </c>
      <c r="Q3">
        <v>5439188</v>
      </c>
      <c r="R3" t="s">
        <v>98</v>
      </c>
      <c r="S3">
        <v>95.084381250000007</v>
      </c>
      <c r="W3"/>
      <c r="X3">
        <v>0</v>
      </c>
      <c r="AC3" t="s">
        <v>108</v>
      </c>
      <c r="AD3" s="56">
        <v>42430</v>
      </c>
    </row>
    <row r="4" spans="1:30" x14ac:dyDescent="0.3">
      <c r="A4">
        <v>607845</v>
      </c>
      <c r="B4" t="s">
        <v>142</v>
      </c>
      <c r="C4">
        <v>2016</v>
      </c>
      <c r="D4">
        <v>3</v>
      </c>
      <c r="E4" t="s">
        <v>63</v>
      </c>
      <c r="F4" t="s">
        <v>108</v>
      </c>
      <c r="G4" t="s">
        <v>108</v>
      </c>
      <c r="H4" t="s">
        <v>25</v>
      </c>
      <c r="I4" t="s">
        <v>137</v>
      </c>
      <c r="J4" t="s">
        <v>138</v>
      </c>
      <c r="K4" t="s">
        <v>143</v>
      </c>
      <c r="L4" t="s">
        <v>140</v>
      </c>
      <c r="M4">
        <v>2312.6677555199999</v>
      </c>
      <c r="N4">
        <v>0</v>
      </c>
      <c r="O4" t="s">
        <v>103</v>
      </c>
      <c r="P4" s="56">
        <v>44330.494941122677</v>
      </c>
      <c r="Q4">
        <v>5439256</v>
      </c>
      <c r="R4" t="s">
        <v>98</v>
      </c>
      <c r="S4">
        <v>61.060298299999999</v>
      </c>
      <c r="W4"/>
      <c r="X4">
        <v>0</v>
      </c>
      <c r="AC4" t="s">
        <v>108</v>
      </c>
      <c r="AD4" s="56">
        <v>42430</v>
      </c>
    </row>
    <row r="5" spans="1:30" x14ac:dyDescent="0.3">
      <c r="A5">
        <v>607827</v>
      </c>
      <c r="B5" t="s">
        <v>142</v>
      </c>
      <c r="C5">
        <v>2016</v>
      </c>
      <c r="D5">
        <v>3</v>
      </c>
      <c r="E5" t="s">
        <v>111</v>
      </c>
      <c r="F5" t="s">
        <v>108</v>
      </c>
      <c r="G5" t="s">
        <v>108</v>
      </c>
      <c r="H5" t="s">
        <v>25</v>
      </c>
      <c r="I5" t="s">
        <v>137</v>
      </c>
      <c r="J5" t="s">
        <v>138</v>
      </c>
      <c r="K5" t="s">
        <v>141</v>
      </c>
      <c r="L5" t="s">
        <v>140</v>
      </c>
      <c r="M5">
        <v>1703.6853574199999</v>
      </c>
      <c r="N5">
        <v>0</v>
      </c>
      <c r="O5" t="s">
        <v>103</v>
      </c>
      <c r="P5" s="56">
        <v>44330.494940509263</v>
      </c>
      <c r="Q5">
        <v>5439221</v>
      </c>
      <c r="R5" t="s">
        <v>106</v>
      </c>
      <c r="S5">
        <v>1725.23982916</v>
      </c>
      <c r="W5"/>
      <c r="X5">
        <v>0</v>
      </c>
      <c r="AC5" t="s">
        <v>108</v>
      </c>
      <c r="AD5" s="56">
        <v>42430</v>
      </c>
    </row>
    <row r="6" spans="1:30" x14ac:dyDescent="0.3">
      <c r="A6">
        <v>607845</v>
      </c>
      <c r="B6" t="s">
        <v>142</v>
      </c>
      <c r="C6">
        <v>2016</v>
      </c>
      <c r="D6">
        <v>3</v>
      </c>
      <c r="E6" t="s">
        <v>63</v>
      </c>
      <c r="F6" t="s">
        <v>108</v>
      </c>
      <c r="G6" t="s">
        <v>108</v>
      </c>
      <c r="H6" t="s">
        <v>25</v>
      </c>
      <c r="I6" t="s">
        <v>137</v>
      </c>
      <c r="J6" t="s">
        <v>138</v>
      </c>
      <c r="K6" t="s">
        <v>143</v>
      </c>
      <c r="L6" t="s">
        <v>140</v>
      </c>
      <c r="M6">
        <v>2312.6677555199999</v>
      </c>
      <c r="N6">
        <v>0</v>
      </c>
      <c r="O6" t="s">
        <v>103</v>
      </c>
      <c r="P6" s="56">
        <v>44330.494941122677</v>
      </c>
      <c r="Q6">
        <v>5439255</v>
      </c>
      <c r="R6" t="s">
        <v>106</v>
      </c>
      <c r="S6">
        <v>2342.8884535299999</v>
      </c>
      <c r="W6"/>
      <c r="X6">
        <v>0</v>
      </c>
      <c r="AC6" t="s">
        <v>108</v>
      </c>
      <c r="AD6" s="56">
        <v>42430</v>
      </c>
    </row>
    <row r="7" spans="1:30" x14ac:dyDescent="0.3">
      <c r="A7">
        <v>607809</v>
      </c>
      <c r="B7" t="s">
        <v>142</v>
      </c>
      <c r="C7">
        <v>2016</v>
      </c>
      <c r="D7">
        <v>3</v>
      </c>
      <c r="E7" t="s">
        <v>109</v>
      </c>
      <c r="F7" t="s">
        <v>108</v>
      </c>
      <c r="G7" t="s">
        <v>108</v>
      </c>
      <c r="H7" t="s">
        <v>25</v>
      </c>
      <c r="I7" t="s">
        <v>137</v>
      </c>
      <c r="J7" t="s">
        <v>138</v>
      </c>
      <c r="K7" t="s">
        <v>139</v>
      </c>
      <c r="L7" t="s">
        <v>140</v>
      </c>
      <c r="M7">
        <v>6396.77665523</v>
      </c>
      <c r="N7">
        <v>0</v>
      </c>
      <c r="O7" t="s">
        <v>103</v>
      </c>
      <c r="P7" s="56">
        <v>44330.494939849537</v>
      </c>
      <c r="Q7">
        <v>5439187</v>
      </c>
      <c r="R7" t="s">
        <v>106</v>
      </c>
      <c r="S7">
        <v>6554.1730485600001</v>
      </c>
      <c r="W7"/>
      <c r="X7">
        <v>0</v>
      </c>
      <c r="AC7" t="s">
        <v>108</v>
      </c>
      <c r="AD7" s="56">
        <v>42430</v>
      </c>
    </row>
    <row r="8" spans="1:30" x14ac:dyDescent="0.3">
      <c r="A8">
        <v>600911</v>
      </c>
      <c r="B8" t="s">
        <v>136</v>
      </c>
      <c r="C8">
        <v>2016</v>
      </c>
      <c r="D8">
        <v>4</v>
      </c>
      <c r="E8" t="s">
        <v>109</v>
      </c>
      <c r="F8" t="s">
        <v>108</v>
      </c>
      <c r="G8" t="s">
        <v>108</v>
      </c>
      <c r="H8" t="s">
        <v>25</v>
      </c>
      <c r="I8" t="s">
        <v>137</v>
      </c>
      <c r="J8" t="s">
        <v>138</v>
      </c>
      <c r="K8" t="s">
        <v>139</v>
      </c>
      <c r="L8" t="s">
        <v>140</v>
      </c>
      <c r="M8">
        <v>4919.3408924699997</v>
      </c>
      <c r="N8">
        <v>0</v>
      </c>
      <c r="O8" t="s">
        <v>103</v>
      </c>
      <c r="P8" s="56">
        <v>44330.488381134259</v>
      </c>
      <c r="Q8">
        <v>5423000</v>
      </c>
      <c r="R8" t="s">
        <v>98</v>
      </c>
      <c r="S8">
        <v>73.123154069999998</v>
      </c>
      <c r="W8"/>
      <c r="X8">
        <v>0</v>
      </c>
      <c r="AC8" t="s">
        <v>108</v>
      </c>
      <c r="AD8" s="56">
        <v>42461</v>
      </c>
    </row>
    <row r="9" spans="1:30" x14ac:dyDescent="0.3">
      <c r="A9">
        <v>600947</v>
      </c>
      <c r="B9" t="s">
        <v>136</v>
      </c>
      <c r="C9">
        <v>2016</v>
      </c>
      <c r="D9">
        <v>4</v>
      </c>
      <c r="E9" t="s">
        <v>63</v>
      </c>
      <c r="F9" t="s">
        <v>108</v>
      </c>
      <c r="G9" t="s">
        <v>108</v>
      </c>
      <c r="H9" t="s">
        <v>25</v>
      </c>
      <c r="I9" t="s">
        <v>137</v>
      </c>
      <c r="J9" t="s">
        <v>138</v>
      </c>
      <c r="K9" t="s">
        <v>143</v>
      </c>
      <c r="L9" t="s">
        <v>140</v>
      </c>
      <c r="M9">
        <v>2065.7815005799998</v>
      </c>
      <c r="N9">
        <v>0</v>
      </c>
      <c r="O9" t="s">
        <v>103</v>
      </c>
      <c r="P9" s="56">
        <v>44330.488382442127</v>
      </c>
      <c r="Q9">
        <v>5423068</v>
      </c>
      <c r="R9" t="s">
        <v>98</v>
      </c>
      <c r="S9">
        <v>54.541874569999997</v>
      </c>
      <c r="W9"/>
      <c r="X9">
        <v>0</v>
      </c>
      <c r="AC9" t="s">
        <v>108</v>
      </c>
      <c r="AD9" s="56">
        <v>42461</v>
      </c>
    </row>
    <row r="10" spans="1:30" x14ac:dyDescent="0.3">
      <c r="A10">
        <v>600929</v>
      </c>
      <c r="B10" t="s">
        <v>136</v>
      </c>
      <c r="C10">
        <v>2016</v>
      </c>
      <c r="D10">
        <v>4</v>
      </c>
      <c r="E10" t="s">
        <v>111</v>
      </c>
      <c r="F10" t="s">
        <v>108</v>
      </c>
      <c r="G10" t="s">
        <v>108</v>
      </c>
      <c r="H10" t="s">
        <v>25</v>
      </c>
      <c r="I10" t="s">
        <v>137</v>
      </c>
      <c r="J10" t="s">
        <v>138</v>
      </c>
      <c r="K10" t="s">
        <v>141</v>
      </c>
      <c r="L10" t="s">
        <v>140</v>
      </c>
      <c r="M10">
        <v>1317.6215099999999</v>
      </c>
      <c r="N10">
        <v>0</v>
      </c>
      <c r="O10" t="s">
        <v>103</v>
      </c>
      <c r="P10" s="56">
        <v>44330.488381793977</v>
      </c>
      <c r="Q10">
        <v>5423034</v>
      </c>
      <c r="R10" t="s">
        <v>98</v>
      </c>
      <c r="S10">
        <v>35.336403199999999</v>
      </c>
      <c r="W10"/>
      <c r="X10">
        <v>0</v>
      </c>
      <c r="AC10" t="s">
        <v>108</v>
      </c>
      <c r="AD10" s="56">
        <v>42461</v>
      </c>
    </row>
    <row r="11" spans="1:30" x14ac:dyDescent="0.3">
      <c r="A11">
        <v>600929</v>
      </c>
      <c r="B11" t="s">
        <v>136</v>
      </c>
      <c r="C11">
        <v>2016</v>
      </c>
      <c r="D11">
        <v>4</v>
      </c>
      <c r="E11" t="s">
        <v>111</v>
      </c>
      <c r="F11" t="s">
        <v>108</v>
      </c>
      <c r="G11" t="s">
        <v>108</v>
      </c>
      <c r="H11" t="s">
        <v>25</v>
      </c>
      <c r="I11" t="s">
        <v>137</v>
      </c>
      <c r="J11" t="s">
        <v>138</v>
      </c>
      <c r="K11" t="s">
        <v>141</v>
      </c>
      <c r="L11" t="s">
        <v>140</v>
      </c>
      <c r="M11">
        <v>1317.6215099999999</v>
      </c>
      <c r="N11">
        <v>0</v>
      </c>
      <c r="O11" t="s">
        <v>103</v>
      </c>
      <c r="P11" s="56">
        <v>44330.488381793977</v>
      </c>
      <c r="Q11">
        <v>5423033</v>
      </c>
      <c r="R11" t="s">
        <v>106</v>
      </c>
      <c r="S11">
        <v>1334.2916278</v>
      </c>
      <c r="W11"/>
      <c r="X11">
        <v>0</v>
      </c>
      <c r="AC11" t="s">
        <v>108</v>
      </c>
      <c r="AD11" s="56">
        <v>42461</v>
      </c>
    </row>
    <row r="12" spans="1:30" x14ac:dyDescent="0.3">
      <c r="A12">
        <v>600911</v>
      </c>
      <c r="B12" t="s">
        <v>136</v>
      </c>
      <c r="C12">
        <v>2016</v>
      </c>
      <c r="D12">
        <v>4</v>
      </c>
      <c r="E12" t="s">
        <v>109</v>
      </c>
      <c r="F12" t="s">
        <v>108</v>
      </c>
      <c r="G12" t="s">
        <v>108</v>
      </c>
      <c r="H12" t="s">
        <v>25</v>
      </c>
      <c r="I12" t="s">
        <v>137</v>
      </c>
      <c r="J12" t="s">
        <v>138</v>
      </c>
      <c r="K12" t="s">
        <v>139</v>
      </c>
      <c r="L12" t="s">
        <v>140</v>
      </c>
      <c r="M12">
        <v>4919.3408924699997</v>
      </c>
      <c r="N12">
        <v>0</v>
      </c>
      <c r="O12" t="s">
        <v>103</v>
      </c>
      <c r="P12" s="56">
        <v>44330.488381134259</v>
      </c>
      <c r="Q12">
        <v>5422999</v>
      </c>
      <c r="R12" t="s">
        <v>106</v>
      </c>
      <c r="S12">
        <v>5040.3841234299998</v>
      </c>
      <c r="W12"/>
      <c r="X12">
        <v>0</v>
      </c>
      <c r="AC12" t="s">
        <v>108</v>
      </c>
      <c r="AD12" s="56">
        <v>42461</v>
      </c>
    </row>
    <row r="13" spans="1:30" x14ac:dyDescent="0.3">
      <c r="A13">
        <v>600947</v>
      </c>
      <c r="B13" t="s">
        <v>136</v>
      </c>
      <c r="C13">
        <v>2016</v>
      </c>
      <c r="D13">
        <v>4</v>
      </c>
      <c r="E13" t="s">
        <v>63</v>
      </c>
      <c r="F13" t="s">
        <v>108</v>
      </c>
      <c r="G13" t="s">
        <v>108</v>
      </c>
      <c r="H13" t="s">
        <v>25</v>
      </c>
      <c r="I13" t="s">
        <v>137</v>
      </c>
      <c r="J13" t="s">
        <v>138</v>
      </c>
      <c r="K13" t="s">
        <v>143</v>
      </c>
      <c r="L13" t="s">
        <v>140</v>
      </c>
      <c r="M13">
        <v>2065.7815005799998</v>
      </c>
      <c r="N13">
        <v>0</v>
      </c>
      <c r="O13" t="s">
        <v>103</v>
      </c>
      <c r="P13" s="56">
        <v>44330.488382442127</v>
      </c>
      <c r="Q13">
        <v>5423067</v>
      </c>
      <c r="R13" t="s">
        <v>106</v>
      </c>
      <c r="S13">
        <v>2092.7760218399999</v>
      </c>
      <c r="W13"/>
      <c r="X13">
        <v>0</v>
      </c>
      <c r="AC13" t="s">
        <v>108</v>
      </c>
      <c r="AD13" s="56">
        <v>42461</v>
      </c>
    </row>
    <row r="14" spans="1:30" x14ac:dyDescent="0.3">
      <c r="A14">
        <v>672488</v>
      </c>
      <c r="B14" t="s">
        <v>171</v>
      </c>
      <c r="C14">
        <v>2016</v>
      </c>
      <c r="D14">
        <v>5</v>
      </c>
      <c r="E14" t="s">
        <v>63</v>
      </c>
      <c r="F14" t="s">
        <v>108</v>
      </c>
      <c r="G14" t="s">
        <v>108</v>
      </c>
      <c r="H14" t="s">
        <v>25</v>
      </c>
      <c r="I14" t="s">
        <v>25</v>
      </c>
      <c r="J14" t="s">
        <v>138</v>
      </c>
      <c r="K14" t="s">
        <v>143</v>
      </c>
      <c r="L14" t="s">
        <v>140</v>
      </c>
      <c r="M14">
        <v>2057.3166490100002</v>
      </c>
      <c r="N14">
        <v>0</v>
      </c>
      <c r="O14" t="s">
        <v>103</v>
      </c>
      <c r="P14" s="56">
        <v>44334.070165358797</v>
      </c>
      <c r="Q14">
        <v>5939587</v>
      </c>
      <c r="R14" t="s">
        <v>98</v>
      </c>
      <c r="S14">
        <v>54.318381000000002</v>
      </c>
      <c r="W14"/>
      <c r="X14">
        <v>0</v>
      </c>
      <c r="AC14" t="s">
        <v>108</v>
      </c>
      <c r="AD14" s="56">
        <v>42491</v>
      </c>
    </row>
    <row r="15" spans="1:30" x14ac:dyDescent="0.3">
      <c r="A15">
        <v>672470</v>
      </c>
      <c r="B15" t="s">
        <v>171</v>
      </c>
      <c r="C15">
        <v>2016</v>
      </c>
      <c r="D15">
        <v>5</v>
      </c>
      <c r="E15" t="s">
        <v>111</v>
      </c>
      <c r="F15" t="s">
        <v>108</v>
      </c>
      <c r="G15" t="s">
        <v>108</v>
      </c>
      <c r="H15" t="s">
        <v>25</v>
      </c>
      <c r="I15" t="s">
        <v>25</v>
      </c>
      <c r="J15" t="s">
        <v>138</v>
      </c>
      <c r="K15" t="s">
        <v>141</v>
      </c>
      <c r="L15" t="s">
        <v>140</v>
      </c>
      <c r="M15">
        <v>1352.1891427099999</v>
      </c>
      <c r="N15">
        <v>0</v>
      </c>
      <c r="O15" t="s">
        <v>103</v>
      </c>
      <c r="P15" s="56">
        <v>44334.07016489582</v>
      </c>
      <c r="Q15">
        <v>5939551</v>
      </c>
      <c r="R15" t="s">
        <v>98</v>
      </c>
      <c r="S15">
        <v>36.26344924</v>
      </c>
      <c r="W15"/>
      <c r="X15">
        <v>0</v>
      </c>
      <c r="AC15" t="s">
        <v>108</v>
      </c>
      <c r="AD15" s="56">
        <v>42491</v>
      </c>
    </row>
    <row r="16" spans="1:30" x14ac:dyDescent="0.3">
      <c r="A16">
        <v>672452</v>
      </c>
      <c r="B16" t="s">
        <v>171</v>
      </c>
      <c r="C16">
        <v>2016</v>
      </c>
      <c r="D16">
        <v>5</v>
      </c>
      <c r="E16" t="s">
        <v>109</v>
      </c>
      <c r="F16" t="s">
        <v>108</v>
      </c>
      <c r="G16" t="s">
        <v>108</v>
      </c>
      <c r="H16" t="s">
        <v>25</v>
      </c>
      <c r="I16" t="s">
        <v>25</v>
      </c>
      <c r="J16" t="s">
        <v>138</v>
      </c>
      <c r="K16" t="s">
        <v>139</v>
      </c>
      <c r="L16" t="s">
        <v>140</v>
      </c>
      <c r="M16">
        <v>4669.0953959799999</v>
      </c>
      <c r="N16">
        <v>0</v>
      </c>
      <c r="O16" t="s">
        <v>103</v>
      </c>
      <c r="P16" s="56">
        <v>44334.070164432873</v>
      </c>
      <c r="Q16">
        <v>5939515</v>
      </c>
      <c r="R16" t="s">
        <v>98</v>
      </c>
      <c r="S16">
        <v>69.403399649999997</v>
      </c>
      <c r="W16"/>
      <c r="X16">
        <v>0</v>
      </c>
      <c r="AC16" t="s">
        <v>108</v>
      </c>
      <c r="AD16" s="56">
        <v>42491</v>
      </c>
    </row>
    <row r="17" spans="1:30" x14ac:dyDescent="0.3">
      <c r="A17">
        <v>672488</v>
      </c>
      <c r="B17" t="s">
        <v>171</v>
      </c>
      <c r="C17">
        <v>2016</v>
      </c>
      <c r="D17">
        <v>5</v>
      </c>
      <c r="E17" t="s">
        <v>63</v>
      </c>
      <c r="F17" t="s">
        <v>108</v>
      </c>
      <c r="G17" t="s">
        <v>108</v>
      </c>
      <c r="H17" t="s">
        <v>25</v>
      </c>
      <c r="I17" t="s">
        <v>25</v>
      </c>
      <c r="J17" t="s">
        <v>138</v>
      </c>
      <c r="K17" t="s">
        <v>143</v>
      </c>
      <c r="L17" t="s">
        <v>140</v>
      </c>
      <c r="M17">
        <v>2057.3166490100002</v>
      </c>
      <c r="N17">
        <v>0</v>
      </c>
      <c r="O17" t="s">
        <v>103</v>
      </c>
      <c r="P17" s="56">
        <v>44334.070165358797</v>
      </c>
      <c r="Q17">
        <v>5939586</v>
      </c>
      <c r="R17" t="s">
        <v>106</v>
      </c>
      <c r="S17">
        <v>2084.2005561400001</v>
      </c>
      <c r="W17"/>
      <c r="X17">
        <v>0</v>
      </c>
      <c r="AC17" t="s">
        <v>108</v>
      </c>
      <c r="AD17" s="56">
        <v>42491</v>
      </c>
    </row>
    <row r="18" spans="1:30" x14ac:dyDescent="0.3">
      <c r="A18">
        <v>672470</v>
      </c>
      <c r="B18" t="s">
        <v>171</v>
      </c>
      <c r="C18">
        <v>2016</v>
      </c>
      <c r="D18">
        <v>5</v>
      </c>
      <c r="E18" t="s">
        <v>111</v>
      </c>
      <c r="F18" t="s">
        <v>108</v>
      </c>
      <c r="G18" t="s">
        <v>108</v>
      </c>
      <c r="H18" t="s">
        <v>25</v>
      </c>
      <c r="I18" t="s">
        <v>25</v>
      </c>
      <c r="J18" t="s">
        <v>138</v>
      </c>
      <c r="K18" t="s">
        <v>141</v>
      </c>
      <c r="L18" t="s">
        <v>140</v>
      </c>
      <c r="M18">
        <v>1352.1891427099999</v>
      </c>
      <c r="N18">
        <v>0</v>
      </c>
      <c r="O18" t="s">
        <v>103</v>
      </c>
      <c r="P18" s="56">
        <v>44334.07016489582</v>
      </c>
      <c r="Q18">
        <v>5939550</v>
      </c>
      <c r="R18" t="s">
        <v>106</v>
      </c>
      <c r="S18">
        <v>1369.2965989300001</v>
      </c>
      <c r="W18"/>
      <c r="X18">
        <v>0</v>
      </c>
      <c r="AC18" t="s">
        <v>108</v>
      </c>
      <c r="AD18" s="56">
        <v>42491</v>
      </c>
    </row>
    <row r="19" spans="1:30" x14ac:dyDescent="0.3">
      <c r="A19">
        <v>672452</v>
      </c>
      <c r="B19" t="s">
        <v>171</v>
      </c>
      <c r="C19">
        <v>2016</v>
      </c>
      <c r="D19">
        <v>5</v>
      </c>
      <c r="E19" t="s">
        <v>109</v>
      </c>
      <c r="F19" t="s">
        <v>108</v>
      </c>
      <c r="G19" t="s">
        <v>108</v>
      </c>
      <c r="H19" t="s">
        <v>25</v>
      </c>
      <c r="I19" t="s">
        <v>25</v>
      </c>
      <c r="J19" t="s">
        <v>138</v>
      </c>
      <c r="K19" t="s">
        <v>139</v>
      </c>
      <c r="L19" t="s">
        <v>140</v>
      </c>
      <c r="M19">
        <v>4669.0953959799999</v>
      </c>
      <c r="N19">
        <v>0</v>
      </c>
      <c r="O19" t="s">
        <v>103</v>
      </c>
      <c r="P19" s="56">
        <v>44334.070164432873</v>
      </c>
      <c r="Q19">
        <v>5939514</v>
      </c>
      <c r="R19" t="s">
        <v>106</v>
      </c>
      <c r="S19">
        <v>4783.9811915999999</v>
      </c>
      <c r="W19"/>
      <c r="X19">
        <v>0</v>
      </c>
      <c r="AC19" t="s">
        <v>108</v>
      </c>
      <c r="AD19" s="56">
        <v>42491</v>
      </c>
    </row>
    <row r="20" spans="1:30" x14ac:dyDescent="0.3">
      <c r="A20">
        <v>723878</v>
      </c>
      <c r="B20" t="s">
        <v>173</v>
      </c>
      <c r="C20">
        <v>2016</v>
      </c>
      <c r="D20">
        <v>6</v>
      </c>
      <c r="E20" t="s">
        <v>63</v>
      </c>
      <c r="F20" t="s">
        <v>108</v>
      </c>
      <c r="G20" t="s">
        <v>108</v>
      </c>
      <c r="H20" t="s">
        <v>25</v>
      </c>
      <c r="I20" t="s">
        <v>25</v>
      </c>
      <c r="J20" t="s">
        <v>138</v>
      </c>
      <c r="K20" t="s">
        <v>143</v>
      </c>
      <c r="L20" t="s">
        <v>140</v>
      </c>
      <c r="M20">
        <v>1810.25289694</v>
      </c>
      <c r="N20">
        <v>0</v>
      </c>
      <c r="O20" t="s">
        <v>103</v>
      </c>
      <c r="P20" s="56">
        <v>44334.106443090277</v>
      </c>
      <c r="Q20">
        <v>6309635</v>
      </c>
      <c r="R20" t="s">
        <v>98</v>
      </c>
      <c r="S20">
        <v>47.795270899999998</v>
      </c>
      <c r="W20"/>
      <c r="X20">
        <v>0</v>
      </c>
      <c r="AC20" t="s">
        <v>108</v>
      </c>
      <c r="AD20" s="56">
        <v>42522</v>
      </c>
    </row>
    <row r="21" spans="1:30" x14ac:dyDescent="0.3">
      <c r="A21">
        <v>723860</v>
      </c>
      <c r="B21" t="s">
        <v>173</v>
      </c>
      <c r="C21">
        <v>2016</v>
      </c>
      <c r="D21">
        <v>6</v>
      </c>
      <c r="E21" t="s">
        <v>111</v>
      </c>
      <c r="F21" t="s">
        <v>108</v>
      </c>
      <c r="G21" t="s">
        <v>108</v>
      </c>
      <c r="H21" t="s">
        <v>25</v>
      </c>
      <c r="I21" t="s">
        <v>25</v>
      </c>
      <c r="J21" t="s">
        <v>138</v>
      </c>
      <c r="K21" t="s">
        <v>141</v>
      </c>
      <c r="L21" t="s">
        <v>140</v>
      </c>
      <c r="M21">
        <v>1074.09600742</v>
      </c>
      <c r="N21">
        <v>0</v>
      </c>
      <c r="O21" t="s">
        <v>103</v>
      </c>
      <c r="P21" s="56">
        <v>44334.10644262733</v>
      </c>
      <c r="Q21">
        <v>6309599</v>
      </c>
      <c r="R21" t="s">
        <v>98</v>
      </c>
      <c r="S21">
        <v>28.805456880000001</v>
      </c>
      <c r="W21"/>
      <c r="X21">
        <v>0</v>
      </c>
      <c r="AC21" t="s">
        <v>108</v>
      </c>
      <c r="AD21" s="56">
        <v>42522</v>
      </c>
    </row>
    <row r="22" spans="1:30" x14ac:dyDescent="0.3">
      <c r="A22">
        <v>723842</v>
      </c>
      <c r="B22" t="s">
        <v>173</v>
      </c>
      <c r="C22">
        <v>2016</v>
      </c>
      <c r="D22">
        <v>6</v>
      </c>
      <c r="E22" t="s">
        <v>109</v>
      </c>
      <c r="F22" t="s">
        <v>108</v>
      </c>
      <c r="G22" t="s">
        <v>108</v>
      </c>
      <c r="H22" t="s">
        <v>25</v>
      </c>
      <c r="I22" t="s">
        <v>25</v>
      </c>
      <c r="J22" t="s">
        <v>138</v>
      </c>
      <c r="K22" t="s">
        <v>139</v>
      </c>
      <c r="L22" t="s">
        <v>140</v>
      </c>
      <c r="M22">
        <v>3755.8750081799999</v>
      </c>
      <c r="N22">
        <v>0</v>
      </c>
      <c r="O22" t="s">
        <v>103</v>
      </c>
      <c r="P22" s="56">
        <v>44334.106442164353</v>
      </c>
      <c r="Q22">
        <v>6309563</v>
      </c>
      <c r="R22" t="s">
        <v>98</v>
      </c>
      <c r="S22">
        <v>55.828907340000001</v>
      </c>
      <c r="W22"/>
      <c r="X22">
        <v>0</v>
      </c>
      <c r="AC22" t="s">
        <v>108</v>
      </c>
      <c r="AD22" s="56">
        <v>42522</v>
      </c>
    </row>
    <row r="23" spans="1:30" x14ac:dyDescent="0.3">
      <c r="A23">
        <v>723878</v>
      </c>
      <c r="B23" t="s">
        <v>173</v>
      </c>
      <c r="C23">
        <v>2016</v>
      </c>
      <c r="D23">
        <v>6</v>
      </c>
      <c r="E23" t="s">
        <v>63</v>
      </c>
      <c r="F23" t="s">
        <v>108</v>
      </c>
      <c r="G23" t="s">
        <v>108</v>
      </c>
      <c r="H23" t="s">
        <v>25</v>
      </c>
      <c r="I23" t="s">
        <v>25</v>
      </c>
      <c r="J23" t="s">
        <v>138</v>
      </c>
      <c r="K23" t="s">
        <v>143</v>
      </c>
      <c r="L23" t="s">
        <v>140</v>
      </c>
      <c r="M23">
        <v>1810.25289694</v>
      </c>
      <c r="N23">
        <v>0</v>
      </c>
      <c r="O23" t="s">
        <v>103</v>
      </c>
      <c r="P23" s="56">
        <v>44334.106443090277</v>
      </c>
      <c r="Q23">
        <v>6309634</v>
      </c>
      <c r="R23" t="s">
        <v>106</v>
      </c>
      <c r="S23">
        <v>1833.9083078799999</v>
      </c>
      <c r="W23"/>
      <c r="X23">
        <v>0</v>
      </c>
      <c r="AC23" t="s">
        <v>108</v>
      </c>
      <c r="AD23" s="56">
        <v>42522</v>
      </c>
    </row>
    <row r="24" spans="1:30" x14ac:dyDescent="0.3">
      <c r="A24">
        <v>723842</v>
      </c>
      <c r="B24" t="s">
        <v>173</v>
      </c>
      <c r="C24">
        <v>2016</v>
      </c>
      <c r="D24">
        <v>6</v>
      </c>
      <c r="E24" t="s">
        <v>109</v>
      </c>
      <c r="F24" t="s">
        <v>108</v>
      </c>
      <c r="G24" t="s">
        <v>108</v>
      </c>
      <c r="H24" t="s">
        <v>25</v>
      </c>
      <c r="I24" t="s">
        <v>25</v>
      </c>
      <c r="J24" t="s">
        <v>138</v>
      </c>
      <c r="K24" t="s">
        <v>139</v>
      </c>
      <c r="L24" t="s">
        <v>140</v>
      </c>
      <c r="M24">
        <v>3755.8750081799999</v>
      </c>
      <c r="N24">
        <v>0</v>
      </c>
      <c r="O24" t="s">
        <v>103</v>
      </c>
      <c r="P24" s="56">
        <v>44334.106442164353</v>
      </c>
      <c r="Q24">
        <v>6309562</v>
      </c>
      <c r="R24" t="s">
        <v>106</v>
      </c>
      <c r="S24">
        <v>3848.29048741</v>
      </c>
      <c r="W24"/>
      <c r="X24">
        <v>0</v>
      </c>
      <c r="AC24" t="s">
        <v>108</v>
      </c>
      <c r="AD24" s="56">
        <v>42522</v>
      </c>
    </row>
    <row r="25" spans="1:30" x14ac:dyDescent="0.3">
      <c r="A25">
        <v>723860</v>
      </c>
      <c r="B25" t="s">
        <v>173</v>
      </c>
      <c r="C25">
        <v>2016</v>
      </c>
      <c r="D25">
        <v>6</v>
      </c>
      <c r="E25" t="s">
        <v>111</v>
      </c>
      <c r="F25" t="s">
        <v>108</v>
      </c>
      <c r="G25" t="s">
        <v>108</v>
      </c>
      <c r="H25" t="s">
        <v>25</v>
      </c>
      <c r="I25" t="s">
        <v>25</v>
      </c>
      <c r="J25" t="s">
        <v>138</v>
      </c>
      <c r="K25" t="s">
        <v>141</v>
      </c>
      <c r="L25" t="s">
        <v>140</v>
      </c>
      <c r="M25">
        <v>1074.09600742</v>
      </c>
      <c r="N25">
        <v>0</v>
      </c>
      <c r="O25" t="s">
        <v>103</v>
      </c>
      <c r="P25" s="56">
        <v>44334.10644262733</v>
      </c>
      <c r="Q25">
        <v>6309598</v>
      </c>
      <c r="R25" t="s">
        <v>106</v>
      </c>
      <c r="S25">
        <v>1087.6851199499999</v>
      </c>
      <c r="W25"/>
      <c r="X25">
        <v>0</v>
      </c>
      <c r="AC25" t="s">
        <v>108</v>
      </c>
      <c r="AD25" s="56">
        <v>42522</v>
      </c>
    </row>
    <row r="26" spans="1:30" x14ac:dyDescent="0.3">
      <c r="A26">
        <v>730790</v>
      </c>
      <c r="B26" t="s">
        <v>172</v>
      </c>
      <c r="C26">
        <v>2016</v>
      </c>
      <c r="D26">
        <v>7</v>
      </c>
      <c r="E26" t="s">
        <v>111</v>
      </c>
      <c r="F26" t="s">
        <v>108</v>
      </c>
      <c r="G26" t="s">
        <v>108</v>
      </c>
      <c r="H26" t="s">
        <v>25</v>
      </c>
      <c r="I26" t="s">
        <v>25</v>
      </c>
      <c r="J26" t="s">
        <v>138</v>
      </c>
      <c r="K26" t="s">
        <v>141</v>
      </c>
      <c r="L26" t="s">
        <v>140</v>
      </c>
      <c r="M26">
        <v>1169.0560399599999</v>
      </c>
      <c r="N26">
        <v>0</v>
      </c>
      <c r="O26" t="s">
        <v>103</v>
      </c>
      <c r="P26" s="56">
        <v>44334.107075081018</v>
      </c>
      <c r="Q26">
        <v>6360111</v>
      </c>
      <c r="R26" t="s">
        <v>98</v>
      </c>
      <c r="S26">
        <v>31.352125990000001</v>
      </c>
      <c r="W26"/>
      <c r="X26">
        <v>0</v>
      </c>
      <c r="AC26" t="s">
        <v>108</v>
      </c>
      <c r="AD26" s="56">
        <v>42552</v>
      </c>
    </row>
    <row r="27" spans="1:30" x14ac:dyDescent="0.3">
      <c r="A27">
        <v>730808</v>
      </c>
      <c r="B27" t="s">
        <v>172</v>
      </c>
      <c r="C27">
        <v>2016</v>
      </c>
      <c r="D27">
        <v>7</v>
      </c>
      <c r="E27" t="s">
        <v>63</v>
      </c>
      <c r="F27" t="s">
        <v>108</v>
      </c>
      <c r="G27" t="s">
        <v>108</v>
      </c>
      <c r="H27" t="s">
        <v>25</v>
      </c>
      <c r="I27" t="s">
        <v>25</v>
      </c>
      <c r="J27" t="s">
        <v>138</v>
      </c>
      <c r="K27" t="s">
        <v>143</v>
      </c>
      <c r="L27" t="s">
        <v>140</v>
      </c>
      <c r="M27">
        <v>2027.083069</v>
      </c>
      <c r="N27">
        <v>0</v>
      </c>
      <c r="O27" t="s">
        <v>103</v>
      </c>
      <c r="P27" s="56">
        <v>44334.10707554398</v>
      </c>
      <c r="Q27">
        <v>6360147</v>
      </c>
      <c r="R27" t="s">
        <v>98</v>
      </c>
      <c r="S27">
        <v>53.520137759999997</v>
      </c>
      <c r="W27"/>
      <c r="X27">
        <v>0</v>
      </c>
      <c r="AC27" t="s">
        <v>108</v>
      </c>
      <c r="AD27" s="56">
        <v>42552</v>
      </c>
    </row>
    <row r="28" spans="1:30" x14ac:dyDescent="0.3">
      <c r="A28">
        <v>730772</v>
      </c>
      <c r="B28" t="s">
        <v>172</v>
      </c>
      <c r="C28">
        <v>2016</v>
      </c>
      <c r="D28">
        <v>7</v>
      </c>
      <c r="E28" t="s">
        <v>109</v>
      </c>
      <c r="F28" t="s">
        <v>108</v>
      </c>
      <c r="G28" t="s">
        <v>108</v>
      </c>
      <c r="H28" t="s">
        <v>25</v>
      </c>
      <c r="I28" t="s">
        <v>25</v>
      </c>
      <c r="J28" t="s">
        <v>138</v>
      </c>
      <c r="K28" t="s">
        <v>139</v>
      </c>
      <c r="L28" t="s">
        <v>140</v>
      </c>
      <c r="M28">
        <v>3778.6930292400002</v>
      </c>
      <c r="N28">
        <v>0</v>
      </c>
      <c r="O28" t="s">
        <v>103</v>
      </c>
      <c r="P28" s="56">
        <v>44334.107074571759</v>
      </c>
      <c r="Q28">
        <v>6360075</v>
      </c>
      <c r="R28" t="s">
        <v>98</v>
      </c>
      <c r="S28">
        <v>56.168084020000002</v>
      </c>
      <c r="W28"/>
      <c r="X28">
        <v>0</v>
      </c>
      <c r="AC28" t="s">
        <v>108</v>
      </c>
      <c r="AD28" s="56">
        <v>42552</v>
      </c>
    </row>
    <row r="29" spans="1:30" x14ac:dyDescent="0.3">
      <c r="A29">
        <v>730772</v>
      </c>
      <c r="B29" t="s">
        <v>172</v>
      </c>
      <c r="C29">
        <v>2016</v>
      </c>
      <c r="D29">
        <v>7</v>
      </c>
      <c r="E29" t="s">
        <v>109</v>
      </c>
      <c r="F29" t="s">
        <v>108</v>
      </c>
      <c r="G29" t="s">
        <v>108</v>
      </c>
      <c r="H29" t="s">
        <v>25</v>
      </c>
      <c r="I29" t="s">
        <v>25</v>
      </c>
      <c r="J29" t="s">
        <v>138</v>
      </c>
      <c r="K29" t="s">
        <v>139</v>
      </c>
      <c r="L29" t="s">
        <v>140</v>
      </c>
      <c r="M29">
        <v>3778.6930292400002</v>
      </c>
      <c r="N29">
        <v>0</v>
      </c>
      <c r="O29" t="s">
        <v>103</v>
      </c>
      <c r="P29" s="56">
        <v>44334.107074571759</v>
      </c>
      <c r="Q29">
        <v>6360074</v>
      </c>
      <c r="R29" t="s">
        <v>106</v>
      </c>
      <c r="S29">
        <v>3871.6699590899998</v>
      </c>
      <c r="W29"/>
      <c r="X29">
        <v>0</v>
      </c>
      <c r="AC29" t="s">
        <v>108</v>
      </c>
      <c r="AD29" s="56">
        <v>42552</v>
      </c>
    </row>
    <row r="30" spans="1:30" x14ac:dyDescent="0.3">
      <c r="A30">
        <v>730808</v>
      </c>
      <c r="B30" t="s">
        <v>172</v>
      </c>
      <c r="C30">
        <v>2016</v>
      </c>
      <c r="D30">
        <v>7</v>
      </c>
      <c r="E30" t="s">
        <v>63</v>
      </c>
      <c r="F30" t="s">
        <v>108</v>
      </c>
      <c r="G30" t="s">
        <v>108</v>
      </c>
      <c r="H30" t="s">
        <v>25</v>
      </c>
      <c r="I30" t="s">
        <v>25</v>
      </c>
      <c r="J30" t="s">
        <v>138</v>
      </c>
      <c r="K30" t="s">
        <v>143</v>
      </c>
      <c r="L30" t="s">
        <v>140</v>
      </c>
      <c r="M30">
        <v>2027.083069</v>
      </c>
      <c r="N30">
        <v>0</v>
      </c>
      <c r="O30" t="s">
        <v>103</v>
      </c>
      <c r="P30" s="56">
        <v>44334.10707554398</v>
      </c>
      <c r="Q30">
        <v>6360146</v>
      </c>
      <c r="R30" t="s">
        <v>106</v>
      </c>
      <c r="S30">
        <v>2053.5718999800001</v>
      </c>
      <c r="W30"/>
      <c r="X30">
        <v>0</v>
      </c>
      <c r="AC30" t="s">
        <v>108</v>
      </c>
      <c r="AD30" s="56">
        <v>42552</v>
      </c>
    </row>
    <row r="31" spans="1:30" x14ac:dyDescent="0.3">
      <c r="A31">
        <v>730790</v>
      </c>
      <c r="B31" t="s">
        <v>172</v>
      </c>
      <c r="C31">
        <v>2016</v>
      </c>
      <c r="D31">
        <v>7</v>
      </c>
      <c r="E31" t="s">
        <v>111</v>
      </c>
      <c r="F31" t="s">
        <v>108</v>
      </c>
      <c r="G31" t="s">
        <v>108</v>
      </c>
      <c r="H31" t="s">
        <v>25</v>
      </c>
      <c r="I31" t="s">
        <v>25</v>
      </c>
      <c r="J31" t="s">
        <v>138</v>
      </c>
      <c r="K31" t="s">
        <v>141</v>
      </c>
      <c r="L31" t="s">
        <v>140</v>
      </c>
      <c r="M31">
        <v>1169.0560399599999</v>
      </c>
      <c r="N31">
        <v>0</v>
      </c>
      <c r="O31" t="s">
        <v>103</v>
      </c>
      <c r="P31" s="56">
        <v>44334.107075081018</v>
      </c>
      <c r="Q31">
        <v>6360110</v>
      </c>
      <c r="R31" t="s">
        <v>106</v>
      </c>
      <c r="S31">
        <v>1183.8465558600001</v>
      </c>
      <c r="W31"/>
      <c r="X31">
        <v>0</v>
      </c>
      <c r="AC31" t="s">
        <v>108</v>
      </c>
      <c r="AD31" s="56">
        <v>42552</v>
      </c>
    </row>
    <row r="32" spans="1:30" x14ac:dyDescent="0.3">
      <c r="A32">
        <v>490481</v>
      </c>
      <c r="B32" t="s">
        <v>168</v>
      </c>
      <c r="C32">
        <v>2016</v>
      </c>
      <c r="D32">
        <v>9</v>
      </c>
      <c r="E32" t="s">
        <v>109</v>
      </c>
      <c r="F32" t="s">
        <v>108</v>
      </c>
      <c r="G32" t="s">
        <v>108</v>
      </c>
      <c r="H32" t="s">
        <v>25</v>
      </c>
      <c r="I32" t="s">
        <v>25</v>
      </c>
      <c r="J32" t="s">
        <v>138</v>
      </c>
      <c r="K32" t="s">
        <v>110</v>
      </c>
      <c r="L32" t="s">
        <v>140</v>
      </c>
      <c r="M32">
        <v>2263.3159081700001</v>
      </c>
      <c r="N32">
        <v>0</v>
      </c>
      <c r="O32" t="s">
        <v>103</v>
      </c>
      <c r="P32" s="56">
        <v>44330.097784143523</v>
      </c>
      <c r="Q32">
        <v>4588262</v>
      </c>
      <c r="R32" t="s">
        <v>98</v>
      </c>
      <c r="S32">
        <v>33.642880519999999</v>
      </c>
      <c r="W32"/>
      <c r="X32">
        <v>0</v>
      </c>
      <c r="AC32" t="s">
        <v>108</v>
      </c>
      <c r="AD32" s="56">
        <v>42614</v>
      </c>
    </row>
    <row r="33" spans="1:30" x14ac:dyDescent="0.3">
      <c r="A33">
        <v>490499</v>
      </c>
      <c r="B33" t="s">
        <v>168</v>
      </c>
      <c r="C33">
        <v>2016</v>
      </c>
      <c r="D33">
        <v>9</v>
      </c>
      <c r="E33" t="s">
        <v>111</v>
      </c>
      <c r="F33" t="s">
        <v>108</v>
      </c>
      <c r="G33" t="s">
        <v>108</v>
      </c>
      <c r="H33" t="s">
        <v>25</v>
      </c>
      <c r="I33" t="s">
        <v>25</v>
      </c>
      <c r="J33" t="s">
        <v>138</v>
      </c>
      <c r="K33" t="s">
        <v>141</v>
      </c>
      <c r="L33" t="s">
        <v>140</v>
      </c>
      <c r="M33">
        <v>672.74702771</v>
      </c>
      <c r="N33">
        <v>0</v>
      </c>
      <c r="O33" t="s">
        <v>103</v>
      </c>
      <c r="P33" s="56">
        <v>44330.097784641213</v>
      </c>
      <c r="Q33">
        <v>4588298</v>
      </c>
      <c r="R33" t="s">
        <v>98</v>
      </c>
      <c r="S33">
        <v>18.0419491</v>
      </c>
      <c r="W33"/>
      <c r="X33">
        <v>0</v>
      </c>
      <c r="AC33" t="s">
        <v>108</v>
      </c>
      <c r="AD33" s="56">
        <v>42614</v>
      </c>
    </row>
    <row r="34" spans="1:30" x14ac:dyDescent="0.3">
      <c r="A34">
        <v>490517</v>
      </c>
      <c r="B34" t="s">
        <v>168</v>
      </c>
      <c r="C34">
        <v>2016</v>
      </c>
      <c r="D34">
        <v>9</v>
      </c>
      <c r="E34" t="s">
        <v>113</v>
      </c>
      <c r="F34" t="s">
        <v>108</v>
      </c>
      <c r="G34" t="s">
        <v>108</v>
      </c>
      <c r="H34" t="s">
        <v>25</v>
      </c>
      <c r="I34" t="s">
        <v>25</v>
      </c>
      <c r="J34" t="s">
        <v>138</v>
      </c>
      <c r="K34" t="s">
        <v>114</v>
      </c>
      <c r="L34" t="s">
        <v>140</v>
      </c>
      <c r="M34">
        <v>1264.39372551</v>
      </c>
      <c r="N34">
        <v>0</v>
      </c>
      <c r="O34" t="s">
        <v>103</v>
      </c>
      <c r="P34" s="56">
        <v>44330.097785150458</v>
      </c>
      <c r="Q34">
        <v>4588334</v>
      </c>
      <c r="R34" t="s">
        <v>98</v>
      </c>
      <c r="S34">
        <v>33.383203379999998</v>
      </c>
      <c r="W34"/>
      <c r="X34">
        <v>0</v>
      </c>
      <c r="AC34" t="s">
        <v>108</v>
      </c>
      <c r="AD34" s="56">
        <v>42614</v>
      </c>
    </row>
    <row r="35" spans="1:30" x14ac:dyDescent="0.3">
      <c r="A35">
        <v>490517</v>
      </c>
      <c r="B35" t="s">
        <v>168</v>
      </c>
      <c r="C35">
        <v>2016</v>
      </c>
      <c r="D35">
        <v>9</v>
      </c>
      <c r="E35" t="s">
        <v>113</v>
      </c>
      <c r="F35" t="s">
        <v>108</v>
      </c>
      <c r="G35" t="s">
        <v>108</v>
      </c>
      <c r="H35" t="s">
        <v>25</v>
      </c>
      <c r="I35" t="s">
        <v>25</v>
      </c>
      <c r="J35" t="s">
        <v>138</v>
      </c>
      <c r="K35" t="s">
        <v>114</v>
      </c>
      <c r="L35" t="s">
        <v>140</v>
      </c>
      <c r="M35">
        <v>1264.39372551</v>
      </c>
      <c r="N35">
        <v>0</v>
      </c>
      <c r="O35" t="s">
        <v>103</v>
      </c>
      <c r="P35" s="56">
        <v>44330.097785150458</v>
      </c>
      <c r="Q35">
        <v>4588333</v>
      </c>
      <c r="R35" t="s">
        <v>106</v>
      </c>
      <c r="S35">
        <v>1280.9161424700001</v>
      </c>
      <c r="W35"/>
      <c r="X35">
        <v>0</v>
      </c>
      <c r="AC35" t="s">
        <v>108</v>
      </c>
      <c r="AD35" s="56">
        <v>42614</v>
      </c>
    </row>
    <row r="36" spans="1:30" x14ac:dyDescent="0.3">
      <c r="A36">
        <v>490499</v>
      </c>
      <c r="B36" t="s">
        <v>168</v>
      </c>
      <c r="C36">
        <v>2016</v>
      </c>
      <c r="D36">
        <v>9</v>
      </c>
      <c r="E36" t="s">
        <v>111</v>
      </c>
      <c r="F36" t="s">
        <v>108</v>
      </c>
      <c r="G36" t="s">
        <v>108</v>
      </c>
      <c r="H36" t="s">
        <v>25</v>
      </c>
      <c r="I36" t="s">
        <v>25</v>
      </c>
      <c r="J36" t="s">
        <v>138</v>
      </c>
      <c r="K36" t="s">
        <v>141</v>
      </c>
      <c r="L36" t="s">
        <v>140</v>
      </c>
      <c r="M36">
        <v>672.74702771</v>
      </c>
      <c r="N36">
        <v>0</v>
      </c>
      <c r="O36" t="s">
        <v>103</v>
      </c>
      <c r="P36" s="56">
        <v>44330.097784641213</v>
      </c>
      <c r="Q36">
        <v>4588297</v>
      </c>
      <c r="R36" t="s">
        <v>106</v>
      </c>
      <c r="S36">
        <v>681.25840378999999</v>
      </c>
      <c r="W36"/>
      <c r="X36">
        <v>0</v>
      </c>
      <c r="AC36" t="s">
        <v>108</v>
      </c>
      <c r="AD36" s="56">
        <v>42614</v>
      </c>
    </row>
    <row r="37" spans="1:30" x14ac:dyDescent="0.3">
      <c r="A37">
        <v>490481</v>
      </c>
      <c r="B37" t="s">
        <v>168</v>
      </c>
      <c r="C37">
        <v>2016</v>
      </c>
      <c r="D37">
        <v>9</v>
      </c>
      <c r="E37" t="s">
        <v>109</v>
      </c>
      <c r="F37" t="s">
        <v>108</v>
      </c>
      <c r="G37" t="s">
        <v>108</v>
      </c>
      <c r="H37" t="s">
        <v>25</v>
      </c>
      <c r="I37" t="s">
        <v>25</v>
      </c>
      <c r="J37" t="s">
        <v>138</v>
      </c>
      <c r="K37" t="s">
        <v>110</v>
      </c>
      <c r="L37" t="s">
        <v>140</v>
      </c>
      <c r="M37">
        <v>2263.3159081700001</v>
      </c>
      <c r="N37">
        <v>0</v>
      </c>
      <c r="O37" t="s">
        <v>103</v>
      </c>
      <c r="P37" s="56">
        <v>44330.097784143523</v>
      </c>
      <c r="Q37">
        <v>4588261</v>
      </c>
      <c r="R37" t="s">
        <v>106</v>
      </c>
      <c r="S37">
        <v>2319.0061065499999</v>
      </c>
      <c r="W37"/>
      <c r="X37">
        <v>0</v>
      </c>
      <c r="AC37" t="s">
        <v>108</v>
      </c>
      <c r="AD37" s="56">
        <v>42614</v>
      </c>
    </row>
    <row r="38" spans="1:30" x14ac:dyDescent="0.3">
      <c r="A38">
        <v>496212</v>
      </c>
      <c r="B38" t="s">
        <v>170</v>
      </c>
      <c r="C38">
        <v>2016</v>
      </c>
      <c r="D38">
        <v>10</v>
      </c>
      <c r="E38" t="s">
        <v>113</v>
      </c>
      <c r="F38" t="s">
        <v>108</v>
      </c>
      <c r="G38" t="s">
        <v>108</v>
      </c>
      <c r="H38" t="s">
        <v>25</v>
      </c>
      <c r="I38" t="s">
        <v>25</v>
      </c>
      <c r="J38" t="s">
        <v>138</v>
      </c>
      <c r="K38" t="s">
        <v>114</v>
      </c>
      <c r="L38" t="s">
        <v>140</v>
      </c>
      <c r="M38">
        <v>717.31728549000002</v>
      </c>
      <c r="N38">
        <v>0</v>
      </c>
      <c r="O38" t="s">
        <v>103</v>
      </c>
      <c r="P38" s="56">
        <v>44330.098264814813</v>
      </c>
      <c r="Q38">
        <v>4615654</v>
      </c>
      <c r="R38" t="s">
        <v>98</v>
      </c>
      <c r="S38">
        <v>18.938996889999999</v>
      </c>
      <c r="W38"/>
      <c r="X38">
        <v>0</v>
      </c>
      <c r="AC38" t="s">
        <v>108</v>
      </c>
      <c r="AD38" s="56">
        <v>42644</v>
      </c>
    </row>
    <row r="39" spans="1:30" x14ac:dyDescent="0.3">
      <c r="A39">
        <v>496194</v>
      </c>
      <c r="B39" t="s">
        <v>170</v>
      </c>
      <c r="C39">
        <v>2016</v>
      </c>
      <c r="D39">
        <v>10</v>
      </c>
      <c r="E39" t="s">
        <v>111</v>
      </c>
      <c r="F39" t="s">
        <v>108</v>
      </c>
      <c r="G39" t="s">
        <v>108</v>
      </c>
      <c r="H39" t="s">
        <v>25</v>
      </c>
      <c r="I39" t="s">
        <v>25</v>
      </c>
      <c r="J39" t="s">
        <v>138</v>
      </c>
      <c r="K39" t="s">
        <v>112</v>
      </c>
      <c r="L39" t="s">
        <v>140</v>
      </c>
      <c r="M39">
        <v>420.24133938</v>
      </c>
      <c r="N39">
        <v>0</v>
      </c>
      <c r="O39" t="s">
        <v>103</v>
      </c>
      <c r="P39" s="56">
        <v>44330.098264351851</v>
      </c>
      <c r="Q39">
        <v>4615618</v>
      </c>
      <c r="R39" t="s">
        <v>98</v>
      </c>
      <c r="S39">
        <v>11.27016924</v>
      </c>
      <c r="W39"/>
      <c r="X39">
        <v>0</v>
      </c>
      <c r="AC39" t="s">
        <v>108</v>
      </c>
      <c r="AD39" s="56">
        <v>42644</v>
      </c>
    </row>
    <row r="40" spans="1:30" x14ac:dyDescent="0.3">
      <c r="A40">
        <v>496176</v>
      </c>
      <c r="B40" t="s">
        <v>170</v>
      </c>
      <c r="C40">
        <v>2016</v>
      </c>
      <c r="D40">
        <v>10</v>
      </c>
      <c r="E40" t="s">
        <v>109</v>
      </c>
      <c r="F40" t="s">
        <v>108</v>
      </c>
      <c r="G40" t="s">
        <v>108</v>
      </c>
      <c r="H40" t="s">
        <v>25</v>
      </c>
      <c r="I40" t="s">
        <v>25</v>
      </c>
      <c r="J40" t="s">
        <v>138</v>
      </c>
      <c r="K40" t="s">
        <v>110</v>
      </c>
      <c r="L40" t="s">
        <v>140</v>
      </c>
      <c r="M40">
        <v>1382.4463402700001</v>
      </c>
      <c r="N40">
        <v>0</v>
      </c>
      <c r="O40" t="s">
        <v>103</v>
      </c>
      <c r="P40" s="56">
        <v>44330.098263807871</v>
      </c>
      <c r="Q40">
        <v>4615582</v>
      </c>
      <c r="R40" t="s">
        <v>98</v>
      </c>
      <c r="S40">
        <v>20.549264409999999</v>
      </c>
      <c r="W40"/>
      <c r="X40">
        <v>0</v>
      </c>
      <c r="AC40" t="s">
        <v>108</v>
      </c>
      <c r="AD40" s="56">
        <v>42644</v>
      </c>
    </row>
    <row r="41" spans="1:30" x14ac:dyDescent="0.3">
      <c r="A41">
        <v>496176</v>
      </c>
      <c r="B41" t="s">
        <v>170</v>
      </c>
      <c r="C41">
        <v>2016</v>
      </c>
      <c r="D41">
        <v>10</v>
      </c>
      <c r="E41" t="s">
        <v>109</v>
      </c>
      <c r="F41" t="s">
        <v>108</v>
      </c>
      <c r="G41" t="s">
        <v>108</v>
      </c>
      <c r="H41" t="s">
        <v>25</v>
      </c>
      <c r="I41" t="s">
        <v>25</v>
      </c>
      <c r="J41" t="s">
        <v>138</v>
      </c>
      <c r="K41" t="s">
        <v>110</v>
      </c>
      <c r="L41" t="s">
        <v>140</v>
      </c>
      <c r="M41">
        <v>1382.4463402700001</v>
      </c>
      <c r="N41">
        <v>0</v>
      </c>
      <c r="O41" t="s">
        <v>103</v>
      </c>
      <c r="P41" s="56">
        <v>44330.098263807871</v>
      </c>
      <c r="Q41">
        <v>4615581</v>
      </c>
      <c r="R41" t="s">
        <v>106</v>
      </c>
      <c r="S41">
        <v>1416.46223291</v>
      </c>
      <c r="W41"/>
      <c r="X41">
        <v>0</v>
      </c>
      <c r="AC41" t="s">
        <v>108</v>
      </c>
      <c r="AD41" s="56">
        <v>42644</v>
      </c>
    </row>
    <row r="42" spans="1:30" x14ac:dyDescent="0.3">
      <c r="A42">
        <v>496194</v>
      </c>
      <c r="B42" t="s">
        <v>170</v>
      </c>
      <c r="C42">
        <v>2016</v>
      </c>
      <c r="D42">
        <v>10</v>
      </c>
      <c r="E42" t="s">
        <v>111</v>
      </c>
      <c r="F42" t="s">
        <v>108</v>
      </c>
      <c r="G42" t="s">
        <v>108</v>
      </c>
      <c r="H42" t="s">
        <v>25</v>
      </c>
      <c r="I42" t="s">
        <v>25</v>
      </c>
      <c r="J42" t="s">
        <v>138</v>
      </c>
      <c r="K42" t="s">
        <v>112</v>
      </c>
      <c r="L42" t="s">
        <v>140</v>
      </c>
      <c r="M42">
        <v>420.24133938</v>
      </c>
      <c r="N42">
        <v>0</v>
      </c>
      <c r="O42" t="s">
        <v>103</v>
      </c>
      <c r="P42" s="56">
        <v>44330.098264351851</v>
      </c>
      <c r="Q42">
        <v>4615617</v>
      </c>
      <c r="R42" t="s">
        <v>106</v>
      </c>
      <c r="S42">
        <v>425.55809579999999</v>
      </c>
      <c r="W42"/>
      <c r="X42">
        <v>0</v>
      </c>
      <c r="AC42" t="s">
        <v>108</v>
      </c>
      <c r="AD42" s="56">
        <v>42644</v>
      </c>
    </row>
    <row r="43" spans="1:30" x14ac:dyDescent="0.3">
      <c r="A43">
        <v>496212</v>
      </c>
      <c r="B43" t="s">
        <v>170</v>
      </c>
      <c r="C43">
        <v>2016</v>
      </c>
      <c r="D43">
        <v>10</v>
      </c>
      <c r="E43" t="s">
        <v>113</v>
      </c>
      <c r="F43" t="s">
        <v>108</v>
      </c>
      <c r="G43" t="s">
        <v>108</v>
      </c>
      <c r="H43" t="s">
        <v>25</v>
      </c>
      <c r="I43" t="s">
        <v>25</v>
      </c>
      <c r="J43" t="s">
        <v>138</v>
      </c>
      <c r="K43" t="s">
        <v>114</v>
      </c>
      <c r="L43" t="s">
        <v>140</v>
      </c>
      <c r="M43">
        <v>717.31728549000002</v>
      </c>
      <c r="N43">
        <v>0</v>
      </c>
      <c r="O43" t="s">
        <v>103</v>
      </c>
      <c r="P43" s="56">
        <v>44330.098264814813</v>
      </c>
      <c r="Q43">
        <v>4615653</v>
      </c>
      <c r="R43" t="s">
        <v>106</v>
      </c>
      <c r="S43">
        <v>726.69080185999997</v>
      </c>
      <c r="W43"/>
      <c r="X43">
        <v>0</v>
      </c>
      <c r="AC43" t="s">
        <v>108</v>
      </c>
      <c r="AD43" s="56">
        <v>42644</v>
      </c>
    </row>
    <row r="44" spans="1:30" x14ac:dyDescent="0.3">
      <c r="A44">
        <v>505299</v>
      </c>
      <c r="B44" t="s">
        <v>167</v>
      </c>
      <c r="C44">
        <v>2016</v>
      </c>
      <c r="D44">
        <v>11</v>
      </c>
      <c r="E44" t="s">
        <v>111</v>
      </c>
      <c r="F44" t="s">
        <v>108</v>
      </c>
      <c r="G44" t="s">
        <v>108</v>
      </c>
      <c r="H44" t="s">
        <v>25</v>
      </c>
      <c r="I44" t="s">
        <v>25</v>
      </c>
      <c r="J44" t="s">
        <v>138</v>
      </c>
      <c r="K44" t="s">
        <v>112</v>
      </c>
      <c r="L44" t="s">
        <v>140</v>
      </c>
      <c r="M44">
        <v>3.0402221699999998</v>
      </c>
      <c r="N44">
        <v>0</v>
      </c>
      <c r="O44" t="s">
        <v>103</v>
      </c>
      <c r="P44" s="56">
        <v>44330.099023298608</v>
      </c>
      <c r="Q44">
        <v>4677104</v>
      </c>
      <c r="R44" t="s">
        <v>98</v>
      </c>
      <c r="S44">
        <v>8.1533670000000003E-2</v>
      </c>
      <c r="W44"/>
      <c r="X44">
        <v>0</v>
      </c>
      <c r="AC44" t="s">
        <v>108</v>
      </c>
      <c r="AD44" s="56">
        <v>42675</v>
      </c>
    </row>
    <row r="45" spans="1:30" x14ac:dyDescent="0.3">
      <c r="A45">
        <v>505281</v>
      </c>
      <c r="B45" t="s">
        <v>167</v>
      </c>
      <c r="C45">
        <v>2016</v>
      </c>
      <c r="D45">
        <v>11</v>
      </c>
      <c r="E45" t="s">
        <v>109</v>
      </c>
      <c r="F45" t="s">
        <v>108</v>
      </c>
      <c r="G45" t="s">
        <v>108</v>
      </c>
      <c r="H45" t="s">
        <v>25</v>
      </c>
      <c r="I45" t="s">
        <v>25</v>
      </c>
      <c r="J45" t="s">
        <v>138</v>
      </c>
      <c r="K45" t="s">
        <v>110</v>
      </c>
      <c r="L45" t="s">
        <v>140</v>
      </c>
      <c r="M45">
        <v>10.93651025</v>
      </c>
      <c r="N45">
        <v>0</v>
      </c>
      <c r="O45" t="s">
        <v>103</v>
      </c>
      <c r="P45" s="56">
        <v>44330.09902276619</v>
      </c>
      <c r="Q45">
        <v>4677068</v>
      </c>
      <c r="R45" t="s">
        <v>98</v>
      </c>
      <c r="S45">
        <v>0.16256488999999999</v>
      </c>
      <c r="W45"/>
      <c r="X45">
        <v>0</v>
      </c>
      <c r="AC45" t="s">
        <v>108</v>
      </c>
      <c r="AD45" s="56">
        <v>42675</v>
      </c>
    </row>
    <row r="46" spans="1:30" x14ac:dyDescent="0.3">
      <c r="A46">
        <v>505317</v>
      </c>
      <c r="B46" t="s">
        <v>167</v>
      </c>
      <c r="C46">
        <v>2016</v>
      </c>
      <c r="D46">
        <v>11</v>
      </c>
      <c r="E46" t="s">
        <v>113</v>
      </c>
      <c r="F46" t="s">
        <v>108</v>
      </c>
      <c r="G46" t="s">
        <v>108</v>
      </c>
      <c r="H46" t="s">
        <v>25</v>
      </c>
      <c r="I46" t="s">
        <v>25</v>
      </c>
      <c r="J46" t="s">
        <v>138</v>
      </c>
      <c r="K46" t="s">
        <v>114</v>
      </c>
      <c r="L46" t="s">
        <v>140</v>
      </c>
      <c r="M46">
        <v>4.6410682200000002</v>
      </c>
      <c r="N46">
        <v>0</v>
      </c>
      <c r="O46" t="s">
        <v>103</v>
      </c>
      <c r="P46" s="56">
        <v>44330.099023842587</v>
      </c>
      <c r="Q46">
        <v>4677140</v>
      </c>
      <c r="R46" t="s">
        <v>98</v>
      </c>
      <c r="S46">
        <v>0.12253598</v>
      </c>
      <c r="W46"/>
      <c r="X46">
        <v>0</v>
      </c>
      <c r="AC46" t="s">
        <v>108</v>
      </c>
      <c r="AD46" s="56">
        <v>42675</v>
      </c>
    </row>
    <row r="47" spans="1:30" x14ac:dyDescent="0.3">
      <c r="A47">
        <v>505281</v>
      </c>
      <c r="B47" t="s">
        <v>167</v>
      </c>
      <c r="C47">
        <v>2016</v>
      </c>
      <c r="D47">
        <v>11</v>
      </c>
      <c r="E47" t="s">
        <v>109</v>
      </c>
      <c r="F47" t="s">
        <v>108</v>
      </c>
      <c r="G47" t="s">
        <v>108</v>
      </c>
      <c r="H47" t="s">
        <v>25</v>
      </c>
      <c r="I47" t="s">
        <v>25</v>
      </c>
      <c r="J47" t="s">
        <v>138</v>
      </c>
      <c r="K47" t="s">
        <v>110</v>
      </c>
      <c r="L47" t="s">
        <v>140</v>
      </c>
      <c r="M47">
        <v>10.93651025</v>
      </c>
      <c r="N47">
        <v>0</v>
      </c>
      <c r="O47" t="s">
        <v>103</v>
      </c>
      <c r="P47" s="56">
        <v>44330.09902276619</v>
      </c>
      <c r="Q47">
        <v>4677067</v>
      </c>
      <c r="R47" t="s">
        <v>106</v>
      </c>
      <c r="S47">
        <v>11.20560942</v>
      </c>
      <c r="W47"/>
      <c r="X47">
        <v>0</v>
      </c>
      <c r="AC47" t="s">
        <v>108</v>
      </c>
      <c r="AD47" s="56">
        <v>42675</v>
      </c>
    </row>
    <row r="48" spans="1:30" x14ac:dyDescent="0.3">
      <c r="A48">
        <v>505299</v>
      </c>
      <c r="B48" t="s">
        <v>167</v>
      </c>
      <c r="C48">
        <v>2016</v>
      </c>
      <c r="D48">
        <v>11</v>
      </c>
      <c r="E48" t="s">
        <v>111</v>
      </c>
      <c r="F48" t="s">
        <v>108</v>
      </c>
      <c r="G48" t="s">
        <v>108</v>
      </c>
      <c r="H48" t="s">
        <v>25</v>
      </c>
      <c r="I48" t="s">
        <v>25</v>
      </c>
      <c r="J48" t="s">
        <v>138</v>
      </c>
      <c r="K48" t="s">
        <v>112</v>
      </c>
      <c r="L48" t="s">
        <v>140</v>
      </c>
      <c r="M48">
        <v>3.0402221699999998</v>
      </c>
      <c r="N48">
        <v>0</v>
      </c>
      <c r="O48" t="s">
        <v>103</v>
      </c>
      <c r="P48" s="56">
        <v>44330.099023298608</v>
      </c>
      <c r="Q48">
        <v>4677103</v>
      </c>
      <c r="R48" t="s">
        <v>106</v>
      </c>
      <c r="S48">
        <v>3.0786860699999998</v>
      </c>
      <c r="W48"/>
      <c r="X48">
        <v>0</v>
      </c>
      <c r="AC48" t="s">
        <v>108</v>
      </c>
      <c r="AD48" s="56">
        <v>42675</v>
      </c>
    </row>
    <row r="49" spans="1:30" x14ac:dyDescent="0.3">
      <c r="A49">
        <v>505317</v>
      </c>
      <c r="B49" t="s">
        <v>167</v>
      </c>
      <c r="C49">
        <v>2016</v>
      </c>
      <c r="D49">
        <v>11</v>
      </c>
      <c r="E49" t="s">
        <v>113</v>
      </c>
      <c r="F49" t="s">
        <v>108</v>
      </c>
      <c r="G49" t="s">
        <v>108</v>
      </c>
      <c r="H49" t="s">
        <v>25</v>
      </c>
      <c r="I49" t="s">
        <v>25</v>
      </c>
      <c r="J49" t="s">
        <v>138</v>
      </c>
      <c r="K49" t="s">
        <v>114</v>
      </c>
      <c r="L49" t="s">
        <v>140</v>
      </c>
      <c r="M49">
        <v>4.6410682200000002</v>
      </c>
      <c r="N49">
        <v>0</v>
      </c>
      <c r="O49" t="s">
        <v>103</v>
      </c>
      <c r="P49" s="56">
        <v>44330.099023842587</v>
      </c>
      <c r="Q49">
        <v>4677139</v>
      </c>
      <c r="R49" t="s">
        <v>106</v>
      </c>
      <c r="S49">
        <v>4.7017151999999998</v>
      </c>
      <c r="W49"/>
      <c r="X49">
        <v>0</v>
      </c>
      <c r="AC49" t="s">
        <v>108</v>
      </c>
      <c r="AD49" s="56">
        <v>42675</v>
      </c>
    </row>
    <row r="50" spans="1:30" x14ac:dyDescent="0.3">
      <c r="A50">
        <v>518433</v>
      </c>
      <c r="B50" t="s">
        <v>169</v>
      </c>
      <c r="C50">
        <v>2016</v>
      </c>
      <c r="D50">
        <v>12</v>
      </c>
      <c r="E50" t="s">
        <v>109</v>
      </c>
      <c r="F50" t="s">
        <v>108</v>
      </c>
      <c r="G50" t="s">
        <v>108</v>
      </c>
      <c r="H50" t="s">
        <v>25</v>
      </c>
      <c r="I50" t="s">
        <v>25</v>
      </c>
      <c r="J50" t="s">
        <v>138</v>
      </c>
      <c r="K50" t="s">
        <v>110</v>
      </c>
      <c r="L50" t="s">
        <v>140</v>
      </c>
      <c r="M50">
        <v>2.1233140000000001E-2</v>
      </c>
      <c r="N50">
        <v>0</v>
      </c>
      <c r="O50" t="s">
        <v>103</v>
      </c>
      <c r="P50" s="56">
        <v>44330.1002351852</v>
      </c>
      <c r="Q50">
        <v>4792674</v>
      </c>
      <c r="R50" t="s">
        <v>98</v>
      </c>
      <c r="S50">
        <v>3.1562000000000002E-4</v>
      </c>
      <c r="W50"/>
      <c r="X50">
        <v>0</v>
      </c>
      <c r="AC50" t="s">
        <v>108</v>
      </c>
      <c r="AD50" s="56">
        <v>42705</v>
      </c>
    </row>
    <row r="51" spans="1:30" x14ac:dyDescent="0.3">
      <c r="A51">
        <v>518451</v>
      </c>
      <c r="B51" t="s">
        <v>169</v>
      </c>
      <c r="C51">
        <v>2016</v>
      </c>
      <c r="D51">
        <v>12</v>
      </c>
      <c r="E51" t="s">
        <v>111</v>
      </c>
      <c r="F51" t="s">
        <v>108</v>
      </c>
      <c r="G51" t="s">
        <v>108</v>
      </c>
      <c r="H51" t="s">
        <v>25</v>
      </c>
      <c r="I51" t="s">
        <v>25</v>
      </c>
      <c r="J51" t="s">
        <v>138</v>
      </c>
      <c r="K51" t="s">
        <v>112</v>
      </c>
      <c r="L51" t="s">
        <v>140</v>
      </c>
      <c r="M51">
        <v>5.24655E-3</v>
      </c>
      <c r="N51">
        <v>0</v>
      </c>
      <c r="O51" t="s">
        <v>103</v>
      </c>
      <c r="P51" s="56">
        <v>44330.100235682869</v>
      </c>
      <c r="Q51">
        <v>4792710</v>
      </c>
      <c r="R51" t="s">
        <v>98</v>
      </c>
      <c r="S51">
        <v>1.407E-4</v>
      </c>
      <c r="W51"/>
      <c r="X51">
        <v>0</v>
      </c>
      <c r="AC51" t="s">
        <v>108</v>
      </c>
      <c r="AD51" s="56">
        <v>42705</v>
      </c>
    </row>
    <row r="52" spans="1:30" x14ac:dyDescent="0.3">
      <c r="A52">
        <v>518469</v>
      </c>
      <c r="B52" t="s">
        <v>169</v>
      </c>
      <c r="C52">
        <v>2016</v>
      </c>
      <c r="D52">
        <v>12</v>
      </c>
      <c r="E52" t="s">
        <v>113</v>
      </c>
      <c r="F52" t="s">
        <v>108</v>
      </c>
      <c r="G52" t="s">
        <v>108</v>
      </c>
      <c r="H52" t="s">
        <v>25</v>
      </c>
      <c r="I52" t="s">
        <v>25</v>
      </c>
      <c r="J52" t="s">
        <v>138</v>
      </c>
      <c r="K52" t="s">
        <v>114</v>
      </c>
      <c r="L52" t="s">
        <v>140</v>
      </c>
      <c r="M52">
        <v>7.6207699999999998E-3</v>
      </c>
      <c r="N52">
        <v>0</v>
      </c>
      <c r="O52" t="s">
        <v>103</v>
      </c>
      <c r="P52" s="56">
        <v>44330.100236226863</v>
      </c>
      <c r="Q52">
        <v>4792746</v>
      </c>
      <c r="R52" t="s">
        <v>98</v>
      </c>
      <c r="S52">
        <v>2.0121000000000001E-4</v>
      </c>
      <c r="W52"/>
      <c r="X52">
        <v>0</v>
      </c>
      <c r="AC52" t="s">
        <v>108</v>
      </c>
      <c r="AD52" s="56">
        <v>42705</v>
      </c>
    </row>
    <row r="53" spans="1:30" x14ac:dyDescent="0.3">
      <c r="A53">
        <v>518433</v>
      </c>
      <c r="B53" t="s">
        <v>169</v>
      </c>
      <c r="C53">
        <v>2016</v>
      </c>
      <c r="D53">
        <v>12</v>
      </c>
      <c r="E53" t="s">
        <v>109</v>
      </c>
      <c r="F53" t="s">
        <v>108</v>
      </c>
      <c r="G53" t="s">
        <v>108</v>
      </c>
      <c r="H53" t="s">
        <v>25</v>
      </c>
      <c r="I53" t="s">
        <v>25</v>
      </c>
      <c r="J53" t="s">
        <v>138</v>
      </c>
      <c r="K53" t="s">
        <v>110</v>
      </c>
      <c r="L53" t="s">
        <v>140</v>
      </c>
      <c r="M53">
        <v>2.1233140000000001E-2</v>
      </c>
      <c r="N53">
        <v>0</v>
      </c>
      <c r="O53" t="s">
        <v>103</v>
      </c>
      <c r="P53" s="56">
        <v>44330.1002351852</v>
      </c>
      <c r="Q53">
        <v>4792673</v>
      </c>
      <c r="R53" t="s">
        <v>106</v>
      </c>
      <c r="S53">
        <v>2.1755590000000002E-2</v>
      </c>
      <c r="W53"/>
      <c r="X53">
        <v>0</v>
      </c>
      <c r="AC53" t="s">
        <v>108</v>
      </c>
      <c r="AD53" s="56">
        <v>42705</v>
      </c>
    </row>
    <row r="54" spans="1:30" x14ac:dyDescent="0.3">
      <c r="A54">
        <v>518469</v>
      </c>
      <c r="B54" t="s">
        <v>169</v>
      </c>
      <c r="C54">
        <v>2016</v>
      </c>
      <c r="D54">
        <v>12</v>
      </c>
      <c r="E54" t="s">
        <v>113</v>
      </c>
      <c r="F54" t="s">
        <v>108</v>
      </c>
      <c r="G54" t="s">
        <v>108</v>
      </c>
      <c r="H54" t="s">
        <v>25</v>
      </c>
      <c r="I54" t="s">
        <v>25</v>
      </c>
      <c r="J54" t="s">
        <v>138</v>
      </c>
      <c r="K54" t="s">
        <v>114</v>
      </c>
      <c r="L54" t="s">
        <v>140</v>
      </c>
      <c r="M54">
        <v>7.6207699999999998E-3</v>
      </c>
      <c r="N54">
        <v>0</v>
      </c>
      <c r="O54" t="s">
        <v>103</v>
      </c>
      <c r="P54" s="56">
        <v>44330.100236226863</v>
      </c>
      <c r="Q54">
        <v>4792745</v>
      </c>
      <c r="R54" t="s">
        <v>106</v>
      </c>
      <c r="S54">
        <v>7.72035E-3</v>
      </c>
      <c r="W54"/>
      <c r="X54">
        <v>0</v>
      </c>
      <c r="AC54" t="s">
        <v>108</v>
      </c>
      <c r="AD54" s="56">
        <v>42705</v>
      </c>
    </row>
    <row r="55" spans="1:30" x14ac:dyDescent="0.3">
      <c r="A55">
        <v>518451</v>
      </c>
      <c r="B55" t="s">
        <v>169</v>
      </c>
      <c r="C55">
        <v>2016</v>
      </c>
      <c r="D55">
        <v>12</v>
      </c>
      <c r="E55" t="s">
        <v>111</v>
      </c>
      <c r="F55" t="s">
        <v>108</v>
      </c>
      <c r="G55" t="s">
        <v>108</v>
      </c>
      <c r="H55" t="s">
        <v>25</v>
      </c>
      <c r="I55" t="s">
        <v>25</v>
      </c>
      <c r="J55" t="s">
        <v>138</v>
      </c>
      <c r="K55" t="s">
        <v>112</v>
      </c>
      <c r="L55" t="s">
        <v>140</v>
      </c>
      <c r="M55">
        <v>5.24655E-3</v>
      </c>
      <c r="N55">
        <v>0</v>
      </c>
      <c r="O55" t="s">
        <v>103</v>
      </c>
      <c r="P55" s="56">
        <v>44330.100235682869</v>
      </c>
      <c r="Q55">
        <v>4792709</v>
      </c>
      <c r="R55" t="s">
        <v>106</v>
      </c>
      <c r="S55">
        <v>5.3129300000000004E-3</v>
      </c>
      <c r="W55"/>
      <c r="X55">
        <v>0</v>
      </c>
      <c r="AC55" t="s">
        <v>108</v>
      </c>
      <c r="AD55" s="56">
        <v>42705</v>
      </c>
    </row>
    <row r="56" spans="1:30" x14ac:dyDescent="0.3">
      <c r="A56">
        <v>520743</v>
      </c>
      <c r="B56" t="s">
        <v>161</v>
      </c>
      <c r="C56">
        <v>2017</v>
      </c>
      <c r="D56">
        <v>2</v>
      </c>
      <c r="E56" t="s">
        <v>113</v>
      </c>
      <c r="F56" t="s">
        <v>108</v>
      </c>
      <c r="G56" t="s">
        <v>108</v>
      </c>
      <c r="H56" t="s">
        <v>25</v>
      </c>
      <c r="I56" t="s">
        <v>25</v>
      </c>
      <c r="J56" t="s">
        <v>138</v>
      </c>
      <c r="K56" t="s">
        <v>114</v>
      </c>
      <c r="L56" t="s">
        <v>140</v>
      </c>
      <c r="M56">
        <v>1936.6982957099999</v>
      </c>
      <c r="N56">
        <v>0</v>
      </c>
      <c r="O56" t="s">
        <v>103</v>
      </c>
      <c r="P56" s="56">
        <v>44330.100814583333</v>
      </c>
      <c r="Q56">
        <v>4802892</v>
      </c>
      <c r="R56" t="s">
        <v>98</v>
      </c>
      <c r="S56">
        <v>51.13375035</v>
      </c>
      <c r="W56"/>
      <c r="X56">
        <v>0</v>
      </c>
      <c r="AC56" t="s">
        <v>108</v>
      </c>
      <c r="AD56" s="56">
        <v>42767</v>
      </c>
    </row>
    <row r="57" spans="1:30" x14ac:dyDescent="0.3">
      <c r="A57">
        <v>520699</v>
      </c>
      <c r="B57" t="s">
        <v>161</v>
      </c>
      <c r="C57">
        <v>2017</v>
      </c>
      <c r="D57">
        <v>2</v>
      </c>
      <c r="E57" t="s">
        <v>109</v>
      </c>
      <c r="F57" t="s">
        <v>108</v>
      </c>
      <c r="G57" t="s">
        <v>108</v>
      </c>
      <c r="H57" t="s">
        <v>25</v>
      </c>
      <c r="I57" t="s">
        <v>25</v>
      </c>
      <c r="J57" t="s">
        <v>138</v>
      </c>
      <c r="K57" t="s">
        <v>110</v>
      </c>
      <c r="L57" t="s">
        <v>140</v>
      </c>
      <c r="M57">
        <v>5836.6764009500002</v>
      </c>
      <c r="N57">
        <v>0</v>
      </c>
      <c r="O57" t="s">
        <v>103</v>
      </c>
      <c r="P57" s="56">
        <v>44330.100813229168</v>
      </c>
      <c r="Q57">
        <v>4802804</v>
      </c>
      <c r="R57" t="s">
        <v>98</v>
      </c>
      <c r="S57">
        <v>86.758815260000006</v>
      </c>
      <c r="W57"/>
      <c r="X57">
        <v>0</v>
      </c>
      <c r="AC57" t="s">
        <v>108</v>
      </c>
      <c r="AD57" s="56">
        <v>42767</v>
      </c>
    </row>
    <row r="58" spans="1:30" x14ac:dyDescent="0.3">
      <c r="A58">
        <v>520721</v>
      </c>
      <c r="B58" t="s">
        <v>161</v>
      </c>
      <c r="C58">
        <v>2017</v>
      </c>
      <c r="D58">
        <v>2</v>
      </c>
      <c r="E58" t="s">
        <v>111</v>
      </c>
      <c r="F58" t="s">
        <v>108</v>
      </c>
      <c r="G58" t="s">
        <v>108</v>
      </c>
      <c r="H58" t="s">
        <v>25</v>
      </c>
      <c r="I58" t="s">
        <v>25</v>
      </c>
      <c r="J58" t="s">
        <v>138</v>
      </c>
      <c r="K58" t="s">
        <v>112</v>
      </c>
      <c r="L58" t="s">
        <v>140</v>
      </c>
      <c r="M58">
        <v>1561.42030755</v>
      </c>
      <c r="N58">
        <v>0</v>
      </c>
      <c r="O58" t="s">
        <v>103</v>
      </c>
      <c r="P58" s="56">
        <v>44330.100813923607</v>
      </c>
      <c r="Q58">
        <v>4802848</v>
      </c>
      <c r="R58" t="s">
        <v>98</v>
      </c>
      <c r="S58">
        <v>41.874678830000001</v>
      </c>
      <c r="W58"/>
      <c r="X58">
        <v>0</v>
      </c>
      <c r="AC58" t="s">
        <v>108</v>
      </c>
      <c r="AD58" s="56">
        <v>42767</v>
      </c>
    </row>
    <row r="59" spans="1:30" x14ac:dyDescent="0.3">
      <c r="A59">
        <v>520743</v>
      </c>
      <c r="B59" t="s">
        <v>161</v>
      </c>
      <c r="C59">
        <v>2017</v>
      </c>
      <c r="D59">
        <v>2</v>
      </c>
      <c r="E59" t="s">
        <v>113</v>
      </c>
      <c r="F59" t="s">
        <v>108</v>
      </c>
      <c r="G59" t="s">
        <v>108</v>
      </c>
      <c r="H59" t="s">
        <v>25</v>
      </c>
      <c r="I59" t="s">
        <v>25</v>
      </c>
      <c r="J59" t="s">
        <v>138</v>
      </c>
      <c r="K59" t="s">
        <v>114</v>
      </c>
      <c r="L59" t="s">
        <v>140</v>
      </c>
      <c r="M59">
        <v>1936.6982957099999</v>
      </c>
      <c r="N59">
        <v>0</v>
      </c>
      <c r="O59" t="s">
        <v>103</v>
      </c>
      <c r="P59" s="56">
        <v>44330.100814583333</v>
      </c>
      <c r="Q59">
        <v>4802891</v>
      </c>
      <c r="R59" t="s">
        <v>106</v>
      </c>
      <c r="S59">
        <v>1962.0060271</v>
      </c>
      <c r="W59"/>
      <c r="X59">
        <v>0</v>
      </c>
      <c r="AC59" t="s">
        <v>108</v>
      </c>
      <c r="AD59" s="56">
        <v>42767</v>
      </c>
    </row>
    <row r="60" spans="1:30" x14ac:dyDescent="0.3">
      <c r="A60">
        <v>520721</v>
      </c>
      <c r="B60" t="s">
        <v>161</v>
      </c>
      <c r="C60">
        <v>2017</v>
      </c>
      <c r="D60">
        <v>2</v>
      </c>
      <c r="E60" t="s">
        <v>111</v>
      </c>
      <c r="F60" t="s">
        <v>108</v>
      </c>
      <c r="G60" t="s">
        <v>108</v>
      </c>
      <c r="H60" t="s">
        <v>25</v>
      </c>
      <c r="I60" t="s">
        <v>25</v>
      </c>
      <c r="J60" t="s">
        <v>138</v>
      </c>
      <c r="K60" t="s">
        <v>112</v>
      </c>
      <c r="L60" t="s">
        <v>140</v>
      </c>
      <c r="M60">
        <v>1561.42030755</v>
      </c>
      <c r="N60">
        <v>0</v>
      </c>
      <c r="O60" t="s">
        <v>103</v>
      </c>
      <c r="P60" s="56">
        <v>44330.100813923607</v>
      </c>
      <c r="Q60">
        <v>4802847</v>
      </c>
      <c r="R60" t="s">
        <v>106</v>
      </c>
      <c r="S60">
        <v>1581.17488826</v>
      </c>
      <c r="W60"/>
      <c r="X60">
        <v>0</v>
      </c>
      <c r="AC60" t="s">
        <v>108</v>
      </c>
      <c r="AD60" s="56">
        <v>42767</v>
      </c>
    </row>
    <row r="61" spans="1:30" x14ac:dyDescent="0.3">
      <c r="A61">
        <v>520699</v>
      </c>
      <c r="B61" t="s">
        <v>161</v>
      </c>
      <c r="C61">
        <v>2017</v>
      </c>
      <c r="D61">
        <v>2</v>
      </c>
      <c r="E61" t="s">
        <v>109</v>
      </c>
      <c r="F61" t="s">
        <v>108</v>
      </c>
      <c r="G61" t="s">
        <v>108</v>
      </c>
      <c r="H61" t="s">
        <v>25</v>
      </c>
      <c r="I61" t="s">
        <v>25</v>
      </c>
      <c r="J61" t="s">
        <v>138</v>
      </c>
      <c r="K61" t="s">
        <v>110</v>
      </c>
      <c r="L61" t="s">
        <v>140</v>
      </c>
      <c r="M61">
        <v>5836.6764009500002</v>
      </c>
      <c r="N61">
        <v>0</v>
      </c>
      <c r="O61" t="s">
        <v>103</v>
      </c>
      <c r="P61" s="56">
        <v>44330.100813229168</v>
      </c>
      <c r="Q61">
        <v>4802803</v>
      </c>
      <c r="R61" t="s">
        <v>106</v>
      </c>
      <c r="S61">
        <v>5980.2912032300001</v>
      </c>
      <c r="W61"/>
      <c r="X61">
        <v>0</v>
      </c>
      <c r="AC61" t="s">
        <v>108</v>
      </c>
      <c r="AD61" s="56">
        <v>42767</v>
      </c>
    </row>
    <row r="62" spans="1:30" x14ac:dyDescent="0.3">
      <c r="A62">
        <v>530744</v>
      </c>
      <c r="B62" t="s">
        <v>162</v>
      </c>
      <c r="C62">
        <v>2017</v>
      </c>
      <c r="D62">
        <v>3</v>
      </c>
      <c r="E62" t="s">
        <v>111</v>
      </c>
      <c r="F62" t="s">
        <v>108</v>
      </c>
      <c r="G62" t="s">
        <v>108</v>
      </c>
      <c r="H62" t="s">
        <v>25</v>
      </c>
      <c r="I62" t="s">
        <v>25</v>
      </c>
      <c r="J62" t="s">
        <v>138</v>
      </c>
      <c r="K62" t="s">
        <v>112</v>
      </c>
      <c r="L62" t="s">
        <v>140</v>
      </c>
      <c r="M62">
        <v>1611.96951592</v>
      </c>
      <c r="N62">
        <v>0</v>
      </c>
      <c r="O62" t="s">
        <v>103</v>
      </c>
      <c r="P62" s="56">
        <v>44330.101799884258</v>
      </c>
      <c r="Q62">
        <v>4888357</v>
      </c>
      <c r="R62" t="s">
        <v>98</v>
      </c>
      <c r="S62">
        <v>43.230323980000001</v>
      </c>
      <c r="W62"/>
      <c r="X62">
        <v>0</v>
      </c>
      <c r="AC62" t="s">
        <v>108</v>
      </c>
      <c r="AD62" s="56">
        <v>42795</v>
      </c>
    </row>
    <row r="63" spans="1:30" x14ac:dyDescent="0.3">
      <c r="A63">
        <v>530722</v>
      </c>
      <c r="B63" t="s">
        <v>162</v>
      </c>
      <c r="C63">
        <v>2017</v>
      </c>
      <c r="D63">
        <v>3</v>
      </c>
      <c r="E63" t="s">
        <v>109</v>
      </c>
      <c r="F63" t="s">
        <v>108</v>
      </c>
      <c r="G63" t="s">
        <v>108</v>
      </c>
      <c r="H63" t="s">
        <v>25</v>
      </c>
      <c r="I63" t="s">
        <v>25</v>
      </c>
      <c r="J63" t="s">
        <v>138</v>
      </c>
      <c r="K63" t="s">
        <v>110</v>
      </c>
      <c r="L63" t="s">
        <v>140</v>
      </c>
      <c r="M63">
        <v>6064.1041034099999</v>
      </c>
      <c r="N63">
        <v>0</v>
      </c>
      <c r="O63" t="s">
        <v>103</v>
      </c>
      <c r="P63" s="56">
        <v>44330.101799189812</v>
      </c>
      <c r="Q63">
        <v>4888313</v>
      </c>
      <c r="R63" t="s">
        <v>98</v>
      </c>
      <c r="S63">
        <v>90.139396379999994</v>
      </c>
      <c r="W63"/>
      <c r="X63">
        <v>0</v>
      </c>
      <c r="AC63" t="s">
        <v>108</v>
      </c>
      <c r="AD63" s="56">
        <v>42795</v>
      </c>
    </row>
    <row r="64" spans="1:30" x14ac:dyDescent="0.3">
      <c r="A64">
        <v>530766</v>
      </c>
      <c r="B64" t="s">
        <v>162</v>
      </c>
      <c r="C64">
        <v>2017</v>
      </c>
      <c r="D64">
        <v>3</v>
      </c>
      <c r="E64" t="s">
        <v>113</v>
      </c>
      <c r="F64" t="s">
        <v>108</v>
      </c>
      <c r="G64" t="s">
        <v>108</v>
      </c>
      <c r="H64" t="s">
        <v>25</v>
      </c>
      <c r="I64" t="s">
        <v>25</v>
      </c>
      <c r="J64" t="s">
        <v>138</v>
      </c>
      <c r="K64" t="s">
        <v>114</v>
      </c>
      <c r="L64" t="s">
        <v>140</v>
      </c>
      <c r="M64">
        <v>1971.01751208</v>
      </c>
      <c r="N64">
        <v>0</v>
      </c>
      <c r="O64" t="s">
        <v>103</v>
      </c>
      <c r="P64" s="56">
        <v>44330.101800497687</v>
      </c>
      <c r="Q64">
        <v>4888401</v>
      </c>
      <c r="R64" t="s">
        <v>98</v>
      </c>
      <c r="S64">
        <v>52.03986476</v>
      </c>
      <c r="W64"/>
      <c r="X64">
        <v>0</v>
      </c>
      <c r="AC64" t="s">
        <v>108</v>
      </c>
      <c r="AD64" s="56">
        <v>42795</v>
      </c>
    </row>
    <row r="65" spans="1:30" x14ac:dyDescent="0.3">
      <c r="A65">
        <v>530722</v>
      </c>
      <c r="B65" t="s">
        <v>162</v>
      </c>
      <c r="C65">
        <v>2017</v>
      </c>
      <c r="D65">
        <v>3</v>
      </c>
      <c r="E65" t="s">
        <v>109</v>
      </c>
      <c r="F65" t="s">
        <v>108</v>
      </c>
      <c r="G65" t="s">
        <v>108</v>
      </c>
      <c r="H65" t="s">
        <v>25</v>
      </c>
      <c r="I65" t="s">
        <v>25</v>
      </c>
      <c r="J65" t="s">
        <v>138</v>
      </c>
      <c r="K65" t="s">
        <v>110</v>
      </c>
      <c r="L65" t="s">
        <v>140</v>
      </c>
      <c r="M65">
        <v>6064.1041034099999</v>
      </c>
      <c r="N65">
        <v>0</v>
      </c>
      <c r="O65" t="s">
        <v>103</v>
      </c>
      <c r="P65" s="56">
        <v>44330.101799189812</v>
      </c>
      <c r="Q65">
        <v>4888312</v>
      </c>
      <c r="R65" t="s">
        <v>106</v>
      </c>
      <c r="S65">
        <v>6213.31489599</v>
      </c>
      <c r="W65"/>
      <c r="X65">
        <v>0</v>
      </c>
      <c r="AC65" t="s">
        <v>108</v>
      </c>
      <c r="AD65" s="56">
        <v>42795</v>
      </c>
    </row>
    <row r="66" spans="1:30" x14ac:dyDescent="0.3">
      <c r="A66">
        <v>530744</v>
      </c>
      <c r="B66" t="s">
        <v>162</v>
      </c>
      <c r="C66">
        <v>2017</v>
      </c>
      <c r="D66">
        <v>3</v>
      </c>
      <c r="E66" t="s">
        <v>111</v>
      </c>
      <c r="F66" t="s">
        <v>108</v>
      </c>
      <c r="G66" t="s">
        <v>108</v>
      </c>
      <c r="H66" t="s">
        <v>25</v>
      </c>
      <c r="I66" t="s">
        <v>25</v>
      </c>
      <c r="J66" t="s">
        <v>138</v>
      </c>
      <c r="K66" t="s">
        <v>112</v>
      </c>
      <c r="L66" t="s">
        <v>140</v>
      </c>
      <c r="M66">
        <v>1611.96951592</v>
      </c>
      <c r="N66">
        <v>0</v>
      </c>
      <c r="O66" t="s">
        <v>103</v>
      </c>
      <c r="P66" s="56">
        <v>44330.101799884258</v>
      </c>
      <c r="Q66">
        <v>4888356</v>
      </c>
      <c r="R66" t="s">
        <v>106</v>
      </c>
      <c r="S66">
        <v>1632.36362874</v>
      </c>
      <c r="W66"/>
      <c r="X66">
        <v>0</v>
      </c>
      <c r="AC66" t="s">
        <v>108</v>
      </c>
      <c r="AD66" s="56">
        <v>42795</v>
      </c>
    </row>
    <row r="67" spans="1:30" x14ac:dyDescent="0.3">
      <c r="A67">
        <v>530766</v>
      </c>
      <c r="B67" t="s">
        <v>162</v>
      </c>
      <c r="C67">
        <v>2017</v>
      </c>
      <c r="D67">
        <v>3</v>
      </c>
      <c r="E67" t="s">
        <v>113</v>
      </c>
      <c r="F67" t="s">
        <v>108</v>
      </c>
      <c r="G67" t="s">
        <v>108</v>
      </c>
      <c r="H67" t="s">
        <v>25</v>
      </c>
      <c r="I67" t="s">
        <v>25</v>
      </c>
      <c r="J67" t="s">
        <v>138</v>
      </c>
      <c r="K67" t="s">
        <v>114</v>
      </c>
      <c r="L67" t="s">
        <v>140</v>
      </c>
      <c r="M67">
        <v>1971.01751208</v>
      </c>
      <c r="N67">
        <v>0</v>
      </c>
      <c r="O67" t="s">
        <v>103</v>
      </c>
      <c r="P67" s="56">
        <v>44330.101800497687</v>
      </c>
      <c r="Q67">
        <v>4888400</v>
      </c>
      <c r="R67" t="s">
        <v>106</v>
      </c>
      <c r="S67">
        <v>1996.7737085199999</v>
      </c>
      <c r="W67"/>
      <c r="X67">
        <v>0</v>
      </c>
      <c r="AC67" t="s">
        <v>108</v>
      </c>
      <c r="AD67" s="56">
        <v>42795</v>
      </c>
    </row>
    <row r="68" spans="1:30" x14ac:dyDescent="0.3">
      <c r="A68">
        <v>628657</v>
      </c>
      <c r="B68" t="s">
        <v>178</v>
      </c>
      <c r="C68">
        <v>2017</v>
      </c>
      <c r="D68">
        <v>4</v>
      </c>
      <c r="E68" t="s">
        <v>113</v>
      </c>
      <c r="F68" t="s">
        <v>108</v>
      </c>
      <c r="G68" t="s">
        <v>108</v>
      </c>
      <c r="H68" t="s">
        <v>25</v>
      </c>
      <c r="I68" t="s">
        <v>25</v>
      </c>
      <c r="J68" t="s">
        <v>138</v>
      </c>
      <c r="K68" t="s">
        <v>114</v>
      </c>
      <c r="L68" t="s">
        <v>140</v>
      </c>
      <c r="M68">
        <v>1712.75377718</v>
      </c>
      <c r="N68">
        <v>0</v>
      </c>
      <c r="O68" t="s">
        <v>103</v>
      </c>
      <c r="P68" s="56">
        <v>44334.047875810182</v>
      </c>
      <c r="Q68">
        <v>5584410</v>
      </c>
      <c r="R68" t="s">
        <v>98</v>
      </c>
      <c r="S68">
        <v>45.221046690000001</v>
      </c>
      <c r="W68"/>
      <c r="X68">
        <v>0</v>
      </c>
      <c r="AC68" t="s">
        <v>108</v>
      </c>
      <c r="AD68" s="56">
        <v>42826</v>
      </c>
    </row>
    <row r="69" spans="1:30" x14ac:dyDescent="0.3">
      <c r="A69">
        <v>628613</v>
      </c>
      <c r="B69" t="s">
        <v>178</v>
      </c>
      <c r="C69">
        <v>2017</v>
      </c>
      <c r="D69">
        <v>4</v>
      </c>
      <c r="E69" t="s">
        <v>109</v>
      </c>
      <c r="F69" t="s">
        <v>108</v>
      </c>
      <c r="G69" t="s">
        <v>108</v>
      </c>
      <c r="H69" t="s">
        <v>25</v>
      </c>
      <c r="I69" t="s">
        <v>25</v>
      </c>
      <c r="J69" t="s">
        <v>138</v>
      </c>
      <c r="K69" t="s">
        <v>110</v>
      </c>
      <c r="L69" t="s">
        <v>140</v>
      </c>
      <c r="M69">
        <v>4420.2930050699997</v>
      </c>
      <c r="N69">
        <v>0</v>
      </c>
      <c r="O69" t="s">
        <v>103</v>
      </c>
      <c r="P69" s="56">
        <v>44334.04787422454</v>
      </c>
      <c r="Q69">
        <v>5584322</v>
      </c>
      <c r="R69" t="s">
        <v>98</v>
      </c>
      <c r="S69">
        <v>65.705096170000004</v>
      </c>
      <c r="W69"/>
      <c r="X69">
        <v>0</v>
      </c>
      <c r="AC69" t="s">
        <v>108</v>
      </c>
      <c r="AD69" s="56">
        <v>42826</v>
      </c>
    </row>
    <row r="70" spans="1:30" x14ac:dyDescent="0.3">
      <c r="A70">
        <v>628635</v>
      </c>
      <c r="B70" t="s">
        <v>178</v>
      </c>
      <c r="C70">
        <v>2017</v>
      </c>
      <c r="D70">
        <v>4</v>
      </c>
      <c r="E70" t="s">
        <v>111</v>
      </c>
      <c r="F70" t="s">
        <v>108</v>
      </c>
      <c r="G70" t="s">
        <v>108</v>
      </c>
      <c r="H70" t="s">
        <v>25</v>
      </c>
      <c r="I70" t="s">
        <v>25</v>
      </c>
      <c r="J70" t="s">
        <v>138</v>
      </c>
      <c r="K70" t="s">
        <v>112</v>
      </c>
      <c r="L70" t="s">
        <v>140</v>
      </c>
      <c r="M70">
        <v>1117.7193056399999</v>
      </c>
      <c r="N70">
        <v>0</v>
      </c>
      <c r="O70" t="s">
        <v>103</v>
      </c>
      <c r="P70" s="56">
        <v>44334.047875034717</v>
      </c>
      <c r="Q70">
        <v>5584366</v>
      </c>
      <c r="R70" t="s">
        <v>98</v>
      </c>
      <c r="S70">
        <v>29.975360720000001</v>
      </c>
      <c r="W70"/>
      <c r="X70">
        <v>0</v>
      </c>
      <c r="AC70" t="s">
        <v>108</v>
      </c>
      <c r="AD70" s="56">
        <v>42826</v>
      </c>
    </row>
    <row r="71" spans="1:30" x14ac:dyDescent="0.3">
      <c r="A71">
        <v>628613</v>
      </c>
      <c r="B71" t="s">
        <v>178</v>
      </c>
      <c r="C71">
        <v>2017</v>
      </c>
      <c r="D71">
        <v>4</v>
      </c>
      <c r="E71" t="s">
        <v>109</v>
      </c>
      <c r="F71" t="s">
        <v>108</v>
      </c>
      <c r="G71" t="s">
        <v>108</v>
      </c>
      <c r="H71" t="s">
        <v>25</v>
      </c>
      <c r="I71" t="s">
        <v>25</v>
      </c>
      <c r="J71" t="s">
        <v>138</v>
      </c>
      <c r="K71" t="s">
        <v>110</v>
      </c>
      <c r="L71" t="s">
        <v>140</v>
      </c>
      <c r="M71">
        <v>4420.2930050699997</v>
      </c>
      <c r="N71">
        <v>0</v>
      </c>
      <c r="O71" t="s">
        <v>103</v>
      </c>
      <c r="P71" s="56">
        <v>44334.04787422454</v>
      </c>
      <c r="Q71">
        <v>5584321</v>
      </c>
      <c r="R71" t="s">
        <v>106</v>
      </c>
      <c r="S71">
        <v>4529.0568738100001</v>
      </c>
      <c r="W71"/>
      <c r="X71">
        <v>0</v>
      </c>
      <c r="AC71" t="s">
        <v>108</v>
      </c>
      <c r="AD71" s="56">
        <v>42826</v>
      </c>
    </row>
    <row r="72" spans="1:30" x14ac:dyDescent="0.3">
      <c r="A72">
        <v>628635</v>
      </c>
      <c r="B72" t="s">
        <v>178</v>
      </c>
      <c r="C72">
        <v>2017</v>
      </c>
      <c r="D72">
        <v>4</v>
      </c>
      <c r="E72" t="s">
        <v>111</v>
      </c>
      <c r="F72" t="s">
        <v>108</v>
      </c>
      <c r="G72" t="s">
        <v>108</v>
      </c>
      <c r="H72" t="s">
        <v>25</v>
      </c>
      <c r="I72" t="s">
        <v>25</v>
      </c>
      <c r="J72" t="s">
        <v>138</v>
      </c>
      <c r="K72" t="s">
        <v>112</v>
      </c>
      <c r="L72" t="s">
        <v>140</v>
      </c>
      <c r="M72">
        <v>1117.7193056399999</v>
      </c>
      <c r="N72">
        <v>0</v>
      </c>
      <c r="O72" t="s">
        <v>103</v>
      </c>
      <c r="P72" s="56">
        <v>44334.047875034717</v>
      </c>
      <c r="Q72">
        <v>5584365</v>
      </c>
      <c r="R72" t="s">
        <v>106</v>
      </c>
      <c r="S72">
        <v>1131.86032591</v>
      </c>
      <c r="W72"/>
      <c r="X72">
        <v>0</v>
      </c>
      <c r="AC72" t="s">
        <v>108</v>
      </c>
      <c r="AD72" s="56">
        <v>42826</v>
      </c>
    </row>
    <row r="73" spans="1:30" x14ac:dyDescent="0.3">
      <c r="A73">
        <v>628657</v>
      </c>
      <c r="B73" t="s">
        <v>178</v>
      </c>
      <c r="C73">
        <v>2017</v>
      </c>
      <c r="D73">
        <v>4</v>
      </c>
      <c r="E73" t="s">
        <v>113</v>
      </c>
      <c r="F73" t="s">
        <v>108</v>
      </c>
      <c r="G73" t="s">
        <v>108</v>
      </c>
      <c r="H73" t="s">
        <v>25</v>
      </c>
      <c r="I73" t="s">
        <v>25</v>
      </c>
      <c r="J73" t="s">
        <v>138</v>
      </c>
      <c r="K73" t="s">
        <v>114</v>
      </c>
      <c r="L73" t="s">
        <v>140</v>
      </c>
      <c r="M73">
        <v>1712.75377718</v>
      </c>
      <c r="N73">
        <v>0</v>
      </c>
      <c r="O73" t="s">
        <v>103</v>
      </c>
      <c r="P73" s="56">
        <v>44334.047875810182</v>
      </c>
      <c r="Q73">
        <v>5584409</v>
      </c>
      <c r="R73" t="s">
        <v>106</v>
      </c>
      <c r="S73">
        <v>1735.13512208</v>
      </c>
      <c r="W73"/>
      <c r="X73">
        <v>0</v>
      </c>
      <c r="AC73" t="s">
        <v>108</v>
      </c>
      <c r="AD73" s="56">
        <v>42826</v>
      </c>
    </row>
    <row r="74" spans="1:30" x14ac:dyDescent="0.3">
      <c r="A74">
        <v>550982</v>
      </c>
      <c r="B74" t="s">
        <v>181</v>
      </c>
      <c r="C74">
        <v>2017</v>
      </c>
      <c r="D74">
        <v>5</v>
      </c>
      <c r="E74" t="s">
        <v>113</v>
      </c>
      <c r="F74" t="s">
        <v>108</v>
      </c>
      <c r="G74" t="s">
        <v>108</v>
      </c>
      <c r="H74" t="s">
        <v>25</v>
      </c>
      <c r="I74" t="s">
        <v>25</v>
      </c>
      <c r="J74" t="s">
        <v>138</v>
      </c>
      <c r="K74" t="s">
        <v>114</v>
      </c>
      <c r="L74" t="s">
        <v>140</v>
      </c>
      <c r="M74">
        <v>1465.7128444299999</v>
      </c>
      <c r="N74">
        <v>0</v>
      </c>
      <c r="O74" t="s">
        <v>103</v>
      </c>
      <c r="P74" s="56">
        <v>44330.103752581017</v>
      </c>
      <c r="Q74">
        <v>5059859</v>
      </c>
      <c r="R74" t="s">
        <v>98</v>
      </c>
      <c r="S74">
        <v>38.698539070000002</v>
      </c>
      <c r="W74"/>
      <c r="X74">
        <v>0</v>
      </c>
      <c r="AC74" t="s">
        <v>108</v>
      </c>
      <c r="AD74" s="56">
        <v>42856</v>
      </c>
    </row>
    <row r="75" spans="1:30" x14ac:dyDescent="0.3">
      <c r="A75">
        <v>550961</v>
      </c>
      <c r="B75" t="s">
        <v>181</v>
      </c>
      <c r="C75">
        <v>2017</v>
      </c>
      <c r="D75">
        <v>5</v>
      </c>
      <c r="E75" t="s">
        <v>111</v>
      </c>
      <c r="F75" t="s">
        <v>108</v>
      </c>
      <c r="G75" t="s">
        <v>108</v>
      </c>
      <c r="H75" t="s">
        <v>25</v>
      </c>
      <c r="I75" t="s">
        <v>25</v>
      </c>
      <c r="J75" t="s">
        <v>138</v>
      </c>
      <c r="K75" t="s">
        <v>112</v>
      </c>
      <c r="L75" t="s">
        <v>140</v>
      </c>
      <c r="M75">
        <v>999.01457314000004</v>
      </c>
      <c r="N75">
        <v>0</v>
      </c>
      <c r="O75" t="s">
        <v>103</v>
      </c>
      <c r="P75" s="56">
        <v>44330.10375185185</v>
      </c>
      <c r="Q75">
        <v>5059817</v>
      </c>
      <c r="R75" t="s">
        <v>98</v>
      </c>
      <c r="S75">
        <v>26.791898499999999</v>
      </c>
      <c r="W75"/>
      <c r="X75">
        <v>0</v>
      </c>
      <c r="AC75" t="s">
        <v>108</v>
      </c>
      <c r="AD75" s="56">
        <v>42856</v>
      </c>
    </row>
    <row r="76" spans="1:30" x14ac:dyDescent="0.3">
      <c r="A76">
        <v>550940</v>
      </c>
      <c r="B76" t="s">
        <v>181</v>
      </c>
      <c r="C76">
        <v>2017</v>
      </c>
      <c r="D76">
        <v>5</v>
      </c>
      <c r="E76" t="s">
        <v>109</v>
      </c>
      <c r="F76" t="s">
        <v>108</v>
      </c>
      <c r="G76" t="s">
        <v>108</v>
      </c>
      <c r="H76" t="s">
        <v>25</v>
      </c>
      <c r="I76" t="s">
        <v>25</v>
      </c>
      <c r="J76" t="s">
        <v>138</v>
      </c>
      <c r="K76" t="s">
        <v>110</v>
      </c>
      <c r="L76" t="s">
        <v>140</v>
      </c>
      <c r="M76">
        <v>2827.3129987100001</v>
      </c>
      <c r="N76">
        <v>0</v>
      </c>
      <c r="O76" t="s">
        <v>103</v>
      </c>
      <c r="P76" s="56">
        <v>44330.103751238428</v>
      </c>
      <c r="Q76">
        <v>5059775</v>
      </c>
      <c r="R76" t="s">
        <v>98</v>
      </c>
      <c r="S76">
        <v>42.026370710000002</v>
      </c>
      <c r="W76"/>
      <c r="X76">
        <v>0</v>
      </c>
      <c r="AC76" t="s">
        <v>108</v>
      </c>
      <c r="AD76" s="56">
        <v>42856</v>
      </c>
    </row>
    <row r="77" spans="1:30" x14ac:dyDescent="0.3">
      <c r="A77">
        <v>550961</v>
      </c>
      <c r="B77" t="s">
        <v>181</v>
      </c>
      <c r="C77">
        <v>2017</v>
      </c>
      <c r="D77">
        <v>5</v>
      </c>
      <c r="E77" t="s">
        <v>111</v>
      </c>
      <c r="F77" t="s">
        <v>108</v>
      </c>
      <c r="G77" t="s">
        <v>108</v>
      </c>
      <c r="H77" t="s">
        <v>25</v>
      </c>
      <c r="I77" t="s">
        <v>25</v>
      </c>
      <c r="J77" t="s">
        <v>138</v>
      </c>
      <c r="K77" t="s">
        <v>112</v>
      </c>
      <c r="L77" t="s">
        <v>140</v>
      </c>
      <c r="M77">
        <v>999.01457314000004</v>
      </c>
      <c r="N77">
        <v>0</v>
      </c>
      <c r="O77" t="s">
        <v>103</v>
      </c>
      <c r="P77" s="56">
        <v>44330.10375185185</v>
      </c>
      <c r="Q77">
        <v>5059816</v>
      </c>
      <c r="R77" t="s">
        <v>106</v>
      </c>
      <c r="S77">
        <v>1011.65377984</v>
      </c>
      <c r="W77"/>
      <c r="X77">
        <v>0</v>
      </c>
      <c r="AC77" t="s">
        <v>108</v>
      </c>
      <c r="AD77" s="56">
        <v>42856</v>
      </c>
    </row>
    <row r="78" spans="1:30" x14ac:dyDescent="0.3">
      <c r="A78">
        <v>550982</v>
      </c>
      <c r="B78" t="s">
        <v>181</v>
      </c>
      <c r="C78">
        <v>2017</v>
      </c>
      <c r="D78">
        <v>5</v>
      </c>
      <c r="E78" t="s">
        <v>113</v>
      </c>
      <c r="F78" t="s">
        <v>108</v>
      </c>
      <c r="G78" t="s">
        <v>108</v>
      </c>
      <c r="H78" t="s">
        <v>25</v>
      </c>
      <c r="I78" t="s">
        <v>25</v>
      </c>
      <c r="J78" t="s">
        <v>138</v>
      </c>
      <c r="K78" t="s">
        <v>114</v>
      </c>
      <c r="L78" t="s">
        <v>140</v>
      </c>
      <c r="M78">
        <v>1465.7128444299999</v>
      </c>
      <c r="N78">
        <v>0</v>
      </c>
      <c r="O78" t="s">
        <v>103</v>
      </c>
      <c r="P78" s="56">
        <v>44330.103752581017</v>
      </c>
      <c r="Q78">
        <v>5059858</v>
      </c>
      <c r="R78" t="s">
        <v>106</v>
      </c>
      <c r="S78">
        <v>1484.86599133</v>
      </c>
      <c r="W78"/>
      <c r="X78">
        <v>0</v>
      </c>
      <c r="AC78" t="s">
        <v>108</v>
      </c>
      <c r="AD78" s="56">
        <v>42856</v>
      </c>
    </row>
    <row r="79" spans="1:30" x14ac:dyDescent="0.3">
      <c r="A79">
        <v>550940</v>
      </c>
      <c r="B79" t="s">
        <v>181</v>
      </c>
      <c r="C79">
        <v>2017</v>
      </c>
      <c r="D79">
        <v>5</v>
      </c>
      <c r="E79" t="s">
        <v>109</v>
      </c>
      <c r="F79" t="s">
        <v>108</v>
      </c>
      <c r="G79" t="s">
        <v>108</v>
      </c>
      <c r="H79" t="s">
        <v>25</v>
      </c>
      <c r="I79" t="s">
        <v>25</v>
      </c>
      <c r="J79" t="s">
        <v>138</v>
      </c>
      <c r="K79" t="s">
        <v>110</v>
      </c>
      <c r="L79" t="s">
        <v>140</v>
      </c>
      <c r="M79">
        <v>2827.3129987100001</v>
      </c>
      <c r="N79">
        <v>0</v>
      </c>
      <c r="O79" t="s">
        <v>103</v>
      </c>
      <c r="P79" s="56">
        <v>44330.103751238428</v>
      </c>
      <c r="Q79">
        <v>5059774</v>
      </c>
      <c r="R79" t="s">
        <v>106</v>
      </c>
      <c r="S79">
        <v>2896.8806720600001</v>
      </c>
      <c r="W79"/>
      <c r="X79">
        <v>0</v>
      </c>
      <c r="AC79" t="s">
        <v>108</v>
      </c>
      <c r="AD79" s="56">
        <v>42856</v>
      </c>
    </row>
    <row r="80" spans="1:30" x14ac:dyDescent="0.3">
      <c r="A80">
        <v>560915</v>
      </c>
      <c r="B80" t="s">
        <v>180</v>
      </c>
      <c r="C80">
        <v>2017</v>
      </c>
      <c r="D80">
        <v>6</v>
      </c>
      <c r="E80" t="s">
        <v>109</v>
      </c>
      <c r="F80" t="s">
        <v>108</v>
      </c>
      <c r="G80" t="s">
        <v>108</v>
      </c>
      <c r="H80" t="s">
        <v>25</v>
      </c>
      <c r="I80" t="s">
        <v>25</v>
      </c>
      <c r="J80" t="s">
        <v>138</v>
      </c>
      <c r="K80" t="s">
        <v>110</v>
      </c>
      <c r="L80" t="s">
        <v>140</v>
      </c>
      <c r="M80">
        <v>2370.0725542700002</v>
      </c>
      <c r="N80">
        <v>0</v>
      </c>
      <c r="O80" t="s">
        <v>103</v>
      </c>
      <c r="P80" s="56">
        <v>44330.104735567133</v>
      </c>
      <c r="Q80">
        <v>5144509</v>
      </c>
      <c r="R80" t="s">
        <v>98</v>
      </c>
      <c r="S80">
        <v>35.229756250000001</v>
      </c>
      <c r="W80"/>
      <c r="X80">
        <v>0</v>
      </c>
      <c r="AC80" t="s">
        <v>108</v>
      </c>
      <c r="AD80" s="56">
        <v>42887</v>
      </c>
    </row>
    <row r="81" spans="1:30" x14ac:dyDescent="0.3">
      <c r="A81">
        <v>560936</v>
      </c>
      <c r="B81" t="s">
        <v>180</v>
      </c>
      <c r="C81">
        <v>2017</v>
      </c>
      <c r="D81">
        <v>6</v>
      </c>
      <c r="E81" t="s">
        <v>111</v>
      </c>
      <c r="F81" t="s">
        <v>108</v>
      </c>
      <c r="G81" t="s">
        <v>108</v>
      </c>
      <c r="H81" t="s">
        <v>25</v>
      </c>
      <c r="I81" t="s">
        <v>25</v>
      </c>
      <c r="J81" t="s">
        <v>138</v>
      </c>
      <c r="K81" t="s">
        <v>112</v>
      </c>
      <c r="L81" t="s">
        <v>140</v>
      </c>
      <c r="M81">
        <v>850.28490937000004</v>
      </c>
      <c r="N81">
        <v>0</v>
      </c>
      <c r="O81" t="s">
        <v>103</v>
      </c>
      <c r="P81" s="56">
        <v>44330.104736226851</v>
      </c>
      <c r="Q81">
        <v>5144551</v>
      </c>
      <c r="R81" t="s">
        <v>98</v>
      </c>
      <c r="S81">
        <v>22.803217889999999</v>
      </c>
      <c r="W81"/>
      <c r="X81">
        <v>0</v>
      </c>
      <c r="AC81" t="s">
        <v>108</v>
      </c>
      <c r="AD81" s="56">
        <v>42887</v>
      </c>
    </row>
    <row r="82" spans="1:30" x14ac:dyDescent="0.3">
      <c r="A82">
        <v>560957</v>
      </c>
      <c r="B82" t="s">
        <v>180</v>
      </c>
      <c r="C82">
        <v>2017</v>
      </c>
      <c r="D82">
        <v>6</v>
      </c>
      <c r="E82" t="s">
        <v>113</v>
      </c>
      <c r="F82" t="s">
        <v>108</v>
      </c>
      <c r="G82" t="s">
        <v>108</v>
      </c>
      <c r="H82" t="s">
        <v>25</v>
      </c>
      <c r="I82" t="s">
        <v>25</v>
      </c>
      <c r="J82" t="s">
        <v>138</v>
      </c>
      <c r="K82" t="s">
        <v>114</v>
      </c>
      <c r="L82" t="s">
        <v>140</v>
      </c>
      <c r="M82">
        <v>1321.58655047</v>
      </c>
      <c r="N82">
        <v>0</v>
      </c>
      <c r="O82" t="s">
        <v>103</v>
      </c>
      <c r="P82" s="56">
        <v>44330.104736770831</v>
      </c>
      <c r="Q82">
        <v>5144593</v>
      </c>
      <c r="R82" t="s">
        <v>98</v>
      </c>
      <c r="S82">
        <v>34.893239119999997</v>
      </c>
      <c r="W82"/>
      <c r="X82">
        <v>0</v>
      </c>
      <c r="AC82" t="s">
        <v>108</v>
      </c>
      <c r="AD82" s="56">
        <v>42887</v>
      </c>
    </row>
    <row r="83" spans="1:30" x14ac:dyDescent="0.3">
      <c r="A83">
        <v>560957</v>
      </c>
      <c r="B83" t="s">
        <v>180</v>
      </c>
      <c r="C83">
        <v>2017</v>
      </c>
      <c r="D83">
        <v>6</v>
      </c>
      <c r="E83" t="s">
        <v>113</v>
      </c>
      <c r="F83" t="s">
        <v>108</v>
      </c>
      <c r="G83" t="s">
        <v>108</v>
      </c>
      <c r="H83" t="s">
        <v>25</v>
      </c>
      <c r="I83" t="s">
        <v>25</v>
      </c>
      <c r="J83" t="s">
        <v>138</v>
      </c>
      <c r="K83" t="s">
        <v>114</v>
      </c>
      <c r="L83" t="s">
        <v>140</v>
      </c>
      <c r="M83">
        <v>1321.58655047</v>
      </c>
      <c r="N83">
        <v>0</v>
      </c>
      <c r="O83" t="s">
        <v>103</v>
      </c>
      <c r="P83" s="56">
        <v>44330.104736770831</v>
      </c>
      <c r="Q83">
        <v>5144592</v>
      </c>
      <c r="R83" t="s">
        <v>106</v>
      </c>
      <c r="S83">
        <v>1338.8563325</v>
      </c>
      <c r="W83"/>
      <c r="X83">
        <v>0</v>
      </c>
      <c r="AC83" t="s">
        <v>108</v>
      </c>
      <c r="AD83" s="56">
        <v>42887</v>
      </c>
    </row>
    <row r="84" spans="1:30" x14ac:dyDescent="0.3">
      <c r="A84">
        <v>560915</v>
      </c>
      <c r="B84" t="s">
        <v>180</v>
      </c>
      <c r="C84">
        <v>2017</v>
      </c>
      <c r="D84">
        <v>6</v>
      </c>
      <c r="E84" t="s">
        <v>109</v>
      </c>
      <c r="F84" t="s">
        <v>108</v>
      </c>
      <c r="G84" t="s">
        <v>108</v>
      </c>
      <c r="H84" t="s">
        <v>25</v>
      </c>
      <c r="I84" t="s">
        <v>25</v>
      </c>
      <c r="J84" t="s">
        <v>138</v>
      </c>
      <c r="K84" t="s">
        <v>110</v>
      </c>
      <c r="L84" t="s">
        <v>140</v>
      </c>
      <c r="M84">
        <v>2370.0725542700002</v>
      </c>
      <c r="N84">
        <v>0</v>
      </c>
      <c r="O84" t="s">
        <v>103</v>
      </c>
      <c r="P84" s="56">
        <v>44330.104735567133</v>
      </c>
      <c r="Q84">
        <v>5144508</v>
      </c>
      <c r="R84" t="s">
        <v>106</v>
      </c>
      <c r="S84">
        <v>2428.3895617399999</v>
      </c>
      <c r="W84"/>
      <c r="X84">
        <v>0</v>
      </c>
      <c r="AC84" t="s">
        <v>108</v>
      </c>
      <c r="AD84" s="56">
        <v>42887</v>
      </c>
    </row>
    <row r="85" spans="1:30" x14ac:dyDescent="0.3">
      <c r="A85">
        <v>560936</v>
      </c>
      <c r="B85" t="s">
        <v>180</v>
      </c>
      <c r="C85">
        <v>2017</v>
      </c>
      <c r="D85">
        <v>6</v>
      </c>
      <c r="E85" t="s">
        <v>111</v>
      </c>
      <c r="F85" t="s">
        <v>108</v>
      </c>
      <c r="G85" t="s">
        <v>108</v>
      </c>
      <c r="H85" t="s">
        <v>25</v>
      </c>
      <c r="I85" t="s">
        <v>25</v>
      </c>
      <c r="J85" t="s">
        <v>138</v>
      </c>
      <c r="K85" t="s">
        <v>112</v>
      </c>
      <c r="L85" t="s">
        <v>140</v>
      </c>
      <c r="M85">
        <v>850.28490937000004</v>
      </c>
      <c r="N85">
        <v>0</v>
      </c>
      <c r="O85" t="s">
        <v>103</v>
      </c>
      <c r="P85" s="56">
        <v>44330.104736226851</v>
      </c>
      <c r="Q85">
        <v>5144550</v>
      </c>
      <c r="R85" t="s">
        <v>106</v>
      </c>
      <c r="S85">
        <v>861.04243684999994</v>
      </c>
      <c r="W85"/>
      <c r="X85">
        <v>0</v>
      </c>
      <c r="AC85" t="s">
        <v>108</v>
      </c>
      <c r="AD85" s="56">
        <v>42887</v>
      </c>
    </row>
    <row r="86" spans="1:30" x14ac:dyDescent="0.3">
      <c r="A86">
        <v>570927</v>
      </c>
      <c r="B86" t="s">
        <v>179</v>
      </c>
      <c r="C86">
        <v>2017</v>
      </c>
      <c r="D86">
        <v>7</v>
      </c>
      <c r="E86" t="s">
        <v>113</v>
      </c>
      <c r="F86" t="s">
        <v>108</v>
      </c>
      <c r="G86" t="s">
        <v>108</v>
      </c>
      <c r="H86" t="s">
        <v>25</v>
      </c>
      <c r="I86" t="s">
        <v>25</v>
      </c>
      <c r="J86" t="s">
        <v>138</v>
      </c>
      <c r="K86" t="s">
        <v>114</v>
      </c>
      <c r="L86" t="s">
        <v>140</v>
      </c>
      <c r="M86">
        <v>1241.0892522700001</v>
      </c>
      <c r="N86">
        <v>0</v>
      </c>
      <c r="O86" t="s">
        <v>103</v>
      </c>
      <c r="P86" s="56">
        <v>44330.105698263891</v>
      </c>
      <c r="Q86">
        <v>5229297</v>
      </c>
      <c r="R86" t="s">
        <v>98</v>
      </c>
      <c r="S86">
        <v>32.767906140000001</v>
      </c>
      <c r="W86"/>
      <c r="X86">
        <v>0</v>
      </c>
      <c r="AC86" t="s">
        <v>108</v>
      </c>
      <c r="AD86" s="56">
        <v>42917</v>
      </c>
    </row>
    <row r="87" spans="1:30" x14ac:dyDescent="0.3">
      <c r="A87">
        <v>570885</v>
      </c>
      <c r="B87" t="s">
        <v>179</v>
      </c>
      <c r="C87">
        <v>2017</v>
      </c>
      <c r="D87">
        <v>7</v>
      </c>
      <c r="E87" t="s">
        <v>109</v>
      </c>
      <c r="F87" t="s">
        <v>108</v>
      </c>
      <c r="G87" t="s">
        <v>108</v>
      </c>
      <c r="H87" t="s">
        <v>25</v>
      </c>
      <c r="I87" t="s">
        <v>25</v>
      </c>
      <c r="J87" t="s">
        <v>138</v>
      </c>
      <c r="K87" t="s">
        <v>110</v>
      </c>
      <c r="L87" t="s">
        <v>140</v>
      </c>
      <c r="M87">
        <v>2146.3813947499998</v>
      </c>
      <c r="N87">
        <v>0</v>
      </c>
      <c r="O87" t="s">
        <v>103</v>
      </c>
      <c r="P87" s="56">
        <v>44330.105697106483</v>
      </c>
      <c r="Q87">
        <v>5229213</v>
      </c>
      <c r="R87" t="s">
        <v>98</v>
      </c>
      <c r="S87">
        <v>31.90471668</v>
      </c>
      <c r="W87"/>
      <c r="X87">
        <v>0</v>
      </c>
      <c r="AC87" t="s">
        <v>108</v>
      </c>
      <c r="AD87" s="56">
        <v>42917</v>
      </c>
    </row>
    <row r="88" spans="1:30" x14ac:dyDescent="0.3">
      <c r="A88">
        <v>570906</v>
      </c>
      <c r="B88" t="s">
        <v>179</v>
      </c>
      <c r="C88">
        <v>2017</v>
      </c>
      <c r="D88">
        <v>7</v>
      </c>
      <c r="E88" t="s">
        <v>111</v>
      </c>
      <c r="F88" t="s">
        <v>108</v>
      </c>
      <c r="G88" t="s">
        <v>108</v>
      </c>
      <c r="H88" t="s">
        <v>25</v>
      </c>
      <c r="I88" t="s">
        <v>25</v>
      </c>
      <c r="J88" t="s">
        <v>138</v>
      </c>
      <c r="K88" t="s">
        <v>112</v>
      </c>
      <c r="L88" t="s">
        <v>140</v>
      </c>
      <c r="M88">
        <v>331.86459323999998</v>
      </c>
      <c r="N88">
        <v>0</v>
      </c>
      <c r="O88" t="s">
        <v>103</v>
      </c>
      <c r="P88" s="56">
        <v>44330.105697719897</v>
      </c>
      <c r="Q88">
        <v>5229255</v>
      </c>
      <c r="R88" t="s">
        <v>98</v>
      </c>
      <c r="S88">
        <v>8.9000528499999998</v>
      </c>
      <c r="W88"/>
      <c r="X88">
        <v>0</v>
      </c>
      <c r="AC88" t="s">
        <v>108</v>
      </c>
      <c r="AD88" s="56">
        <v>42917</v>
      </c>
    </row>
    <row r="89" spans="1:30" x14ac:dyDescent="0.3">
      <c r="A89">
        <v>570885</v>
      </c>
      <c r="B89" t="s">
        <v>179</v>
      </c>
      <c r="C89">
        <v>2017</v>
      </c>
      <c r="D89">
        <v>7</v>
      </c>
      <c r="E89" t="s">
        <v>109</v>
      </c>
      <c r="F89" t="s">
        <v>108</v>
      </c>
      <c r="G89" t="s">
        <v>108</v>
      </c>
      <c r="H89" t="s">
        <v>25</v>
      </c>
      <c r="I89" t="s">
        <v>25</v>
      </c>
      <c r="J89" t="s">
        <v>138</v>
      </c>
      <c r="K89" t="s">
        <v>110</v>
      </c>
      <c r="L89" t="s">
        <v>140</v>
      </c>
      <c r="M89">
        <v>2146.3813947499998</v>
      </c>
      <c r="N89">
        <v>0</v>
      </c>
      <c r="O89" t="s">
        <v>103</v>
      </c>
      <c r="P89" s="56">
        <v>44330.105697106483</v>
      </c>
      <c r="Q89">
        <v>5229212</v>
      </c>
      <c r="R89" t="s">
        <v>106</v>
      </c>
      <c r="S89">
        <v>2199.1943517200002</v>
      </c>
      <c r="W89"/>
      <c r="X89">
        <v>0</v>
      </c>
      <c r="AC89" t="s">
        <v>108</v>
      </c>
      <c r="AD89" s="56">
        <v>42917</v>
      </c>
    </row>
    <row r="90" spans="1:30" x14ac:dyDescent="0.3">
      <c r="A90">
        <v>570927</v>
      </c>
      <c r="B90" t="s">
        <v>179</v>
      </c>
      <c r="C90">
        <v>2017</v>
      </c>
      <c r="D90">
        <v>7</v>
      </c>
      <c r="E90" t="s">
        <v>113</v>
      </c>
      <c r="F90" t="s">
        <v>108</v>
      </c>
      <c r="G90" t="s">
        <v>108</v>
      </c>
      <c r="H90" t="s">
        <v>25</v>
      </c>
      <c r="I90" t="s">
        <v>25</v>
      </c>
      <c r="J90" t="s">
        <v>138</v>
      </c>
      <c r="K90" t="s">
        <v>114</v>
      </c>
      <c r="L90" t="s">
        <v>140</v>
      </c>
      <c r="M90">
        <v>1241.0892522700001</v>
      </c>
      <c r="N90">
        <v>0</v>
      </c>
      <c r="O90" t="s">
        <v>103</v>
      </c>
      <c r="P90" s="56">
        <v>44330.105698263891</v>
      </c>
      <c r="Q90">
        <v>5229296</v>
      </c>
      <c r="R90" t="s">
        <v>106</v>
      </c>
      <c r="S90">
        <v>1257.30713891</v>
      </c>
      <c r="W90"/>
      <c r="X90">
        <v>0</v>
      </c>
      <c r="AC90" t="s">
        <v>108</v>
      </c>
      <c r="AD90" s="56">
        <v>42917</v>
      </c>
    </row>
    <row r="91" spans="1:30" x14ac:dyDescent="0.3">
      <c r="A91">
        <v>570906</v>
      </c>
      <c r="B91" t="s">
        <v>179</v>
      </c>
      <c r="C91">
        <v>2017</v>
      </c>
      <c r="D91">
        <v>7</v>
      </c>
      <c r="E91" t="s">
        <v>111</v>
      </c>
      <c r="F91" t="s">
        <v>108</v>
      </c>
      <c r="G91" t="s">
        <v>108</v>
      </c>
      <c r="H91" t="s">
        <v>25</v>
      </c>
      <c r="I91" t="s">
        <v>25</v>
      </c>
      <c r="J91" t="s">
        <v>138</v>
      </c>
      <c r="K91" t="s">
        <v>112</v>
      </c>
      <c r="L91" t="s">
        <v>140</v>
      </c>
      <c r="M91">
        <v>331.86459323999998</v>
      </c>
      <c r="N91">
        <v>0</v>
      </c>
      <c r="O91" t="s">
        <v>103</v>
      </c>
      <c r="P91" s="56">
        <v>44330.105697719897</v>
      </c>
      <c r="Q91">
        <v>5229254</v>
      </c>
      <c r="R91" t="s">
        <v>106</v>
      </c>
      <c r="S91">
        <v>336.06323587999998</v>
      </c>
      <c r="W91"/>
      <c r="X91">
        <v>0</v>
      </c>
      <c r="AC91" t="s">
        <v>108</v>
      </c>
      <c r="AD91" s="56">
        <v>42917</v>
      </c>
    </row>
    <row r="92" spans="1:30" x14ac:dyDescent="0.3">
      <c r="A92">
        <v>580771</v>
      </c>
      <c r="B92" t="s">
        <v>174</v>
      </c>
      <c r="C92">
        <v>2017</v>
      </c>
      <c r="D92">
        <v>8</v>
      </c>
      <c r="E92" t="s">
        <v>109</v>
      </c>
      <c r="F92" t="s">
        <v>108</v>
      </c>
      <c r="G92" t="s">
        <v>108</v>
      </c>
      <c r="H92" t="s">
        <v>25</v>
      </c>
      <c r="I92" t="s">
        <v>25</v>
      </c>
      <c r="J92" t="s">
        <v>138</v>
      </c>
      <c r="K92" t="s">
        <v>110</v>
      </c>
      <c r="L92" t="s">
        <v>140</v>
      </c>
      <c r="M92">
        <v>1825.75210223</v>
      </c>
      <c r="N92">
        <v>0</v>
      </c>
      <c r="O92" t="s">
        <v>103</v>
      </c>
      <c r="P92" s="56">
        <v>44330.106720752323</v>
      </c>
      <c r="Q92">
        <v>5313253</v>
      </c>
      <c r="R92" t="s">
        <v>98</v>
      </c>
      <c r="S92">
        <v>27.138747890000001</v>
      </c>
      <c r="W92"/>
      <c r="X92">
        <v>0</v>
      </c>
      <c r="AC92" t="s">
        <v>108</v>
      </c>
      <c r="AD92" s="56">
        <v>42948</v>
      </c>
    </row>
    <row r="93" spans="1:30" x14ac:dyDescent="0.3">
      <c r="A93">
        <v>580793</v>
      </c>
      <c r="B93" t="s">
        <v>174</v>
      </c>
      <c r="C93">
        <v>2017</v>
      </c>
      <c r="D93">
        <v>8</v>
      </c>
      <c r="E93" t="s">
        <v>111</v>
      </c>
      <c r="F93" t="s">
        <v>108</v>
      </c>
      <c r="G93" t="s">
        <v>108</v>
      </c>
      <c r="H93" t="s">
        <v>25</v>
      </c>
      <c r="I93" t="s">
        <v>25</v>
      </c>
      <c r="J93" t="s">
        <v>138</v>
      </c>
      <c r="K93" t="s">
        <v>112</v>
      </c>
      <c r="L93" t="s">
        <v>140</v>
      </c>
      <c r="M93">
        <v>317.95009379999999</v>
      </c>
      <c r="N93">
        <v>0</v>
      </c>
      <c r="O93" t="s">
        <v>103</v>
      </c>
      <c r="P93" s="56">
        <v>44330.106721331023</v>
      </c>
      <c r="Q93">
        <v>5313297</v>
      </c>
      <c r="R93" t="s">
        <v>98</v>
      </c>
      <c r="S93">
        <v>8.5268892699999999</v>
      </c>
      <c r="W93"/>
      <c r="X93">
        <v>0</v>
      </c>
      <c r="AC93" t="s">
        <v>108</v>
      </c>
      <c r="AD93" s="56">
        <v>42948</v>
      </c>
    </row>
    <row r="94" spans="1:30" x14ac:dyDescent="0.3">
      <c r="A94">
        <v>580815</v>
      </c>
      <c r="B94" t="s">
        <v>174</v>
      </c>
      <c r="C94">
        <v>2017</v>
      </c>
      <c r="D94">
        <v>8</v>
      </c>
      <c r="E94" t="s">
        <v>113</v>
      </c>
      <c r="F94" t="s">
        <v>108</v>
      </c>
      <c r="G94" t="s">
        <v>108</v>
      </c>
      <c r="H94" t="s">
        <v>25</v>
      </c>
      <c r="I94" t="s">
        <v>25</v>
      </c>
      <c r="J94" t="s">
        <v>138</v>
      </c>
      <c r="K94" t="s">
        <v>114</v>
      </c>
      <c r="L94" t="s">
        <v>140</v>
      </c>
      <c r="M94">
        <v>1252.6346749899999</v>
      </c>
      <c r="N94">
        <v>0</v>
      </c>
      <c r="O94" t="s">
        <v>103</v>
      </c>
      <c r="P94" s="56">
        <v>44330.106721909717</v>
      </c>
      <c r="Q94">
        <v>5313341</v>
      </c>
      <c r="R94" t="s">
        <v>98</v>
      </c>
      <c r="S94">
        <v>33.072734609999998</v>
      </c>
      <c r="W94"/>
      <c r="X94">
        <v>0</v>
      </c>
      <c r="AC94" t="s">
        <v>108</v>
      </c>
      <c r="AD94" s="56">
        <v>42948</v>
      </c>
    </row>
    <row r="95" spans="1:30" x14ac:dyDescent="0.3">
      <c r="A95">
        <v>580771</v>
      </c>
      <c r="B95" t="s">
        <v>174</v>
      </c>
      <c r="C95">
        <v>2017</v>
      </c>
      <c r="D95">
        <v>8</v>
      </c>
      <c r="E95" t="s">
        <v>109</v>
      </c>
      <c r="F95" t="s">
        <v>108</v>
      </c>
      <c r="G95" t="s">
        <v>108</v>
      </c>
      <c r="H95" t="s">
        <v>25</v>
      </c>
      <c r="I95" t="s">
        <v>25</v>
      </c>
      <c r="J95" t="s">
        <v>138</v>
      </c>
      <c r="K95" t="s">
        <v>110</v>
      </c>
      <c r="L95" t="s">
        <v>140</v>
      </c>
      <c r="M95">
        <v>1825.75210223</v>
      </c>
      <c r="N95">
        <v>0</v>
      </c>
      <c r="O95" t="s">
        <v>103</v>
      </c>
      <c r="P95" s="56">
        <v>44330.106720752323</v>
      </c>
      <c r="Q95">
        <v>5313252</v>
      </c>
      <c r="R95" t="s">
        <v>106</v>
      </c>
      <c r="S95">
        <v>1870.67578981</v>
      </c>
      <c r="W95"/>
      <c r="X95">
        <v>0</v>
      </c>
      <c r="AC95" t="s">
        <v>108</v>
      </c>
      <c r="AD95" s="56">
        <v>42948</v>
      </c>
    </row>
    <row r="96" spans="1:30" x14ac:dyDescent="0.3">
      <c r="A96">
        <v>580793</v>
      </c>
      <c r="B96" t="s">
        <v>174</v>
      </c>
      <c r="C96">
        <v>2017</v>
      </c>
      <c r="D96">
        <v>8</v>
      </c>
      <c r="E96" t="s">
        <v>111</v>
      </c>
      <c r="F96" t="s">
        <v>108</v>
      </c>
      <c r="G96" t="s">
        <v>108</v>
      </c>
      <c r="H96" t="s">
        <v>25</v>
      </c>
      <c r="I96" t="s">
        <v>25</v>
      </c>
      <c r="J96" t="s">
        <v>138</v>
      </c>
      <c r="K96" t="s">
        <v>112</v>
      </c>
      <c r="L96" t="s">
        <v>140</v>
      </c>
      <c r="M96">
        <v>317.95009379999999</v>
      </c>
      <c r="N96">
        <v>0</v>
      </c>
      <c r="O96" t="s">
        <v>103</v>
      </c>
      <c r="P96" s="56">
        <v>44330.106721331023</v>
      </c>
      <c r="Q96">
        <v>5313296</v>
      </c>
      <c r="R96" t="s">
        <v>106</v>
      </c>
      <c r="S96">
        <v>321.97269474000001</v>
      </c>
      <c r="W96"/>
      <c r="X96">
        <v>0</v>
      </c>
      <c r="AC96" t="s">
        <v>108</v>
      </c>
      <c r="AD96" s="56">
        <v>42948</v>
      </c>
    </row>
    <row r="97" spans="1:30" x14ac:dyDescent="0.3">
      <c r="A97">
        <v>580815</v>
      </c>
      <c r="B97" t="s">
        <v>174</v>
      </c>
      <c r="C97">
        <v>2017</v>
      </c>
      <c r="D97">
        <v>8</v>
      </c>
      <c r="E97" t="s">
        <v>113</v>
      </c>
      <c r="F97" t="s">
        <v>108</v>
      </c>
      <c r="G97" t="s">
        <v>108</v>
      </c>
      <c r="H97" t="s">
        <v>25</v>
      </c>
      <c r="I97" t="s">
        <v>25</v>
      </c>
      <c r="J97" t="s">
        <v>138</v>
      </c>
      <c r="K97" t="s">
        <v>114</v>
      </c>
      <c r="L97" t="s">
        <v>140</v>
      </c>
      <c r="M97">
        <v>1252.6346749899999</v>
      </c>
      <c r="N97">
        <v>0</v>
      </c>
      <c r="O97" t="s">
        <v>103</v>
      </c>
      <c r="P97" s="56">
        <v>44330.106721909717</v>
      </c>
      <c r="Q97">
        <v>5313340</v>
      </c>
      <c r="R97" t="s">
        <v>106</v>
      </c>
      <c r="S97">
        <v>1269.0034310000001</v>
      </c>
      <c r="W97"/>
      <c r="X97">
        <v>0</v>
      </c>
      <c r="AC97" t="s">
        <v>108</v>
      </c>
      <c r="AD97" s="56">
        <v>42948</v>
      </c>
    </row>
    <row r="98" spans="1:30" x14ac:dyDescent="0.3">
      <c r="A98">
        <v>2</v>
      </c>
      <c r="B98" t="s">
        <v>158</v>
      </c>
      <c r="C98">
        <v>2017</v>
      </c>
      <c r="D98">
        <v>9</v>
      </c>
      <c r="E98" t="s">
        <v>109</v>
      </c>
      <c r="F98" t="s">
        <v>108</v>
      </c>
      <c r="G98" t="s">
        <v>108</v>
      </c>
      <c r="H98" t="s">
        <v>25</v>
      </c>
      <c r="I98" t="s">
        <v>25</v>
      </c>
      <c r="J98" t="s">
        <v>138</v>
      </c>
      <c r="K98" t="s">
        <v>110</v>
      </c>
      <c r="L98" t="s">
        <v>140</v>
      </c>
      <c r="M98">
        <v>1525.35760676</v>
      </c>
      <c r="N98">
        <v>0</v>
      </c>
      <c r="O98" t="s">
        <v>103</v>
      </c>
      <c r="P98" s="56">
        <v>44269.837765891207</v>
      </c>
      <c r="Q98">
        <v>4</v>
      </c>
      <c r="R98" t="s">
        <v>98</v>
      </c>
      <c r="S98">
        <v>22.673557639999999</v>
      </c>
      <c r="W98"/>
      <c r="X98">
        <v>0</v>
      </c>
      <c r="AC98" t="s">
        <v>108</v>
      </c>
      <c r="AD98" s="56">
        <v>42979</v>
      </c>
    </row>
    <row r="99" spans="1:30" x14ac:dyDescent="0.3">
      <c r="A99">
        <v>23</v>
      </c>
      <c r="B99" t="s">
        <v>158</v>
      </c>
      <c r="C99">
        <v>2017</v>
      </c>
      <c r="D99">
        <v>9</v>
      </c>
      <c r="E99" t="s">
        <v>111</v>
      </c>
      <c r="F99" t="s">
        <v>108</v>
      </c>
      <c r="G99" t="s">
        <v>108</v>
      </c>
      <c r="H99" t="s">
        <v>25</v>
      </c>
      <c r="I99" t="s">
        <v>25</v>
      </c>
      <c r="J99" t="s">
        <v>138</v>
      </c>
      <c r="K99" t="s">
        <v>112</v>
      </c>
      <c r="L99" t="s">
        <v>140</v>
      </c>
      <c r="M99">
        <v>317.51694221999998</v>
      </c>
      <c r="N99">
        <v>0</v>
      </c>
      <c r="O99" t="s">
        <v>103</v>
      </c>
      <c r="P99" s="56">
        <v>44269.837767013887</v>
      </c>
      <c r="Q99">
        <v>46</v>
      </c>
      <c r="R99" t="s">
        <v>98</v>
      </c>
      <c r="S99">
        <v>8.5152728700000004</v>
      </c>
      <c r="W99"/>
      <c r="X99">
        <v>0</v>
      </c>
      <c r="AC99" t="s">
        <v>108</v>
      </c>
      <c r="AD99" s="56">
        <v>42979</v>
      </c>
    </row>
    <row r="100" spans="1:30" x14ac:dyDescent="0.3">
      <c r="A100">
        <v>44</v>
      </c>
      <c r="B100" t="s">
        <v>158</v>
      </c>
      <c r="C100">
        <v>2017</v>
      </c>
      <c r="D100">
        <v>9</v>
      </c>
      <c r="E100" t="s">
        <v>113</v>
      </c>
      <c r="F100" t="s">
        <v>108</v>
      </c>
      <c r="G100" t="s">
        <v>108</v>
      </c>
      <c r="H100" t="s">
        <v>25</v>
      </c>
      <c r="I100" t="s">
        <v>25</v>
      </c>
      <c r="J100" t="s">
        <v>138</v>
      </c>
      <c r="K100" t="s">
        <v>114</v>
      </c>
      <c r="L100" t="s">
        <v>140</v>
      </c>
      <c r="M100">
        <v>1160.3236436</v>
      </c>
      <c r="N100">
        <v>0</v>
      </c>
      <c r="O100" t="s">
        <v>103</v>
      </c>
      <c r="P100" s="56">
        <v>44269.837768090278</v>
      </c>
      <c r="Q100">
        <v>88</v>
      </c>
      <c r="R100" t="s">
        <v>98</v>
      </c>
      <c r="S100">
        <v>30.63548909</v>
      </c>
      <c r="W100"/>
      <c r="X100">
        <v>0</v>
      </c>
      <c r="AC100" t="s">
        <v>108</v>
      </c>
      <c r="AD100" s="56">
        <v>42979</v>
      </c>
    </row>
    <row r="101" spans="1:30" x14ac:dyDescent="0.3">
      <c r="A101">
        <v>44</v>
      </c>
      <c r="B101" t="s">
        <v>158</v>
      </c>
      <c r="C101">
        <v>2017</v>
      </c>
      <c r="D101">
        <v>9</v>
      </c>
      <c r="E101" t="s">
        <v>113</v>
      </c>
      <c r="F101" t="s">
        <v>108</v>
      </c>
      <c r="G101" t="s">
        <v>108</v>
      </c>
      <c r="H101" t="s">
        <v>25</v>
      </c>
      <c r="I101" t="s">
        <v>25</v>
      </c>
      <c r="J101" t="s">
        <v>138</v>
      </c>
      <c r="K101" t="s">
        <v>114</v>
      </c>
      <c r="L101" t="s">
        <v>140</v>
      </c>
      <c r="M101">
        <v>1160.3236436</v>
      </c>
      <c r="N101">
        <v>0</v>
      </c>
      <c r="O101" t="s">
        <v>103</v>
      </c>
      <c r="P101" s="56">
        <v>44269.837768090278</v>
      </c>
      <c r="Q101">
        <v>87</v>
      </c>
      <c r="R101" t="s">
        <v>106</v>
      </c>
      <c r="S101">
        <v>1175.4861287199999</v>
      </c>
      <c r="W101"/>
      <c r="X101">
        <v>0</v>
      </c>
      <c r="AC101" t="s">
        <v>108</v>
      </c>
      <c r="AD101" s="56">
        <v>42979</v>
      </c>
    </row>
    <row r="102" spans="1:30" x14ac:dyDescent="0.3">
      <c r="A102">
        <v>23</v>
      </c>
      <c r="B102" t="s">
        <v>158</v>
      </c>
      <c r="C102">
        <v>2017</v>
      </c>
      <c r="D102">
        <v>9</v>
      </c>
      <c r="E102" t="s">
        <v>111</v>
      </c>
      <c r="F102" t="s">
        <v>108</v>
      </c>
      <c r="G102" t="s">
        <v>108</v>
      </c>
      <c r="H102" t="s">
        <v>25</v>
      </c>
      <c r="I102" t="s">
        <v>25</v>
      </c>
      <c r="J102" t="s">
        <v>138</v>
      </c>
      <c r="K102" t="s">
        <v>112</v>
      </c>
      <c r="L102" t="s">
        <v>140</v>
      </c>
      <c r="M102">
        <v>317.51694221999998</v>
      </c>
      <c r="N102">
        <v>0</v>
      </c>
      <c r="O102" t="s">
        <v>103</v>
      </c>
      <c r="P102" s="56">
        <v>44269.837767013887</v>
      </c>
      <c r="Q102">
        <v>45</v>
      </c>
      <c r="R102" t="s">
        <v>106</v>
      </c>
      <c r="S102">
        <v>321.53406305999999</v>
      </c>
      <c r="W102"/>
      <c r="X102">
        <v>0</v>
      </c>
      <c r="AC102" t="s">
        <v>108</v>
      </c>
      <c r="AD102" s="56">
        <v>42979</v>
      </c>
    </row>
    <row r="103" spans="1:30" x14ac:dyDescent="0.3">
      <c r="A103">
        <v>2</v>
      </c>
      <c r="B103" t="s">
        <v>158</v>
      </c>
      <c r="C103">
        <v>2017</v>
      </c>
      <c r="D103">
        <v>9</v>
      </c>
      <c r="E103" t="s">
        <v>109</v>
      </c>
      <c r="F103" t="s">
        <v>108</v>
      </c>
      <c r="G103" t="s">
        <v>108</v>
      </c>
      <c r="H103" t="s">
        <v>25</v>
      </c>
      <c r="I103" t="s">
        <v>25</v>
      </c>
      <c r="J103" t="s">
        <v>138</v>
      </c>
      <c r="K103" t="s">
        <v>110</v>
      </c>
      <c r="L103" t="s">
        <v>140</v>
      </c>
      <c r="M103">
        <v>1525.35760676</v>
      </c>
      <c r="N103">
        <v>0</v>
      </c>
      <c r="O103" t="s">
        <v>103</v>
      </c>
      <c r="P103" s="56">
        <v>44269.837765891207</v>
      </c>
      <c r="Q103">
        <v>3</v>
      </c>
      <c r="R103" t="s">
        <v>106</v>
      </c>
      <c r="S103">
        <v>1562.8899138500001</v>
      </c>
      <c r="W103"/>
      <c r="X103">
        <v>0</v>
      </c>
      <c r="AC103" t="s">
        <v>108</v>
      </c>
      <c r="AD103" s="56">
        <v>42979</v>
      </c>
    </row>
    <row r="104" spans="1:30" x14ac:dyDescent="0.3">
      <c r="A104">
        <v>9800</v>
      </c>
      <c r="B104" t="s">
        <v>164</v>
      </c>
      <c r="C104">
        <v>2017</v>
      </c>
      <c r="D104">
        <v>10</v>
      </c>
      <c r="E104" t="s">
        <v>109</v>
      </c>
      <c r="F104" t="s">
        <v>108</v>
      </c>
      <c r="G104" t="s">
        <v>108</v>
      </c>
      <c r="H104" t="s">
        <v>25</v>
      </c>
      <c r="I104" t="s">
        <v>25</v>
      </c>
      <c r="J104" t="s">
        <v>138</v>
      </c>
      <c r="K104" t="s">
        <v>110</v>
      </c>
      <c r="L104" t="s">
        <v>140</v>
      </c>
      <c r="M104">
        <v>1690.9131185399999</v>
      </c>
      <c r="N104">
        <v>0</v>
      </c>
      <c r="O104" t="s">
        <v>103</v>
      </c>
      <c r="P104" s="56">
        <v>44269.83878622685</v>
      </c>
      <c r="Q104">
        <v>83885</v>
      </c>
      <c r="R104" t="s">
        <v>98</v>
      </c>
      <c r="S104">
        <v>25.134444469999998</v>
      </c>
      <c r="W104"/>
      <c r="X104">
        <v>0</v>
      </c>
      <c r="AC104" t="s">
        <v>108</v>
      </c>
      <c r="AD104" s="56">
        <v>43009</v>
      </c>
    </row>
    <row r="105" spans="1:30" x14ac:dyDescent="0.3">
      <c r="A105">
        <v>9821</v>
      </c>
      <c r="B105" t="s">
        <v>164</v>
      </c>
      <c r="C105">
        <v>2017</v>
      </c>
      <c r="D105">
        <v>10</v>
      </c>
      <c r="E105" t="s">
        <v>111</v>
      </c>
      <c r="F105" t="s">
        <v>108</v>
      </c>
      <c r="G105" t="s">
        <v>108</v>
      </c>
      <c r="H105" t="s">
        <v>25</v>
      </c>
      <c r="I105" t="s">
        <v>25</v>
      </c>
      <c r="J105" t="s">
        <v>138</v>
      </c>
      <c r="K105" t="s">
        <v>112</v>
      </c>
      <c r="L105" t="s">
        <v>140</v>
      </c>
      <c r="M105">
        <v>345.79406583999997</v>
      </c>
      <c r="N105">
        <v>0</v>
      </c>
      <c r="O105" t="s">
        <v>103</v>
      </c>
      <c r="P105" s="56">
        <v>44269.83878726852</v>
      </c>
      <c r="Q105">
        <v>83927</v>
      </c>
      <c r="R105" t="s">
        <v>98</v>
      </c>
      <c r="S105">
        <v>9.27361799</v>
      </c>
      <c r="W105"/>
      <c r="X105">
        <v>0</v>
      </c>
      <c r="AC105" t="s">
        <v>108</v>
      </c>
      <c r="AD105" s="56">
        <v>43009</v>
      </c>
    </row>
    <row r="106" spans="1:30" x14ac:dyDescent="0.3">
      <c r="A106">
        <v>9842</v>
      </c>
      <c r="B106" t="s">
        <v>164</v>
      </c>
      <c r="C106">
        <v>2017</v>
      </c>
      <c r="D106">
        <v>10</v>
      </c>
      <c r="E106" t="s">
        <v>113</v>
      </c>
      <c r="F106" t="s">
        <v>108</v>
      </c>
      <c r="G106" t="s">
        <v>108</v>
      </c>
      <c r="H106" t="s">
        <v>25</v>
      </c>
      <c r="I106" t="s">
        <v>25</v>
      </c>
      <c r="J106" t="s">
        <v>138</v>
      </c>
      <c r="K106" t="s">
        <v>114</v>
      </c>
      <c r="L106" t="s">
        <v>140</v>
      </c>
      <c r="M106">
        <v>1325.6322066800001</v>
      </c>
      <c r="N106">
        <v>0</v>
      </c>
      <c r="O106" t="s">
        <v>103</v>
      </c>
      <c r="P106" s="56">
        <v>44269.838788229157</v>
      </c>
      <c r="Q106">
        <v>83969</v>
      </c>
      <c r="R106" t="s">
        <v>98</v>
      </c>
      <c r="S106">
        <v>35.000054710000001</v>
      </c>
      <c r="W106"/>
      <c r="X106">
        <v>0</v>
      </c>
      <c r="AC106" t="s">
        <v>108</v>
      </c>
      <c r="AD106" s="56">
        <v>43009</v>
      </c>
    </row>
    <row r="107" spans="1:30" x14ac:dyDescent="0.3">
      <c r="A107">
        <v>9821</v>
      </c>
      <c r="B107" t="s">
        <v>164</v>
      </c>
      <c r="C107">
        <v>2017</v>
      </c>
      <c r="D107">
        <v>10</v>
      </c>
      <c r="E107" t="s">
        <v>111</v>
      </c>
      <c r="F107" t="s">
        <v>108</v>
      </c>
      <c r="G107" t="s">
        <v>108</v>
      </c>
      <c r="H107" t="s">
        <v>25</v>
      </c>
      <c r="I107" t="s">
        <v>25</v>
      </c>
      <c r="J107" t="s">
        <v>138</v>
      </c>
      <c r="K107" t="s">
        <v>112</v>
      </c>
      <c r="L107" t="s">
        <v>140</v>
      </c>
      <c r="M107">
        <v>345.79406583999997</v>
      </c>
      <c r="N107">
        <v>0</v>
      </c>
      <c r="O107" t="s">
        <v>103</v>
      </c>
      <c r="P107" s="56">
        <v>44269.83878726852</v>
      </c>
      <c r="Q107">
        <v>83926</v>
      </c>
      <c r="R107" t="s">
        <v>106</v>
      </c>
      <c r="S107">
        <v>350.16893963000001</v>
      </c>
      <c r="W107"/>
      <c r="X107">
        <v>0</v>
      </c>
      <c r="AC107" t="s">
        <v>108</v>
      </c>
      <c r="AD107" s="56">
        <v>43009</v>
      </c>
    </row>
    <row r="108" spans="1:30" x14ac:dyDescent="0.3">
      <c r="A108">
        <v>9842</v>
      </c>
      <c r="B108" t="s">
        <v>164</v>
      </c>
      <c r="C108">
        <v>2017</v>
      </c>
      <c r="D108">
        <v>10</v>
      </c>
      <c r="E108" t="s">
        <v>113</v>
      </c>
      <c r="F108" t="s">
        <v>108</v>
      </c>
      <c r="G108" t="s">
        <v>108</v>
      </c>
      <c r="H108" t="s">
        <v>25</v>
      </c>
      <c r="I108" t="s">
        <v>25</v>
      </c>
      <c r="J108" t="s">
        <v>138</v>
      </c>
      <c r="K108" t="s">
        <v>114</v>
      </c>
      <c r="L108" t="s">
        <v>140</v>
      </c>
      <c r="M108">
        <v>1325.6322066800001</v>
      </c>
      <c r="N108">
        <v>0</v>
      </c>
      <c r="O108" t="s">
        <v>103</v>
      </c>
      <c r="P108" s="56">
        <v>44269.838788229157</v>
      </c>
      <c r="Q108">
        <v>83968</v>
      </c>
      <c r="R108" t="s">
        <v>106</v>
      </c>
      <c r="S108">
        <v>1342.95485517</v>
      </c>
      <c r="W108"/>
      <c r="X108">
        <v>0</v>
      </c>
      <c r="AC108" t="s">
        <v>108</v>
      </c>
      <c r="AD108" s="56">
        <v>43009</v>
      </c>
    </row>
    <row r="109" spans="1:30" x14ac:dyDescent="0.3">
      <c r="A109">
        <v>9800</v>
      </c>
      <c r="B109" t="s">
        <v>164</v>
      </c>
      <c r="C109">
        <v>2017</v>
      </c>
      <c r="D109">
        <v>10</v>
      </c>
      <c r="E109" t="s">
        <v>109</v>
      </c>
      <c r="F109" t="s">
        <v>108</v>
      </c>
      <c r="G109" t="s">
        <v>108</v>
      </c>
      <c r="H109" t="s">
        <v>25</v>
      </c>
      <c r="I109" t="s">
        <v>25</v>
      </c>
      <c r="J109" t="s">
        <v>138</v>
      </c>
      <c r="K109" t="s">
        <v>110</v>
      </c>
      <c r="L109" t="s">
        <v>140</v>
      </c>
      <c r="M109">
        <v>1690.9131185399999</v>
      </c>
      <c r="N109">
        <v>0</v>
      </c>
      <c r="O109" t="s">
        <v>103</v>
      </c>
      <c r="P109" s="56">
        <v>44269.83878622685</v>
      </c>
      <c r="Q109">
        <v>83884</v>
      </c>
      <c r="R109" t="s">
        <v>106</v>
      </c>
      <c r="S109">
        <v>1732.51901486</v>
      </c>
      <c r="W109"/>
      <c r="X109">
        <v>0</v>
      </c>
      <c r="AC109" t="s">
        <v>108</v>
      </c>
      <c r="AD109" s="56">
        <v>43009</v>
      </c>
    </row>
    <row r="110" spans="1:30" x14ac:dyDescent="0.3">
      <c r="A110">
        <v>446664</v>
      </c>
      <c r="B110" t="s">
        <v>165</v>
      </c>
      <c r="C110">
        <v>2017</v>
      </c>
      <c r="D110">
        <v>11</v>
      </c>
      <c r="E110" t="s">
        <v>109</v>
      </c>
      <c r="F110" t="s">
        <v>108</v>
      </c>
      <c r="G110" t="s">
        <v>108</v>
      </c>
      <c r="H110" t="s">
        <v>25</v>
      </c>
      <c r="I110" t="s">
        <v>25</v>
      </c>
      <c r="J110" t="s">
        <v>138</v>
      </c>
      <c r="K110" t="s">
        <v>110</v>
      </c>
      <c r="L110" t="s">
        <v>140</v>
      </c>
      <c r="M110">
        <v>2041.4187845900001</v>
      </c>
      <c r="N110">
        <v>0</v>
      </c>
      <c r="O110" t="s">
        <v>103</v>
      </c>
      <c r="P110" s="56">
        <v>44284.5259379977</v>
      </c>
      <c r="Q110">
        <v>4237044</v>
      </c>
      <c r="R110" t="s">
        <v>98</v>
      </c>
      <c r="S110">
        <v>30.344508250000001</v>
      </c>
      <c r="W110"/>
      <c r="X110">
        <v>0</v>
      </c>
      <c r="AC110" t="s">
        <v>108</v>
      </c>
      <c r="AD110" s="56">
        <v>43040</v>
      </c>
    </row>
    <row r="111" spans="1:30" x14ac:dyDescent="0.3">
      <c r="A111">
        <v>446686</v>
      </c>
      <c r="B111" t="s">
        <v>165</v>
      </c>
      <c r="C111">
        <v>2017</v>
      </c>
      <c r="D111">
        <v>11</v>
      </c>
      <c r="E111" t="s">
        <v>111</v>
      </c>
      <c r="F111" t="s">
        <v>108</v>
      </c>
      <c r="G111" t="s">
        <v>108</v>
      </c>
      <c r="H111" t="s">
        <v>25</v>
      </c>
      <c r="I111" t="s">
        <v>25</v>
      </c>
      <c r="J111" t="s">
        <v>138</v>
      </c>
      <c r="K111" t="s">
        <v>112</v>
      </c>
      <c r="L111" t="s">
        <v>140</v>
      </c>
      <c r="M111">
        <v>547.58038690000001</v>
      </c>
      <c r="N111">
        <v>0</v>
      </c>
      <c r="O111" t="s">
        <v>103</v>
      </c>
      <c r="P111" s="56">
        <v>44284.525938576393</v>
      </c>
      <c r="Q111">
        <v>4237088</v>
      </c>
      <c r="R111" t="s">
        <v>98</v>
      </c>
      <c r="S111">
        <v>14.68518933</v>
      </c>
      <c r="W111"/>
      <c r="X111">
        <v>0</v>
      </c>
      <c r="AC111" t="s">
        <v>108</v>
      </c>
      <c r="AD111" s="56">
        <v>43040</v>
      </c>
    </row>
    <row r="112" spans="1:30" x14ac:dyDescent="0.3">
      <c r="A112">
        <v>446708</v>
      </c>
      <c r="B112" t="s">
        <v>165</v>
      </c>
      <c r="C112">
        <v>2017</v>
      </c>
      <c r="D112">
        <v>11</v>
      </c>
      <c r="E112" t="s">
        <v>113</v>
      </c>
      <c r="F112" t="s">
        <v>108</v>
      </c>
      <c r="G112" t="s">
        <v>108</v>
      </c>
      <c r="H112" t="s">
        <v>25</v>
      </c>
      <c r="I112" t="s">
        <v>25</v>
      </c>
      <c r="J112" t="s">
        <v>138</v>
      </c>
      <c r="K112" t="s">
        <v>114</v>
      </c>
      <c r="L112" t="s">
        <v>140</v>
      </c>
      <c r="M112">
        <v>1364.6638703399999</v>
      </c>
      <c r="N112">
        <v>0</v>
      </c>
      <c r="O112" t="s">
        <v>103</v>
      </c>
      <c r="P112" s="56">
        <v>44284.525939120373</v>
      </c>
      <c r="Q112">
        <v>4237132</v>
      </c>
      <c r="R112" t="s">
        <v>98</v>
      </c>
      <c r="S112">
        <v>36.030589689999999</v>
      </c>
      <c r="W112"/>
      <c r="X112">
        <v>0</v>
      </c>
      <c r="AC112" t="s">
        <v>108</v>
      </c>
      <c r="AD112" s="56">
        <v>43040</v>
      </c>
    </row>
    <row r="113" spans="1:30" x14ac:dyDescent="0.3">
      <c r="A113">
        <v>446686</v>
      </c>
      <c r="B113" t="s">
        <v>165</v>
      </c>
      <c r="C113">
        <v>2017</v>
      </c>
      <c r="D113">
        <v>11</v>
      </c>
      <c r="E113" t="s">
        <v>111</v>
      </c>
      <c r="F113" t="s">
        <v>108</v>
      </c>
      <c r="G113" t="s">
        <v>108</v>
      </c>
      <c r="H113" t="s">
        <v>25</v>
      </c>
      <c r="I113" t="s">
        <v>25</v>
      </c>
      <c r="J113" t="s">
        <v>138</v>
      </c>
      <c r="K113" t="s">
        <v>112</v>
      </c>
      <c r="L113" t="s">
        <v>140</v>
      </c>
      <c r="M113">
        <v>547.58038690000001</v>
      </c>
      <c r="N113">
        <v>0</v>
      </c>
      <c r="O113" t="s">
        <v>103</v>
      </c>
      <c r="P113" s="56">
        <v>44284.525938576393</v>
      </c>
      <c r="Q113">
        <v>4237087</v>
      </c>
      <c r="R113" t="s">
        <v>106</v>
      </c>
      <c r="S113">
        <v>554.50819544000001</v>
      </c>
      <c r="W113"/>
      <c r="X113">
        <v>0</v>
      </c>
      <c r="AC113" t="s">
        <v>108</v>
      </c>
      <c r="AD113" s="56">
        <v>43040</v>
      </c>
    </row>
    <row r="114" spans="1:30" x14ac:dyDescent="0.3">
      <c r="A114">
        <v>446664</v>
      </c>
      <c r="B114" t="s">
        <v>165</v>
      </c>
      <c r="C114">
        <v>2017</v>
      </c>
      <c r="D114">
        <v>11</v>
      </c>
      <c r="E114" t="s">
        <v>109</v>
      </c>
      <c r="F114" t="s">
        <v>108</v>
      </c>
      <c r="G114" t="s">
        <v>108</v>
      </c>
      <c r="H114" t="s">
        <v>25</v>
      </c>
      <c r="I114" t="s">
        <v>25</v>
      </c>
      <c r="J114" t="s">
        <v>138</v>
      </c>
      <c r="K114" t="s">
        <v>110</v>
      </c>
      <c r="L114" t="s">
        <v>140</v>
      </c>
      <c r="M114">
        <v>2041.4187845900001</v>
      </c>
      <c r="N114">
        <v>0</v>
      </c>
      <c r="O114" t="s">
        <v>103</v>
      </c>
      <c r="P114" s="56">
        <v>44284.5259379977</v>
      </c>
      <c r="Q114">
        <v>4237043</v>
      </c>
      <c r="R114" t="s">
        <v>106</v>
      </c>
      <c r="S114">
        <v>2091.6490757699999</v>
      </c>
      <c r="W114"/>
      <c r="X114">
        <v>0</v>
      </c>
      <c r="AC114" t="s">
        <v>108</v>
      </c>
      <c r="AD114" s="56">
        <v>43040</v>
      </c>
    </row>
    <row r="115" spans="1:30" x14ac:dyDescent="0.3">
      <c r="A115">
        <v>446708</v>
      </c>
      <c r="B115" t="s">
        <v>165</v>
      </c>
      <c r="C115">
        <v>2017</v>
      </c>
      <c r="D115">
        <v>11</v>
      </c>
      <c r="E115" t="s">
        <v>113</v>
      </c>
      <c r="F115" t="s">
        <v>108</v>
      </c>
      <c r="G115" t="s">
        <v>108</v>
      </c>
      <c r="H115" t="s">
        <v>25</v>
      </c>
      <c r="I115" t="s">
        <v>25</v>
      </c>
      <c r="J115" t="s">
        <v>138</v>
      </c>
      <c r="K115" t="s">
        <v>114</v>
      </c>
      <c r="L115" t="s">
        <v>140</v>
      </c>
      <c r="M115">
        <v>1364.6638703399999</v>
      </c>
      <c r="N115">
        <v>0</v>
      </c>
      <c r="O115" t="s">
        <v>103</v>
      </c>
      <c r="P115" s="56">
        <v>44284.525939120373</v>
      </c>
      <c r="Q115">
        <v>4237131</v>
      </c>
      <c r="R115" t="s">
        <v>106</v>
      </c>
      <c r="S115">
        <v>1382.4965636100001</v>
      </c>
      <c r="W115"/>
      <c r="X115">
        <v>0</v>
      </c>
      <c r="AC115" t="s">
        <v>108</v>
      </c>
      <c r="AD115" s="56">
        <v>43040</v>
      </c>
    </row>
    <row r="116" spans="1:30" x14ac:dyDescent="0.3">
      <c r="A116">
        <v>456416</v>
      </c>
      <c r="B116" t="s">
        <v>175</v>
      </c>
      <c r="C116">
        <v>2017</v>
      </c>
      <c r="D116">
        <v>12</v>
      </c>
      <c r="E116" t="s">
        <v>109</v>
      </c>
      <c r="F116" t="s">
        <v>108</v>
      </c>
      <c r="G116" t="s">
        <v>108</v>
      </c>
      <c r="H116" t="s">
        <v>25</v>
      </c>
      <c r="I116" t="s">
        <v>25</v>
      </c>
      <c r="J116" t="s">
        <v>138</v>
      </c>
      <c r="K116" t="s">
        <v>110</v>
      </c>
      <c r="L116" t="s">
        <v>140</v>
      </c>
      <c r="M116">
        <v>1221.88235865</v>
      </c>
      <c r="N116">
        <v>0</v>
      </c>
      <c r="O116" t="s">
        <v>103</v>
      </c>
      <c r="P116" s="56">
        <v>44284.526843402768</v>
      </c>
      <c r="Q116">
        <v>4320917</v>
      </c>
      <c r="R116" t="s">
        <v>98</v>
      </c>
      <c r="S116">
        <v>18.16257379</v>
      </c>
      <c r="W116"/>
      <c r="X116">
        <v>0</v>
      </c>
      <c r="AC116" t="s">
        <v>108</v>
      </c>
      <c r="AD116" s="56">
        <v>43070</v>
      </c>
    </row>
    <row r="117" spans="1:30" x14ac:dyDescent="0.3">
      <c r="A117">
        <v>456438</v>
      </c>
      <c r="B117" t="s">
        <v>175</v>
      </c>
      <c r="C117">
        <v>2017</v>
      </c>
      <c r="D117">
        <v>12</v>
      </c>
      <c r="E117" t="s">
        <v>111</v>
      </c>
      <c r="F117" t="s">
        <v>108</v>
      </c>
      <c r="G117" t="s">
        <v>108</v>
      </c>
      <c r="H117" t="s">
        <v>25</v>
      </c>
      <c r="I117" t="s">
        <v>25</v>
      </c>
      <c r="J117" t="s">
        <v>138</v>
      </c>
      <c r="K117" t="s">
        <v>112</v>
      </c>
      <c r="L117" t="s">
        <v>140</v>
      </c>
      <c r="M117">
        <v>326.92489831</v>
      </c>
      <c r="N117">
        <v>0</v>
      </c>
      <c r="O117" t="s">
        <v>103</v>
      </c>
      <c r="P117" s="56">
        <v>44284.5268440625</v>
      </c>
      <c r="Q117">
        <v>4320961</v>
      </c>
      <c r="R117" t="s">
        <v>98</v>
      </c>
      <c r="S117">
        <v>8.7675785000000008</v>
      </c>
      <c r="W117"/>
      <c r="X117">
        <v>0</v>
      </c>
      <c r="AC117" t="s">
        <v>108</v>
      </c>
      <c r="AD117" s="56">
        <v>43070</v>
      </c>
    </row>
    <row r="118" spans="1:30" x14ac:dyDescent="0.3">
      <c r="A118">
        <v>456460</v>
      </c>
      <c r="B118" t="s">
        <v>175</v>
      </c>
      <c r="C118">
        <v>2017</v>
      </c>
      <c r="D118">
        <v>12</v>
      </c>
      <c r="E118" t="s">
        <v>113</v>
      </c>
      <c r="F118" t="s">
        <v>108</v>
      </c>
      <c r="G118" t="s">
        <v>108</v>
      </c>
      <c r="H118" t="s">
        <v>25</v>
      </c>
      <c r="I118" t="s">
        <v>25</v>
      </c>
      <c r="J118" t="s">
        <v>138</v>
      </c>
      <c r="K118" t="s">
        <v>114</v>
      </c>
      <c r="L118" t="s">
        <v>140</v>
      </c>
      <c r="M118">
        <v>577.39533010000002</v>
      </c>
      <c r="N118">
        <v>0</v>
      </c>
      <c r="O118" t="s">
        <v>103</v>
      </c>
      <c r="P118" s="56">
        <v>44284.52684471065</v>
      </c>
      <c r="Q118">
        <v>4321005</v>
      </c>
      <c r="R118" t="s">
        <v>98</v>
      </c>
      <c r="S118">
        <v>15.244702139999999</v>
      </c>
      <c r="W118"/>
      <c r="X118">
        <v>0</v>
      </c>
      <c r="AC118" t="s">
        <v>108</v>
      </c>
      <c r="AD118" s="56">
        <v>43070</v>
      </c>
    </row>
    <row r="119" spans="1:30" x14ac:dyDescent="0.3">
      <c r="A119">
        <v>456438</v>
      </c>
      <c r="B119" t="s">
        <v>175</v>
      </c>
      <c r="C119">
        <v>2017</v>
      </c>
      <c r="D119">
        <v>12</v>
      </c>
      <c r="E119" t="s">
        <v>111</v>
      </c>
      <c r="F119" t="s">
        <v>108</v>
      </c>
      <c r="G119" t="s">
        <v>108</v>
      </c>
      <c r="H119" t="s">
        <v>25</v>
      </c>
      <c r="I119" t="s">
        <v>25</v>
      </c>
      <c r="J119" t="s">
        <v>138</v>
      </c>
      <c r="K119" t="s">
        <v>112</v>
      </c>
      <c r="L119" t="s">
        <v>140</v>
      </c>
      <c r="M119">
        <v>326.92489831</v>
      </c>
      <c r="N119">
        <v>0</v>
      </c>
      <c r="O119" t="s">
        <v>103</v>
      </c>
      <c r="P119" s="56">
        <v>44284.5268440625</v>
      </c>
      <c r="Q119">
        <v>4320960</v>
      </c>
      <c r="R119" t="s">
        <v>106</v>
      </c>
      <c r="S119">
        <v>331.06104555000002</v>
      </c>
      <c r="W119"/>
      <c r="X119">
        <v>0</v>
      </c>
      <c r="AC119" t="s">
        <v>108</v>
      </c>
      <c r="AD119" s="56">
        <v>43070</v>
      </c>
    </row>
    <row r="120" spans="1:30" x14ac:dyDescent="0.3">
      <c r="A120">
        <v>456460</v>
      </c>
      <c r="B120" t="s">
        <v>175</v>
      </c>
      <c r="C120">
        <v>2017</v>
      </c>
      <c r="D120">
        <v>12</v>
      </c>
      <c r="E120" t="s">
        <v>113</v>
      </c>
      <c r="F120" t="s">
        <v>108</v>
      </c>
      <c r="G120" t="s">
        <v>108</v>
      </c>
      <c r="H120" t="s">
        <v>25</v>
      </c>
      <c r="I120" t="s">
        <v>25</v>
      </c>
      <c r="J120" t="s">
        <v>138</v>
      </c>
      <c r="K120" t="s">
        <v>114</v>
      </c>
      <c r="L120" t="s">
        <v>140</v>
      </c>
      <c r="M120">
        <v>577.39533010000002</v>
      </c>
      <c r="N120">
        <v>0</v>
      </c>
      <c r="O120" t="s">
        <v>103</v>
      </c>
      <c r="P120" s="56">
        <v>44284.52684471065</v>
      </c>
      <c r="Q120">
        <v>4321004</v>
      </c>
      <c r="R120" t="s">
        <v>106</v>
      </c>
      <c r="S120">
        <v>584.94042162999995</v>
      </c>
      <c r="W120"/>
      <c r="X120">
        <v>0</v>
      </c>
      <c r="AC120" t="s">
        <v>108</v>
      </c>
      <c r="AD120" s="56">
        <v>43070</v>
      </c>
    </row>
    <row r="121" spans="1:30" x14ac:dyDescent="0.3">
      <c r="A121">
        <v>456416</v>
      </c>
      <c r="B121" t="s">
        <v>175</v>
      </c>
      <c r="C121">
        <v>2017</v>
      </c>
      <c r="D121">
        <v>12</v>
      </c>
      <c r="E121" t="s">
        <v>109</v>
      </c>
      <c r="F121" t="s">
        <v>108</v>
      </c>
      <c r="G121" t="s">
        <v>108</v>
      </c>
      <c r="H121" t="s">
        <v>25</v>
      </c>
      <c r="I121" t="s">
        <v>25</v>
      </c>
      <c r="J121" t="s">
        <v>138</v>
      </c>
      <c r="K121" t="s">
        <v>110</v>
      </c>
      <c r="L121" t="s">
        <v>140</v>
      </c>
      <c r="M121">
        <v>1221.88235865</v>
      </c>
      <c r="N121">
        <v>0</v>
      </c>
      <c r="O121" t="s">
        <v>103</v>
      </c>
      <c r="P121" s="56">
        <v>44284.526843402768</v>
      </c>
      <c r="Q121">
        <v>4320916</v>
      </c>
      <c r="R121" t="s">
        <v>106</v>
      </c>
      <c r="S121">
        <v>1251.9474815599999</v>
      </c>
      <c r="W121"/>
      <c r="X121">
        <v>0</v>
      </c>
      <c r="AC121" t="s">
        <v>108</v>
      </c>
      <c r="AD121" s="56">
        <v>43070</v>
      </c>
    </row>
    <row r="122" spans="1:30" x14ac:dyDescent="0.3">
      <c r="A122">
        <v>38591</v>
      </c>
      <c r="B122" t="s">
        <v>156</v>
      </c>
      <c r="C122">
        <v>2018</v>
      </c>
      <c r="D122">
        <v>1</v>
      </c>
      <c r="E122" t="s">
        <v>113</v>
      </c>
      <c r="F122" t="s">
        <v>108</v>
      </c>
      <c r="G122" t="s">
        <v>108</v>
      </c>
      <c r="H122" t="s">
        <v>25</v>
      </c>
      <c r="I122" t="s">
        <v>25</v>
      </c>
      <c r="J122" t="s">
        <v>138</v>
      </c>
      <c r="K122" t="s">
        <v>114</v>
      </c>
      <c r="L122" t="s">
        <v>140</v>
      </c>
      <c r="M122">
        <v>1063.1400695499999</v>
      </c>
      <c r="N122">
        <v>0</v>
      </c>
      <c r="O122" t="s">
        <v>103</v>
      </c>
      <c r="P122" s="56">
        <v>44269.841714548609</v>
      </c>
      <c r="Q122">
        <v>327830</v>
      </c>
      <c r="R122" t="s">
        <v>98</v>
      </c>
      <c r="S122">
        <v>27.84811478</v>
      </c>
      <c r="W122"/>
      <c r="X122">
        <v>0</v>
      </c>
      <c r="AC122" t="s">
        <v>108</v>
      </c>
      <c r="AD122" s="56">
        <v>43101</v>
      </c>
    </row>
    <row r="123" spans="1:30" x14ac:dyDescent="0.3">
      <c r="A123">
        <v>38568</v>
      </c>
      <c r="B123" t="s">
        <v>156</v>
      </c>
      <c r="C123">
        <v>2018</v>
      </c>
      <c r="D123">
        <v>1</v>
      </c>
      <c r="E123" t="s">
        <v>111</v>
      </c>
      <c r="F123" t="s">
        <v>108</v>
      </c>
      <c r="G123" t="s">
        <v>108</v>
      </c>
      <c r="H123" t="s">
        <v>25</v>
      </c>
      <c r="I123" t="s">
        <v>25</v>
      </c>
      <c r="J123" t="s">
        <v>138</v>
      </c>
      <c r="K123" t="s">
        <v>112</v>
      </c>
      <c r="L123" t="s">
        <v>140</v>
      </c>
      <c r="M123">
        <v>892.08334261000005</v>
      </c>
      <c r="N123">
        <v>0</v>
      </c>
      <c r="O123" t="s">
        <v>103</v>
      </c>
      <c r="P123" s="56">
        <v>44269.841713576388</v>
      </c>
      <c r="Q123">
        <v>327784</v>
      </c>
      <c r="R123" t="s">
        <v>98</v>
      </c>
      <c r="S123">
        <v>23.73540972</v>
      </c>
      <c r="W123"/>
      <c r="X123">
        <v>0</v>
      </c>
      <c r="AC123" t="s">
        <v>108</v>
      </c>
      <c r="AD123" s="56">
        <v>43101</v>
      </c>
    </row>
    <row r="124" spans="1:30" x14ac:dyDescent="0.3">
      <c r="A124">
        <v>38545</v>
      </c>
      <c r="B124" t="s">
        <v>156</v>
      </c>
      <c r="C124">
        <v>2018</v>
      </c>
      <c r="D124">
        <v>1</v>
      </c>
      <c r="E124" t="s">
        <v>109</v>
      </c>
      <c r="F124" t="s">
        <v>108</v>
      </c>
      <c r="G124" t="s">
        <v>108</v>
      </c>
      <c r="H124" t="s">
        <v>25</v>
      </c>
      <c r="I124" t="s">
        <v>25</v>
      </c>
      <c r="J124" t="s">
        <v>138</v>
      </c>
      <c r="K124" t="s">
        <v>110</v>
      </c>
      <c r="L124" t="s">
        <v>140</v>
      </c>
      <c r="M124">
        <v>2934.8747129799999</v>
      </c>
      <c r="N124">
        <v>0</v>
      </c>
      <c r="O124" t="s">
        <v>103</v>
      </c>
      <c r="P124" s="56">
        <v>44269.841712766203</v>
      </c>
      <c r="Q124">
        <v>327738</v>
      </c>
      <c r="R124" t="s">
        <v>98</v>
      </c>
      <c r="S124">
        <v>43.280991440000001</v>
      </c>
      <c r="W124"/>
      <c r="X124">
        <v>0</v>
      </c>
      <c r="AC124" t="s">
        <v>108</v>
      </c>
      <c r="AD124" s="56">
        <v>43101</v>
      </c>
    </row>
    <row r="125" spans="1:30" x14ac:dyDescent="0.3">
      <c r="A125">
        <v>38568</v>
      </c>
      <c r="B125" t="s">
        <v>156</v>
      </c>
      <c r="C125">
        <v>2018</v>
      </c>
      <c r="D125">
        <v>1</v>
      </c>
      <c r="E125" t="s">
        <v>111</v>
      </c>
      <c r="F125" t="s">
        <v>108</v>
      </c>
      <c r="G125" t="s">
        <v>108</v>
      </c>
      <c r="H125" t="s">
        <v>25</v>
      </c>
      <c r="I125" t="s">
        <v>25</v>
      </c>
      <c r="J125" t="s">
        <v>138</v>
      </c>
      <c r="K125" t="s">
        <v>112</v>
      </c>
      <c r="L125" t="s">
        <v>140</v>
      </c>
      <c r="M125">
        <v>892.08334261000005</v>
      </c>
      <c r="N125">
        <v>0</v>
      </c>
      <c r="O125" t="s">
        <v>103</v>
      </c>
      <c r="P125" s="56">
        <v>44269.841713576388</v>
      </c>
      <c r="Q125">
        <v>327783</v>
      </c>
      <c r="R125" t="s">
        <v>106</v>
      </c>
      <c r="S125">
        <v>896.24171113</v>
      </c>
      <c r="W125"/>
      <c r="X125">
        <v>0</v>
      </c>
      <c r="AC125" t="s">
        <v>108</v>
      </c>
      <c r="AD125" s="56">
        <v>43101</v>
      </c>
    </row>
    <row r="126" spans="1:30" x14ac:dyDescent="0.3">
      <c r="A126">
        <v>38591</v>
      </c>
      <c r="B126" t="s">
        <v>156</v>
      </c>
      <c r="C126">
        <v>2018</v>
      </c>
      <c r="D126">
        <v>1</v>
      </c>
      <c r="E126" t="s">
        <v>113</v>
      </c>
      <c r="F126" t="s">
        <v>108</v>
      </c>
      <c r="G126" t="s">
        <v>108</v>
      </c>
      <c r="H126" t="s">
        <v>25</v>
      </c>
      <c r="I126" t="s">
        <v>25</v>
      </c>
      <c r="J126" t="s">
        <v>138</v>
      </c>
      <c r="K126" t="s">
        <v>114</v>
      </c>
      <c r="L126" t="s">
        <v>140</v>
      </c>
      <c r="M126">
        <v>1063.1400695499999</v>
      </c>
      <c r="N126">
        <v>0</v>
      </c>
      <c r="O126" t="s">
        <v>103</v>
      </c>
      <c r="P126" s="56">
        <v>44269.841714548609</v>
      </c>
      <c r="Q126">
        <v>327829</v>
      </c>
      <c r="R126" t="s">
        <v>106</v>
      </c>
      <c r="S126">
        <v>1068.53435704</v>
      </c>
      <c r="W126"/>
      <c r="X126">
        <v>0</v>
      </c>
      <c r="AC126" t="s">
        <v>108</v>
      </c>
      <c r="AD126" s="56">
        <v>43101</v>
      </c>
    </row>
    <row r="127" spans="1:30" x14ac:dyDescent="0.3">
      <c r="A127">
        <v>38545</v>
      </c>
      <c r="B127" t="s">
        <v>156</v>
      </c>
      <c r="C127">
        <v>2018</v>
      </c>
      <c r="D127">
        <v>1</v>
      </c>
      <c r="E127" t="s">
        <v>109</v>
      </c>
      <c r="F127" t="s">
        <v>108</v>
      </c>
      <c r="G127" t="s">
        <v>108</v>
      </c>
      <c r="H127" t="s">
        <v>25</v>
      </c>
      <c r="I127" t="s">
        <v>25</v>
      </c>
      <c r="J127" t="s">
        <v>138</v>
      </c>
      <c r="K127" t="s">
        <v>110</v>
      </c>
      <c r="L127" t="s">
        <v>140</v>
      </c>
      <c r="M127">
        <v>2934.8747129799999</v>
      </c>
      <c r="N127">
        <v>0</v>
      </c>
      <c r="O127" t="s">
        <v>103</v>
      </c>
      <c r="P127" s="56">
        <v>44269.841712766203</v>
      </c>
      <c r="Q127">
        <v>327737</v>
      </c>
      <c r="R127" t="s">
        <v>106</v>
      </c>
      <c r="S127">
        <v>2983.3617666300001</v>
      </c>
      <c r="W127"/>
      <c r="X127">
        <v>0</v>
      </c>
      <c r="AC127" t="s">
        <v>108</v>
      </c>
      <c r="AD127" s="56">
        <v>43101</v>
      </c>
    </row>
    <row r="128" spans="1:30" x14ac:dyDescent="0.3">
      <c r="A128">
        <v>51320</v>
      </c>
      <c r="B128" t="s">
        <v>154</v>
      </c>
      <c r="C128">
        <v>2018</v>
      </c>
      <c r="D128">
        <v>2</v>
      </c>
      <c r="E128" t="s">
        <v>109</v>
      </c>
      <c r="F128" t="s">
        <v>108</v>
      </c>
      <c r="G128" t="s">
        <v>108</v>
      </c>
      <c r="H128" t="s">
        <v>25</v>
      </c>
      <c r="I128" t="s">
        <v>25</v>
      </c>
      <c r="J128" t="s">
        <v>138</v>
      </c>
      <c r="K128" t="s">
        <v>110</v>
      </c>
      <c r="L128" t="s">
        <v>140</v>
      </c>
      <c r="M128">
        <v>2992.3278786400001</v>
      </c>
      <c r="N128">
        <v>0</v>
      </c>
      <c r="O128" t="s">
        <v>103</v>
      </c>
      <c r="P128" s="56">
        <v>44269.843124270832</v>
      </c>
      <c r="Q128">
        <v>446370</v>
      </c>
      <c r="R128" t="s">
        <v>98</v>
      </c>
      <c r="S128">
        <v>44.320619090000001</v>
      </c>
      <c r="W128"/>
      <c r="X128">
        <v>0</v>
      </c>
      <c r="AC128" t="s">
        <v>108</v>
      </c>
      <c r="AD128" s="56">
        <v>43132</v>
      </c>
    </row>
    <row r="129" spans="1:30" x14ac:dyDescent="0.3">
      <c r="A129">
        <v>51364</v>
      </c>
      <c r="B129" t="s">
        <v>154</v>
      </c>
      <c r="C129">
        <v>2018</v>
      </c>
      <c r="D129">
        <v>2</v>
      </c>
      <c r="E129" t="s">
        <v>113</v>
      </c>
      <c r="F129" t="s">
        <v>108</v>
      </c>
      <c r="G129" t="s">
        <v>108</v>
      </c>
      <c r="H129" t="s">
        <v>25</v>
      </c>
      <c r="I129" t="s">
        <v>25</v>
      </c>
      <c r="J129" t="s">
        <v>138</v>
      </c>
      <c r="K129" t="s">
        <v>114</v>
      </c>
      <c r="L129" t="s">
        <v>140</v>
      </c>
      <c r="M129">
        <v>1043.8948492300001</v>
      </c>
      <c r="N129">
        <v>0</v>
      </c>
      <c r="O129" t="s">
        <v>103</v>
      </c>
      <c r="P129" s="56">
        <v>44269.843125613428</v>
      </c>
      <c r="Q129">
        <v>446458</v>
      </c>
      <c r="R129" t="s">
        <v>98</v>
      </c>
      <c r="S129">
        <v>27.463195800000001</v>
      </c>
      <c r="W129"/>
      <c r="X129">
        <v>0</v>
      </c>
      <c r="AC129" t="s">
        <v>108</v>
      </c>
      <c r="AD129" s="56">
        <v>43132</v>
      </c>
    </row>
    <row r="130" spans="1:30" x14ac:dyDescent="0.3">
      <c r="A130">
        <v>51342</v>
      </c>
      <c r="B130" t="s">
        <v>154</v>
      </c>
      <c r="C130">
        <v>2018</v>
      </c>
      <c r="D130">
        <v>2</v>
      </c>
      <c r="E130" t="s">
        <v>111</v>
      </c>
      <c r="F130" t="s">
        <v>108</v>
      </c>
      <c r="G130" t="s">
        <v>108</v>
      </c>
      <c r="H130" t="s">
        <v>25</v>
      </c>
      <c r="I130" t="s">
        <v>25</v>
      </c>
      <c r="J130" t="s">
        <v>138</v>
      </c>
      <c r="K130" t="s">
        <v>112</v>
      </c>
      <c r="L130" t="s">
        <v>140</v>
      </c>
      <c r="M130">
        <v>828.89142677999996</v>
      </c>
      <c r="N130">
        <v>0</v>
      </c>
      <c r="O130" t="s">
        <v>103</v>
      </c>
      <c r="P130" s="56">
        <v>44269.843124965279</v>
      </c>
      <c r="Q130">
        <v>446414</v>
      </c>
      <c r="R130" t="s">
        <v>98</v>
      </c>
      <c r="S130">
        <v>22.150215490000001</v>
      </c>
      <c r="W130"/>
      <c r="X130">
        <v>0</v>
      </c>
      <c r="AC130" t="s">
        <v>108</v>
      </c>
      <c r="AD130" s="56">
        <v>43132</v>
      </c>
    </row>
    <row r="131" spans="1:30" x14ac:dyDescent="0.3">
      <c r="A131">
        <v>51364</v>
      </c>
      <c r="B131" t="s">
        <v>154</v>
      </c>
      <c r="C131">
        <v>2018</v>
      </c>
      <c r="D131">
        <v>2</v>
      </c>
      <c r="E131" t="s">
        <v>113</v>
      </c>
      <c r="F131" t="s">
        <v>108</v>
      </c>
      <c r="G131" t="s">
        <v>108</v>
      </c>
      <c r="H131" t="s">
        <v>25</v>
      </c>
      <c r="I131" t="s">
        <v>25</v>
      </c>
      <c r="J131" t="s">
        <v>138</v>
      </c>
      <c r="K131" t="s">
        <v>114</v>
      </c>
      <c r="L131" t="s">
        <v>140</v>
      </c>
      <c r="M131">
        <v>1043.8948492300001</v>
      </c>
      <c r="N131">
        <v>0</v>
      </c>
      <c r="O131" t="s">
        <v>103</v>
      </c>
      <c r="P131" s="56">
        <v>44269.843125613428</v>
      </c>
      <c r="Q131">
        <v>446457</v>
      </c>
      <c r="R131" t="s">
        <v>106</v>
      </c>
      <c r="S131">
        <v>1053.7649853099999</v>
      </c>
      <c r="W131"/>
      <c r="X131">
        <v>0</v>
      </c>
      <c r="AC131" t="s">
        <v>108</v>
      </c>
      <c r="AD131" s="56">
        <v>43132</v>
      </c>
    </row>
    <row r="132" spans="1:30" x14ac:dyDescent="0.3">
      <c r="A132">
        <v>51342</v>
      </c>
      <c r="B132" t="s">
        <v>154</v>
      </c>
      <c r="C132">
        <v>2018</v>
      </c>
      <c r="D132">
        <v>2</v>
      </c>
      <c r="E132" t="s">
        <v>111</v>
      </c>
      <c r="F132" t="s">
        <v>108</v>
      </c>
      <c r="G132" t="s">
        <v>108</v>
      </c>
      <c r="H132" t="s">
        <v>25</v>
      </c>
      <c r="I132" t="s">
        <v>25</v>
      </c>
      <c r="J132" t="s">
        <v>138</v>
      </c>
      <c r="K132" t="s">
        <v>112</v>
      </c>
      <c r="L132" t="s">
        <v>140</v>
      </c>
      <c r="M132">
        <v>828.89142677999996</v>
      </c>
      <c r="N132">
        <v>0</v>
      </c>
      <c r="O132" t="s">
        <v>103</v>
      </c>
      <c r="P132" s="56">
        <v>44269.843124965279</v>
      </c>
      <c r="Q132">
        <v>446413</v>
      </c>
      <c r="R132" t="s">
        <v>106</v>
      </c>
      <c r="S132">
        <v>836.38526859000001</v>
      </c>
      <c r="W132"/>
      <c r="X132">
        <v>0</v>
      </c>
      <c r="AC132" t="s">
        <v>108</v>
      </c>
      <c r="AD132" s="56">
        <v>43132</v>
      </c>
    </row>
    <row r="133" spans="1:30" x14ac:dyDescent="0.3">
      <c r="A133">
        <v>51320</v>
      </c>
      <c r="B133" t="s">
        <v>154</v>
      </c>
      <c r="C133">
        <v>2018</v>
      </c>
      <c r="D133">
        <v>2</v>
      </c>
      <c r="E133" t="s">
        <v>109</v>
      </c>
      <c r="F133" t="s">
        <v>108</v>
      </c>
      <c r="G133" t="s">
        <v>108</v>
      </c>
      <c r="H133" t="s">
        <v>25</v>
      </c>
      <c r="I133" t="s">
        <v>25</v>
      </c>
      <c r="J133" t="s">
        <v>138</v>
      </c>
      <c r="K133" t="s">
        <v>110</v>
      </c>
      <c r="L133" t="s">
        <v>140</v>
      </c>
      <c r="M133">
        <v>2992.3278786400001</v>
      </c>
      <c r="N133">
        <v>0</v>
      </c>
      <c r="O133" t="s">
        <v>103</v>
      </c>
      <c r="P133" s="56">
        <v>44269.843124270832</v>
      </c>
      <c r="Q133">
        <v>446369</v>
      </c>
      <c r="R133" t="s">
        <v>106</v>
      </c>
      <c r="S133">
        <v>3055.02337317</v>
      </c>
      <c r="W133"/>
      <c r="X133">
        <v>0</v>
      </c>
      <c r="AC133" t="s">
        <v>108</v>
      </c>
      <c r="AD133" s="56">
        <v>43132</v>
      </c>
    </row>
    <row r="134" spans="1:30" x14ac:dyDescent="0.3">
      <c r="A134">
        <v>63558</v>
      </c>
      <c r="B134" t="s">
        <v>155</v>
      </c>
      <c r="C134">
        <v>2018</v>
      </c>
      <c r="D134">
        <v>3</v>
      </c>
      <c r="E134" t="s">
        <v>109</v>
      </c>
      <c r="F134" t="s">
        <v>108</v>
      </c>
      <c r="G134" t="s">
        <v>108</v>
      </c>
      <c r="H134" t="s">
        <v>25</v>
      </c>
      <c r="I134" t="s">
        <v>25</v>
      </c>
      <c r="J134" t="s">
        <v>138</v>
      </c>
      <c r="K134" t="s">
        <v>110</v>
      </c>
      <c r="L134" t="s">
        <v>140</v>
      </c>
      <c r="M134">
        <v>2918.7091952800001</v>
      </c>
      <c r="N134">
        <v>0</v>
      </c>
      <c r="O134" t="s">
        <v>103</v>
      </c>
      <c r="P134" s="56">
        <v>44269.844469872682</v>
      </c>
      <c r="Q134">
        <v>560913</v>
      </c>
      <c r="R134" t="s">
        <v>98</v>
      </c>
      <c r="S134">
        <v>42.925512990000001</v>
      </c>
      <c r="W134"/>
      <c r="X134">
        <v>0</v>
      </c>
      <c r="AC134" t="s">
        <v>108</v>
      </c>
      <c r="AD134" s="56">
        <v>43160</v>
      </c>
    </row>
    <row r="135" spans="1:30" x14ac:dyDescent="0.3">
      <c r="A135">
        <v>63581</v>
      </c>
      <c r="B135" t="s">
        <v>155</v>
      </c>
      <c r="C135">
        <v>2018</v>
      </c>
      <c r="D135">
        <v>3</v>
      </c>
      <c r="E135" t="s">
        <v>111</v>
      </c>
      <c r="F135" t="s">
        <v>108</v>
      </c>
      <c r="G135" t="s">
        <v>108</v>
      </c>
      <c r="H135" t="s">
        <v>25</v>
      </c>
      <c r="I135" t="s">
        <v>25</v>
      </c>
      <c r="J135" t="s">
        <v>138</v>
      </c>
      <c r="K135" t="s">
        <v>112</v>
      </c>
      <c r="L135" t="s">
        <v>140</v>
      </c>
      <c r="M135">
        <v>681.39686511000002</v>
      </c>
      <c r="N135">
        <v>0</v>
      </c>
      <c r="O135" t="s">
        <v>103</v>
      </c>
      <c r="P135" s="56">
        <v>44269.844470682867</v>
      </c>
      <c r="Q135">
        <v>560959</v>
      </c>
      <c r="R135" t="s">
        <v>98</v>
      </c>
      <c r="S135">
        <v>18.080418030000001</v>
      </c>
      <c r="W135"/>
      <c r="X135">
        <v>0</v>
      </c>
      <c r="AC135" t="s">
        <v>108</v>
      </c>
      <c r="AD135" s="56">
        <v>43160</v>
      </c>
    </row>
    <row r="136" spans="1:30" x14ac:dyDescent="0.3">
      <c r="A136">
        <v>63604</v>
      </c>
      <c r="B136" t="s">
        <v>155</v>
      </c>
      <c r="C136">
        <v>2018</v>
      </c>
      <c r="D136">
        <v>3</v>
      </c>
      <c r="E136" t="s">
        <v>113</v>
      </c>
      <c r="F136" t="s">
        <v>108</v>
      </c>
      <c r="G136" t="s">
        <v>108</v>
      </c>
      <c r="H136" t="s">
        <v>25</v>
      </c>
      <c r="I136" t="s">
        <v>25</v>
      </c>
      <c r="J136" t="s">
        <v>138</v>
      </c>
      <c r="K136" t="s">
        <v>114</v>
      </c>
      <c r="L136" t="s">
        <v>140</v>
      </c>
      <c r="M136">
        <v>1101.95310419</v>
      </c>
      <c r="N136">
        <v>0</v>
      </c>
      <c r="O136" t="s">
        <v>103</v>
      </c>
      <c r="P136" s="56">
        <v>44269.844471643519</v>
      </c>
      <c r="Q136">
        <v>561005</v>
      </c>
      <c r="R136" t="s">
        <v>98</v>
      </c>
      <c r="S136">
        <v>28.786274299999999</v>
      </c>
      <c r="W136"/>
      <c r="X136">
        <v>0</v>
      </c>
      <c r="AC136" t="s">
        <v>108</v>
      </c>
      <c r="AD136" s="56">
        <v>43160</v>
      </c>
    </row>
    <row r="137" spans="1:30" x14ac:dyDescent="0.3">
      <c r="A137">
        <v>63604</v>
      </c>
      <c r="B137" t="s">
        <v>155</v>
      </c>
      <c r="C137">
        <v>2018</v>
      </c>
      <c r="D137">
        <v>3</v>
      </c>
      <c r="E137" t="s">
        <v>113</v>
      </c>
      <c r="F137" t="s">
        <v>108</v>
      </c>
      <c r="G137" t="s">
        <v>108</v>
      </c>
      <c r="H137" t="s">
        <v>25</v>
      </c>
      <c r="I137" t="s">
        <v>25</v>
      </c>
      <c r="J137" t="s">
        <v>138</v>
      </c>
      <c r="K137" t="s">
        <v>114</v>
      </c>
      <c r="L137" t="s">
        <v>140</v>
      </c>
      <c r="M137">
        <v>1101.95310419</v>
      </c>
      <c r="N137">
        <v>0</v>
      </c>
      <c r="O137" t="s">
        <v>103</v>
      </c>
      <c r="P137" s="56">
        <v>44269.844471643519</v>
      </c>
      <c r="Q137">
        <v>561004</v>
      </c>
      <c r="R137" t="s">
        <v>106</v>
      </c>
      <c r="S137">
        <v>1104.53161153</v>
      </c>
      <c r="W137"/>
      <c r="X137">
        <v>0</v>
      </c>
      <c r="AC137" t="s">
        <v>108</v>
      </c>
      <c r="AD137" s="56">
        <v>43160</v>
      </c>
    </row>
    <row r="138" spans="1:30" x14ac:dyDescent="0.3">
      <c r="A138">
        <v>63558</v>
      </c>
      <c r="B138" t="s">
        <v>155</v>
      </c>
      <c r="C138">
        <v>2018</v>
      </c>
      <c r="D138">
        <v>3</v>
      </c>
      <c r="E138" t="s">
        <v>109</v>
      </c>
      <c r="F138" t="s">
        <v>108</v>
      </c>
      <c r="G138" t="s">
        <v>108</v>
      </c>
      <c r="H138" t="s">
        <v>25</v>
      </c>
      <c r="I138" t="s">
        <v>25</v>
      </c>
      <c r="J138" t="s">
        <v>138</v>
      </c>
      <c r="K138" t="s">
        <v>110</v>
      </c>
      <c r="L138" t="s">
        <v>140</v>
      </c>
      <c r="M138">
        <v>2918.7091952800001</v>
      </c>
      <c r="N138">
        <v>0</v>
      </c>
      <c r="O138" t="s">
        <v>103</v>
      </c>
      <c r="P138" s="56">
        <v>44269.844469872682</v>
      </c>
      <c r="Q138">
        <v>560912</v>
      </c>
      <c r="R138" t="s">
        <v>106</v>
      </c>
      <c r="S138">
        <v>2958.8586119199999</v>
      </c>
      <c r="W138"/>
      <c r="X138">
        <v>0</v>
      </c>
      <c r="AC138" t="s">
        <v>108</v>
      </c>
      <c r="AD138" s="56">
        <v>43160</v>
      </c>
    </row>
    <row r="139" spans="1:30" x14ac:dyDescent="0.3">
      <c r="A139">
        <v>63581</v>
      </c>
      <c r="B139" t="s">
        <v>155</v>
      </c>
      <c r="C139">
        <v>2018</v>
      </c>
      <c r="D139">
        <v>3</v>
      </c>
      <c r="E139" t="s">
        <v>111</v>
      </c>
      <c r="F139" t="s">
        <v>108</v>
      </c>
      <c r="G139" t="s">
        <v>108</v>
      </c>
      <c r="H139" t="s">
        <v>25</v>
      </c>
      <c r="I139" t="s">
        <v>25</v>
      </c>
      <c r="J139" t="s">
        <v>138</v>
      </c>
      <c r="K139" t="s">
        <v>112</v>
      </c>
      <c r="L139" t="s">
        <v>140</v>
      </c>
      <c r="M139">
        <v>681.39686511000002</v>
      </c>
      <c r="N139">
        <v>0</v>
      </c>
      <c r="O139" t="s">
        <v>103</v>
      </c>
      <c r="P139" s="56">
        <v>44269.844470682867</v>
      </c>
      <c r="Q139">
        <v>560958</v>
      </c>
      <c r="R139" t="s">
        <v>106</v>
      </c>
      <c r="S139">
        <v>682.71097830999997</v>
      </c>
      <c r="W139"/>
      <c r="X139">
        <v>0</v>
      </c>
      <c r="AC139" t="s">
        <v>108</v>
      </c>
      <c r="AD139" s="56">
        <v>43160</v>
      </c>
    </row>
    <row r="140" spans="1:30" x14ac:dyDescent="0.3">
      <c r="A140">
        <v>339851</v>
      </c>
      <c r="B140" t="s">
        <v>149</v>
      </c>
      <c r="C140">
        <v>2018</v>
      </c>
      <c r="D140">
        <v>4</v>
      </c>
      <c r="E140" t="s">
        <v>109</v>
      </c>
      <c r="F140" t="s">
        <v>108</v>
      </c>
      <c r="G140" t="s">
        <v>108</v>
      </c>
      <c r="H140" t="s">
        <v>25</v>
      </c>
      <c r="I140" t="s">
        <v>25</v>
      </c>
      <c r="J140" t="s">
        <v>138</v>
      </c>
      <c r="K140" t="s">
        <v>110</v>
      </c>
      <c r="L140" t="s">
        <v>140</v>
      </c>
      <c r="M140">
        <v>2217.9983667299998</v>
      </c>
      <c r="N140">
        <v>0</v>
      </c>
      <c r="O140" t="s">
        <v>103</v>
      </c>
      <c r="P140" s="56">
        <v>44269.88311489582</v>
      </c>
      <c r="Q140">
        <v>3217137</v>
      </c>
      <c r="R140" t="s">
        <v>98</v>
      </c>
      <c r="S140">
        <v>32.708752820000001</v>
      </c>
      <c r="W140"/>
      <c r="X140">
        <v>0</v>
      </c>
      <c r="AC140" t="s">
        <v>108</v>
      </c>
      <c r="AD140" s="56">
        <v>43191</v>
      </c>
    </row>
    <row r="141" spans="1:30" x14ac:dyDescent="0.3">
      <c r="A141">
        <v>339874</v>
      </c>
      <c r="B141" t="s">
        <v>149</v>
      </c>
      <c r="C141">
        <v>2018</v>
      </c>
      <c r="D141">
        <v>4</v>
      </c>
      <c r="E141" t="s">
        <v>111</v>
      </c>
      <c r="F141" t="s">
        <v>108</v>
      </c>
      <c r="G141" t="s">
        <v>108</v>
      </c>
      <c r="H141" t="s">
        <v>25</v>
      </c>
      <c r="I141" t="s">
        <v>25</v>
      </c>
      <c r="J141" t="s">
        <v>138</v>
      </c>
      <c r="K141" t="s">
        <v>112</v>
      </c>
      <c r="L141" t="s">
        <v>140</v>
      </c>
      <c r="M141">
        <v>395.73036543000001</v>
      </c>
      <c r="N141">
        <v>0</v>
      </c>
      <c r="O141" t="s">
        <v>103</v>
      </c>
      <c r="P141" s="56">
        <v>44269.883115474528</v>
      </c>
      <c r="Q141">
        <v>3217183</v>
      </c>
      <c r="R141" t="s">
        <v>98</v>
      </c>
      <c r="S141">
        <v>10.528968040000001</v>
      </c>
      <c r="W141"/>
      <c r="X141">
        <v>0</v>
      </c>
      <c r="AC141" t="s">
        <v>108</v>
      </c>
      <c r="AD141" s="56">
        <v>43191</v>
      </c>
    </row>
    <row r="142" spans="1:30" x14ac:dyDescent="0.3">
      <c r="A142">
        <v>339897</v>
      </c>
      <c r="B142" t="s">
        <v>149</v>
      </c>
      <c r="C142">
        <v>2018</v>
      </c>
      <c r="D142">
        <v>4</v>
      </c>
      <c r="E142" t="s">
        <v>113</v>
      </c>
      <c r="F142" t="s">
        <v>108</v>
      </c>
      <c r="G142" t="s">
        <v>108</v>
      </c>
      <c r="H142" t="s">
        <v>25</v>
      </c>
      <c r="I142" t="s">
        <v>25</v>
      </c>
      <c r="J142" t="s">
        <v>138</v>
      </c>
      <c r="K142" t="s">
        <v>114</v>
      </c>
      <c r="L142" t="s">
        <v>140</v>
      </c>
      <c r="M142">
        <v>912.57738198000004</v>
      </c>
      <c r="N142">
        <v>0</v>
      </c>
      <c r="O142" t="s">
        <v>103</v>
      </c>
      <c r="P142" s="56">
        <v>44269.883116168981</v>
      </c>
      <c r="Q142">
        <v>3217229</v>
      </c>
      <c r="R142" t="s">
        <v>98</v>
      </c>
      <c r="S142">
        <v>23.903975920000001</v>
      </c>
      <c r="W142"/>
      <c r="X142">
        <v>0</v>
      </c>
      <c r="AC142" t="s">
        <v>108</v>
      </c>
      <c r="AD142" s="56">
        <v>43191</v>
      </c>
    </row>
    <row r="143" spans="1:30" x14ac:dyDescent="0.3">
      <c r="A143">
        <v>339851</v>
      </c>
      <c r="B143" t="s">
        <v>149</v>
      </c>
      <c r="C143">
        <v>2018</v>
      </c>
      <c r="D143">
        <v>4</v>
      </c>
      <c r="E143" t="s">
        <v>109</v>
      </c>
      <c r="F143" t="s">
        <v>108</v>
      </c>
      <c r="G143" t="s">
        <v>108</v>
      </c>
      <c r="H143" t="s">
        <v>25</v>
      </c>
      <c r="I143" t="s">
        <v>25</v>
      </c>
      <c r="J143" t="s">
        <v>138</v>
      </c>
      <c r="K143" t="s">
        <v>110</v>
      </c>
      <c r="L143" t="s">
        <v>140</v>
      </c>
      <c r="M143">
        <v>2217.9983667299998</v>
      </c>
      <c r="N143">
        <v>0</v>
      </c>
      <c r="O143" t="s">
        <v>103</v>
      </c>
      <c r="P143" s="56">
        <v>44269.88311489582</v>
      </c>
      <c r="Q143">
        <v>3217136</v>
      </c>
      <c r="R143" t="s">
        <v>106</v>
      </c>
      <c r="S143">
        <v>2254.6166188699999</v>
      </c>
      <c r="W143"/>
      <c r="X143">
        <v>0</v>
      </c>
      <c r="AC143" t="s">
        <v>108</v>
      </c>
      <c r="AD143" s="56">
        <v>43191</v>
      </c>
    </row>
    <row r="144" spans="1:30" x14ac:dyDescent="0.3">
      <c r="A144">
        <v>339874</v>
      </c>
      <c r="B144" t="s">
        <v>149</v>
      </c>
      <c r="C144">
        <v>2018</v>
      </c>
      <c r="D144">
        <v>4</v>
      </c>
      <c r="E144" t="s">
        <v>111</v>
      </c>
      <c r="F144" t="s">
        <v>108</v>
      </c>
      <c r="G144" t="s">
        <v>108</v>
      </c>
      <c r="H144" t="s">
        <v>25</v>
      </c>
      <c r="I144" t="s">
        <v>25</v>
      </c>
      <c r="J144" t="s">
        <v>138</v>
      </c>
      <c r="K144" t="s">
        <v>112</v>
      </c>
      <c r="L144" t="s">
        <v>140</v>
      </c>
      <c r="M144">
        <v>395.73036543000001</v>
      </c>
      <c r="N144">
        <v>0</v>
      </c>
      <c r="O144" t="s">
        <v>103</v>
      </c>
      <c r="P144" s="56">
        <v>44269.883115474528</v>
      </c>
      <c r="Q144">
        <v>3217182</v>
      </c>
      <c r="R144" t="s">
        <v>106</v>
      </c>
      <c r="S144">
        <v>397.57056835999998</v>
      </c>
      <c r="W144"/>
      <c r="X144">
        <v>0</v>
      </c>
      <c r="AC144" t="s">
        <v>108</v>
      </c>
      <c r="AD144" s="56">
        <v>43191</v>
      </c>
    </row>
    <row r="145" spans="1:30" x14ac:dyDescent="0.3">
      <c r="A145">
        <v>339897</v>
      </c>
      <c r="B145" t="s">
        <v>149</v>
      </c>
      <c r="C145">
        <v>2018</v>
      </c>
      <c r="D145">
        <v>4</v>
      </c>
      <c r="E145" t="s">
        <v>113</v>
      </c>
      <c r="F145" t="s">
        <v>108</v>
      </c>
      <c r="G145" t="s">
        <v>108</v>
      </c>
      <c r="H145" t="s">
        <v>25</v>
      </c>
      <c r="I145" t="s">
        <v>25</v>
      </c>
      <c r="J145" t="s">
        <v>138</v>
      </c>
      <c r="K145" t="s">
        <v>114</v>
      </c>
      <c r="L145" t="s">
        <v>140</v>
      </c>
      <c r="M145">
        <v>912.57738198000004</v>
      </c>
      <c r="N145">
        <v>0</v>
      </c>
      <c r="O145" t="s">
        <v>103</v>
      </c>
      <c r="P145" s="56">
        <v>44269.883116168981</v>
      </c>
      <c r="Q145">
        <v>3217228</v>
      </c>
      <c r="R145" t="s">
        <v>106</v>
      </c>
      <c r="S145">
        <v>917.19743819999997</v>
      </c>
      <c r="W145"/>
      <c r="X145">
        <v>0</v>
      </c>
      <c r="AC145" t="s">
        <v>108</v>
      </c>
      <c r="AD145" s="56">
        <v>43191</v>
      </c>
    </row>
    <row r="146" spans="1:30" x14ac:dyDescent="0.3">
      <c r="A146">
        <v>352707</v>
      </c>
      <c r="B146" t="s">
        <v>157</v>
      </c>
      <c r="C146">
        <v>2018</v>
      </c>
      <c r="D146">
        <v>5</v>
      </c>
      <c r="E146" t="s">
        <v>111</v>
      </c>
      <c r="F146" t="s">
        <v>108</v>
      </c>
      <c r="G146" t="s">
        <v>108</v>
      </c>
      <c r="H146" t="s">
        <v>25</v>
      </c>
      <c r="I146" t="s">
        <v>25</v>
      </c>
      <c r="J146" t="s">
        <v>138</v>
      </c>
      <c r="K146" t="s">
        <v>112</v>
      </c>
      <c r="L146" t="s">
        <v>140</v>
      </c>
      <c r="M146">
        <v>393.55599067000003</v>
      </c>
      <c r="N146">
        <v>0</v>
      </c>
      <c r="O146" t="s">
        <v>103</v>
      </c>
      <c r="P146" s="56">
        <v>44269.884374386573</v>
      </c>
      <c r="Q146">
        <v>3336213</v>
      </c>
      <c r="R146" t="s">
        <v>98</v>
      </c>
      <c r="S146">
        <v>10.47281476</v>
      </c>
      <c r="W146"/>
      <c r="X146">
        <v>0</v>
      </c>
      <c r="AC146" t="s">
        <v>108</v>
      </c>
      <c r="AD146" s="56">
        <v>43221</v>
      </c>
    </row>
    <row r="147" spans="1:30" x14ac:dyDescent="0.3">
      <c r="A147">
        <v>352730</v>
      </c>
      <c r="B147" t="s">
        <v>157</v>
      </c>
      <c r="C147">
        <v>2018</v>
      </c>
      <c r="D147">
        <v>5</v>
      </c>
      <c r="E147" t="s">
        <v>113</v>
      </c>
      <c r="F147" t="s">
        <v>108</v>
      </c>
      <c r="G147" t="s">
        <v>108</v>
      </c>
      <c r="H147" t="s">
        <v>25</v>
      </c>
      <c r="I147" t="s">
        <v>25</v>
      </c>
      <c r="J147" t="s">
        <v>138</v>
      </c>
      <c r="K147" t="s">
        <v>114</v>
      </c>
      <c r="L147" t="s">
        <v>140</v>
      </c>
      <c r="M147">
        <v>932.17317322999997</v>
      </c>
      <c r="N147">
        <v>0</v>
      </c>
      <c r="O147" t="s">
        <v>103</v>
      </c>
      <c r="P147" s="56">
        <v>44269.884375000001</v>
      </c>
      <c r="Q147">
        <v>3336259</v>
      </c>
      <c r="R147" t="s">
        <v>98</v>
      </c>
      <c r="S147">
        <v>24.421228410000001</v>
      </c>
      <c r="W147"/>
      <c r="X147">
        <v>0</v>
      </c>
      <c r="AC147" t="s">
        <v>108</v>
      </c>
      <c r="AD147" s="56">
        <v>43221</v>
      </c>
    </row>
    <row r="148" spans="1:30" x14ac:dyDescent="0.3">
      <c r="A148">
        <v>352684</v>
      </c>
      <c r="B148" t="s">
        <v>157</v>
      </c>
      <c r="C148">
        <v>2018</v>
      </c>
      <c r="D148">
        <v>5</v>
      </c>
      <c r="E148" t="s">
        <v>109</v>
      </c>
      <c r="F148" t="s">
        <v>108</v>
      </c>
      <c r="G148" t="s">
        <v>108</v>
      </c>
      <c r="H148" t="s">
        <v>25</v>
      </c>
      <c r="I148" t="s">
        <v>25</v>
      </c>
      <c r="J148" t="s">
        <v>138</v>
      </c>
      <c r="K148" t="s">
        <v>110</v>
      </c>
      <c r="L148" t="s">
        <v>140</v>
      </c>
      <c r="M148">
        <v>2108.0789959600002</v>
      </c>
      <c r="N148">
        <v>0</v>
      </c>
      <c r="O148" t="s">
        <v>103</v>
      </c>
      <c r="P148" s="56">
        <v>44269.884373807872</v>
      </c>
      <c r="Q148">
        <v>3336167</v>
      </c>
      <c r="R148" t="s">
        <v>98</v>
      </c>
      <c r="S148">
        <v>31.092819609999999</v>
      </c>
      <c r="W148"/>
      <c r="X148">
        <v>0</v>
      </c>
      <c r="AC148" t="s">
        <v>108</v>
      </c>
      <c r="AD148" s="56">
        <v>43221</v>
      </c>
    </row>
    <row r="149" spans="1:30" x14ac:dyDescent="0.3">
      <c r="A149">
        <v>352684</v>
      </c>
      <c r="B149" t="s">
        <v>157</v>
      </c>
      <c r="C149">
        <v>2018</v>
      </c>
      <c r="D149">
        <v>5</v>
      </c>
      <c r="E149" t="s">
        <v>109</v>
      </c>
      <c r="F149" t="s">
        <v>108</v>
      </c>
      <c r="G149" t="s">
        <v>108</v>
      </c>
      <c r="H149" t="s">
        <v>25</v>
      </c>
      <c r="I149" t="s">
        <v>25</v>
      </c>
      <c r="J149" t="s">
        <v>138</v>
      </c>
      <c r="K149" t="s">
        <v>110</v>
      </c>
      <c r="L149" t="s">
        <v>140</v>
      </c>
      <c r="M149">
        <v>2108.0789959600002</v>
      </c>
      <c r="N149">
        <v>0</v>
      </c>
      <c r="O149" t="s">
        <v>103</v>
      </c>
      <c r="P149" s="56">
        <v>44269.884373807872</v>
      </c>
      <c r="Q149">
        <v>3336166</v>
      </c>
      <c r="R149" t="s">
        <v>106</v>
      </c>
      <c r="S149">
        <v>2143.2302299799999</v>
      </c>
      <c r="W149"/>
      <c r="X149">
        <v>0</v>
      </c>
      <c r="AC149" t="s">
        <v>108</v>
      </c>
      <c r="AD149" s="56">
        <v>43221</v>
      </c>
    </row>
    <row r="150" spans="1:30" x14ac:dyDescent="0.3">
      <c r="A150">
        <v>352730</v>
      </c>
      <c r="B150" t="s">
        <v>157</v>
      </c>
      <c r="C150">
        <v>2018</v>
      </c>
      <c r="D150">
        <v>5</v>
      </c>
      <c r="E150" t="s">
        <v>113</v>
      </c>
      <c r="F150" t="s">
        <v>108</v>
      </c>
      <c r="G150" t="s">
        <v>108</v>
      </c>
      <c r="H150" t="s">
        <v>25</v>
      </c>
      <c r="I150" t="s">
        <v>25</v>
      </c>
      <c r="J150" t="s">
        <v>138</v>
      </c>
      <c r="K150" t="s">
        <v>114</v>
      </c>
      <c r="L150" t="s">
        <v>140</v>
      </c>
      <c r="M150">
        <v>932.17317322999997</v>
      </c>
      <c r="N150">
        <v>0</v>
      </c>
      <c r="O150" t="s">
        <v>103</v>
      </c>
      <c r="P150" s="56">
        <v>44269.884375000001</v>
      </c>
      <c r="Q150">
        <v>3336258</v>
      </c>
      <c r="R150" t="s">
        <v>106</v>
      </c>
      <c r="S150">
        <v>937.04445700999997</v>
      </c>
      <c r="W150"/>
      <c r="X150">
        <v>0</v>
      </c>
      <c r="AC150" t="s">
        <v>108</v>
      </c>
      <c r="AD150" s="56">
        <v>43221</v>
      </c>
    </row>
    <row r="151" spans="1:30" x14ac:dyDescent="0.3">
      <c r="A151">
        <v>352707</v>
      </c>
      <c r="B151" t="s">
        <v>157</v>
      </c>
      <c r="C151">
        <v>2018</v>
      </c>
      <c r="D151">
        <v>5</v>
      </c>
      <c r="E151" t="s">
        <v>111</v>
      </c>
      <c r="F151" t="s">
        <v>108</v>
      </c>
      <c r="G151" t="s">
        <v>108</v>
      </c>
      <c r="H151" t="s">
        <v>25</v>
      </c>
      <c r="I151" t="s">
        <v>25</v>
      </c>
      <c r="J151" t="s">
        <v>138</v>
      </c>
      <c r="K151" t="s">
        <v>112</v>
      </c>
      <c r="L151" t="s">
        <v>140</v>
      </c>
      <c r="M151">
        <v>393.55599067000003</v>
      </c>
      <c r="N151">
        <v>0</v>
      </c>
      <c r="O151" t="s">
        <v>103</v>
      </c>
      <c r="P151" s="56">
        <v>44269.884374386573</v>
      </c>
      <c r="Q151">
        <v>3336212</v>
      </c>
      <c r="R151" t="s">
        <v>106</v>
      </c>
      <c r="S151">
        <v>395.45023814000001</v>
      </c>
      <c r="W151"/>
      <c r="X151">
        <v>0</v>
      </c>
      <c r="AC151" t="s">
        <v>108</v>
      </c>
      <c r="AD151" s="56">
        <v>43221</v>
      </c>
    </row>
    <row r="152" spans="1:30" x14ac:dyDescent="0.3">
      <c r="A152">
        <v>86373</v>
      </c>
      <c r="B152" t="s">
        <v>163</v>
      </c>
      <c r="C152">
        <v>2018</v>
      </c>
      <c r="D152">
        <v>6</v>
      </c>
      <c r="E152" t="s">
        <v>111</v>
      </c>
      <c r="F152" t="s">
        <v>108</v>
      </c>
      <c r="G152" t="s">
        <v>108</v>
      </c>
      <c r="H152" t="s">
        <v>25</v>
      </c>
      <c r="I152" t="s">
        <v>25</v>
      </c>
      <c r="J152" t="s">
        <v>138</v>
      </c>
      <c r="K152" t="s">
        <v>112</v>
      </c>
      <c r="L152" t="s">
        <v>140</v>
      </c>
      <c r="M152">
        <v>349.81857975999998</v>
      </c>
      <c r="N152">
        <v>0</v>
      </c>
      <c r="O152" t="s">
        <v>103</v>
      </c>
      <c r="P152" s="56">
        <v>44269.847217708331</v>
      </c>
      <c r="Q152">
        <v>783250</v>
      </c>
      <c r="R152" t="s">
        <v>98</v>
      </c>
      <c r="S152">
        <v>9.2434089799999999</v>
      </c>
      <c r="W152"/>
      <c r="X152">
        <v>0</v>
      </c>
      <c r="AC152" t="s">
        <v>108</v>
      </c>
      <c r="AD152" s="56">
        <v>43252</v>
      </c>
    </row>
    <row r="153" spans="1:30" x14ac:dyDescent="0.3">
      <c r="A153">
        <v>86349</v>
      </c>
      <c r="B153" t="s">
        <v>163</v>
      </c>
      <c r="C153">
        <v>2018</v>
      </c>
      <c r="D153">
        <v>6</v>
      </c>
      <c r="E153" t="s">
        <v>109</v>
      </c>
      <c r="F153" t="s">
        <v>108</v>
      </c>
      <c r="G153" t="s">
        <v>108</v>
      </c>
      <c r="H153" t="s">
        <v>25</v>
      </c>
      <c r="I153" t="s">
        <v>25</v>
      </c>
      <c r="J153" t="s">
        <v>138</v>
      </c>
      <c r="K153" t="s">
        <v>110</v>
      </c>
      <c r="L153" t="s">
        <v>140</v>
      </c>
      <c r="M153">
        <v>1943.0653741900001</v>
      </c>
      <c r="N153">
        <v>0</v>
      </c>
      <c r="O153" t="s">
        <v>103</v>
      </c>
      <c r="P153" s="56">
        <v>44269.847216898153</v>
      </c>
      <c r="Q153">
        <v>783202</v>
      </c>
      <c r="R153" t="s">
        <v>98</v>
      </c>
      <c r="S153">
        <v>28.457257309999999</v>
      </c>
      <c r="W153"/>
      <c r="X153">
        <v>0</v>
      </c>
      <c r="AC153" t="s">
        <v>108</v>
      </c>
      <c r="AD153" s="56">
        <v>43252</v>
      </c>
    </row>
    <row r="154" spans="1:30" x14ac:dyDescent="0.3">
      <c r="A154">
        <v>86397</v>
      </c>
      <c r="B154" t="s">
        <v>163</v>
      </c>
      <c r="C154">
        <v>2018</v>
      </c>
      <c r="D154">
        <v>6</v>
      </c>
      <c r="E154" t="s">
        <v>113</v>
      </c>
      <c r="F154" t="s">
        <v>108</v>
      </c>
      <c r="G154" t="s">
        <v>108</v>
      </c>
      <c r="H154" t="s">
        <v>25</v>
      </c>
      <c r="I154" t="s">
        <v>25</v>
      </c>
      <c r="J154" t="s">
        <v>138</v>
      </c>
      <c r="K154" t="s">
        <v>114</v>
      </c>
      <c r="L154" t="s">
        <v>140</v>
      </c>
      <c r="M154">
        <v>915.94283647999998</v>
      </c>
      <c r="N154">
        <v>0</v>
      </c>
      <c r="O154" t="s">
        <v>103</v>
      </c>
      <c r="P154" s="56">
        <v>44269.847218599527</v>
      </c>
      <c r="Q154">
        <v>783298</v>
      </c>
      <c r="R154" t="s">
        <v>98</v>
      </c>
      <c r="S154">
        <v>23.827126889999999</v>
      </c>
      <c r="W154"/>
      <c r="X154">
        <v>0</v>
      </c>
      <c r="AC154" t="s">
        <v>108</v>
      </c>
      <c r="AD154" s="56">
        <v>43252</v>
      </c>
    </row>
    <row r="155" spans="1:30" x14ac:dyDescent="0.3">
      <c r="A155">
        <v>86397</v>
      </c>
      <c r="B155" t="s">
        <v>163</v>
      </c>
      <c r="C155">
        <v>2018</v>
      </c>
      <c r="D155">
        <v>6</v>
      </c>
      <c r="E155" t="s">
        <v>113</v>
      </c>
      <c r="F155" t="s">
        <v>108</v>
      </c>
      <c r="G155" t="s">
        <v>108</v>
      </c>
      <c r="H155" t="s">
        <v>25</v>
      </c>
      <c r="I155" t="s">
        <v>25</v>
      </c>
      <c r="J155" t="s">
        <v>138</v>
      </c>
      <c r="K155" t="s">
        <v>114</v>
      </c>
      <c r="L155" t="s">
        <v>140</v>
      </c>
      <c r="M155">
        <v>915.94283647999998</v>
      </c>
      <c r="N155">
        <v>0</v>
      </c>
      <c r="O155" t="s">
        <v>103</v>
      </c>
      <c r="P155" s="56">
        <v>44269.847218599527</v>
      </c>
      <c r="Q155">
        <v>783297</v>
      </c>
      <c r="R155" t="s">
        <v>106</v>
      </c>
      <c r="S155">
        <v>914.24873505999994</v>
      </c>
      <c r="W155"/>
      <c r="X155">
        <v>0</v>
      </c>
      <c r="AC155" t="s">
        <v>108</v>
      </c>
      <c r="AD155" s="56">
        <v>43252</v>
      </c>
    </row>
    <row r="156" spans="1:30" x14ac:dyDescent="0.3">
      <c r="A156">
        <v>86373</v>
      </c>
      <c r="B156" t="s">
        <v>163</v>
      </c>
      <c r="C156">
        <v>2018</v>
      </c>
      <c r="D156">
        <v>6</v>
      </c>
      <c r="E156" t="s">
        <v>111</v>
      </c>
      <c r="F156" t="s">
        <v>108</v>
      </c>
      <c r="G156" t="s">
        <v>108</v>
      </c>
      <c r="H156" t="s">
        <v>25</v>
      </c>
      <c r="I156" t="s">
        <v>25</v>
      </c>
      <c r="J156" t="s">
        <v>138</v>
      </c>
      <c r="K156" t="s">
        <v>112</v>
      </c>
      <c r="L156" t="s">
        <v>140</v>
      </c>
      <c r="M156">
        <v>349.81857975999998</v>
      </c>
      <c r="N156">
        <v>0</v>
      </c>
      <c r="O156" t="s">
        <v>103</v>
      </c>
      <c r="P156" s="56">
        <v>44269.847217708331</v>
      </c>
      <c r="Q156">
        <v>783249</v>
      </c>
      <c r="R156" t="s">
        <v>106</v>
      </c>
      <c r="S156">
        <v>349.02825675000003</v>
      </c>
      <c r="W156"/>
      <c r="X156">
        <v>0</v>
      </c>
      <c r="AC156" t="s">
        <v>108</v>
      </c>
      <c r="AD156" s="56">
        <v>43252</v>
      </c>
    </row>
    <row r="157" spans="1:30" x14ac:dyDescent="0.3">
      <c r="A157">
        <v>86349</v>
      </c>
      <c r="B157" t="s">
        <v>163</v>
      </c>
      <c r="C157">
        <v>2018</v>
      </c>
      <c r="D157">
        <v>6</v>
      </c>
      <c r="E157" t="s">
        <v>109</v>
      </c>
      <c r="F157" t="s">
        <v>108</v>
      </c>
      <c r="G157" t="s">
        <v>108</v>
      </c>
      <c r="H157" t="s">
        <v>25</v>
      </c>
      <c r="I157" t="s">
        <v>25</v>
      </c>
      <c r="J157" t="s">
        <v>138</v>
      </c>
      <c r="K157" t="s">
        <v>110</v>
      </c>
      <c r="L157" t="s">
        <v>140</v>
      </c>
      <c r="M157">
        <v>1943.0653741900001</v>
      </c>
      <c r="N157">
        <v>0</v>
      </c>
      <c r="O157" t="s">
        <v>103</v>
      </c>
      <c r="P157" s="56">
        <v>44269.847216898153</v>
      </c>
      <c r="Q157">
        <v>783201</v>
      </c>
      <c r="R157" t="s">
        <v>106</v>
      </c>
      <c r="S157">
        <v>1961.56073631</v>
      </c>
      <c r="W157"/>
      <c r="X157">
        <v>0</v>
      </c>
      <c r="AC157" t="s">
        <v>108</v>
      </c>
      <c r="AD157" s="56">
        <v>43252</v>
      </c>
    </row>
    <row r="158" spans="1:30" x14ac:dyDescent="0.3">
      <c r="A158">
        <v>100242</v>
      </c>
      <c r="B158" t="s">
        <v>176</v>
      </c>
      <c r="C158">
        <v>2018</v>
      </c>
      <c r="D158">
        <v>7</v>
      </c>
      <c r="E158" t="s">
        <v>113</v>
      </c>
      <c r="F158" t="s">
        <v>108</v>
      </c>
      <c r="G158" t="s">
        <v>108</v>
      </c>
      <c r="H158" t="s">
        <v>25</v>
      </c>
      <c r="I158" t="s">
        <v>25</v>
      </c>
      <c r="J158" t="s">
        <v>138</v>
      </c>
      <c r="K158" t="s">
        <v>114</v>
      </c>
      <c r="L158" t="s">
        <v>140</v>
      </c>
      <c r="M158">
        <v>953.47078386999999</v>
      </c>
      <c r="N158">
        <v>0</v>
      </c>
      <c r="O158" t="s">
        <v>104</v>
      </c>
      <c r="P158" s="56">
        <v>44269.848710416663</v>
      </c>
      <c r="Q158">
        <v>913750</v>
      </c>
      <c r="R158" t="s">
        <v>26</v>
      </c>
      <c r="S158">
        <v>347.17526719</v>
      </c>
      <c r="W158"/>
      <c r="X158">
        <v>0</v>
      </c>
      <c r="AC158" t="s">
        <v>108</v>
      </c>
      <c r="AD158" s="56">
        <v>43282</v>
      </c>
    </row>
    <row r="159" spans="1:30" x14ac:dyDescent="0.3">
      <c r="A159">
        <v>100194</v>
      </c>
      <c r="B159" t="s">
        <v>176</v>
      </c>
      <c r="C159">
        <v>2018</v>
      </c>
      <c r="D159">
        <v>7</v>
      </c>
      <c r="E159" t="s">
        <v>109</v>
      </c>
      <c r="F159" t="s">
        <v>108</v>
      </c>
      <c r="G159" t="s">
        <v>108</v>
      </c>
      <c r="H159" t="s">
        <v>25</v>
      </c>
      <c r="I159" t="s">
        <v>25</v>
      </c>
      <c r="J159" t="s">
        <v>138</v>
      </c>
      <c r="K159" t="s">
        <v>110</v>
      </c>
      <c r="L159" t="s">
        <v>140</v>
      </c>
      <c r="M159">
        <v>1870.62563673</v>
      </c>
      <c r="N159">
        <v>0</v>
      </c>
      <c r="O159" t="s">
        <v>104</v>
      </c>
      <c r="P159" s="56">
        <v>44269.848707986108</v>
      </c>
      <c r="Q159">
        <v>913510</v>
      </c>
      <c r="R159" t="s">
        <v>26</v>
      </c>
      <c r="S159">
        <v>644.41063382000004</v>
      </c>
      <c r="W159"/>
      <c r="X159">
        <v>0</v>
      </c>
      <c r="AC159" t="s">
        <v>108</v>
      </c>
      <c r="AD159" s="56">
        <v>43282</v>
      </c>
    </row>
    <row r="160" spans="1:30" x14ac:dyDescent="0.3">
      <c r="A160">
        <v>100218</v>
      </c>
      <c r="B160" t="s">
        <v>176</v>
      </c>
      <c r="C160">
        <v>2018</v>
      </c>
      <c r="D160">
        <v>7</v>
      </c>
      <c r="E160" t="s">
        <v>111</v>
      </c>
      <c r="F160" t="s">
        <v>108</v>
      </c>
      <c r="G160" t="s">
        <v>108</v>
      </c>
      <c r="H160" t="s">
        <v>25</v>
      </c>
      <c r="I160" t="s">
        <v>25</v>
      </c>
      <c r="J160" t="s">
        <v>138</v>
      </c>
      <c r="K160" t="s">
        <v>112</v>
      </c>
      <c r="L160" t="s">
        <v>140</v>
      </c>
      <c r="M160">
        <v>347.46938798999997</v>
      </c>
      <c r="N160">
        <v>0</v>
      </c>
      <c r="O160" t="s">
        <v>104</v>
      </c>
      <c r="P160" s="56">
        <v>44269.848709224527</v>
      </c>
      <c r="Q160">
        <v>913630</v>
      </c>
      <c r="R160" t="s">
        <v>26</v>
      </c>
      <c r="S160">
        <v>139.07614885999999</v>
      </c>
      <c r="W160"/>
      <c r="X160">
        <v>0</v>
      </c>
      <c r="AC160" t="s">
        <v>108</v>
      </c>
      <c r="AD160" s="56">
        <v>43282</v>
      </c>
    </row>
    <row r="161" spans="1:30" x14ac:dyDescent="0.3">
      <c r="A161">
        <v>100194</v>
      </c>
      <c r="B161" t="s">
        <v>176</v>
      </c>
      <c r="C161">
        <v>2018</v>
      </c>
      <c r="D161">
        <v>7</v>
      </c>
      <c r="E161" t="s">
        <v>109</v>
      </c>
      <c r="F161" t="s">
        <v>108</v>
      </c>
      <c r="G161" t="s">
        <v>108</v>
      </c>
      <c r="H161" t="s">
        <v>25</v>
      </c>
      <c r="I161" t="s">
        <v>25</v>
      </c>
      <c r="J161" t="s">
        <v>138</v>
      </c>
      <c r="K161" t="s">
        <v>110</v>
      </c>
      <c r="L161" t="s">
        <v>140</v>
      </c>
      <c r="M161">
        <v>1870.62563673</v>
      </c>
      <c r="N161">
        <v>0</v>
      </c>
      <c r="O161" t="s">
        <v>104</v>
      </c>
      <c r="P161" s="56">
        <v>44269.848707986108</v>
      </c>
      <c r="Q161">
        <v>913513</v>
      </c>
      <c r="R161" t="s">
        <v>105</v>
      </c>
      <c r="S161">
        <v>383.70225341999998</v>
      </c>
      <c r="W161"/>
      <c r="X161">
        <v>0</v>
      </c>
      <c r="AC161" t="s">
        <v>108</v>
      </c>
      <c r="AD161" s="56">
        <v>43282</v>
      </c>
    </row>
    <row r="162" spans="1:30" x14ac:dyDescent="0.3">
      <c r="A162">
        <v>100218</v>
      </c>
      <c r="B162" t="s">
        <v>176</v>
      </c>
      <c r="C162">
        <v>2018</v>
      </c>
      <c r="D162">
        <v>7</v>
      </c>
      <c r="E162" t="s">
        <v>111</v>
      </c>
      <c r="F162" t="s">
        <v>108</v>
      </c>
      <c r="G162" t="s">
        <v>108</v>
      </c>
      <c r="H162" t="s">
        <v>25</v>
      </c>
      <c r="I162" t="s">
        <v>25</v>
      </c>
      <c r="J162" t="s">
        <v>138</v>
      </c>
      <c r="K162" t="s">
        <v>112</v>
      </c>
      <c r="L162" t="s">
        <v>140</v>
      </c>
      <c r="M162">
        <v>347.46938798999997</v>
      </c>
      <c r="N162">
        <v>0</v>
      </c>
      <c r="O162" t="s">
        <v>104</v>
      </c>
      <c r="P162" s="56">
        <v>44269.848709224527</v>
      </c>
      <c r="Q162">
        <v>913633</v>
      </c>
      <c r="R162" t="s">
        <v>105</v>
      </c>
      <c r="S162">
        <v>71.881931199999997</v>
      </c>
      <c r="W162"/>
      <c r="X162">
        <v>0</v>
      </c>
      <c r="AC162" t="s">
        <v>108</v>
      </c>
      <c r="AD162" s="56">
        <v>43282</v>
      </c>
    </row>
    <row r="163" spans="1:30" x14ac:dyDescent="0.3">
      <c r="A163">
        <v>100242</v>
      </c>
      <c r="B163" t="s">
        <v>176</v>
      </c>
      <c r="C163">
        <v>2018</v>
      </c>
      <c r="D163">
        <v>7</v>
      </c>
      <c r="E163" t="s">
        <v>113</v>
      </c>
      <c r="F163" t="s">
        <v>108</v>
      </c>
      <c r="G163" t="s">
        <v>108</v>
      </c>
      <c r="H163" t="s">
        <v>25</v>
      </c>
      <c r="I163" t="s">
        <v>25</v>
      </c>
      <c r="J163" t="s">
        <v>138</v>
      </c>
      <c r="K163" t="s">
        <v>114</v>
      </c>
      <c r="L163" t="s">
        <v>140</v>
      </c>
      <c r="M163">
        <v>953.47078386999999</v>
      </c>
      <c r="N163">
        <v>0</v>
      </c>
      <c r="O163" t="s">
        <v>104</v>
      </c>
      <c r="P163" s="56">
        <v>44269.848710416663</v>
      </c>
      <c r="Q163">
        <v>913753</v>
      </c>
      <c r="R163" t="s">
        <v>105</v>
      </c>
      <c r="S163">
        <v>188.52696423</v>
      </c>
      <c r="W163"/>
      <c r="X163">
        <v>0</v>
      </c>
      <c r="AC163" t="s">
        <v>108</v>
      </c>
      <c r="AD163" s="56">
        <v>43282</v>
      </c>
    </row>
    <row r="164" spans="1:30" x14ac:dyDescent="0.3">
      <c r="A164">
        <v>100218</v>
      </c>
      <c r="B164" t="s">
        <v>176</v>
      </c>
      <c r="C164">
        <v>2018</v>
      </c>
      <c r="D164">
        <v>7</v>
      </c>
      <c r="E164" t="s">
        <v>111</v>
      </c>
      <c r="F164" t="s">
        <v>108</v>
      </c>
      <c r="G164" t="s">
        <v>108</v>
      </c>
      <c r="H164" t="s">
        <v>25</v>
      </c>
      <c r="I164" t="s">
        <v>25</v>
      </c>
      <c r="J164" t="s">
        <v>138</v>
      </c>
      <c r="K164" t="s">
        <v>112</v>
      </c>
      <c r="L164" t="s">
        <v>140</v>
      </c>
      <c r="M164">
        <v>347.46938798999997</v>
      </c>
      <c r="N164">
        <v>0</v>
      </c>
      <c r="O164" t="s">
        <v>104</v>
      </c>
      <c r="P164" s="56">
        <v>44269.848709224527</v>
      </c>
      <c r="Q164">
        <v>913632</v>
      </c>
      <c r="R164" t="s">
        <v>27</v>
      </c>
      <c r="S164">
        <v>143.69052761</v>
      </c>
      <c r="W164"/>
      <c r="X164">
        <v>0</v>
      </c>
      <c r="AC164" t="s">
        <v>108</v>
      </c>
      <c r="AD164" s="56">
        <v>43282</v>
      </c>
    </row>
    <row r="165" spans="1:30" x14ac:dyDescent="0.3">
      <c r="A165">
        <v>100194</v>
      </c>
      <c r="B165" t="s">
        <v>176</v>
      </c>
      <c r="C165">
        <v>2018</v>
      </c>
      <c r="D165">
        <v>7</v>
      </c>
      <c r="E165" t="s">
        <v>109</v>
      </c>
      <c r="F165" t="s">
        <v>108</v>
      </c>
      <c r="G165" t="s">
        <v>108</v>
      </c>
      <c r="H165" t="s">
        <v>25</v>
      </c>
      <c r="I165" t="s">
        <v>25</v>
      </c>
      <c r="J165" t="s">
        <v>138</v>
      </c>
      <c r="K165" t="s">
        <v>110</v>
      </c>
      <c r="L165" t="s">
        <v>140</v>
      </c>
      <c r="M165">
        <v>1870.62563673</v>
      </c>
      <c r="N165">
        <v>0</v>
      </c>
      <c r="O165" t="s">
        <v>104</v>
      </c>
      <c r="P165" s="56">
        <v>44269.848707986108</v>
      </c>
      <c r="Q165">
        <v>913512</v>
      </c>
      <c r="R165" t="s">
        <v>27</v>
      </c>
      <c r="S165">
        <v>863.33721008999999</v>
      </c>
      <c r="W165"/>
      <c r="X165">
        <v>0</v>
      </c>
      <c r="AC165" t="s">
        <v>108</v>
      </c>
      <c r="AD165" s="56">
        <v>43282</v>
      </c>
    </row>
    <row r="166" spans="1:30" x14ac:dyDescent="0.3">
      <c r="A166">
        <v>100242</v>
      </c>
      <c r="B166" t="s">
        <v>176</v>
      </c>
      <c r="C166">
        <v>2018</v>
      </c>
      <c r="D166">
        <v>7</v>
      </c>
      <c r="E166" t="s">
        <v>113</v>
      </c>
      <c r="F166" t="s">
        <v>108</v>
      </c>
      <c r="G166" t="s">
        <v>108</v>
      </c>
      <c r="H166" t="s">
        <v>25</v>
      </c>
      <c r="I166" t="s">
        <v>25</v>
      </c>
      <c r="J166" t="s">
        <v>138</v>
      </c>
      <c r="K166" t="s">
        <v>114</v>
      </c>
      <c r="L166" t="s">
        <v>140</v>
      </c>
      <c r="M166">
        <v>953.47078386999999</v>
      </c>
      <c r="N166">
        <v>0</v>
      </c>
      <c r="O166" t="s">
        <v>104</v>
      </c>
      <c r="P166" s="56">
        <v>44269.848710416663</v>
      </c>
      <c r="Q166">
        <v>913752</v>
      </c>
      <c r="R166" t="s">
        <v>27</v>
      </c>
      <c r="S166">
        <v>426.12866946000003</v>
      </c>
      <c r="W166"/>
      <c r="X166">
        <v>0</v>
      </c>
      <c r="AC166" t="s">
        <v>108</v>
      </c>
      <c r="AD166" s="56">
        <v>43282</v>
      </c>
    </row>
    <row r="167" spans="1:30" x14ac:dyDescent="0.3">
      <c r="A167">
        <v>100242</v>
      </c>
      <c r="B167" t="s">
        <v>176</v>
      </c>
      <c r="C167">
        <v>2018</v>
      </c>
      <c r="D167">
        <v>7</v>
      </c>
      <c r="E167" t="s">
        <v>113</v>
      </c>
      <c r="F167" t="s">
        <v>108</v>
      </c>
      <c r="G167" t="s">
        <v>108</v>
      </c>
      <c r="H167" t="s">
        <v>25</v>
      </c>
      <c r="I167" t="s">
        <v>25</v>
      </c>
      <c r="J167" t="s">
        <v>138</v>
      </c>
      <c r="K167" t="s">
        <v>114</v>
      </c>
      <c r="L167" t="s">
        <v>140</v>
      </c>
      <c r="M167">
        <v>953.47078386999999</v>
      </c>
      <c r="N167">
        <v>0</v>
      </c>
      <c r="O167" t="s">
        <v>104</v>
      </c>
      <c r="P167" s="56">
        <v>44269.848710416663</v>
      </c>
      <c r="Q167">
        <v>913749</v>
      </c>
      <c r="R167" t="s">
        <v>115</v>
      </c>
      <c r="S167">
        <v>11.06076429</v>
      </c>
      <c r="W167"/>
      <c r="X167">
        <v>0</v>
      </c>
      <c r="AC167" t="s">
        <v>108</v>
      </c>
      <c r="AD167" s="56">
        <v>43282</v>
      </c>
    </row>
    <row r="168" spans="1:30" x14ac:dyDescent="0.3">
      <c r="A168">
        <v>100218</v>
      </c>
      <c r="B168" t="s">
        <v>176</v>
      </c>
      <c r="C168">
        <v>2018</v>
      </c>
      <c r="D168">
        <v>7</v>
      </c>
      <c r="E168" t="s">
        <v>111</v>
      </c>
      <c r="F168" t="s">
        <v>108</v>
      </c>
      <c r="G168" t="s">
        <v>108</v>
      </c>
      <c r="H168" t="s">
        <v>25</v>
      </c>
      <c r="I168" t="s">
        <v>25</v>
      </c>
      <c r="J168" t="s">
        <v>138</v>
      </c>
      <c r="K168" t="s">
        <v>112</v>
      </c>
      <c r="L168" t="s">
        <v>140</v>
      </c>
      <c r="M168">
        <v>347.46938798999997</v>
      </c>
      <c r="N168">
        <v>0</v>
      </c>
      <c r="O168" t="s">
        <v>104</v>
      </c>
      <c r="P168" s="56">
        <v>44269.848709224527</v>
      </c>
      <c r="Q168">
        <v>913629</v>
      </c>
      <c r="R168" t="s">
        <v>115</v>
      </c>
      <c r="S168">
        <v>0</v>
      </c>
      <c r="W168"/>
      <c r="X168">
        <v>0</v>
      </c>
      <c r="AC168" t="s">
        <v>108</v>
      </c>
      <c r="AD168" s="56">
        <v>43282</v>
      </c>
    </row>
    <row r="169" spans="1:30" x14ac:dyDescent="0.3">
      <c r="A169">
        <v>100194</v>
      </c>
      <c r="B169" t="s">
        <v>176</v>
      </c>
      <c r="C169">
        <v>2018</v>
      </c>
      <c r="D169">
        <v>7</v>
      </c>
      <c r="E169" t="s">
        <v>109</v>
      </c>
      <c r="F169" t="s">
        <v>108</v>
      </c>
      <c r="G169" t="s">
        <v>108</v>
      </c>
      <c r="H169" t="s">
        <v>25</v>
      </c>
      <c r="I169" t="s">
        <v>25</v>
      </c>
      <c r="J169" t="s">
        <v>138</v>
      </c>
      <c r="K169" t="s">
        <v>110</v>
      </c>
      <c r="L169" t="s">
        <v>140</v>
      </c>
      <c r="M169">
        <v>1870.62563673</v>
      </c>
      <c r="N169">
        <v>0</v>
      </c>
      <c r="O169" t="s">
        <v>104</v>
      </c>
      <c r="P169" s="56">
        <v>44269.848707986108</v>
      </c>
      <c r="Q169">
        <v>913509</v>
      </c>
      <c r="R169" t="s">
        <v>115</v>
      </c>
      <c r="S169">
        <v>17.35939364</v>
      </c>
      <c r="W169"/>
      <c r="X169">
        <v>0</v>
      </c>
      <c r="AC169" t="s">
        <v>108</v>
      </c>
      <c r="AD169" s="56">
        <v>43282</v>
      </c>
    </row>
    <row r="170" spans="1:30" x14ac:dyDescent="0.3">
      <c r="A170">
        <v>100218</v>
      </c>
      <c r="B170" t="s">
        <v>176</v>
      </c>
      <c r="C170">
        <v>2018</v>
      </c>
      <c r="D170">
        <v>7</v>
      </c>
      <c r="E170" t="s">
        <v>111</v>
      </c>
      <c r="F170" t="s">
        <v>108</v>
      </c>
      <c r="G170" t="s">
        <v>108</v>
      </c>
      <c r="H170" t="s">
        <v>25</v>
      </c>
      <c r="I170" t="s">
        <v>25</v>
      </c>
      <c r="J170" t="s">
        <v>138</v>
      </c>
      <c r="K170" t="s">
        <v>112</v>
      </c>
      <c r="L170" t="s">
        <v>140</v>
      </c>
      <c r="M170">
        <v>347.46938798999997</v>
      </c>
      <c r="N170">
        <v>0</v>
      </c>
      <c r="O170" t="s">
        <v>104</v>
      </c>
      <c r="P170" s="56">
        <v>44269.848709224527</v>
      </c>
      <c r="Q170">
        <v>913631</v>
      </c>
      <c r="R170" t="s">
        <v>28</v>
      </c>
      <c r="S170">
        <v>2.3024822199999999</v>
      </c>
      <c r="W170"/>
      <c r="X170">
        <v>0</v>
      </c>
      <c r="AC170" t="s">
        <v>108</v>
      </c>
      <c r="AD170" s="56">
        <v>43282</v>
      </c>
    </row>
    <row r="171" spans="1:30" x14ac:dyDescent="0.3">
      <c r="A171">
        <v>100194</v>
      </c>
      <c r="B171" t="s">
        <v>176</v>
      </c>
      <c r="C171">
        <v>2018</v>
      </c>
      <c r="D171">
        <v>7</v>
      </c>
      <c r="E171" t="s">
        <v>109</v>
      </c>
      <c r="F171" t="s">
        <v>108</v>
      </c>
      <c r="G171" t="s">
        <v>108</v>
      </c>
      <c r="H171" t="s">
        <v>25</v>
      </c>
      <c r="I171" t="s">
        <v>25</v>
      </c>
      <c r="J171" t="s">
        <v>138</v>
      </c>
      <c r="K171" t="s">
        <v>110</v>
      </c>
      <c r="L171" t="s">
        <v>140</v>
      </c>
      <c r="M171">
        <v>1870.62563673</v>
      </c>
      <c r="N171">
        <v>0</v>
      </c>
      <c r="O171" t="s">
        <v>104</v>
      </c>
      <c r="P171" s="56">
        <v>44269.848707986108</v>
      </c>
      <c r="Q171">
        <v>913511</v>
      </c>
      <c r="R171" t="s">
        <v>28</v>
      </c>
      <c r="S171">
        <v>12.86154784</v>
      </c>
      <c r="W171"/>
      <c r="X171">
        <v>0</v>
      </c>
      <c r="AC171" t="s">
        <v>108</v>
      </c>
      <c r="AD171" s="56">
        <v>43282</v>
      </c>
    </row>
    <row r="172" spans="1:30" x14ac:dyDescent="0.3">
      <c r="A172">
        <v>100242</v>
      </c>
      <c r="B172" t="s">
        <v>176</v>
      </c>
      <c r="C172">
        <v>2018</v>
      </c>
      <c r="D172">
        <v>7</v>
      </c>
      <c r="E172" t="s">
        <v>113</v>
      </c>
      <c r="F172" t="s">
        <v>108</v>
      </c>
      <c r="G172" t="s">
        <v>108</v>
      </c>
      <c r="H172" t="s">
        <v>25</v>
      </c>
      <c r="I172" t="s">
        <v>25</v>
      </c>
      <c r="J172" t="s">
        <v>138</v>
      </c>
      <c r="K172" t="s">
        <v>114</v>
      </c>
      <c r="L172" t="s">
        <v>140</v>
      </c>
      <c r="M172">
        <v>953.47078386999999</v>
      </c>
      <c r="N172">
        <v>0</v>
      </c>
      <c r="O172" t="s">
        <v>104</v>
      </c>
      <c r="P172" s="56">
        <v>44269.848710416663</v>
      </c>
      <c r="Q172">
        <v>913751</v>
      </c>
      <c r="R172" t="s">
        <v>28</v>
      </c>
      <c r="S172">
        <v>6.5973120700000001</v>
      </c>
      <c r="W172"/>
      <c r="X172">
        <v>0</v>
      </c>
      <c r="AC172" t="s">
        <v>108</v>
      </c>
      <c r="AD172" s="56">
        <v>43282</v>
      </c>
    </row>
    <row r="173" spans="1:30" x14ac:dyDescent="0.3">
      <c r="A173">
        <v>113052</v>
      </c>
      <c r="B173" t="s">
        <v>177</v>
      </c>
      <c r="C173">
        <v>2018</v>
      </c>
      <c r="D173">
        <v>8</v>
      </c>
      <c r="E173" t="s">
        <v>109</v>
      </c>
      <c r="F173" t="s">
        <v>108</v>
      </c>
      <c r="G173" t="s">
        <v>108</v>
      </c>
      <c r="H173" t="s">
        <v>25</v>
      </c>
      <c r="I173" t="s">
        <v>25</v>
      </c>
      <c r="J173" t="s">
        <v>138</v>
      </c>
      <c r="K173" t="s">
        <v>110</v>
      </c>
      <c r="L173" t="s">
        <v>140</v>
      </c>
      <c r="M173">
        <v>1702.89201288</v>
      </c>
      <c r="N173">
        <v>0</v>
      </c>
      <c r="O173" t="s">
        <v>104</v>
      </c>
      <c r="P173" s="56">
        <v>44269.85022109955</v>
      </c>
      <c r="Q173">
        <v>1042039</v>
      </c>
      <c r="R173" t="s">
        <v>26</v>
      </c>
      <c r="S173">
        <v>586.18816269000001</v>
      </c>
      <c r="W173"/>
      <c r="X173">
        <v>0</v>
      </c>
      <c r="AC173" t="s">
        <v>108</v>
      </c>
      <c r="AD173" s="56">
        <v>43313</v>
      </c>
    </row>
    <row r="174" spans="1:30" x14ac:dyDescent="0.3">
      <c r="A174">
        <v>113076</v>
      </c>
      <c r="B174" t="s">
        <v>177</v>
      </c>
      <c r="C174">
        <v>2018</v>
      </c>
      <c r="D174">
        <v>8</v>
      </c>
      <c r="E174" t="s">
        <v>111</v>
      </c>
      <c r="F174" t="s">
        <v>108</v>
      </c>
      <c r="G174" t="s">
        <v>108</v>
      </c>
      <c r="H174" t="s">
        <v>25</v>
      </c>
      <c r="I174" t="s">
        <v>25</v>
      </c>
      <c r="J174" t="s">
        <v>138</v>
      </c>
      <c r="K174" t="s">
        <v>112</v>
      </c>
      <c r="L174" t="s">
        <v>140</v>
      </c>
      <c r="M174">
        <v>336.78904151</v>
      </c>
      <c r="N174">
        <v>0</v>
      </c>
      <c r="O174" t="s">
        <v>104</v>
      </c>
      <c r="P174" s="56">
        <v>44269.850222337962</v>
      </c>
      <c r="Q174">
        <v>1042159</v>
      </c>
      <c r="R174" t="s">
        <v>26</v>
      </c>
      <c r="S174">
        <v>134.70018062</v>
      </c>
      <c r="W174"/>
      <c r="X174">
        <v>0</v>
      </c>
      <c r="AC174" t="s">
        <v>108</v>
      </c>
      <c r="AD174" s="56">
        <v>43313</v>
      </c>
    </row>
    <row r="175" spans="1:30" x14ac:dyDescent="0.3">
      <c r="A175">
        <v>113100</v>
      </c>
      <c r="B175" t="s">
        <v>177</v>
      </c>
      <c r="C175">
        <v>2018</v>
      </c>
      <c r="D175">
        <v>8</v>
      </c>
      <c r="E175" t="s">
        <v>113</v>
      </c>
      <c r="F175" t="s">
        <v>108</v>
      </c>
      <c r="G175" t="s">
        <v>108</v>
      </c>
      <c r="H175" t="s">
        <v>25</v>
      </c>
      <c r="I175" t="s">
        <v>25</v>
      </c>
      <c r="J175" t="s">
        <v>138</v>
      </c>
      <c r="K175" t="s">
        <v>114</v>
      </c>
      <c r="L175" t="s">
        <v>140</v>
      </c>
      <c r="M175">
        <v>901.42463836000002</v>
      </c>
      <c r="N175">
        <v>0</v>
      </c>
      <c r="O175" t="s">
        <v>104</v>
      </c>
      <c r="P175" s="56">
        <v>44269.850223530091</v>
      </c>
      <c r="Q175">
        <v>1042279</v>
      </c>
      <c r="R175" t="s">
        <v>26</v>
      </c>
      <c r="S175">
        <v>327.97816526999998</v>
      </c>
      <c r="W175"/>
      <c r="X175">
        <v>0</v>
      </c>
      <c r="AC175" t="s">
        <v>108</v>
      </c>
      <c r="AD175" s="56">
        <v>43313</v>
      </c>
    </row>
    <row r="176" spans="1:30" x14ac:dyDescent="0.3">
      <c r="A176">
        <v>113052</v>
      </c>
      <c r="B176" t="s">
        <v>177</v>
      </c>
      <c r="C176">
        <v>2018</v>
      </c>
      <c r="D176">
        <v>8</v>
      </c>
      <c r="E176" t="s">
        <v>109</v>
      </c>
      <c r="F176" t="s">
        <v>108</v>
      </c>
      <c r="G176" t="s">
        <v>108</v>
      </c>
      <c r="H176" t="s">
        <v>25</v>
      </c>
      <c r="I176" t="s">
        <v>25</v>
      </c>
      <c r="J176" t="s">
        <v>138</v>
      </c>
      <c r="K176" t="s">
        <v>110</v>
      </c>
      <c r="L176" t="s">
        <v>140</v>
      </c>
      <c r="M176">
        <v>1702.89201288</v>
      </c>
      <c r="N176">
        <v>0</v>
      </c>
      <c r="O176" t="s">
        <v>104</v>
      </c>
      <c r="P176" s="56">
        <v>44269.85022109955</v>
      </c>
      <c r="Q176">
        <v>1042042</v>
      </c>
      <c r="R176" t="s">
        <v>105</v>
      </c>
      <c r="S176">
        <v>349.03477247000001</v>
      </c>
      <c r="W176"/>
      <c r="X176">
        <v>0</v>
      </c>
      <c r="AC176" t="s">
        <v>108</v>
      </c>
      <c r="AD176" s="56">
        <v>43313</v>
      </c>
    </row>
    <row r="177" spans="1:30" x14ac:dyDescent="0.3">
      <c r="A177">
        <v>113076</v>
      </c>
      <c r="B177" t="s">
        <v>177</v>
      </c>
      <c r="C177">
        <v>2018</v>
      </c>
      <c r="D177">
        <v>8</v>
      </c>
      <c r="E177" t="s">
        <v>111</v>
      </c>
      <c r="F177" t="s">
        <v>108</v>
      </c>
      <c r="G177" t="s">
        <v>108</v>
      </c>
      <c r="H177" t="s">
        <v>25</v>
      </c>
      <c r="I177" t="s">
        <v>25</v>
      </c>
      <c r="J177" t="s">
        <v>138</v>
      </c>
      <c r="K177" t="s">
        <v>112</v>
      </c>
      <c r="L177" t="s">
        <v>140</v>
      </c>
      <c r="M177">
        <v>336.78904151</v>
      </c>
      <c r="N177">
        <v>0</v>
      </c>
      <c r="O177" t="s">
        <v>104</v>
      </c>
      <c r="P177" s="56">
        <v>44269.850222337962</v>
      </c>
      <c r="Q177">
        <v>1042162</v>
      </c>
      <c r="R177" t="s">
        <v>105</v>
      </c>
      <c r="S177">
        <v>69.620198680000001</v>
      </c>
      <c r="W177"/>
      <c r="X177">
        <v>0</v>
      </c>
      <c r="AC177" t="s">
        <v>108</v>
      </c>
      <c r="AD177" s="56">
        <v>43313</v>
      </c>
    </row>
    <row r="178" spans="1:30" x14ac:dyDescent="0.3">
      <c r="A178">
        <v>113100</v>
      </c>
      <c r="B178" t="s">
        <v>177</v>
      </c>
      <c r="C178">
        <v>2018</v>
      </c>
      <c r="D178">
        <v>8</v>
      </c>
      <c r="E178" t="s">
        <v>113</v>
      </c>
      <c r="F178" t="s">
        <v>108</v>
      </c>
      <c r="G178" t="s">
        <v>108</v>
      </c>
      <c r="H178" t="s">
        <v>25</v>
      </c>
      <c r="I178" t="s">
        <v>25</v>
      </c>
      <c r="J178" t="s">
        <v>138</v>
      </c>
      <c r="K178" t="s">
        <v>114</v>
      </c>
      <c r="L178" t="s">
        <v>140</v>
      </c>
      <c r="M178">
        <v>901.42463836000002</v>
      </c>
      <c r="N178">
        <v>0</v>
      </c>
      <c r="O178" t="s">
        <v>104</v>
      </c>
      <c r="P178" s="56">
        <v>44269.850223530091</v>
      </c>
      <c r="Q178">
        <v>1042282</v>
      </c>
      <c r="R178" t="s">
        <v>105</v>
      </c>
      <c r="S178">
        <v>178.10234102000001</v>
      </c>
      <c r="W178"/>
      <c r="X178">
        <v>0</v>
      </c>
      <c r="AC178" t="s">
        <v>108</v>
      </c>
      <c r="AD178" s="56">
        <v>43313</v>
      </c>
    </row>
    <row r="179" spans="1:30" x14ac:dyDescent="0.3">
      <c r="A179">
        <v>113076</v>
      </c>
      <c r="B179" t="s">
        <v>177</v>
      </c>
      <c r="C179">
        <v>2018</v>
      </c>
      <c r="D179">
        <v>8</v>
      </c>
      <c r="E179" t="s">
        <v>111</v>
      </c>
      <c r="F179" t="s">
        <v>108</v>
      </c>
      <c r="G179" t="s">
        <v>108</v>
      </c>
      <c r="H179" t="s">
        <v>25</v>
      </c>
      <c r="I179" t="s">
        <v>25</v>
      </c>
      <c r="J179" t="s">
        <v>138</v>
      </c>
      <c r="K179" t="s">
        <v>112</v>
      </c>
      <c r="L179" t="s">
        <v>140</v>
      </c>
      <c r="M179">
        <v>336.78904151</v>
      </c>
      <c r="N179">
        <v>0</v>
      </c>
      <c r="O179" t="s">
        <v>104</v>
      </c>
      <c r="P179" s="56">
        <v>44269.850222337962</v>
      </c>
      <c r="Q179">
        <v>1042161</v>
      </c>
      <c r="R179" t="s">
        <v>27</v>
      </c>
      <c r="S179">
        <v>139.16937003000001</v>
      </c>
      <c r="W179"/>
      <c r="X179">
        <v>0</v>
      </c>
      <c r="AC179" t="s">
        <v>108</v>
      </c>
      <c r="AD179" s="56">
        <v>43313</v>
      </c>
    </row>
    <row r="180" spans="1:30" x14ac:dyDescent="0.3">
      <c r="A180">
        <v>113100</v>
      </c>
      <c r="B180" t="s">
        <v>177</v>
      </c>
      <c r="C180">
        <v>2018</v>
      </c>
      <c r="D180">
        <v>8</v>
      </c>
      <c r="E180" t="s">
        <v>113</v>
      </c>
      <c r="F180" t="s">
        <v>108</v>
      </c>
      <c r="G180" t="s">
        <v>108</v>
      </c>
      <c r="H180" t="s">
        <v>25</v>
      </c>
      <c r="I180" t="s">
        <v>25</v>
      </c>
      <c r="J180" t="s">
        <v>138</v>
      </c>
      <c r="K180" t="s">
        <v>114</v>
      </c>
      <c r="L180" t="s">
        <v>140</v>
      </c>
      <c r="M180">
        <v>901.42463836000002</v>
      </c>
      <c r="N180">
        <v>0</v>
      </c>
      <c r="O180" t="s">
        <v>104</v>
      </c>
      <c r="P180" s="56">
        <v>44269.850223530091</v>
      </c>
      <c r="Q180">
        <v>1042281</v>
      </c>
      <c r="R180" t="s">
        <v>27</v>
      </c>
      <c r="S180">
        <v>402.56582880000002</v>
      </c>
      <c r="W180"/>
      <c r="X180">
        <v>0</v>
      </c>
      <c r="AC180" t="s">
        <v>108</v>
      </c>
      <c r="AD180" s="56">
        <v>43313</v>
      </c>
    </row>
    <row r="181" spans="1:30" x14ac:dyDescent="0.3">
      <c r="A181">
        <v>113052</v>
      </c>
      <c r="B181" t="s">
        <v>177</v>
      </c>
      <c r="C181">
        <v>2018</v>
      </c>
      <c r="D181">
        <v>8</v>
      </c>
      <c r="E181" t="s">
        <v>109</v>
      </c>
      <c r="F181" t="s">
        <v>108</v>
      </c>
      <c r="G181" t="s">
        <v>108</v>
      </c>
      <c r="H181" t="s">
        <v>25</v>
      </c>
      <c r="I181" t="s">
        <v>25</v>
      </c>
      <c r="J181" t="s">
        <v>138</v>
      </c>
      <c r="K181" t="s">
        <v>110</v>
      </c>
      <c r="L181" t="s">
        <v>140</v>
      </c>
      <c r="M181">
        <v>1702.89201288</v>
      </c>
      <c r="N181">
        <v>0</v>
      </c>
      <c r="O181" t="s">
        <v>104</v>
      </c>
      <c r="P181" s="56">
        <v>44269.85022109955</v>
      </c>
      <c r="Q181">
        <v>1042041</v>
      </c>
      <c r="R181" t="s">
        <v>27</v>
      </c>
      <c r="S181">
        <v>785.33473286000003</v>
      </c>
      <c r="W181"/>
      <c r="X181">
        <v>0</v>
      </c>
      <c r="AC181" t="s">
        <v>108</v>
      </c>
      <c r="AD181" s="56">
        <v>43313</v>
      </c>
    </row>
    <row r="182" spans="1:30" x14ac:dyDescent="0.3">
      <c r="A182">
        <v>113076</v>
      </c>
      <c r="B182" t="s">
        <v>177</v>
      </c>
      <c r="C182">
        <v>2018</v>
      </c>
      <c r="D182">
        <v>8</v>
      </c>
      <c r="E182" t="s">
        <v>111</v>
      </c>
      <c r="F182" t="s">
        <v>108</v>
      </c>
      <c r="G182" t="s">
        <v>108</v>
      </c>
      <c r="H182" t="s">
        <v>25</v>
      </c>
      <c r="I182" t="s">
        <v>25</v>
      </c>
      <c r="J182" t="s">
        <v>138</v>
      </c>
      <c r="K182" t="s">
        <v>112</v>
      </c>
      <c r="L182" t="s">
        <v>140</v>
      </c>
      <c r="M182">
        <v>336.78904151</v>
      </c>
      <c r="N182">
        <v>0</v>
      </c>
      <c r="O182" t="s">
        <v>104</v>
      </c>
      <c r="P182" s="56">
        <v>44269.850222337962</v>
      </c>
      <c r="Q182">
        <v>1042158</v>
      </c>
      <c r="R182" t="s">
        <v>115</v>
      </c>
      <c r="S182">
        <v>0</v>
      </c>
      <c r="W182"/>
      <c r="X182">
        <v>0</v>
      </c>
      <c r="AC182" t="s">
        <v>108</v>
      </c>
      <c r="AD182" s="56">
        <v>43313</v>
      </c>
    </row>
    <row r="183" spans="1:30" x14ac:dyDescent="0.3">
      <c r="A183">
        <v>113100</v>
      </c>
      <c r="B183" t="s">
        <v>177</v>
      </c>
      <c r="C183">
        <v>2018</v>
      </c>
      <c r="D183">
        <v>8</v>
      </c>
      <c r="E183" t="s">
        <v>113</v>
      </c>
      <c r="F183" t="s">
        <v>108</v>
      </c>
      <c r="G183" t="s">
        <v>108</v>
      </c>
      <c r="H183" t="s">
        <v>25</v>
      </c>
      <c r="I183" t="s">
        <v>25</v>
      </c>
      <c r="J183" t="s">
        <v>138</v>
      </c>
      <c r="K183" t="s">
        <v>114</v>
      </c>
      <c r="L183" t="s">
        <v>140</v>
      </c>
      <c r="M183">
        <v>901.42463836000002</v>
      </c>
      <c r="N183">
        <v>0</v>
      </c>
      <c r="O183" t="s">
        <v>104</v>
      </c>
      <c r="P183" s="56">
        <v>44269.850223530091</v>
      </c>
      <c r="Q183">
        <v>1042278</v>
      </c>
      <c r="R183" t="s">
        <v>115</v>
      </c>
      <c r="S183">
        <v>10.44915788</v>
      </c>
      <c r="W183"/>
      <c r="X183">
        <v>0</v>
      </c>
      <c r="AC183" t="s">
        <v>108</v>
      </c>
      <c r="AD183" s="56">
        <v>43313</v>
      </c>
    </row>
    <row r="184" spans="1:30" x14ac:dyDescent="0.3">
      <c r="A184">
        <v>113052</v>
      </c>
      <c r="B184" t="s">
        <v>177</v>
      </c>
      <c r="C184">
        <v>2018</v>
      </c>
      <c r="D184">
        <v>8</v>
      </c>
      <c r="E184" t="s">
        <v>109</v>
      </c>
      <c r="F184" t="s">
        <v>108</v>
      </c>
      <c r="G184" t="s">
        <v>108</v>
      </c>
      <c r="H184" t="s">
        <v>25</v>
      </c>
      <c r="I184" t="s">
        <v>25</v>
      </c>
      <c r="J184" t="s">
        <v>138</v>
      </c>
      <c r="K184" t="s">
        <v>110</v>
      </c>
      <c r="L184" t="s">
        <v>140</v>
      </c>
      <c r="M184">
        <v>1702.89201288</v>
      </c>
      <c r="N184">
        <v>0</v>
      </c>
      <c r="O184" t="s">
        <v>104</v>
      </c>
      <c r="P184" s="56">
        <v>44269.85022109955</v>
      </c>
      <c r="Q184">
        <v>1042038</v>
      </c>
      <c r="R184" t="s">
        <v>115</v>
      </c>
      <c r="S184">
        <v>15.790973230000001</v>
      </c>
      <c r="W184"/>
      <c r="X184">
        <v>0</v>
      </c>
      <c r="AC184" t="s">
        <v>108</v>
      </c>
      <c r="AD184" s="56">
        <v>43313</v>
      </c>
    </row>
    <row r="185" spans="1:30" x14ac:dyDescent="0.3">
      <c r="A185">
        <v>113052</v>
      </c>
      <c r="B185" t="s">
        <v>177</v>
      </c>
      <c r="C185">
        <v>2018</v>
      </c>
      <c r="D185">
        <v>8</v>
      </c>
      <c r="E185" t="s">
        <v>109</v>
      </c>
      <c r="F185" t="s">
        <v>108</v>
      </c>
      <c r="G185" t="s">
        <v>108</v>
      </c>
      <c r="H185" t="s">
        <v>25</v>
      </c>
      <c r="I185" t="s">
        <v>25</v>
      </c>
      <c r="J185" t="s">
        <v>138</v>
      </c>
      <c r="K185" t="s">
        <v>110</v>
      </c>
      <c r="L185" t="s">
        <v>140</v>
      </c>
      <c r="M185">
        <v>1702.89201288</v>
      </c>
      <c r="N185">
        <v>0</v>
      </c>
      <c r="O185" t="s">
        <v>104</v>
      </c>
      <c r="P185" s="56">
        <v>44269.85022109955</v>
      </c>
      <c r="Q185">
        <v>1042040</v>
      </c>
      <c r="R185" t="s">
        <v>28</v>
      </c>
      <c r="S185">
        <v>11.699507580000001</v>
      </c>
      <c r="W185"/>
      <c r="X185">
        <v>0</v>
      </c>
      <c r="AC185" t="s">
        <v>108</v>
      </c>
      <c r="AD185" s="56">
        <v>43313</v>
      </c>
    </row>
    <row r="186" spans="1:30" x14ac:dyDescent="0.3">
      <c r="A186">
        <v>113100</v>
      </c>
      <c r="B186" t="s">
        <v>177</v>
      </c>
      <c r="C186">
        <v>2018</v>
      </c>
      <c r="D186">
        <v>8</v>
      </c>
      <c r="E186" t="s">
        <v>113</v>
      </c>
      <c r="F186" t="s">
        <v>108</v>
      </c>
      <c r="G186" t="s">
        <v>108</v>
      </c>
      <c r="H186" t="s">
        <v>25</v>
      </c>
      <c r="I186" t="s">
        <v>25</v>
      </c>
      <c r="J186" t="s">
        <v>138</v>
      </c>
      <c r="K186" t="s">
        <v>114</v>
      </c>
      <c r="L186" t="s">
        <v>140</v>
      </c>
      <c r="M186">
        <v>901.42463836000002</v>
      </c>
      <c r="N186">
        <v>0</v>
      </c>
      <c r="O186" t="s">
        <v>104</v>
      </c>
      <c r="P186" s="56">
        <v>44269.850223530091</v>
      </c>
      <c r="Q186">
        <v>1042280</v>
      </c>
      <c r="R186" t="s">
        <v>28</v>
      </c>
      <c r="S186">
        <v>6.2325128300000001</v>
      </c>
      <c r="W186"/>
      <c r="X186">
        <v>0</v>
      </c>
      <c r="AC186" t="s">
        <v>108</v>
      </c>
      <c r="AD186" s="56">
        <v>43313</v>
      </c>
    </row>
    <row r="187" spans="1:30" x14ac:dyDescent="0.3">
      <c r="A187">
        <v>113076</v>
      </c>
      <c r="B187" t="s">
        <v>177</v>
      </c>
      <c r="C187">
        <v>2018</v>
      </c>
      <c r="D187">
        <v>8</v>
      </c>
      <c r="E187" t="s">
        <v>111</v>
      </c>
      <c r="F187" t="s">
        <v>108</v>
      </c>
      <c r="G187" t="s">
        <v>108</v>
      </c>
      <c r="H187" t="s">
        <v>25</v>
      </c>
      <c r="I187" t="s">
        <v>25</v>
      </c>
      <c r="J187" t="s">
        <v>138</v>
      </c>
      <c r="K187" t="s">
        <v>112</v>
      </c>
      <c r="L187" t="s">
        <v>140</v>
      </c>
      <c r="M187">
        <v>336.78904151</v>
      </c>
      <c r="N187">
        <v>0</v>
      </c>
      <c r="O187" t="s">
        <v>104</v>
      </c>
      <c r="P187" s="56">
        <v>44269.850222337962</v>
      </c>
      <c r="Q187">
        <v>1042160</v>
      </c>
      <c r="R187" t="s">
        <v>28</v>
      </c>
      <c r="S187">
        <v>2.23003565</v>
      </c>
      <c r="W187"/>
      <c r="X187">
        <v>0</v>
      </c>
      <c r="AC187" t="s">
        <v>108</v>
      </c>
      <c r="AD187" s="56">
        <v>43313</v>
      </c>
    </row>
    <row r="188" spans="1:30" x14ac:dyDescent="0.3">
      <c r="A188">
        <v>119662</v>
      </c>
      <c r="B188" t="s">
        <v>150</v>
      </c>
      <c r="C188">
        <v>2018</v>
      </c>
      <c r="D188">
        <v>9</v>
      </c>
      <c r="E188" t="s">
        <v>113</v>
      </c>
      <c r="F188" t="s">
        <v>108</v>
      </c>
      <c r="G188" t="s">
        <v>108</v>
      </c>
      <c r="H188" t="s">
        <v>25</v>
      </c>
      <c r="I188" t="s">
        <v>25</v>
      </c>
      <c r="J188" t="s">
        <v>138</v>
      </c>
      <c r="K188" t="s">
        <v>114</v>
      </c>
      <c r="L188" t="s">
        <v>140</v>
      </c>
      <c r="M188">
        <v>843.05591856000001</v>
      </c>
      <c r="N188">
        <v>0</v>
      </c>
      <c r="O188" t="s">
        <v>104</v>
      </c>
      <c r="P188" s="56">
        <v>44269.851107986113</v>
      </c>
      <c r="Q188">
        <v>1081850</v>
      </c>
      <c r="R188" t="s">
        <v>26</v>
      </c>
      <c r="S188">
        <v>307.76787617000002</v>
      </c>
      <c r="W188"/>
      <c r="X188">
        <v>0</v>
      </c>
      <c r="AC188" t="s">
        <v>108</v>
      </c>
      <c r="AD188" s="56">
        <v>43344</v>
      </c>
    </row>
    <row r="189" spans="1:30" x14ac:dyDescent="0.3">
      <c r="A189">
        <v>119614</v>
      </c>
      <c r="B189" t="s">
        <v>150</v>
      </c>
      <c r="C189">
        <v>2018</v>
      </c>
      <c r="D189">
        <v>9</v>
      </c>
      <c r="E189" t="s">
        <v>109</v>
      </c>
      <c r="F189" t="s">
        <v>108</v>
      </c>
      <c r="G189" t="s">
        <v>108</v>
      </c>
      <c r="H189" t="s">
        <v>25</v>
      </c>
      <c r="I189" t="s">
        <v>25</v>
      </c>
      <c r="J189" t="s">
        <v>138</v>
      </c>
      <c r="K189" t="s">
        <v>110</v>
      </c>
      <c r="L189" t="s">
        <v>140</v>
      </c>
      <c r="M189">
        <v>1439.52704135</v>
      </c>
      <c r="N189">
        <v>0</v>
      </c>
      <c r="O189" t="s">
        <v>104</v>
      </c>
      <c r="P189" s="56">
        <v>44269.851105011578</v>
      </c>
      <c r="Q189">
        <v>1081610</v>
      </c>
      <c r="R189" t="s">
        <v>26</v>
      </c>
      <c r="S189">
        <v>499.14103108</v>
      </c>
      <c r="W189"/>
      <c r="X189">
        <v>0</v>
      </c>
      <c r="AC189" t="s">
        <v>108</v>
      </c>
      <c r="AD189" s="56">
        <v>43344</v>
      </c>
    </row>
    <row r="190" spans="1:30" x14ac:dyDescent="0.3">
      <c r="A190">
        <v>119638</v>
      </c>
      <c r="B190" t="s">
        <v>150</v>
      </c>
      <c r="C190">
        <v>2018</v>
      </c>
      <c r="D190">
        <v>9</v>
      </c>
      <c r="E190" t="s">
        <v>111</v>
      </c>
      <c r="F190" t="s">
        <v>108</v>
      </c>
      <c r="G190" t="s">
        <v>108</v>
      </c>
      <c r="H190" t="s">
        <v>25</v>
      </c>
      <c r="I190" t="s">
        <v>25</v>
      </c>
      <c r="J190" t="s">
        <v>138</v>
      </c>
      <c r="K190" t="s">
        <v>112</v>
      </c>
      <c r="L190" t="s">
        <v>140</v>
      </c>
      <c r="M190">
        <v>316.65874517999998</v>
      </c>
      <c r="N190">
        <v>0</v>
      </c>
      <c r="O190" t="s">
        <v>104</v>
      </c>
      <c r="P190" s="56">
        <v>44269.85110659722</v>
      </c>
      <c r="Q190">
        <v>1081730</v>
      </c>
      <c r="R190" t="s">
        <v>26</v>
      </c>
      <c r="S190">
        <v>127.07047511</v>
      </c>
      <c r="W190"/>
      <c r="X190">
        <v>0</v>
      </c>
      <c r="AC190" t="s">
        <v>108</v>
      </c>
      <c r="AD190" s="56">
        <v>43344</v>
      </c>
    </row>
    <row r="191" spans="1:30" x14ac:dyDescent="0.3">
      <c r="A191">
        <v>119662</v>
      </c>
      <c r="B191" t="s">
        <v>150</v>
      </c>
      <c r="C191">
        <v>2018</v>
      </c>
      <c r="D191">
        <v>9</v>
      </c>
      <c r="E191" t="s">
        <v>113</v>
      </c>
      <c r="F191" t="s">
        <v>108</v>
      </c>
      <c r="G191" t="s">
        <v>108</v>
      </c>
      <c r="H191" t="s">
        <v>25</v>
      </c>
      <c r="I191" t="s">
        <v>25</v>
      </c>
      <c r="J191" t="s">
        <v>138</v>
      </c>
      <c r="K191" t="s">
        <v>114</v>
      </c>
      <c r="L191" t="s">
        <v>140</v>
      </c>
      <c r="M191">
        <v>843.05591856000001</v>
      </c>
      <c r="N191">
        <v>0</v>
      </c>
      <c r="O191" t="s">
        <v>104</v>
      </c>
      <c r="P191" s="56">
        <v>44269.851107986113</v>
      </c>
      <c r="Q191">
        <v>1081853</v>
      </c>
      <c r="R191" t="s">
        <v>105</v>
      </c>
      <c r="S191">
        <v>167.12112604999999</v>
      </c>
      <c r="W191"/>
      <c r="X191">
        <v>0</v>
      </c>
      <c r="AC191" t="s">
        <v>108</v>
      </c>
      <c r="AD191" s="56">
        <v>43344</v>
      </c>
    </row>
    <row r="192" spans="1:30" x14ac:dyDescent="0.3">
      <c r="A192">
        <v>119638</v>
      </c>
      <c r="B192" t="s">
        <v>150</v>
      </c>
      <c r="C192">
        <v>2018</v>
      </c>
      <c r="D192">
        <v>9</v>
      </c>
      <c r="E192" t="s">
        <v>111</v>
      </c>
      <c r="F192" t="s">
        <v>108</v>
      </c>
      <c r="G192" t="s">
        <v>108</v>
      </c>
      <c r="H192" t="s">
        <v>25</v>
      </c>
      <c r="I192" t="s">
        <v>25</v>
      </c>
      <c r="J192" t="s">
        <v>138</v>
      </c>
      <c r="K192" t="s">
        <v>112</v>
      </c>
      <c r="L192" t="s">
        <v>140</v>
      </c>
      <c r="M192">
        <v>316.65874517999998</v>
      </c>
      <c r="N192">
        <v>0</v>
      </c>
      <c r="O192" t="s">
        <v>104</v>
      </c>
      <c r="P192" s="56">
        <v>44269.85110659722</v>
      </c>
      <c r="Q192">
        <v>1081733</v>
      </c>
      <c r="R192" t="s">
        <v>105</v>
      </c>
      <c r="S192">
        <v>65.677974120000002</v>
      </c>
      <c r="W192"/>
      <c r="X192">
        <v>0</v>
      </c>
      <c r="AC192" t="s">
        <v>108</v>
      </c>
      <c r="AD192" s="56">
        <v>43344</v>
      </c>
    </row>
    <row r="193" spans="1:30" x14ac:dyDescent="0.3">
      <c r="A193">
        <v>119614</v>
      </c>
      <c r="B193" t="s">
        <v>150</v>
      </c>
      <c r="C193">
        <v>2018</v>
      </c>
      <c r="D193">
        <v>9</v>
      </c>
      <c r="E193" t="s">
        <v>109</v>
      </c>
      <c r="F193" t="s">
        <v>108</v>
      </c>
      <c r="G193" t="s">
        <v>108</v>
      </c>
      <c r="H193" t="s">
        <v>25</v>
      </c>
      <c r="I193" t="s">
        <v>25</v>
      </c>
      <c r="J193" t="s">
        <v>138</v>
      </c>
      <c r="K193" t="s">
        <v>110</v>
      </c>
      <c r="L193" t="s">
        <v>140</v>
      </c>
      <c r="M193">
        <v>1439.52704135</v>
      </c>
      <c r="N193">
        <v>0</v>
      </c>
      <c r="O193" t="s">
        <v>104</v>
      </c>
      <c r="P193" s="56">
        <v>44269.851105011578</v>
      </c>
      <c r="Q193">
        <v>1081613</v>
      </c>
      <c r="R193" t="s">
        <v>105</v>
      </c>
      <c r="S193">
        <v>317.66754981000003</v>
      </c>
      <c r="W193"/>
      <c r="X193">
        <v>0</v>
      </c>
      <c r="AC193" t="s">
        <v>108</v>
      </c>
      <c r="AD193" s="56">
        <v>43344</v>
      </c>
    </row>
    <row r="194" spans="1:30" x14ac:dyDescent="0.3">
      <c r="A194">
        <v>119614</v>
      </c>
      <c r="B194" t="s">
        <v>150</v>
      </c>
      <c r="C194">
        <v>2018</v>
      </c>
      <c r="D194">
        <v>9</v>
      </c>
      <c r="E194" t="s">
        <v>109</v>
      </c>
      <c r="F194" t="s">
        <v>108</v>
      </c>
      <c r="G194" t="s">
        <v>108</v>
      </c>
      <c r="H194" t="s">
        <v>25</v>
      </c>
      <c r="I194" t="s">
        <v>25</v>
      </c>
      <c r="J194" t="s">
        <v>138</v>
      </c>
      <c r="K194" t="s">
        <v>110</v>
      </c>
      <c r="L194" t="s">
        <v>140</v>
      </c>
      <c r="M194">
        <v>1439.52704135</v>
      </c>
      <c r="N194">
        <v>0</v>
      </c>
      <c r="O194" t="s">
        <v>104</v>
      </c>
      <c r="P194" s="56">
        <v>44269.851105011578</v>
      </c>
      <c r="Q194">
        <v>1081612</v>
      </c>
      <c r="R194" t="s">
        <v>27</v>
      </c>
      <c r="S194">
        <v>639.96089424000002</v>
      </c>
      <c r="W194"/>
      <c r="X194">
        <v>0</v>
      </c>
      <c r="AC194" t="s">
        <v>108</v>
      </c>
      <c r="AD194" s="56">
        <v>43344</v>
      </c>
    </row>
    <row r="195" spans="1:30" x14ac:dyDescent="0.3">
      <c r="A195">
        <v>119638</v>
      </c>
      <c r="B195" t="s">
        <v>150</v>
      </c>
      <c r="C195">
        <v>2018</v>
      </c>
      <c r="D195">
        <v>9</v>
      </c>
      <c r="E195" t="s">
        <v>111</v>
      </c>
      <c r="F195" t="s">
        <v>108</v>
      </c>
      <c r="G195" t="s">
        <v>108</v>
      </c>
      <c r="H195" t="s">
        <v>25</v>
      </c>
      <c r="I195" t="s">
        <v>25</v>
      </c>
      <c r="J195" t="s">
        <v>138</v>
      </c>
      <c r="K195" t="s">
        <v>112</v>
      </c>
      <c r="L195" t="s">
        <v>140</v>
      </c>
      <c r="M195">
        <v>316.65874517999998</v>
      </c>
      <c r="N195">
        <v>0</v>
      </c>
      <c r="O195" t="s">
        <v>104</v>
      </c>
      <c r="P195" s="56">
        <v>44269.85110659722</v>
      </c>
      <c r="Q195">
        <v>1081732</v>
      </c>
      <c r="R195" t="s">
        <v>27</v>
      </c>
      <c r="S195">
        <v>131.28745895</v>
      </c>
      <c r="W195"/>
      <c r="X195">
        <v>0</v>
      </c>
      <c r="AC195" t="s">
        <v>108</v>
      </c>
      <c r="AD195" s="56">
        <v>43344</v>
      </c>
    </row>
    <row r="196" spans="1:30" x14ac:dyDescent="0.3">
      <c r="A196">
        <v>119662</v>
      </c>
      <c r="B196" t="s">
        <v>150</v>
      </c>
      <c r="C196">
        <v>2018</v>
      </c>
      <c r="D196">
        <v>9</v>
      </c>
      <c r="E196" t="s">
        <v>113</v>
      </c>
      <c r="F196" t="s">
        <v>108</v>
      </c>
      <c r="G196" t="s">
        <v>108</v>
      </c>
      <c r="H196" t="s">
        <v>25</v>
      </c>
      <c r="I196" t="s">
        <v>25</v>
      </c>
      <c r="J196" t="s">
        <v>138</v>
      </c>
      <c r="K196" t="s">
        <v>114</v>
      </c>
      <c r="L196" t="s">
        <v>140</v>
      </c>
      <c r="M196">
        <v>843.05591856000001</v>
      </c>
      <c r="N196">
        <v>0</v>
      </c>
      <c r="O196" t="s">
        <v>104</v>
      </c>
      <c r="P196" s="56">
        <v>44269.851107986113</v>
      </c>
      <c r="Q196">
        <v>1081852</v>
      </c>
      <c r="R196" t="s">
        <v>27</v>
      </c>
      <c r="S196">
        <v>377.75261540000002</v>
      </c>
      <c r="W196"/>
      <c r="X196">
        <v>0</v>
      </c>
      <c r="AC196" t="s">
        <v>108</v>
      </c>
      <c r="AD196" s="56">
        <v>43344</v>
      </c>
    </row>
    <row r="197" spans="1:30" x14ac:dyDescent="0.3">
      <c r="A197">
        <v>119614</v>
      </c>
      <c r="B197" t="s">
        <v>150</v>
      </c>
      <c r="C197">
        <v>2018</v>
      </c>
      <c r="D197">
        <v>9</v>
      </c>
      <c r="E197" t="s">
        <v>109</v>
      </c>
      <c r="F197" t="s">
        <v>108</v>
      </c>
      <c r="G197" t="s">
        <v>108</v>
      </c>
      <c r="H197" t="s">
        <v>25</v>
      </c>
      <c r="I197" t="s">
        <v>25</v>
      </c>
      <c r="J197" t="s">
        <v>138</v>
      </c>
      <c r="K197" t="s">
        <v>110</v>
      </c>
      <c r="L197" t="s">
        <v>140</v>
      </c>
      <c r="M197">
        <v>1439.52704135</v>
      </c>
      <c r="N197">
        <v>0</v>
      </c>
      <c r="O197" t="s">
        <v>104</v>
      </c>
      <c r="P197" s="56">
        <v>44269.851105011578</v>
      </c>
      <c r="Q197">
        <v>1081609</v>
      </c>
      <c r="R197" t="s">
        <v>115</v>
      </c>
      <c r="S197">
        <v>15.90858214</v>
      </c>
      <c r="W197"/>
      <c r="X197">
        <v>0</v>
      </c>
      <c r="AC197" t="s">
        <v>108</v>
      </c>
      <c r="AD197" s="56">
        <v>43344</v>
      </c>
    </row>
    <row r="198" spans="1:30" x14ac:dyDescent="0.3">
      <c r="A198">
        <v>119638</v>
      </c>
      <c r="B198" t="s">
        <v>150</v>
      </c>
      <c r="C198">
        <v>2018</v>
      </c>
      <c r="D198">
        <v>9</v>
      </c>
      <c r="E198" t="s">
        <v>111</v>
      </c>
      <c r="F198" t="s">
        <v>108</v>
      </c>
      <c r="G198" t="s">
        <v>108</v>
      </c>
      <c r="H198" t="s">
        <v>25</v>
      </c>
      <c r="I198" t="s">
        <v>25</v>
      </c>
      <c r="J198" t="s">
        <v>138</v>
      </c>
      <c r="K198" t="s">
        <v>112</v>
      </c>
      <c r="L198" t="s">
        <v>140</v>
      </c>
      <c r="M198">
        <v>316.65874517999998</v>
      </c>
      <c r="N198">
        <v>0</v>
      </c>
      <c r="O198" t="s">
        <v>104</v>
      </c>
      <c r="P198" s="56">
        <v>44269.85110659722</v>
      </c>
      <c r="Q198">
        <v>1081729</v>
      </c>
      <c r="R198" t="s">
        <v>115</v>
      </c>
      <c r="S198">
        <v>0</v>
      </c>
      <c r="W198"/>
      <c r="X198">
        <v>0</v>
      </c>
      <c r="AC198" t="s">
        <v>108</v>
      </c>
      <c r="AD198" s="56">
        <v>43344</v>
      </c>
    </row>
    <row r="199" spans="1:30" x14ac:dyDescent="0.3">
      <c r="A199">
        <v>119662</v>
      </c>
      <c r="B199" t="s">
        <v>150</v>
      </c>
      <c r="C199">
        <v>2018</v>
      </c>
      <c r="D199">
        <v>9</v>
      </c>
      <c r="E199" t="s">
        <v>113</v>
      </c>
      <c r="F199" t="s">
        <v>108</v>
      </c>
      <c r="G199" t="s">
        <v>108</v>
      </c>
      <c r="H199" t="s">
        <v>25</v>
      </c>
      <c r="I199" t="s">
        <v>25</v>
      </c>
      <c r="J199" t="s">
        <v>138</v>
      </c>
      <c r="K199" t="s">
        <v>114</v>
      </c>
      <c r="L199" t="s">
        <v>140</v>
      </c>
      <c r="M199">
        <v>843.05591856000001</v>
      </c>
      <c r="N199">
        <v>0</v>
      </c>
      <c r="O199" t="s">
        <v>104</v>
      </c>
      <c r="P199" s="56">
        <v>44269.851107986113</v>
      </c>
      <c r="Q199">
        <v>1081849</v>
      </c>
      <c r="R199" t="s">
        <v>115</v>
      </c>
      <c r="S199">
        <v>9.8030732700000005</v>
      </c>
      <c r="W199"/>
      <c r="X199">
        <v>0</v>
      </c>
      <c r="AC199" t="s">
        <v>108</v>
      </c>
      <c r="AD199" s="56">
        <v>43344</v>
      </c>
    </row>
    <row r="200" spans="1:30" x14ac:dyDescent="0.3">
      <c r="A200">
        <v>119662</v>
      </c>
      <c r="B200" t="s">
        <v>150</v>
      </c>
      <c r="C200">
        <v>2018</v>
      </c>
      <c r="D200">
        <v>9</v>
      </c>
      <c r="E200" t="s">
        <v>113</v>
      </c>
      <c r="F200" t="s">
        <v>108</v>
      </c>
      <c r="G200" t="s">
        <v>108</v>
      </c>
      <c r="H200" t="s">
        <v>25</v>
      </c>
      <c r="I200" t="s">
        <v>25</v>
      </c>
      <c r="J200" t="s">
        <v>138</v>
      </c>
      <c r="K200" t="s">
        <v>114</v>
      </c>
      <c r="L200" t="s">
        <v>140</v>
      </c>
      <c r="M200">
        <v>843.05591856000001</v>
      </c>
      <c r="N200">
        <v>0</v>
      </c>
      <c r="O200" t="s">
        <v>104</v>
      </c>
      <c r="P200" s="56">
        <v>44269.851107986113</v>
      </c>
      <c r="Q200">
        <v>1081851</v>
      </c>
      <c r="R200" t="s">
        <v>28</v>
      </c>
      <c r="S200">
        <v>5.8523218699999999</v>
      </c>
      <c r="W200"/>
      <c r="X200">
        <v>0</v>
      </c>
      <c r="AC200" t="s">
        <v>108</v>
      </c>
      <c r="AD200" s="56">
        <v>43344</v>
      </c>
    </row>
    <row r="201" spans="1:30" x14ac:dyDescent="0.3">
      <c r="A201">
        <v>119638</v>
      </c>
      <c r="B201" t="s">
        <v>150</v>
      </c>
      <c r="C201">
        <v>2018</v>
      </c>
      <c r="D201">
        <v>9</v>
      </c>
      <c r="E201" t="s">
        <v>111</v>
      </c>
      <c r="F201" t="s">
        <v>108</v>
      </c>
      <c r="G201" t="s">
        <v>108</v>
      </c>
      <c r="H201" t="s">
        <v>25</v>
      </c>
      <c r="I201" t="s">
        <v>25</v>
      </c>
      <c r="J201" t="s">
        <v>138</v>
      </c>
      <c r="K201" t="s">
        <v>112</v>
      </c>
      <c r="L201" t="s">
        <v>140</v>
      </c>
      <c r="M201">
        <v>316.65874517999998</v>
      </c>
      <c r="N201">
        <v>0</v>
      </c>
      <c r="O201" t="s">
        <v>104</v>
      </c>
      <c r="P201" s="56">
        <v>44269.85110659722</v>
      </c>
      <c r="Q201">
        <v>1081731</v>
      </c>
      <c r="R201" t="s">
        <v>28</v>
      </c>
      <c r="S201">
        <v>2.1035998299999998</v>
      </c>
      <c r="W201"/>
      <c r="X201">
        <v>0</v>
      </c>
      <c r="AC201" t="s">
        <v>108</v>
      </c>
      <c r="AD201" s="56">
        <v>43344</v>
      </c>
    </row>
    <row r="202" spans="1:30" x14ac:dyDescent="0.3">
      <c r="A202">
        <v>119614</v>
      </c>
      <c r="B202" t="s">
        <v>150</v>
      </c>
      <c r="C202">
        <v>2018</v>
      </c>
      <c r="D202">
        <v>9</v>
      </c>
      <c r="E202" t="s">
        <v>109</v>
      </c>
      <c r="F202" t="s">
        <v>108</v>
      </c>
      <c r="G202" t="s">
        <v>108</v>
      </c>
      <c r="H202" t="s">
        <v>25</v>
      </c>
      <c r="I202" t="s">
        <v>25</v>
      </c>
      <c r="J202" t="s">
        <v>138</v>
      </c>
      <c r="K202" t="s">
        <v>110</v>
      </c>
      <c r="L202" t="s">
        <v>140</v>
      </c>
      <c r="M202">
        <v>1439.52704135</v>
      </c>
      <c r="N202">
        <v>0</v>
      </c>
      <c r="O202" t="s">
        <v>104</v>
      </c>
      <c r="P202" s="56">
        <v>44269.851105011578</v>
      </c>
      <c r="Q202">
        <v>1081611</v>
      </c>
      <c r="R202" t="s">
        <v>28</v>
      </c>
      <c r="S202">
        <v>9.9484236900000003</v>
      </c>
      <c r="W202"/>
      <c r="X202">
        <v>0</v>
      </c>
      <c r="AC202" t="s">
        <v>108</v>
      </c>
      <c r="AD202" s="56">
        <v>43344</v>
      </c>
    </row>
    <row r="203" spans="1:30" x14ac:dyDescent="0.3">
      <c r="A203">
        <v>130318</v>
      </c>
      <c r="B203" t="s">
        <v>151</v>
      </c>
      <c r="C203">
        <v>2018</v>
      </c>
      <c r="D203">
        <v>10</v>
      </c>
      <c r="E203" t="s">
        <v>111</v>
      </c>
      <c r="F203" t="s">
        <v>108</v>
      </c>
      <c r="G203" t="s">
        <v>108</v>
      </c>
      <c r="H203" t="s">
        <v>25</v>
      </c>
      <c r="I203" t="s">
        <v>25</v>
      </c>
      <c r="J203" t="s">
        <v>138</v>
      </c>
      <c r="K203" t="s">
        <v>112</v>
      </c>
      <c r="L203" t="s">
        <v>140</v>
      </c>
      <c r="M203">
        <v>333.40243543999998</v>
      </c>
      <c r="N203">
        <v>0</v>
      </c>
      <c r="O203" t="s">
        <v>104</v>
      </c>
      <c r="P203" s="56">
        <v>44269.852573611111</v>
      </c>
      <c r="Q203">
        <v>1193102</v>
      </c>
      <c r="R203" t="s">
        <v>26</v>
      </c>
      <c r="S203">
        <v>133.79030291999999</v>
      </c>
      <c r="W203"/>
      <c r="X203">
        <v>0</v>
      </c>
      <c r="AC203" t="s">
        <v>108</v>
      </c>
      <c r="AD203" s="56">
        <v>43374</v>
      </c>
    </row>
    <row r="204" spans="1:30" x14ac:dyDescent="0.3">
      <c r="A204">
        <v>130342</v>
      </c>
      <c r="B204" t="s">
        <v>151</v>
      </c>
      <c r="C204">
        <v>2018</v>
      </c>
      <c r="D204">
        <v>10</v>
      </c>
      <c r="E204" t="s">
        <v>113</v>
      </c>
      <c r="F204" t="s">
        <v>108</v>
      </c>
      <c r="G204" t="s">
        <v>108</v>
      </c>
      <c r="H204" t="s">
        <v>25</v>
      </c>
      <c r="I204" t="s">
        <v>25</v>
      </c>
      <c r="J204" t="s">
        <v>138</v>
      </c>
      <c r="K204" t="s">
        <v>114</v>
      </c>
      <c r="L204" t="s">
        <v>140</v>
      </c>
      <c r="M204">
        <v>879.43208655000001</v>
      </c>
      <c r="N204">
        <v>0</v>
      </c>
      <c r="O204" t="s">
        <v>104</v>
      </c>
      <c r="P204" s="56">
        <v>44269.852574803241</v>
      </c>
      <c r="Q204">
        <v>1193222</v>
      </c>
      <c r="R204" t="s">
        <v>26</v>
      </c>
      <c r="S204">
        <v>321.0431868</v>
      </c>
      <c r="W204"/>
      <c r="X204">
        <v>0</v>
      </c>
      <c r="AC204" t="s">
        <v>108</v>
      </c>
      <c r="AD204" s="56">
        <v>43374</v>
      </c>
    </row>
    <row r="205" spans="1:30" x14ac:dyDescent="0.3">
      <c r="A205">
        <v>130294</v>
      </c>
      <c r="B205" t="s">
        <v>151</v>
      </c>
      <c r="C205">
        <v>2018</v>
      </c>
      <c r="D205">
        <v>10</v>
      </c>
      <c r="E205" t="s">
        <v>109</v>
      </c>
      <c r="F205" t="s">
        <v>108</v>
      </c>
      <c r="G205" t="s">
        <v>108</v>
      </c>
      <c r="H205" t="s">
        <v>25</v>
      </c>
      <c r="I205" t="s">
        <v>25</v>
      </c>
      <c r="J205" t="s">
        <v>138</v>
      </c>
      <c r="K205" t="s">
        <v>110</v>
      </c>
      <c r="L205" t="s">
        <v>140</v>
      </c>
      <c r="M205">
        <v>1428.8615156599999</v>
      </c>
      <c r="N205">
        <v>0</v>
      </c>
      <c r="O205" t="s">
        <v>104</v>
      </c>
      <c r="P205" s="56">
        <v>44269.8525723727</v>
      </c>
      <c r="Q205">
        <v>1192982</v>
      </c>
      <c r="R205" t="s">
        <v>26</v>
      </c>
      <c r="S205">
        <v>493.49836471999998</v>
      </c>
      <c r="W205"/>
      <c r="X205">
        <v>0</v>
      </c>
      <c r="AC205" t="s">
        <v>108</v>
      </c>
      <c r="AD205" s="56">
        <v>43374</v>
      </c>
    </row>
    <row r="206" spans="1:30" x14ac:dyDescent="0.3">
      <c r="A206">
        <v>130318</v>
      </c>
      <c r="B206" t="s">
        <v>151</v>
      </c>
      <c r="C206">
        <v>2018</v>
      </c>
      <c r="D206">
        <v>10</v>
      </c>
      <c r="E206" t="s">
        <v>111</v>
      </c>
      <c r="F206" t="s">
        <v>108</v>
      </c>
      <c r="G206" t="s">
        <v>108</v>
      </c>
      <c r="H206" t="s">
        <v>25</v>
      </c>
      <c r="I206" t="s">
        <v>25</v>
      </c>
      <c r="J206" t="s">
        <v>138</v>
      </c>
      <c r="K206" t="s">
        <v>112</v>
      </c>
      <c r="L206" t="s">
        <v>140</v>
      </c>
      <c r="M206">
        <v>333.40243543999998</v>
      </c>
      <c r="N206">
        <v>0</v>
      </c>
      <c r="O206" t="s">
        <v>104</v>
      </c>
      <c r="P206" s="56">
        <v>44269.852573611111</v>
      </c>
      <c r="Q206">
        <v>1193105</v>
      </c>
      <c r="R206" t="s">
        <v>105</v>
      </c>
      <c r="S206">
        <v>69.149925620000005</v>
      </c>
      <c r="W206"/>
      <c r="X206">
        <v>0</v>
      </c>
      <c r="AC206" t="s">
        <v>108</v>
      </c>
      <c r="AD206" s="56">
        <v>43374</v>
      </c>
    </row>
    <row r="207" spans="1:30" x14ac:dyDescent="0.3">
      <c r="A207">
        <v>130294</v>
      </c>
      <c r="B207" t="s">
        <v>151</v>
      </c>
      <c r="C207">
        <v>2018</v>
      </c>
      <c r="D207">
        <v>10</v>
      </c>
      <c r="E207" t="s">
        <v>109</v>
      </c>
      <c r="F207" t="s">
        <v>108</v>
      </c>
      <c r="G207" t="s">
        <v>108</v>
      </c>
      <c r="H207" t="s">
        <v>25</v>
      </c>
      <c r="I207" t="s">
        <v>25</v>
      </c>
      <c r="J207" t="s">
        <v>138</v>
      </c>
      <c r="K207" t="s">
        <v>110</v>
      </c>
      <c r="L207" t="s">
        <v>140</v>
      </c>
      <c r="M207">
        <v>1428.8615156599999</v>
      </c>
      <c r="N207">
        <v>0</v>
      </c>
      <c r="O207" t="s">
        <v>104</v>
      </c>
      <c r="P207" s="56">
        <v>44269.8525723727</v>
      </c>
      <c r="Q207">
        <v>1192985</v>
      </c>
      <c r="R207" t="s">
        <v>105</v>
      </c>
      <c r="S207">
        <v>293.84436671999998</v>
      </c>
      <c r="W207"/>
      <c r="X207">
        <v>0</v>
      </c>
      <c r="AC207" t="s">
        <v>108</v>
      </c>
      <c r="AD207" s="56">
        <v>43374</v>
      </c>
    </row>
    <row r="208" spans="1:30" x14ac:dyDescent="0.3">
      <c r="A208">
        <v>130342</v>
      </c>
      <c r="B208" t="s">
        <v>151</v>
      </c>
      <c r="C208">
        <v>2018</v>
      </c>
      <c r="D208">
        <v>10</v>
      </c>
      <c r="E208" t="s">
        <v>113</v>
      </c>
      <c r="F208" t="s">
        <v>108</v>
      </c>
      <c r="G208" t="s">
        <v>108</v>
      </c>
      <c r="H208" t="s">
        <v>25</v>
      </c>
      <c r="I208" t="s">
        <v>25</v>
      </c>
      <c r="J208" t="s">
        <v>138</v>
      </c>
      <c r="K208" t="s">
        <v>114</v>
      </c>
      <c r="L208" t="s">
        <v>140</v>
      </c>
      <c r="M208">
        <v>879.43208655000001</v>
      </c>
      <c r="N208">
        <v>0</v>
      </c>
      <c r="O208" t="s">
        <v>104</v>
      </c>
      <c r="P208" s="56">
        <v>44269.852574803241</v>
      </c>
      <c r="Q208">
        <v>1193225</v>
      </c>
      <c r="R208" t="s">
        <v>105</v>
      </c>
      <c r="S208">
        <v>174.33643208999999</v>
      </c>
      <c r="W208"/>
      <c r="X208">
        <v>0</v>
      </c>
      <c r="AC208" t="s">
        <v>108</v>
      </c>
      <c r="AD208" s="56">
        <v>43374</v>
      </c>
    </row>
    <row r="209" spans="1:30" x14ac:dyDescent="0.3">
      <c r="A209">
        <v>130318</v>
      </c>
      <c r="B209" t="s">
        <v>151</v>
      </c>
      <c r="C209">
        <v>2018</v>
      </c>
      <c r="D209">
        <v>10</v>
      </c>
      <c r="E209" t="s">
        <v>111</v>
      </c>
      <c r="F209" t="s">
        <v>108</v>
      </c>
      <c r="G209" t="s">
        <v>108</v>
      </c>
      <c r="H209" t="s">
        <v>25</v>
      </c>
      <c r="I209" t="s">
        <v>25</v>
      </c>
      <c r="J209" t="s">
        <v>138</v>
      </c>
      <c r="K209" t="s">
        <v>112</v>
      </c>
      <c r="L209" t="s">
        <v>140</v>
      </c>
      <c r="M209">
        <v>333.40243543999998</v>
      </c>
      <c r="N209">
        <v>0</v>
      </c>
      <c r="O209" t="s">
        <v>104</v>
      </c>
      <c r="P209" s="56">
        <v>44269.852573611111</v>
      </c>
      <c r="Q209">
        <v>1193104</v>
      </c>
      <c r="R209" t="s">
        <v>27</v>
      </c>
      <c r="S209">
        <v>138.22930368999999</v>
      </c>
      <c r="W209"/>
      <c r="X209">
        <v>0</v>
      </c>
      <c r="AC209" t="s">
        <v>108</v>
      </c>
      <c r="AD209" s="56">
        <v>43374</v>
      </c>
    </row>
    <row r="210" spans="1:30" x14ac:dyDescent="0.3">
      <c r="A210">
        <v>130342</v>
      </c>
      <c r="B210" t="s">
        <v>151</v>
      </c>
      <c r="C210">
        <v>2018</v>
      </c>
      <c r="D210">
        <v>10</v>
      </c>
      <c r="E210" t="s">
        <v>113</v>
      </c>
      <c r="F210" t="s">
        <v>108</v>
      </c>
      <c r="G210" t="s">
        <v>108</v>
      </c>
      <c r="H210" t="s">
        <v>25</v>
      </c>
      <c r="I210" t="s">
        <v>25</v>
      </c>
      <c r="J210" t="s">
        <v>138</v>
      </c>
      <c r="K210" t="s">
        <v>114</v>
      </c>
      <c r="L210" t="s">
        <v>140</v>
      </c>
      <c r="M210">
        <v>879.43208655000001</v>
      </c>
      <c r="N210">
        <v>0</v>
      </c>
      <c r="O210" t="s">
        <v>104</v>
      </c>
      <c r="P210" s="56">
        <v>44269.852574803241</v>
      </c>
      <c r="Q210">
        <v>1193224</v>
      </c>
      <c r="R210" t="s">
        <v>27</v>
      </c>
      <c r="S210">
        <v>394.05372144</v>
      </c>
      <c r="W210"/>
      <c r="X210">
        <v>0</v>
      </c>
      <c r="AC210" t="s">
        <v>108</v>
      </c>
      <c r="AD210" s="56">
        <v>43374</v>
      </c>
    </row>
    <row r="211" spans="1:30" x14ac:dyDescent="0.3">
      <c r="A211">
        <v>130294</v>
      </c>
      <c r="B211" t="s">
        <v>151</v>
      </c>
      <c r="C211">
        <v>2018</v>
      </c>
      <c r="D211">
        <v>10</v>
      </c>
      <c r="E211" t="s">
        <v>109</v>
      </c>
      <c r="F211" t="s">
        <v>108</v>
      </c>
      <c r="G211" t="s">
        <v>108</v>
      </c>
      <c r="H211" t="s">
        <v>25</v>
      </c>
      <c r="I211" t="s">
        <v>25</v>
      </c>
      <c r="J211" t="s">
        <v>138</v>
      </c>
      <c r="K211" t="s">
        <v>110</v>
      </c>
      <c r="L211" t="s">
        <v>140</v>
      </c>
      <c r="M211">
        <v>1428.8615156599999</v>
      </c>
      <c r="N211">
        <v>0</v>
      </c>
      <c r="O211" t="s">
        <v>104</v>
      </c>
      <c r="P211" s="56">
        <v>44269.8525723727</v>
      </c>
      <c r="Q211">
        <v>1192984</v>
      </c>
      <c r="R211" t="s">
        <v>27</v>
      </c>
      <c r="S211">
        <v>661.15529293999998</v>
      </c>
      <c r="W211"/>
      <c r="X211">
        <v>0</v>
      </c>
      <c r="AC211" t="s">
        <v>108</v>
      </c>
      <c r="AD211" s="56">
        <v>43374</v>
      </c>
    </row>
    <row r="212" spans="1:30" x14ac:dyDescent="0.3">
      <c r="A212">
        <v>130318</v>
      </c>
      <c r="B212" t="s">
        <v>151</v>
      </c>
      <c r="C212">
        <v>2018</v>
      </c>
      <c r="D212">
        <v>10</v>
      </c>
      <c r="E212" t="s">
        <v>111</v>
      </c>
      <c r="F212" t="s">
        <v>108</v>
      </c>
      <c r="G212" t="s">
        <v>108</v>
      </c>
      <c r="H212" t="s">
        <v>25</v>
      </c>
      <c r="I212" t="s">
        <v>25</v>
      </c>
      <c r="J212" t="s">
        <v>138</v>
      </c>
      <c r="K212" t="s">
        <v>112</v>
      </c>
      <c r="L212" t="s">
        <v>140</v>
      </c>
      <c r="M212">
        <v>333.40243543999998</v>
      </c>
      <c r="N212">
        <v>0</v>
      </c>
      <c r="O212" t="s">
        <v>104</v>
      </c>
      <c r="P212" s="56">
        <v>44269.852573611111</v>
      </c>
      <c r="Q212">
        <v>1193101</v>
      </c>
      <c r="R212" t="s">
        <v>115</v>
      </c>
      <c r="S212">
        <v>0</v>
      </c>
      <c r="W212"/>
      <c r="X212">
        <v>0</v>
      </c>
      <c r="AC212" t="s">
        <v>108</v>
      </c>
      <c r="AD212" s="56">
        <v>43374</v>
      </c>
    </row>
    <row r="213" spans="1:30" x14ac:dyDescent="0.3">
      <c r="A213">
        <v>130342</v>
      </c>
      <c r="B213" t="s">
        <v>151</v>
      </c>
      <c r="C213">
        <v>2018</v>
      </c>
      <c r="D213">
        <v>10</v>
      </c>
      <c r="E213" t="s">
        <v>113</v>
      </c>
      <c r="F213" t="s">
        <v>108</v>
      </c>
      <c r="G213" t="s">
        <v>108</v>
      </c>
      <c r="H213" t="s">
        <v>25</v>
      </c>
      <c r="I213" t="s">
        <v>25</v>
      </c>
      <c r="J213" t="s">
        <v>138</v>
      </c>
      <c r="K213" t="s">
        <v>114</v>
      </c>
      <c r="L213" t="s">
        <v>140</v>
      </c>
      <c r="M213">
        <v>879.43208655000001</v>
      </c>
      <c r="N213">
        <v>0</v>
      </c>
      <c r="O213" t="s">
        <v>104</v>
      </c>
      <c r="P213" s="56">
        <v>44269.852574803241</v>
      </c>
      <c r="Q213">
        <v>1193221</v>
      </c>
      <c r="R213" t="s">
        <v>115</v>
      </c>
      <c r="S213">
        <v>10.228214250000001</v>
      </c>
      <c r="W213"/>
      <c r="X213">
        <v>0</v>
      </c>
      <c r="AC213" t="s">
        <v>108</v>
      </c>
      <c r="AD213" s="56">
        <v>43374</v>
      </c>
    </row>
    <row r="214" spans="1:30" x14ac:dyDescent="0.3">
      <c r="A214">
        <v>130294</v>
      </c>
      <c r="B214" t="s">
        <v>151</v>
      </c>
      <c r="C214">
        <v>2018</v>
      </c>
      <c r="D214">
        <v>10</v>
      </c>
      <c r="E214" t="s">
        <v>109</v>
      </c>
      <c r="F214" t="s">
        <v>108</v>
      </c>
      <c r="G214" t="s">
        <v>108</v>
      </c>
      <c r="H214" t="s">
        <v>25</v>
      </c>
      <c r="I214" t="s">
        <v>25</v>
      </c>
      <c r="J214" t="s">
        <v>138</v>
      </c>
      <c r="K214" t="s">
        <v>110</v>
      </c>
      <c r="L214" t="s">
        <v>140</v>
      </c>
      <c r="M214">
        <v>1428.8615156599999</v>
      </c>
      <c r="N214">
        <v>0</v>
      </c>
      <c r="O214" t="s">
        <v>104</v>
      </c>
      <c r="P214" s="56">
        <v>44269.8525723727</v>
      </c>
      <c r="Q214">
        <v>1192981</v>
      </c>
      <c r="R214" t="s">
        <v>115</v>
      </c>
      <c r="S214">
        <v>13.29405805</v>
      </c>
      <c r="W214"/>
      <c r="X214">
        <v>0</v>
      </c>
      <c r="AC214" t="s">
        <v>108</v>
      </c>
      <c r="AD214" s="56">
        <v>43374</v>
      </c>
    </row>
    <row r="215" spans="1:30" x14ac:dyDescent="0.3">
      <c r="A215">
        <v>130318</v>
      </c>
      <c r="B215" t="s">
        <v>151</v>
      </c>
      <c r="C215">
        <v>2018</v>
      </c>
      <c r="D215">
        <v>10</v>
      </c>
      <c r="E215" t="s">
        <v>111</v>
      </c>
      <c r="F215" t="s">
        <v>108</v>
      </c>
      <c r="G215" t="s">
        <v>108</v>
      </c>
      <c r="H215" t="s">
        <v>25</v>
      </c>
      <c r="I215" t="s">
        <v>25</v>
      </c>
      <c r="J215" t="s">
        <v>138</v>
      </c>
      <c r="K215" t="s">
        <v>112</v>
      </c>
      <c r="L215" t="s">
        <v>140</v>
      </c>
      <c r="M215">
        <v>333.40243543999998</v>
      </c>
      <c r="N215">
        <v>0</v>
      </c>
      <c r="O215" t="s">
        <v>104</v>
      </c>
      <c r="P215" s="56">
        <v>44269.852573611111</v>
      </c>
      <c r="Q215">
        <v>1193103</v>
      </c>
      <c r="R215" t="s">
        <v>28</v>
      </c>
      <c r="S215">
        <v>2.21497213</v>
      </c>
      <c r="W215"/>
      <c r="X215">
        <v>0</v>
      </c>
      <c r="AC215" t="s">
        <v>108</v>
      </c>
      <c r="AD215" s="56">
        <v>43374</v>
      </c>
    </row>
    <row r="216" spans="1:30" x14ac:dyDescent="0.3">
      <c r="A216">
        <v>130342</v>
      </c>
      <c r="B216" t="s">
        <v>151</v>
      </c>
      <c r="C216">
        <v>2018</v>
      </c>
      <c r="D216">
        <v>10</v>
      </c>
      <c r="E216" t="s">
        <v>113</v>
      </c>
      <c r="F216" t="s">
        <v>108</v>
      </c>
      <c r="G216" t="s">
        <v>108</v>
      </c>
      <c r="H216" t="s">
        <v>25</v>
      </c>
      <c r="I216" t="s">
        <v>25</v>
      </c>
      <c r="J216" t="s">
        <v>138</v>
      </c>
      <c r="K216" t="s">
        <v>114</v>
      </c>
      <c r="L216" t="s">
        <v>140</v>
      </c>
      <c r="M216">
        <v>879.43208655000001</v>
      </c>
      <c r="N216">
        <v>0</v>
      </c>
      <c r="O216" t="s">
        <v>104</v>
      </c>
      <c r="P216" s="56">
        <v>44269.852574803241</v>
      </c>
      <c r="Q216">
        <v>1193223</v>
      </c>
      <c r="R216" t="s">
        <v>28</v>
      </c>
      <c r="S216">
        <v>6.1007286299999999</v>
      </c>
      <c r="W216"/>
      <c r="X216">
        <v>0</v>
      </c>
      <c r="AC216" t="s">
        <v>108</v>
      </c>
      <c r="AD216" s="56">
        <v>43374</v>
      </c>
    </row>
    <row r="217" spans="1:30" x14ac:dyDescent="0.3">
      <c r="A217">
        <v>130294</v>
      </c>
      <c r="B217" t="s">
        <v>151</v>
      </c>
      <c r="C217">
        <v>2018</v>
      </c>
      <c r="D217">
        <v>10</v>
      </c>
      <c r="E217" t="s">
        <v>109</v>
      </c>
      <c r="F217" t="s">
        <v>108</v>
      </c>
      <c r="G217" t="s">
        <v>108</v>
      </c>
      <c r="H217" t="s">
        <v>25</v>
      </c>
      <c r="I217" t="s">
        <v>25</v>
      </c>
      <c r="J217" t="s">
        <v>138</v>
      </c>
      <c r="K217" t="s">
        <v>110</v>
      </c>
      <c r="L217" t="s">
        <v>140</v>
      </c>
      <c r="M217">
        <v>1428.8615156599999</v>
      </c>
      <c r="N217">
        <v>0</v>
      </c>
      <c r="O217" t="s">
        <v>104</v>
      </c>
      <c r="P217" s="56">
        <v>44269.8525723727</v>
      </c>
      <c r="Q217">
        <v>1192983</v>
      </c>
      <c r="R217" t="s">
        <v>28</v>
      </c>
      <c r="S217">
        <v>9.8495469999999994</v>
      </c>
      <c r="W217"/>
      <c r="X217">
        <v>0</v>
      </c>
      <c r="AC217" t="s">
        <v>108</v>
      </c>
      <c r="AD217" s="56">
        <v>43374</v>
      </c>
    </row>
    <row r="218" spans="1:30" x14ac:dyDescent="0.3">
      <c r="A218">
        <v>144832</v>
      </c>
      <c r="B218" t="s">
        <v>152</v>
      </c>
      <c r="C218">
        <v>2018</v>
      </c>
      <c r="D218">
        <v>11</v>
      </c>
      <c r="E218" t="s">
        <v>109</v>
      </c>
      <c r="F218" t="s">
        <v>108</v>
      </c>
      <c r="G218" t="s">
        <v>108</v>
      </c>
      <c r="H218" t="s">
        <v>25</v>
      </c>
      <c r="I218" t="s">
        <v>25</v>
      </c>
      <c r="J218" t="s">
        <v>138</v>
      </c>
      <c r="K218" t="s">
        <v>110</v>
      </c>
      <c r="L218" t="s">
        <v>140</v>
      </c>
      <c r="M218">
        <v>1939.5207746900001</v>
      </c>
      <c r="N218">
        <v>0</v>
      </c>
      <c r="O218" t="s">
        <v>104</v>
      </c>
      <c r="P218" s="56">
        <v>44269.854262534733</v>
      </c>
      <c r="Q218">
        <v>1336942</v>
      </c>
      <c r="R218" t="s">
        <v>26</v>
      </c>
      <c r="S218">
        <v>669.86920716999998</v>
      </c>
      <c r="W218"/>
      <c r="X218">
        <v>0</v>
      </c>
      <c r="AC218" t="s">
        <v>108</v>
      </c>
      <c r="AD218" s="56">
        <v>43405</v>
      </c>
    </row>
    <row r="219" spans="1:30" x14ac:dyDescent="0.3">
      <c r="A219">
        <v>144856</v>
      </c>
      <c r="B219" t="s">
        <v>152</v>
      </c>
      <c r="C219">
        <v>2018</v>
      </c>
      <c r="D219">
        <v>11</v>
      </c>
      <c r="E219" t="s">
        <v>111</v>
      </c>
      <c r="F219" t="s">
        <v>108</v>
      </c>
      <c r="G219" t="s">
        <v>108</v>
      </c>
      <c r="H219" t="s">
        <v>25</v>
      </c>
      <c r="I219" t="s">
        <v>25</v>
      </c>
      <c r="J219" t="s">
        <v>138</v>
      </c>
      <c r="K219" t="s">
        <v>112</v>
      </c>
      <c r="L219" t="s">
        <v>140</v>
      </c>
      <c r="M219">
        <v>527.43779992999998</v>
      </c>
      <c r="N219">
        <v>0</v>
      </c>
      <c r="O219" t="s">
        <v>104</v>
      </c>
      <c r="P219" s="56">
        <v>44269.854263738423</v>
      </c>
      <c r="Q219">
        <v>1337062</v>
      </c>
      <c r="R219" t="s">
        <v>26</v>
      </c>
      <c r="S219">
        <v>211.65431179999999</v>
      </c>
      <c r="W219"/>
      <c r="X219">
        <v>0</v>
      </c>
      <c r="AC219" t="s">
        <v>108</v>
      </c>
      <c r="AD219" s="56">
        <v>43405</v>
      </c>
    </row>
    <row r="220" spans="1:30" x14ac:dyDescent="0.3">
      <c r="A220">
        <v>144880</v>
      </c>
      <c r="B220" t="s">
        <v>152</v>
      </c>
      <c r="C220">
        <v>2018</v>
      </c>
      <c r="D220">
        <v>11</v>
      </c>
      <c r="E220" t="s">
        <v>113</v>
      </c>
      <c r="F220" t="s">
        <v>108</v>
      </c>
      <c r="G220" t="s">
        <v>108</v>
      </c>
      <c r="H220" t="s">
        <v>25</v>
      </c>
      <c r="I220" t="s">
        <v>25</v>
      </c>
      <c r="J220" t="s">
        <v>138</v>
      </c>
      <c r="K220" t="s">
        <v>114</v>
      </c>
      <c r="L220" t="s">
        <v>140</v>
      </c>
      <c r="M220">
        <v>1036.3887642100001</v>
      </c>
      <c r="N220">
        <v>0</v>
      </c>
      <c r="O220" t="s">
        <v>104</v>
      </c>
      <c r="P220" s="56">
        <v>44269.854264965281</v>
      </c>
      <c r="Q220">
        <v>1337182</v>
      </c>
      <c r="R220" t="s">
        <v>26</v>
      </c>
      <c r="S220">
        <v>378.34138271</v>
      </c>
      <c r="W220"/>
      <c r="X220">
        <v>0</v>
      </c>
      <c r="AC220" t="s">
        <v>108</v>
      </c>
      <c r="AD220" s="56">
        <v>43405</v>
      </c>
    </row>
    <row r="221" spans="1:30" x14ac:dyDescent="0.3">
      <c r="A221">
        <v>144880</v>
      </c>
      <c r="B221" t="s">
        <v>152</v>
      </c>
      <c r="C221">
        <v>2018</v>
      </c>
      <c r="D221">
        <v>11</v>
      </c>
      <c r="E221" t="s">
        <v>113</v>
      </c>
      <c r="F221" t="s">
        <v>108</v>
      </c>
      <c r="G221" t="s">
        <v>108</v>
      </c>
      <c r="H221" t="s">
        <v>25</v>
      </c>
      <c r="I221" t="s">
        <v>25</v>
      </c>
      <c r="J221" t="s">
        <v>138</v>
      </c>
      <c r="K221" t="s">
        <v>114</v>
      </c>
      <c r="L221" t="s">
        <v>140</v>
      </c>
      <c r="M221">
        <v>1036.3887642100001</v>
      </c>
      <c r="N221">
        <v>0</v>
      </c>
      <c r="O221" t="s">
        <v>104</v>
      </c>
      <c r="P221" s="56">
        <v>44269.854264965281</v>
      </c>
      <c r="Q221">
        <v>1337185</v>
      </c>
      <c r="R221" t="s">
        <v>105</v>
      </c>
      <c r="S221">
        <v>205.45113395000001</v>
      </c>
      <c r="W221"/>
      <c r="X221">
        <v>0</v>
      </c>
      <c r="AC221" t="s">
        <v>108</v>
      </c>
      <c r="AD221" s="56">
        <v>43405</v>
      </c>
    </row>
    <row r="222" spans="1:30" x14ac:dyDescent="0.3">
      <c r="A222">
        <v>144856</v>
      </c>
      <c r="B222" t="s">
        <v>152</v>
      </c>
      <c r="C222">
        <v>2018</v>
      </c>
      <c r="D222">
        <v>11</v>
      </c>
      <c r="E222" t="s">
        <v>111</v>
      </c>
      <c r="F222" t="s">
        <v>108</v>
      </c>
      <c r="G222" t="s">
        <v>108</v>
      </c>
      <c r="H222" t="s">
        <v>25</v>
      </c>
      <c r="I222" t="s">
        <v>25</v>
      </c>
      <c r="J222" t="s">
        <v>138</v>
      </c>
      <c r="K222" t="s">
        <v>112</v>
      </c>
      <c r="L222" t="s">
        <v>140</v>
      </c>
      <c r="M222">
        <v>527.43779992999998</v>
      </c>
      <c r="N222">
        <v>0</v>
      </c>
      <c r="O222" t="s">
        <v>104</v>
      </c>
      <c r="P222" s="56">
        <v>44269.854263738423</v>
      </c>
      <c r="Q222">
        <v>1337065</v>
      </c>
      <c r="R222" t="s">
        <v>105</v>
      </c>
      <c r="S222">
        <v>109.3941758</v>
      </c>
      <c r="W222"/>
      <c r="X222">
        <v>0</v>
      </c>
      <c r="AC222" t="s">
        <v>108</v>
      </c>
      <c r="AD222" s="56">
        <v>43405</v>
      </c>
    </row>
    <row r="223" spans="1:30" x14ac:dyDescent="0.3">
      <c r="A223">
        <v>144832</v>
      </c>
      <c r="B223" t="s">
        <v>152</v>
      </c>
      <c r="C223">
        <v>2018</v>
      </c>
      <c r="D223">
        <v>11</v>
      </c>
      <c r="E223" t="s">
        <v>109</v>
      </c>
      <c r="F223" t="s">
        <v>108</v>
      </c>
      <c r="G223" t="s">
        <v>108</v>
      </c>
      <c r="H223" t="s">
        <v>25</v>
      </c>
      <c r="I223" t="s">
        <v>25</v>
      </c>
      <c r="J223" t="s">
        <v>138</v>
      </c>
      <c r="K223" t="s">
        <v>110</v>
      </c>
      <c r="L223" t="s">
        <v>140</v>
      </c>
      <c r="M223">
        <v>1939.5207746900001</v>
      </c>
      <c r="N223">
        <v>0</v>
      </c>
      <c r="O223" t="s">
        <v>104</v>
      </c>
      <c r="P223" s="56">
        <v>44269.854262534733</v>
      </c>
      <c r="Q223">
        <v>1336945</v>
      </c>
      <c r="R223" t="s">
        <v>105</v>
      </c>
      <c r="S223">
        <v>398.86108453000003</v>
      </c>
      <c r="W223"/>
      <c r="X223">
        <v>0</v>
      </c>
      <c r="AC223" t="s">
        <v>108</v>
      </c>
      <c r="AD223" s="56">
        <v>43405</v>
      </c>
    </row>
    <row r="224" spans="1:30" x14ac:dyDescent="0.3">
      <c r="A224">
        <v>144856</v>
      </c>
      <c r="B224" t="s">
        <v>152</v>
      </c>
      <c r="C224">
        <v>2018</v>
      </c>
      <c r="D224">
        <v>11</v>
      </c>
      <c r="E224" t="s">
        <v>111</v>
      </c>
      <c r="F224" t="s">
        <v>108</v>
      </c>
      <c r="G224" t="s">
        <v>108</v>
      </c>
      <c r="H224" t="s">
        <v>25</v>
      </c>
      <c r="I224" t="s">
        <v>25</v>
      </c>
      <c r="J224" t="s">
        <v>138</v>
      </c>
      <c r="K224" t="s">
        <v>112</v>
      </c>
      <c r="L224" t="s">
        <v>140</v>
      </c>
      <c r="M224">
        <v>527.43779992999998</v>
      </c>
      <c r="N224">
        <v>0</v>
      </c>
      <c r="O224" t="s">
        <v>104</v>
      </c>
      <c r="P224" s="56">
        <v>44269.854263738423</v>
      </c>
      <c r="Q224">
        <v>1337064</v>
      </c>
      <c r="R224" t="s">
        <v>27</v>
      </c>
      <c r="S224">
        <v>218.67674640000001</v>
      </c>
      <c r="W224"/>
      <c r="X224">
        <v>0</v>
      </c>
      <c r="AC224" t="s">
        <v>108</v>
      </c>
      <c r="AD224" s="56">
        <v>43405</v>
      </c>
    </row>
    <row r="225" spans="1:30" x14ac:dyDescent="0.3">
      <c r="A225">
        <v>144832</v>
      </c>
      <c r="B225" t="s">
        <v>152</v>
      </c>
      <c r="C225">
        <v>2018</v>
      </c>
      <c r="D225">
        <v>11</v>
      </c>
      <c r="E225" t="s">
        <v>109</v>
      </c>
      <c r="F225" t="s">
        <v>108</v>
      </c>
      <c r="G225" t="s">
        <v>108</v>
      </c>
      <c r="H225" t="s">
        <v>25</v>
      </c>
      <c r="I225" t="s">
        <v>25</v>
      </c>
      <c r="J225" t="s">
        <v>138</v>
      </c>
      <c r="K225" t="s">
        <v>110</v>
      </c>
      <c r="L225" t="s">
        <v>140</v>
      </c>
      <c r="M225">
        <v>1939.5207746900001</v>
      </c>
      <c r="N225">
        <v>0</v>
      </c>
      <c r="O225" t="s">
        <v>104</v>
      </c>
      <c r="P225" s="56">
        <v>44269.854262534733</v>
      </c>
      <c r="Q225">
        <v>1336944</v>
      </c>
      <c r="R225" t="s">
        <v>27</v>
      </c>
      <c r="S225">
        <v>897.44486215999996</v>
      </c>
      <c r="W225"/>
      <c r="X225">
        <v>0</v>
      </c>
      <c r="AC225" t="s">
        <v>108</v>
      </c>
      <c r="AD225" s="56">
        <v>43405</v>
      </c>
    </row>
    <row r="226" spans="1:30" x14ac:dyDescent="0.3">
      <c r="A226">
        <v>144880</v>
      </c>
      <c r="B226" t="s">
        <v>152</v>
      </c>
      <c r="C226">
        <v>2018</v>
      </c>
      <c r="D226">
        <v>11</v>
      </c>
      <c r="E226" t="s">
        <v>113</v>
      </c>
      <c r="F226" t="s">
        <v>108</v>
      </c>
      <c r="G226" t="s">
        <v>108</v>
      </c>
      <c r="H226" t="s">
        <v>25</v>
      </c>
      <c r="I226" t="s">
        <v>25</v>
      </c>
      <c r="J226" t="s">
        <v>138</v>
      </c>
      <c r="K226" t="s">
        <v>114</v>
      </c>
      <c r="L226" t="s">
        <v>140</v>
      </c>
      <c r="M226">
        <v>1036.3887642100001</v>
      </c>
      <c r="N226">
        <v>0</v>
      </c>
      <c r="O226" t="s">
        <v>104</v>
      </c>
      <c r="P226" s="56">
        <v>44269.854264965281</v>
      </c>
      <c r="Q226">
        <v>1337184</v>
      </c>
      <c r="R226" t="s">
        <v>27</v>
      </c>
      <c r="S226">
        <v>464.38247552000001</v>
      </c>
      <c r="W226"/>
      <c r="X226">
        <v>0</v>
      </c>
      <c r="AC226" t="s">
        <v>108</v>
      </c>
      <c r="AD226" s="56">
        <v>43405</v>
      </c>
    </row>
    <row r="227" spans="1:30" x14ac:dyDescent="0.3">
      <c r="A227">
        <v>144832</v>
      </c>
      <c r="B227" t="s">
        <v>152</v>
      </c>
      <c r="C227">
        <v>2018</v>
      </c>
      <c r="D227">
        <v>11</v>
      </c>
      <c r="E227" t="s">
        <v>109</v>
      </c>
      <c r="F227" t="s">
        <v>108</v>
      </c>
      <c r="G227" t="s">
        <v>108</v>
      </c>
      <c r="H227" t="s">
        <v>25</v>
      </c>
      <c r="I227" t="s">
        <v>25</v>
      </c>
      <c r="J227" t="s">
        <v>138</v>
      </c>
      <c r="K227" t="s">
        <v>110</v>
      </c>
      <c r="L227" t="s">
        <v>140</v>
      </c>
      <c r="M227">
        <v>1939.5207746900001</v>
      </c>
      <c r="N227">
        <v>0</v>
      </c>
      <c r="O227" t="s">
        <v>104</v>
      </c>
      <c r="P227" s="56">
        <v>44269.854262534733</v>
      </c>
      <c r="Q227">
        <v>1336941</v>
      </c>
      <c r="R227" t="s">
        <v>115</v>
      </c>
      <c r="S227">
        <v>18.045206960000002</v>
      </c>
      <c r="W227"/>
      <c r="X227">
        <v>0</v>
      </c>
      <c r="AC227" t="s">
        <v>108</v>
      </c>
      <c r="AD227" s="56">
        <v>43405</v>
      </c>
    </row>
    <row r="228" spans="1:30" x14ac:dyDescent="0.3">
      <c r="A228">
        <v>144880</v>
      </c>
      <c r="B228" t="s">
        <v>152</v>
      </c>
      <c r="C228">
        <v>2018</v>
      </c>
      <c r="D228">
        <v>11</v>
      </c>
      <c r="E228" t="s">
        <v>113</v>
      </c>
      <c r="F228" t="s">
        <v>108</v>
      </c>
      <c r="G228" t="s">
        <v>108</v>
      </c>
      <c r="H228" t="s">
        <v>25</v>
      </c>
      <c r="I228" t="s">
        <v>25</v>
      </c>
      <c r="J228" t="s">
        <v>138</v>
      </c>
      <c r="K228" t="s">
        <v>114</v>
      </c>
      <c r="L228" t="s">
        <v>140</v>
      </c>
      <c r="M228">
        <v>1036.3887642100001</v>
      </c>
      <c r="N228">
        <v>0</v>
      </c>
      <c r="O228" t="s">
        <v>104</v>
      </c>
      <c r="P228" s="56">
        <v>44269.854264965281</v>
      </c>
      <c r="Q228">
        <v>1337181</v>
      </c>
      <c r="R228" t="s">
        <v>115</v>
      </c>
      <c r="S228">
        <v>12.053695210000001</v>
      </c>
      <c r="W228"/>
      <c r="X228">
        <v>0</v>
      </c>
      <c r="AC228" t="s">
        <v>108</v>
      </c>
      <c r="AD228" s="56">
        <v>43405</v>
      </c>
    </row>
    <row r="229" spans="1:30" x14ac:dyDescent="0.3">
      <c r="A229">
        <v>144856</v>
      </c>
      <c r="B229" t="s">
        <v>152</v>
      </c>
      <c r="C229">
        <v>2018</v>
      </c>
      <c r="D229">
        <v>11</v>
      </c>
      <c r="E229" t="s">
        <v>111</v>
      </c>
      <c r="F229" t="s">
        <v>108</v>
      </c>
      <c r="G229" t="s">
        <v>108</v>
      </c>
      <c r="H229" t="s">
        <v>25</v>
      </c>
      <c r="I229" t="s">
        <v>25</v>
      </c>
      <c r="J229" t="s">
        <v>138</v>
      </c>
      <c r="K229" t="s">
        <v>112</v>
      </c>
      <c r="L229" t="s">
        <v>140</v>
      </c>
      <c r="M229">
        <v>527.43779992999998</v>
      </c>
      <c r="N229">
        <v>0</v>
      </c>
      <c r="O229" t="s">
        <v>104</v>
      </c>
      <c r="P229" s="56">
        <v>44269.854263738423</v>
      </c>
      <c r="Q229">
        <v>1337061</v>
      </c>
      <c r="R229" t="s">
        <v>115</v>
      </c>
      <c r="S229">
        <v>0</v>
      </c>
      <c r="W229"/>
      <c r="X229">
        <v>0</v>
      </c>
      <c r="AC229" t="s">
        <v>108</v>
      </c>
      <c r="AD229" s="56">
        <v>43405</v>
      </c>
    </row>
    <row r="230" spans="1:30" x14ac:dyDescent="0.3">
      <c r="A230">
        <v>144832</v>
      </c>
      <c r="B230" t="s">
        <v>152</v>
      </c>
      <c r="C230">
        <v>2018</v>
      </c>
      <c r="D230">
        <v>11</v>
      </c>
      <c r="E230" t="s">
        <v>109</v>
      </c>
      <c r="F230" t="s">
        <v>108</v>
      </c>
      <c r="G230" t="s">
        <v>108</v>
      </c>
      <c r="H230" t="s">
        <v>25</v>
      </c>
      <c r="I230" t="s">
        <v>25</v>
      </c>
      <c r="J230" t="s">
        <v>138</v>
      </c>
      <c r="K230" t="s">
        <v>110</v>
      </c>
      <c r="L230" t="s">
        <v>140</v>
      </c>
      <c r="M230">
        <v>1939.5207746900001</v>
      </c>
      <c r="N230">
        <v>0</v>
      </c>
      <c r="O230" t="s">
        <v>104</v>
      </c>
      <c r="P230" s="56">
        <v>44269.854262534733</v>
      </c>
      <c r="Q230">
        <v>1336943</v>
      </c>
      <c r="R230" t="s">
        <v>28</v>
      </c>
      <c r="S230">
        <v>13.36966587</v>
      </c>
      <c r="W230"/>
      <c r="X230">
        <v>0</v>
      </c>
      <c r="AC230" t="s">
        <v>108</v>
      </c>
      <c r="AD230" s="56">
        <v>43405</v>
      </c>
    </row>
    <row r="231" spans="1:30" x14ac:dyDescent="0.3">
      <c r="A231">
        <v>144880</v>
      </c>
      <c r="B231" t="s">
        <v>152</v>
      </c>
      <c r="C231">
        <v>2018</v>
      </c>
      <c r="D231">
        <v>11</v>
      </c>
      <c r="E231" t="s">
        <v>113</v>
      </c>
      <c r="F231" t="s">
        <v>108</v>
      </c>
      <c r="G231" t="s">
        <v>108</v>
      </c>
      <c r="H231" t="s">
        <v>25</v>
      </c>
      <c r="I231" t="s">
        <v>25</v>
      </c>
      <c r="J231" t="s">
        <v>138</v>
      </c>
      <c r="K231" t="s">
        <v>114</v>
      </c>
      <c r="L231" t="s">
        <v>140</v>
      </c>
      <c r="M231">
        <v>1036.3887642100001</v>
      </c>
      <c r="N231">
        <v>0</v>
      </c>
      <c r="O231" t="s">
        <v>104</v>
      </c>
      <c r="P231" s="56">
        <v>44269.854264965281</v>
      </c>
      <c r="Q231">
        <v>1337183</v>
      </c>
      <c r="R231" t="s">
        <v>28</v>
      </c>
      <c r="S231">
        <v>7.1895564199999997</v>
      </c>
      <c r="W231"/>
      <c r="X231">
        <v>0</v>
      </c>
      <c r="AC231" t="s">
        <v>108</v>
      </c>
      <c r="AD231" s="56">
        <v>43405</v>
      </c>
    </row>
    <row r="232" spans="1:30" x14ac:dyDescent="0.3">
      <c r="A232">
        <v>144856</v>
      </c>
      <c r="B232" t="s">
        <v>152</v>
      </c>
      <c r="C232">
        <v>2018</v>
      </c>
      <c r="D232">
        <v>11</v>
      </c>
      <c r="E232" t="s">
        <v>111</v>
      </c>
      <c r="F232" t="s">
        <v>108</v>
      </c>
      <c r="G232" t="s">
        <v>108</v>
      </c>
      <c r="H232" t="s">
        <v>25</v>
      </c>
      <c r="I232" t="s">
        <v>25</v>
      </c>
      <c r="J232" t="s">
        <v>138</v>
      </c>
      <c r="K232" t="s">
        <v>112</v>
      </c>
      <c r="L232" t="s">
        <v>140</v>
      </c>
      <c r="M232">
        <v>527.43779992999998</v>
      </c>
      <c r="N232">
        <v>0</v>
      </c>
      <c r="O232" t="s">
        <v>104</v>
      </c>
      <c r="P232" s="56">
        <v>44269.854263738423</v>
      </c>
      <c r="Q232">
        <v>1337063</v>
      </c>
      <c r="R232" t="s">
        <v>28</v>
      </c>
      <c r="S232">
        <v>3.5040536599999998</v>
      </c>
      <c r="W232"/>
      <c r="X232">
        <v>0</v>
      </c>
      <c r="AC232" t="s">
        <v>108</v>
      </c>
      <c r="AD232" s="56">
        <v>43405</v>
      </c>
    </row>
    <row r="233" spans="1:30" x14ac:dyDescent="0.3">
      <c r="A233">
        <v>443785</v>
      </c>
      <c r="B233" t="s">
        <v>153</v>
      </c>
      <c r="C233">
        <v>2018</v>
      </c>
      <c r="D233">
        <v>12</v>
      </c>
      <c r="E233" t="s">
        <v>109</v>
      </c>
      <c r="F233" t="s">
        <v>108</v>
      </c>
      <c r="G233" t="s">
        <v>108</v>
      </c>
      <c r="H233" t="s">
        <v>25</v>
      </c>
      <c r="I233" t="s">
        <v>25</v>
      </c>
      <c r="J233" t="s">
        <v>138</v>
      </c>
      <c r="K233" t="s">
        <v>110</v>
      </c>
      <c r="L233" t="s">
        <v>140</v>
      </c>
      <c r="M233">
        <v>3041.3129330199999</v>
      </c>
      <c r="N233">
        <v>0</v>
      </c>
      <c r="O233" t="s">
        <v>104</v>
      </c>
      <c r="P233" s="56">
        <v>44284.514579629627</v>
      </c>
      <c r="Q233">
        <v>4215241</v>
      </c>
      <c r="R233" t="s">
        <v>26</v>
      </c>
      <c r="S233">
        <v>1050.40477513</v>
      </c>
      <c r="W233"/>
      <c r="X233">
        <v>0</v>
      </c>
      <c r="AC233" t="s">
        <v>108</v>
      </c>
      <c r="AD233" s="56">
        <v>43435</v>
      </c>
    </row>
    <row r="234" spans="1:30" x14ac:dyDescent="0.3">
      <c r="A234">
        <v>443809</v>
      </c>
      <c r="B234" t="s">
        <v>153</v>
      </c>
      <c r="C234">
        <v>2018</v>
      </c>
      <c r="D234">
        <v>12</v>
      </c>
      <c r="E234" t="s">
        <v>111</v>
      </c>
      <c r="F234" t="s">
        <v>108</v>
      </c>
      <c r="G234" t="s">
        <v>108</v>
      </c>
      <c r="H234" t="s">
        <v>25</v>
      </c>
      <c r="I234" t="s">
        <v>25</v>
      </c>
      <c r="J234" t="s">
        <v>138</v>
      </c>
      <c r="K234" t="s">
        <v>112</v>
      </c>
      <c r="L234" t="s">
        <v>140</v>
      </c>
      <c r="M234">
        <v>824.95046656</v>
      </c>
      <c r="N234">
        <v>0</v>
      </c>
      <c r="O234" t="s">
        <v>104</v>
      </c>
      <c r="P234" s="56">
        <v>44284.514580937503</v>
      </c>
      <c r="Q234">
        <v>4215361</v>
      </c>
      <c r="R234" t="s">
        <v>26</v>
      </c>
      <c r="S234">
        <v>331.04249125000001</v>
      </c>
      <c r="W234"/>
      <c r="X234">
        <v>0</v>
      </c>
      <c r="AC234" t="s">
        <v>108</v>
      </c>
      <c r="AD234" s="56">
        <v>43435</v>
      </c>
    </row>
    <row r="235" spans="1:30" x14ac:dyDescent="0.3">
      <c r="A235">
        <v>443833</v>
      </c>
      <c r="B235" t="s">
        <v>153</v>
      </c>
      <c r="C235">
        <v>2018</v>
      </c>
      <c r="D235">
        <v>12</v>
      </c>
      <c r="E235" t="s">
        <v>113</v>
      </c>
      <c r="F235" t="s">
        <v>108</v>
      </c>
      <c r="G235" t="s">
        <v>108</v>
      </c>
      <c r="H235" t="s">
        <v>25</v>
      </c>
      <c r="I235" t="s">
        <v>25</v>
      </c>
      <c r="J235" t="s">
        <v>138</v>
      </c>
      <c r="K235" t="s">
        <v>114</v>
      </c>
      <c r="L235" t="s">
        <v>140</v>
      </c>
      <c r="M235">
        <v>1153.4816149200001</v>
      </c>
      <c r="N235">
        <v>0</v>
      </c>
      <c r="O235" t="s">
        <v>104</v>
      </c>
      <c r="P235" s="56">
        <v>44284.51458221065</v>
      </c>
      <c r="Q235">
        <v>4215481</v>
      </c>
      <c r="R235" t="s">
        <v>26</v>
      </c>
      <c r="S235">
        <v>421.08699379000001</v>
      </c>
      <c r="W235"/>
      <c r="X235">
        <v>0</v>
      </c>
      <c r="AC235" t="s">
        <v>108</v>
      </c>
      <c r="AD235" s="56">
        <v>43435</v>
      </c>
    </row>
    <row r="236" spans="1:30" x14ac:dyDescent="0.3">
      <c r="A236">
        <v>443785</v>
      </c>
      <c r="B236" t="s">
        <v>153</v>
      </c>
      <c r="C236">
        <v>2018</v>
      </c>
      <c r="D236">
        <v>12</v>
      </c>
      <c r="E236" t="s">
        <v>109</v>
      </c>
      <c r="F236" t="s">
        <v>108</v>
      </c>
      <c r="G236" t="s">
        <v>108</v>
      </c>
      <c r="H236" t="s">
        <v>25</v>
      </c>
      <c r="I236" t="s">
        <v>25</v>
      </c>
      <c r="J236" t="s">
        <v>138</v>
      </c>
      <c r="K236" t="s">
        <v>110</v>
      </c>
      <c r="L236" t="s">
        <v>140</v>
      </c>
      <c r="M236">
        <v>3041.3129330199999</v>
      </c>
      <c r="N236">
        <v>0</v>
      </c>
      <c r="O236" t="s">
        <v>104</v>
      </c>
      <c r="P236" s="56">
        <v>44284.514579629627</v>
      </c>
      <c r="Q236">
        <v>4215244</v>
      </c>
      <c r="R236" t="s">
        <v>105</v>
      </c>
      <c r="S236">
        <v>625.44386772999997</v>
      </c>
      <c r="W236"/>
      <c r="X236">
        <v>0</v>
      </c>
      <c r="AC236" t="s">
        <v>108</v>
      </c>
      <c r="AD236" s="56">
        <v>43435</v>
      </c>
    </row>
    <row r="237" spans="1:30" x14ac:dyDescent="0.3">
      <c r="A237">
        <v>443833</v>
      </c>
      <c r="B237" t="s">
        <v>153</v>
      </c>
      <c r="C237">
        <v>2018</v>
      </c>
      <c r="D237">
        <v>12</v>
      </c>
      <c r="E237" t="s">
        <v>113</v>
      </c>
      <c r="F237" t="s">
        <v>108</v>
      </c>
      <c r="G237" t="s">
        <v>108</v>
      </c>
      <c r="H237" t="s">
        <v>25</v>
      </c>
      <c r="I237" t="s">
        <v>25</v>
      </c>
      <c r="J237" t="s">
        <v>138</v>
      </c>
      <c r="K237" t="s">
        <v>114</v>
      </c>
      <c r="L237" t="s">
        <v>140</v>
      </c>
      <c r="M237">
        <v>1153.4816149200001</v>
      </c>
      <c r="N237">
        <v>0</v>
      </c>
      <c r="O237" t="s">
        <v>104</v>
      </c>
      <c r="P237" s="56">
        <v>44284.51458221065</v>
      </c>
      <c r="Q237">
        <v>4215484</v>
      </c>
      <c r="R237" t="s">
        <v>105</v>
      </c>
      <c r="S237">
        <v>228.66332979000001</v>
      </c>
      <c r="W237"/>
      <c r="X237">
        <v>0</v>
      </c>
      <c r="AC237" t="s">
        <v>108</v>
      </c>
      <c r="AD237" s="56">
        <v>43435</v>
      </c>
    </row>
    <row r="238" spans="1:30" x14ac:dyDescent="0.3">
      <c r="A238">
        <v>443809</v>
      </c>
      <c r="B238" t="s">
        <v>153</v>
      </c>
      <c r="C238">
        <v>2018</v>
      </c>
      <c r="D238">
        <v>12</v>
      </c>
      <c r="E238" t="s">
        <v>111</v>
      </c>
      <c r="F238" t="s">
        <v>108</v>
      </c>
      <c r="G238" t="s">
        <v>108</v>
      </c>
      <c r="H238" t="s">
        <v>25</v>
      </c>
      <c r="I238" t="s">
        <v>25</v>
      </c>
      <c r="J238" t="s">
        <v>138</v>
      </c>
      <c r="K238" t="s">
        <v>112</v>
      </c>
      <c r="L238" t="s">
        <v>140</v>
      </c>
      <c r="M238">
        <v>824.95046656</v>
      </c>
      <c r="N238">
        <v>0</v>
      </c>
      <c r="O238" t="s">
        <v>104</v>
      </c>
      <c r="P238" s="56">
        <v>44284.514580937503</v>
      </c>
      <c r="Q238">
        <v>4215364</v>
      </c>
      <c r="R238" t="s">
        <v>105</v>
      </c>
      <c r="S238">
        <v>171.10032004000001</v>
      </c>
      <c r="W238"/>
      <c r="X238">
        <v>0</v>
      </c>
      <c r="AC238" t="s">
        <v>108</v>
      </c>
      <c r="AD238" s="56">
        <v>43435</v>
      </c>
    </row>
    <row r="239" spans="1:30" x14ac:dyDescent="0.3">
      <c r="A239">
        <v>443785</v>
      </c>
      <c r="B239" t="s">
        <v>153</v>
      </c>
      <c r="C239">
        <v>2018</v>
      </c>
      <c r="D239">
        <v>12</v>
      </c>
      <c r="E239" t="s">
        <v>109</v>
      </c>
      <c r="F239" t="s">
        <v>108</v>
      </c>
      <c r="G239" t="s">
        <v>108</v>
      </c>
      <c r="H239" t="s">
        <v>25</v>
      </c>
      <c r="I239" t="s">
        <v>25</v>
      </c>
      <c r="J239" t="s">
        <v>138</v>
      </c>
      <c r="K239" t="s">
        <v>110</v>
      </c>
      <c r="L239" t="s">
        <v>140</v>
      </c>
      <c r="M239">
        <v>3041.3129330199999</v>
      </c>
      <c r="N239">
        <v>0</v>
      </c>
      <c r="O239" t="s">
        <v>104</v>
      </c>
      <c r="P239" s="56">
        <v>44284.514579629627</v>
      </c>
      <c r="Q239">
        <v>4215243</v>
      </c>
      <c r="R239" t="s">
        <v>27</v>
      </c>
      <c r="S239">
        <v>1407.2603405699999</v>
      </c>
      <c r="W239"/>
      <c r="X239">
        <v>0</v>
      </c>
      <c r="AC239" t="s">
        <v>108</v>
      </c>
      <c r="AD239" s="56">
        <v>43435</v>
      </c>
    </row>
    <row r="240" spans="1:30" x14ac:dyDescent="0.3">
      <c r="A240">
        <v>443809</v>
      </c>
      <c r="B240" t="s">
        <v>153</v>
      </c>
      <c r="C240">
        <v>2018</v>
      </c>
      <c r="D240">
        <v>12</v>
      </c>
      <c r="E240" t="s">
        <v>111</v>
      </c>
      <c r="F240" t="s">
        <v>108</v>
      </c>
      <c r="G240" t="s">
        <v>108</v>
      </c>
      <c r="H240" t="s">
        <v>25</v>
      </c>
      <c r="I240" t="s">
        <v>25</v>
      </c>
      <c r="J240" t="s">
        <v>138</v>
      </c>
      <c r="K240" t="s">
        <v>112</v>
      </c>
      <c r="L240" t="s">
        <v>140</v>
      </c>
      <c r="M240">
        <v>824.95046656</v>
      </c>
      <c r="N240">
        <v>0</v>
      </c>
      <c r="O240" t="s">
        <v>104</v>
      </c>
      <c r="P240" s="56">
        <v>44284.514580937503</v>
      </c>
      <c r="Q240">
        <v>4215363</v>
      </c>
      <c r="R240" t="s">
        <v>27</v>
      </c>
      <c r="S240">
        <v>342.02608154000001</v>
      </c>
      <c r="W240"/>
      <c r="X240">
        <v>0</v>
      </c>
      <c r="AC240" t="s">
        <v>108</v>
      </c>
      <c r="AD240" s="56">
        <v>43435</v>
      </c>
    </row>
    <row r="241" spans="1:30" x14ac:dyDescent="0.3">
      <c r="A241">
        <v>443833</v>
      </c>
      <c r="B241" t="s">
        <v>153</v>
      </c>
      <c r="C241">
        <v>2018</v>
      </c>
      <c r="D241">
        <v>12</v>
      </c>
      <c r="E241" t="s">
        <v>113</v>
      </c>
      <c r="F241" t="s">
        <v>108</v>
      </c>
      <c r="G241" t="s">
        <v>108</v>
      </c>
      <c r="H241" t="s">
        <v>25</v>
      </c>
      <c r="I241" t="s">
        <v>25</v>
      </c>
      <c r="J241" t="s">
        <v>138</v>
      </c>
      <c r="K241" t="s">
        <v>114</v>
      </c>
      <c r="L241" t="s">
        <v>140</v>
      </c>
      <c r="M241">
        <v>1153.4816149200001</v>
      </c>
      <c r="N241">
        <v>0</v>
      </c>
      <c r="O241" t="s">
        <v>104</v>
      </c>
      <c r="P241" s="56">
        <v>44284.51458221065</v>
      </c>
      <c r="Q241">
        <v>4215483</v>
      </c>
      <c r="R241" t="s">
        <v>27</v>
      </c>
      <c r="S241">
        <v>516.84914608999998</v>
      </c>
      <c r="W241"/>
      <c r="X241">
        <v>0</v>
      </c>
      <c r="AC241" t="s">
        <v>108</v>
      </c>
      <c r="AD241" s="56">
        <v>43435</v>
      </c>
    </row>
    <row r="242" spans="1:30" x14ac:dyDescent="0.3">
      <c r="A242">
        <v>443833</v>
      </c>
      <c r="B242" t="s">
        <v>153</v>
      </c>
      <c r="C242">
        <v>2018</v>
      </c>
      <c r="D242">
        <v>12</v>
      </c>
      <c r="E242" t="s">
        <v>113</v>
      </c>
      <c r="F242" t="s">
        <v>108</v>
      </c>
      <c r="G242" t="s">
        <v>108</v>
      </c>
      <c r="H242" t="s">
        <v>25</v>
      </c>
      <c r="I242" t="s">
        <v>25</v>
      </c>
      <c r="J242" t="s">
        <v>138</v>
      </c>
      <c r="K242" t="s">
        <v>114</v>
      </c>
      <c r="L242" t="s">
        <v>140</v>
      </c>
      <c r="M242">
        <v>1153.4816149200001</v>
      </c>
      <c r="N242">
        <v>0</v>
      </c>
      <c r="O242" t="s">
        <v>104</v>
      </c>
      <c r="P242" s="56">
        <v>44284.51458221065</v>
      </c>
      <c r="Q242">
        <v>4215480</v>
      </c>
      <c r="R242" t="s">
        <v>115</v>
      </c>
      <c r="S242">
        <v>13.415540869999999</v>
      </c>
      <c r="W242"/>
      <c r="X242">
        <v>0</v>
      </c>
      <c r="AC242" t="s">
        <v>108</v>
      </c>
      <c r="AD242" s="56">
        <v>43435</v>
      </c>
    </row>
    <row r="243" spans="1:30" x14ac:dyDescent="0.3">
      <c r="A243">
        <v>443809</v>
      </c>
      <c r="B243" t="s">
        <v>153</v>
      </c>
      <c r="C243">
        <v>2018</v>
      </c>
      <c r="D243">
        <v>12</v>
      </c>
      <c r="E243" t="s">
        <v>111</v>
      </c>
      <c r="F243" t="s">
        <v>108</v>
      </c>
      <c r="G243" t="s">
        <v>108</v>
      </c>
      <c r="H243" t="s">
        <v>25</v>
      </c>
      <c r="I243" t="s">
        <v>25</v>
      </c>
      <c r="J243" t="s">
        <v>138</v>
      </c>
      <c r="K243" t="s">
        <v>112</v>
      </c>
      <c r="L243" t="s">
        <v>140</v>
      </c>
      <c r="M243">
        <v>824.95046656</v>
      </c>
      <c r="N243">
        <v>0</v>
      </c>
      <c r="O243" t="s">
        <v>104</v>
      </c>
      <c r="P243" s="56">
        <v>44284.514580937503</v>
      </c>
      <c r="Q243">
        <v>4215360</v>
      </c>
      <c r="R243" t="s">
        <v>115</v>
      </c>
      <c r="S243">
        <v>0</v>
      </c>
      <c r="W243"/>
      <c r="X243">
        <v>0</v>
      </c>
      <c r="AC243" t="s">
        <v>108</v>
      </c>
      <c r="AD243" s="56">
        <v>43435</v>
      </c>
    </row>
    <row r="244" spans="1:30" x14ac:dyDescent="0.3">
      <c r="A244">
        <v>443785</v>
      </c>
      <c r="B244" t="s">
        <v>153</v>
      </c>
      <c r="C244">
        <v>2018</v>
      </c>
      <c r="D244">
        <v>12</v>
      </c>
      <c r="E244" t="s">
        <v>109</v>
      </c>
      <c r="F244" t="s">
        <v>108</v>
      </c>
      <c r="G244" t="s">
        <v>108</v>
      </c>
      <c r="H244" t="s">
        <v>25</v>
      </c>
      <c r="I244" t="s">
        <v>25</v>
      </c>
      <c r="J244" t="s">
        <v>138</v>
      </c>
      <c r="K244" t="s">
        <v>110</v>
      </c>
      <c r="L244" t="s">
        <v>140</v>
      </c>
      <c r="M244">
        <v>3041.3129330199999</v>
      </c>
      <c r="N244">
        <v>0</v>
      </c>
      <c r="O244" t="s">
        <v>104</v>
      </c>
      <c r="P244" s="56">
        <v>44284.514579629627</v>
      </c>
      <c r="Q244">
        <v>4215240</v>
      </c>
      <c r="R244" t="s">
        <v>115</v>
      </c>
      <c r="S244">
        <v>28.29622762</v>
      </c>
      <c r="W244"/>
      <c r="X244">
        <v>0</v>
      </c>
      <c r="AC244" t="s">
        <v>108</v>
      </c>
      <c r="AD244" s="56">
        <v>43435</v>
      </c>
    </row>
    <row r="245" spans="1:30" x14ac:dyDescent="0.3">
      <c r="A245">
        <v>443833</v>
      </c>
      <c r="B245" t="s">
        <v>153</v>
      </c>
      <c r="C245">
        <v>2018</v>
      </c>
      <c r="D245">
        <v>12</v>
      </c>
      <c r="E245" t="s">
        <v>113</v>
      </c>
      <c r="F245" t="s">
        <v>108</v>
      </c>
      <c r="G245" t="s">
        <v>108</v>
      </c>
      <c r="H245" t="s">
        <v>25</v>
      </c>
      <c r="I245" t="s">
        <v>25</v>
      </c>
      <c r="J245" t="s">
        <v>138</v>
      </c>
      <c r="K245" t="s">
        <v>114</v>
      </c>
      <c r="L245" t="s">
        <v>140</v>
      </c>
      <c r="M245">
        <v>1153.4816149200001</v>
      </c>
      <c r="N245">
        <v>0</v>
      </c>
      <c r="O245" t="s">
        <v>104</v>
      </c>
      <c r="P245" s="56">
        <v>44284.51458221065</v>
      </c>
      <c r="Q245">
        <v>4215482</v>
      </c>
      <c r="R245" t="s">
        <v>28</v>
      </c>
      <c r="S245">
        <v>8.0018439400000005</v>
      </c>
      <c r="W245"/>
      <c r="X245">
        <v>0</v>
      </c>
      <c r="AC245" t="s">
        <v>108</v>
      </c>
      <c r="AD245" s="56">
        <v>43435</v>
      </c>
    </row>
    <row r="246" spans="1:30" x14ac:dyDescent="0.3">
      <c r="A246">
        <v>443785</v>
      </c>
      <c r="B246" t="s">
        <v>153</v>
      </c>
      <c r="C246">
        <v>2018</v>
      </c>
      <c r="D246">
        <v>12</v>
      </c>
      <c r="E246" t="s">
        <v>109</v>
      </c>
      <c r="F246" t="s">
        <v>108</v>
      </c>
      <c r="G246" t="s">
        <v>108</v>
      </c>
      <c r="H246" t="s">
        <v>25</v>
      </c>
      <c r="I246" t="s">
        <v>25</v>
      </c>
      <c r="J246" t="s">
        <v>138</v>
      </c>
      <c r="K246" t="s">
        <v>110</v>
      </c>
      <c r="L246" t="s">
        <v>140</v>
      </c>
      <c r="M246">
        <v>3041.3129330199999</v>
      </c>
      <c r="N246">
        <v>0</v>
      </c>
      <c r="O246" t="s">
        <v>104</v>
      </c>
      <c r="P246" s="56">
        <v>44284.514579629627</v>
      </c>
      <c r="Q246">
        <v>4215242</v>
      </c>
      <c r="R246" t="s">
        <v>28</v>
      </c>
      <c r="S246">
        <v>20.964631180000001</v>
      </c>
      <c r="W246"/>
      <c r="X246">
        <v>0</v>
      </c>
      <c r="AC246" t="s">
        <v>108</v>
      </c>
      <c r="AD246" s="56">
        <v>43435</v>
      </c>
    </row>
    <row r="247" spans="1:30" x14ac:dyDescent="0.3">
      <c r="A247">
        <v>443809</v>
      </c>
      <c r="B247" t="s">
        <v>153</v>
      </c>
      <c r="C247">
        <v>2018</v>
      </c>
      <c r="D247">
        <v>12</v>
      </c>
      <c r="E247" t="s">
        <v>111</v>
      </c>
      <c r="F247" t="s">
        <v>108</v>
      </c>
      <c r="G247" t="s">
        <v>108</v>
      </c>
      <c r="H247" t="s">
        <v>25</v>
      </c>
      <c r="I247" t="s">
        <v>25</v>
      </c>
      <c r="J247" t="s">
        <v>138</v>
      </c>
      <c r="K247" t="s">
        <v>112</v>
      </c>
      <c r="L247" t="s">
        <v>140</v>
      </c>
      <c r="M247">
        <v>824.95046656</v>
      </c>
      <c r="N247">
        <v>0</v>
      </c>
      <c r="O247" t="s">
        <v>104</v>
      </c>
      <c r="P247" s="56">
        <v>44284.514580937503</v>
      </c>
      <c r="Q247">
        <v>4215362</v>
      </c>
      <c r="R247" t="s">
        <v>28</v>
      </c>
      <c r="S247">
        <v>5.4805906999999996</v>
      </c>
      <c r="W247"/>
      <c r="X247">
        <v>0</v>
      </c>
      <c r="AC247" t="s">
        <v>108</v>
      </c>
      <c r="AD247" s="56">
        <v>43435</v>
      </c>
    </row>
    <row r="248" spans="1:30" x14ac:dyDescent="0.3">
      <c r="A248">
        <v>174638</v>
      </c>
      <c r="B248" t="s">
        <v>182</v>
      </c>
      <c r="C248">
        <v>2019</v>
      </c>
      <c r="D248">
        <v>1</v>
      </c>
      <c r="E248" t="s">
        <v>110</v>
      </c>
      <c r="F248" t="s">
        <v>108</v>
      </c>
      <c r="G248" t="s">
        <v>108</v>
      </c>
      <c r="H248" t="s">
        <v>25</v>
      </c>
      <c r="I248" t="s">
        <v>25</v>
      </c>
      <c r="J248" t="s">
        <v>138</v>
      </c>
      <c r="K248" t="s">
        <v>110</v>
      </c>
      <c r="L248" t="s">
        <v>140</v>
      </c>
      <c r="M248">
        <v>2213.9654676300001</v>
      </c>
      <c r="N248">
        <v>0</v>
      </c>
      <c r="O248" t="s">
        <v>104</v>
      </c>
      <c r="P248" s="56">
        <v>44269.857910185186</v>
      </c>
      <c r="Q248">
        <v>1659463</v>
      </c>
      <c r="R248" t="s">
        <v>26</v>
      </c>
      <c r="S248">
        <v>756.75261966999994</v>
      </c>
      <c r="W248"/>
      <c r="X248">
        <v>0</v>
      </c>
      <c r="AC248" t="s">
        <v>108</v>
      </c>
      <c r="AD248" s="56">
        <v>43466</v>
      </c>
    </row>
    <row r="249" spans="1:30" x14ac:dyDescent="0.3">
      <c r="A249">
        <v>174692</v>
      </c>
      <c r="B249" t="s">
        <v>182</v>
      </c>
      <c r="C249">
        <v>2019</v>
      </c>
      <c r="D249">
        <v>1</v>
      </c>
      <c r="E249" t="s">
        <v>114</v>
      </c>
      <c r="F249" t="s">
        <v>108</v>
      </c>
      <c r="G249" t="s">
        <v>108</v>
      </c>
      <c r="H249" t="s">
        <v>25</v>
      </c>
      <c r="I249" t="s">
        <v>25</v>
      </c>
      <c r="J249" t="s">
        <v>138</v>
      </c>
      <c r="K249" t="s">
        <v>114</v>
      </c>
      <c r="L249" t="s">
        <v>140</v>
      </c>
      <c r="M249">
        <v>1057.08780013</v>
      </c>
      <c r="N249">
        <v>0</v>
      </c>
      <c r="O249" t="s">
        <v>104</v>
      </c>
      <c r="P249" s="56">
        <v>44269.857912731481</v>
      </c>
      <c r="Q249">
        <v>1659733</v>
      </c>
      <c r="R249" t="s">
        <v>26</v>
      </c>
      <c r="S249">
        <v>382.89238433000003</v>
      </c>
      <c r="W249"/>
      <c r="X249">
        <v>0</v>
      </c>
      <c r="AC249" t="s">
        <v>108</v>
      </c>
      <c r="AD249" s="56">
        <v>43466</v>
      </c>
    </row>
    <row r="250" spans="1:30" x14ac:dyDescent="0.3">
      <c r="A250">
        <v>174665</v>
      </c>
      <c r="B250" t="s">
        <v>182</v>
      </c>
      <c r="C250">
        <v>2019</v>
      </c>
      <c r="D250">
        <v>1</v>
      </c>
      <c r="E250" t="s">
        <v>112</v>
      </c>
      <c r="F250" t="s">
        <v>108</v>
      </c>
      <c r="G250" t="s">
        <v>108</v>
      </c>
      <c r="H250" t="s">
        <v>25</v>
      </c>
      <c r="I250" t="s">
        <v>25</v>
      </c>
      <c r="J250" t="s">
        <v>138</v>
      </c>
      <c r="K250" t="s">
        <v>112</v>
      </c>
      <c r="L250" t="s">
        <v>140</v>
      </c>
      <c r="M250">
        <v>502.14165592000001</v>
      </c>
      <c r="N250">
        <v>0</v>
      </c>
      <c r="O250" t="s">
        <v>104</v>
      </c>
      <c r="P250" s="56">
        <v>44269.857911458334</v>
      </c>
      <c r="Q250">
        <v>1659598</v>
      </c>
      <c r="R250" t="s">
        <v>26</v>
      </c>
      <c r="S250">
        <v>219.12125985</v>
      </c>
      <c r="W250"/>
      <c r="X250">
        <v>0</v>
      </c>
      <c r="AC250" t="s">
        <v>108</v>
      </c>
      <c r="AD250" s="56">
        <v>43466</v>
      </c>
    </row>
    <row r="251" spans="1:30" x14ac:dyDescent="0.3">
      <c r="A251">
        <v>174638</v>
      </c>
      <c r="B251" t="s">
        <v>182</v>
      </c>
      <c r="C251">
        <v>2019</v>
      </c>
      <c r="D251">
        <v>1</v>
      </c>
      <c r="E251" t="s">
        <v>110</v>
      </c>
      <c r="F251" t="s">
        <v>108</v>
      </c>
      <c r="G251" t="s">
        <v>108</v>
      </c>
      <c r="H251" t="s">
        <v>25</v>
      </c>
      <c r="I251" t="s">
        <v>25</v>
      </c>
      <c r="J251" t="s">
        <v>138</v>
      </c>
      <c r="K251" t="s">
        <v>110</v>
      </c>
      <c r="L251" t="s">
        <v>140</v>
      </c>
      <c r="M251">
        <v>2213.9654676300001</v>
      </c>
      <c r="N251">
        <v>0</v>
      </c>
      <c r="O251" t="s">
        <v>104</v>
      </c>
      <c r="P251" s="56">
        <v>44269.857910185186</v>
      </c>
      <c r="Q251">
        <v>1659466</v>
      </c>
      <c r="R251" t="s">
        <v>105</v>
      </c>
      <c r="S251">
        <v>263.60226884000002</v>
      </c>
      <c r="W251"/>
      <c r="X251">
        <v>0</v>
      </c>
      <c r="AC251" t="s">
        <v>108</v>
      </c>
      <c r="AD251" s="56">
        <v>43466</v>
      </c>
    </row>
    <row r="252" spans="1:30" x14ac:dyDescent="0.3">
      <c r="A252">
        <v>174665</v>
      </c>
      <c r="B252" t="s">
        <v>182</v>
      </c>
      <c r="C252">
        <v>2019</v>
      </c>
      <c r="D252">
        <v>1</v>
      </c>
      <c r="E252" t="s">
        <v>112</v>
      </c>
      <c r="F252" t="s">
        <v>108</v>
      </c>
      <c r="G252" t="s">
        <v>108</v>
      </c>
      <c r="H252" t="s">
        <v>25</v>
      </c>
      <c r="I252" t="s">
        <v>25</v>
      </c>
      <c r="J252" t="s">
        <v>138</v>
      </c>
      <c r="K252" t="s">
        <v>112</v>
      </c>
      <c r="L252" t="s">
        <v>140</v>
      </c>
      <c r="M252">
        <v>502.14165592000001</v>
      </c>
      <c r="N252">
        <v>0</v>
      </c>
      <c r="O252" t="s">
        <v>104</v>
      </c>
      <c r="P252" s="56">
        <v>44269.857911458334</v>
      </c>
      <c r="Q252">
        <v>1659601</v>
      </c>
      <c r="R252" t="s">
        <v>105</v>
      </c>
      <c r="S252">
        <v>50.84942375</v>
      </c>
      <c r="W252"/>
      <c r="X252">
        <v>0</v>
      </c>
      <c r="AC252" t="s">
        <v>108</v>
      </c>
      <c r="AD252" s="56">
        <v>43466</v>
      </c>
    </row>
    <row r="253" spans="1:30" x14ac:dyDescent="0.3">
      <c r="A253">
        <v>174692</v>
      </c>
      <c r="B253" t="s">
        <v>182</v>
      </c>
      <c r="C253">
        <v>2019</v>
      </c>
      <c r="D253">
        <v>1</v>
      </c>
      <c r="E253" t="s">
        <v>114</v>
      </c>
      <c r="F253" t="s">
        <v>108</v>
      </c>
      <c r="G253" t="s">
        <v>108</v>
      </c>
      <c r="H253" t="s">
        <v>25</v>
      </c>
      <c r="I253" t="s">
        <v>25</v>
      </c>
      <c r="J253" t="s">
        <v>138</v>
      </c>
      <c r="K253" t="s">
        <v>114</v>
      </c>
      <c r="L253" t="s">
        <v>140</v>
      </c>
      <c r="M253">
        <v>1057.08780013</v>
      </c>
      <c r="N253">
        <v>0</v>
      </c>
      <c r="O253" t="s">
        <v>104</v>
      </c>
      <c r="P253" s="56">
        <v>44269.857912731481</v>
      </c>
      <c r="Q253">
        <v>1659736</v>
      </c>
      <c r="R253" t="s">
        <v>105</v>
      </c>
      <c r="S253">
        <v>107.26597246999999</v>
      </c>
      <c r="W253"/>
      <c r="X253">
        <v>0</v>
      </c>
      <c r="AC253" t="s">
        <v>108</v>
      </c>
      <c r="AD253" s="56">
        <v>43466</v>
      </c>
    </row>
    <row r="254" spans="1:30" x14ac:dyDescent="0.3">
      <c r="A254">
        <v>174638</v>
      </c>
      <c r="B254" t="s">
        <v>182</v>
      </c>
      <c r="C254">
        <v>2019</v>
      </c>
      <c r="D254">
        <v>1</v>
      </c>
      <c r="E254" t="s">
        <v>110</v>
      </c>
      <c r="F254" t="s">
        <v>108</v>
      </c>
      <c r="G254" t="s">
        <v>108</v>
      </c>
      <c r="H254" t="s">
        <v>25</v>
      </c>
      <c r="I254" t="s">
        <v>25</v>
      </c>
      <c r="J254" t="s">
        <v>138</v>
      </c>
      <c r="K254" t="s">
        <v>110</v>
      </c>
      <c r="L254" t="s">
        <v>140</v>
      </c>
      <c r="M254">
        <v>2213.9654676300001</v>
      </c>
      <c r="N254">
        <v>0</v>
      </c>
      <c r="O254" t="s">
        <v>104</v>
      </c>
      <c r="P254" s="56">
        <v>44269.857910185186</v>
      </c>
      <c r="Q254">
        <v>1659465</v>
      </c>
      <c r="R254" t="s">
        <v>27</v>
      </c>
      <c r="S254">
        <v>1229.2942782299999</v>
      </c>
      <c r="W254"/>
      <c r="X254">
        <v>0</v>
      </c>
      <c r="AC254" t="s">
        <v>108</v>
      </c>
      <c r="AD254" s="56">
        <v>43466</v>
      </c>
    </row>
    <row r="255" spans="1:30" x14ac:dyDescent="0.3">
      <c r="A255">
        <v>174692</v>
      </c>
      <c r="B255" t="s">
        <v>182</v>
      </c>
      <c r="C255">
        <v>2019</v>
      </c>
      <c r="D255">
        <v>1</v>
      </c>
      <c r="E255" t="s">
        <v>114</v>
      </c>
      <c r="F255" t="s">
        <v>108</v>
      </c>
      <c r="G255" t="s">
        <v>108</v>
      </c>
      <c r="H255" t="s">
        <v>25</v>
      </c>
      <c r="I255" t="s">
        <v>25</v>
      </c>
      <c r="J255" t="s">
        <v>138</v>
      </c>
      <c r="K255" t="s">
        <v>114</v>
      </c>
      <c r="L255" t="s">
        <v>140</v>
      </c>
      <c r="M255">
        <v>1057.08780013</v>
      </c>
      <c r="N255">
        <v>0</v>
      </c>
      <c r="O255" t="s">
        <v>104</v>
      </c>
      <c r="P255" s="56">
        <v>44269.857912731481</v>
      </c>
      <c r="Q255">
        <v>1659735</v>
      </c>
      <c r="R255" t="s">
        <v>27</v>
      </c>
      <c r="S255">
        <v>584.22585115000004</v>
      </c>
      <c r="W255"/>
      <c r="X255">
        <v>0</v>
      </c>
      <c r="AC255" t="s">
        <v>108</v>
      </c>
      <c r="AD255" s="56">
        <v>43466</v>
      </c>
    </row>
    <row r="256" spans="1:30" x14ac:dyDescent="0.3">
      <c r="A256">
        <v>174665</v>
      </c>
      <c r="B256" t="s">
        <v>182</v>
      </c>
      <c r="C256">
        <v>2019</v>
      </c>
      <c r="D256">
        <v>1</v>
      </c>
      <c r="E256" t="s">
        <v>112</v>
      </c>
      <c r="F256" t="s">
        <v>108</v>
      </c>
      <c r="G256" t="s">
        <v>108</v>
      </c>
      <c r="H256" t="s">
        <v>25</v>
      </c>
      <c r="I256" t="s">
        <v>25</v>
      </c>
      <c r="J256" t="s">
        <v>138</v>
      </c>
      <c r="K256" t="s">
        <v>112</v>
      </c>
      <c r="L256" t="s">
        <v>140</v>
      </c>
      <c r="M256">
        <v>502.14165592000001</v>
      </c>
      <c r="N256">
        <v>0</v>
      </c>
      <c r="O256" t="s">
        <v>104</v>
      </c>
      <c r="P256" s="56">
        <v>44269.857911458334</v>
      </c>
      <c r="Q256">
        <v>1659600</v>
      </c>
      <c r="R256" t="s">
        <v>27</v>
      </c>
      <c r="S256">
        <v>242.87584304000001</v>
      </c>
      <c r="W256"/>
      <c r="X256">
        <v>0</v>
      </c>
      <c r="AC256" t="s">
        <v>108</v>
      </c>
      <c r="AD256" s="56">
        <v>43466</v>
      </c>
    </row>
    <row r="257" spans="1:30" x14ac:dyDescent="0.3">
      <c r="A257">
        <v>174638</v>
      </c>
      <c r="B257" t="s">
        <v>182</v>
      </c>
      <c r="C257">
        <v>2019</v>
      </c>
      <c r="D257">
        <v>1</v>
      </c>
      <c r="E257" t="s">
        <v>110</v>
      </c>
      <c r="F257" t="s">
        <v>108</v>
      </c>
      <c r="G257" t="s">
        <v>108</v>
      </c>
      <c r="H257" t="s">
        <v>25</v>
      </c>
      <c r="I257" t="s">
        <v>25</v>
      </c>
      <c r="J257" t="s">
        <v>138</v>
      </c>
      <c r="K257" t="s">
        <v>110</v>
      </c>
      <c r="L257" t="s">
        <v>140</v>
      </c>
      <c r="M257">
        <v>2213.9654676300001</v>
      </c>
      <c r="N257">
        <v>0</v>
      </c>
      <c r="O257" t="s">
        <v>104</v>
      </c>
      <c r="P257" s="56">
        <v>44269.857910185186</v>
      </c>
      <c r="Q257">
        <v>1659462</v>
      </c>
      <c r="R257" t="s">
        <v>115</v>
      </c>
      <c r="S257">
        <v>5.9681388899999996</v>
      </c>
      <c r="W257"/>
      <c r="X257">
        <v>0</v>
      </c>
      <c r="AC257" t="s">
        <v>108</v>
      </c>
      <c r="AD257" s="56">
        <v>43466</v>
      </c>
    </row>
    <row r="258" spans="1:30" x14ac:dyDescent="0.3">
      <c r="A258">
        <v>174692</v>
      </c>
      <c r="B258" t="s">
        <v>182</v>
      </c>
      <c r="C258">
        <v>2019</v>
      </c>
      <c r="D258">
        <v>1</v>
      </c>
      <c r="E258" t="s">
        <v>114</v>
      </c>
      <c r="F258" t="s">
        <v>108</v>
      </c>
      <c r="G258" t="s">
        <v>108</v>
      </c>
      <c r="H258" t="s">
        <v>25</v>
      </c>
      <c r="I258" t="s">
        <v>25</v>
      </c>
      <c r="J258" t="s">
        <v>138</v>
      </c>
      <c r="K258" t="s">
        <v>114</v>
      </c>
      <c r="L258" t="s">
        <v>140</v>
      </c>
      <c r="M258">
        <v>1057.08780013</v>
      </c>
      <c r="N258">
        <v>0</v>
      </c>
      <c r="O258" t="s">
        <v>104</v>
      </c>
      <c r="P258" s="56">
        <v>44269.857912731481</v>
      </c>
      <c r="Q258">
        <v>1659732</v>
      </c>
      <c r="R258" t="s">
        <v>115</v>
      </c>
      <c r="S258">
        <v>2.7574996000000001</v>
      </c>
      <c r="W258"/>
      <c r="X258">
        <v>0</v>
      </c>
      <c r="AC258" t="s">
        <v>108</v>
      </c>
      <c r="AD258" s="56">
        <v>43466</v>
      </c>
    </row>
    <row r="259" spans="1:30" x14ac:dyDescent="0.3">
      <c r="A259">
        <v>174665</v>
      </c>
      <c r="B259" t="s">
        <v>182</v>
      </c>
      <c r="C259">
        <v>2019</v>
      </c>
      <c r="D259">
        <v>1</v>
      </c>
      <c r="E259" t="s">
        <v>112</v>
      </c>
      <c r="F259" t="s">
        <v>108</v>
      </c>
      <c r="G259" t="s">
        <v>108</v>
      </c>
      <c r="H259" t="s">
        <v>25</v>
      </c>
      <c r="I259" t="s">
        <v>25</v>
      </c>
      <c r="J259" t="s">
        <v>138</v>
      </c>
      <c r="K259" t="s">
        <v>112</v>
      </c>
      <c r="L259" t="s">
        <v>140</v>
      </c>
      <c r="M259">
        <v>502.14165592000001</v>
      </c>
      <c r="N259">
        <v>0</v>
      </c>
      <c r="O259" t="s">
        <v>104</v>
      </c>
      <c r="P259" s="56">
        <v>44269.857911458334</v>
      </c>
      <c r="Q259">
        <v>1659597</v>
      </c>
      <c r="R259" t="s">
        <v>115</v>
      </c>
      <c r="S259">
        <v>0</v>
      </c>
      <c r="W259"/>
      <c r="X259">
        <v>0</v>
      </c>
      <c r="AC259" t="s">
        <v>108</v>
      </c>
      <c r="AD259" s="56">
        <v>43466</v>
      </c>
    </row>
    <row r="260" spans="1:30" x14ac:dyDescent="0.3">
      <c r="A260">
        <v>174665</v>
      </c>
      <c r="B260" t="s">
        <v>182</v>
      </c>
      <c r="C260">
        <v>2019</v>
      </c>
      <c r="D260">
        <v>1</v>
      </c>
      <c r="E260" t="s">
        <v>112</v>
      </c>
      <c r="F260" t="s">
        <v>108</v>
      </c>
      <c r="G260" t="s">
        <v>108</v>
      </c>
      <c r="H260" t="s">
        <v>25</v>
      </c>
      <c r="I260" t="s">
        <v>25</v>
      </c>
      <c r="J260" t="s">
        <v>138</v>
      </c>
      <c r="K260" t="s">
        <v>112</v>
      </c>
      <c r="L260" t="s">
        <v>140</v>
      </c>
      <c r="M260">
        <v>502.14165592000001</v>
      </c>
      <c r="N260">
        <v>0</v>
      </c>
      <c r="O260" t="s">
        <v>104</v>
      </c>
      <c r="P260" s="56">
        <v>44269.857911458334</v>
      </c>
      <c r="Q260">
        <v>1659599</v>
      </c>
      <c r="R260" t="s">
        <v>28</v>
      </c>
      <c r="S260">
        <v>0</v>
      </c>
      <c r="W260"/>
      <c r="X260">
        <v>0</v>
      </c>
      <c r="AC260" t="s">
        <v>108</v>
      </c>
      <c r="AD260" s="56">
        <v>43466</v>
      </c>
    </row>
    <row r="261" spans="1:30" x14ac:dyDescent="0.3">
      <c r="A261">
        <v>174638</v>
      </c>
      <c r="B261" t="s">
        <v>182</v>
      </c>
      <c r="C261">
        <v>2019</v>
      </c>
      <c r="D261">
        <v>1</v>
      </c>
      <c r="E261" t="s">
        <v>110</v>
      </c>
      <c r="F261" t="s">
        <v>108</v>
      </c>
      <c r="G261" t="s">
        <v>108</v>
      </c>
      <c r="H261" t="s">
        <v>25</v>
      </c>
      <c r="I261" t="s">
        <v>25</v>
      </c>
      <c r="J261" t="s">
        <v>138</v>
      </c>
      <c r="K261" t="s">
        <v>110</v>
      </c>
      <c r="L261" t="s">
        <v>140</v>
      </c>
      <c r="M261">
        <v>2213.9654676300001</v>
      </c>
      <c r="N261">
        <v>0</v>
      </c>
      <c r="O261" t="s">
        <v>104</v>
      </c>
      <c r="P261" s="56">
        <v>44269.857910185186</v>
      </c>
      <c r="Q261">
        <v>1659464</v>
      </c>
      <c r="R261" t="s">
        <v>28</v>
      </c>
      <c r="S261">
        <v>5.5464253499999998</v>
      </c>
      <c r="W261"/>
      <c r="X261">
        <v>0</v>
      </c>
      <c r="AC261" t="s">
        <v>108</v>
      </c>
      <c r="AD261" s="56">
        <v>43466</v>
      </c>
    </row>
    <row r="262" spans="1:30" x14ac:dyDescent="0.3">
      <c r="A262">
        <v>174692</v>
      </c>
      <c r="B262" t="s">
        <v>182</v>
      </c>
      <c r="C262">
        <v>2019</v>
      </c>
      <c r="D262">
        <v>1</v>
      </c>
      <c r="E262" t="s">
        <v>114</v>
      </c>
      <c r="F262" t="s">
        <v>108</v>
      </c>
      <c r="G262" t="s">
        <v>108</v>
      </c>
      <c r="H262" t="s">
        <v>25</v>
      </c>
      <c r="I262" t="s">
        <v>25</v>
      </c>
      <c r="J262" t="s">
        <v>138</v>
      </c>
      <c r="K262" t="s">
        <v>114</v>
      </c>
      <c r="L262" t="s">
        <v>140</v>
      </c>
      <c r="M262">
        <v>1057.08780013</v>
      </c>
      <c r="N262">
        <v>0</v>
      </c>
      <c r="O262" t="s">
        <v>104</v>
      </c>
      <c r="P262" s="56">
        <v>44269.857912731481</v>
      </c>
      <c r="Q262">
        <v>1659734</v>
      </c>
      <c r="R262" t="s">
        <v>28</v>
      </c>
      <c r="S262">
        <v>2.4815427099999998</v>
      </c>
      <c r="W262"/>
      <c r="X262">
        <v>0</v>
      </c>
      <c r="AC262" t="s">
        <v>108</v>
      </c>
      <c r="AD262" s="56">
        <v>43466</v>
      </c>
    </row>
    <row r="263" spans="1:30" x14ac:dyDescent="0.3">
      <c r="A263">
        <v>187229</v>
      </c>
      <c r="B263" t="s">
        <v>184</v>
      </c>
      <c r="C263">
        <v>2019</v>
      </c>
      <c r="D263">
        <v>2</v>
      </c>
      <c r="E263" t="s">
        <v>110</v>
      </c>
      <c r="F263" t="s">
        <v>108</v>
      </c>
      <c r="G263" t="s">
        <v>108</v>
      </c>
      <c r="H263" t="s">
        <v>25</v>
      </c>
      <c r="I263" t="s">
        <v>25</v>
      </c>
      <c r="J263" t="s">
        <v>138</v>
      </c>
      <c r="K263" t="s">
        <v>110</v>
      </c>
      <c r="L263" t="s">
        <v>140</v>
      </c>
      <c r="M263">
        <v>2097.42093987</v>
      </c>
      <c r="N263">
        <v>0</v>
      </c>
      <c r="O263" t="s">
        <v>104</v>
      </c>
      <c r="P263" s="56">
        <v>44269.859435266189</v>
      </c>
      <c r="Q263">
        <v>1778877</v>
      </c>
      <c r="R263" t="s">
        <v>26</v>
      </c>
      <c r="S263">
        <v>716.91668818000005</v>
      </c>
      <c r="W263"/>
      <c r="X263">
        <v>0</v>
      </c>
      <c r="AC263" t="s">
        <v>108</v>
      </c>
      <c r="AD263" s="56">
        <v>43497</v>
      </c>
    </row>
    <row r="264" spans="1:30" x14ac:dyDescent="0.3">
      <c r="A264">
        <v>187256</v>
      </c>
      <c r="B264" t="s">
        <v>184</v>
      </c>
      <c r="C264">
        <v>2019</v>
      </c>
      <c r="D264">
        <v>2</v>
      </c>
      <c r="E264" t="s">
        <v>112</v>
      </c>
      <c r="F264" t="s">
        <v>108</v>
      </c>
      <c r="G264" t="s">
        <v>108</v>
      </c>
      <c r="H264" t="s">
        <v>25</v>
      </c>
      <c r="I264" t="s">
        <v>25</v>
      </c>
      <c r="J264" t="s">
        <v>138</v>
      </c>
      <c r="K264" t="s">
        <v>112</v>
      </c>
      <c r="L264" t="s">
        <v>140</v>
      </c>
      <c r="M264">
        <v>483.50924042000003</v>
      </c>
      <c r="N264">
        <v>0</v>
      </c>
      <c r="O264" t="s">
        <v>104</v>
      </c>
      <c r="P264" s="56">
        <v>44269.859436574072</v>
      </c>
      <c r="Q264">
        <v>1779012</v>
      </c>
      <c r="R264" t="s">
        <v>26</v>
      </c>
      <c r="S264">
        <v>210.99056942000001</v>
      </c>
      <c r="W264"/>
      <c r="X264">
        <v>0</v>
      </c>
      <c r="AC264" t="s">
        <v>108</v>
      </c>
      <c r="AD264" s="56">
        <v>43497</v>
      </c>
    </row>
    <row r="265" spans="1:30" x14ac:dyDescent="0.3">
      <c r="A265">
        <v>187283</v>
      </c>
      <c r="B265" t="s">
        <v>184</v>
      </c>
      <c r="C265">
        <v>2019</v>
      </c>
      <c r="D265">
        <v>2</v>
      </c>
      <c r="E265" t="s">
        <v>114</v>
      </c>
      <c r="F265" t="s">
        <v>108</v>
      </c>
      <c r="G265" t="s">
        <v>108</v>
      </c>
      <c r="H265" t="s">
        <v>25</v>
      </c>
      <c r="I265" t="s">
        <v>25</v>
      </c>
      <c r="J265" t="s">
        <v>138</v>
      </c>
      <c r="K265" t="s">
        <v>114</v>
      </c>
      <c r="L265" t="s">
        <v>140</v>
      </c>
      <c r="M265">
        <v>1177.9328353799999</v>
      </c>
      <c r="N265">
        <v>0</v>
      </c>
      <c r="O265" t="s">
        <v>104</v>
      </c>
      <c r="P265" s="56">
        <v>44269.859437847219</v>
      </c>
      <c r="Q265">
        <v>1779147</v>
      </c>
      <c r="R265" t="s">
        <v>26</v>
      </c>
      <c r="S265">
        <v>426.66419180999998</v>
      </c>
      <c r="W265"/>
      <c r="X265">
        <v>0</v>
      </c>
      <c r="AC265" t="s">
        <v>108</v>
      </c>
      <c r="AD265" s="56">
        <v>43497</v>
      </c>
    </row>
    <row r="266" spans="1:30" x14ac:dyDescent="0.3">
      <c r="A266">
        <v>187229</v>
      </c>
      <c r="B266" t="s">
        <v>184</v>
      </c>
      <c r="C266">
        <v>2019</v>
      </c>
      <c r="D266">
        <v>2</v>
      </c>
      <c r="E266" t="s">
        <v>110</v>
      </c>
      <c r="F266" t="s">
        <v>108</v>
      </c>
      <c r="G266" t="s">
        <v>108</v>
      </c>
      <c r="H266" t="s">
        <v>25</v>
      </c>
      <c r="I266" t="s">
        <v>25</v>
      </c>
      <c r="J266" t="s">
        <v>138</v>
      </c>
      <c r="K266" t="s">
        <v>110</v>
      </c>
      <c r="L266" t="s">
        <v>140</v>
      </c>
      <c r="M266">
        <v>2097.42093987</v>
      </c>
      <c r="N266">
        <v>0</v>
      </c>
      <c r="O266" t="s">
        <v>104</v>
      </c>
      <c r="P266" s="56">
        <v>44269.859435266189</v>
      </c>
      <c r="Q266">
        <v>1778880</v>
      </c>
      <c r="R266" t="s">
        <v>105</v>
      </c>
      <c r="S266">
        <v>249.72608044</v>
      </c>
      <c r="W266"/>
      <c r="X266">
        <v>0</v>
      </c>
      <c r="AC266" t="s">
        <v>108</v>
      </c>
      <c r="AD266" s="56">
        <v>43497</v>
      </c>
    </row>
    <row r="267" spans="1:30" x14ac:dyDescent="0.3">
      <c r="A267">
        <v>187256</v>
      </c>
      <c r="B267" t="s">
        <v>184</v>
      </c>
      <c r="C267">
        <v>2019</v>
      </c>
      <c r="D267">
        <v>2</v>
      </c>
      <c r="E267" t="s">
        <v>112</v>
      </c>
      <c r="F267" t="s">
        <v>108</v>
      </c>
      <c r="G267" t="s">
        <v>108</v>
      </c>
      <c r="H267" t="s">
        <v>25</v>
      </c>
      <c r="I267" t="s">
        <v>25</v>
      </c>
      <c r="J267" t="s">
        <v>138</v>
      </c>
      <c r="K267" t="s">
        <v>112</v>
      </c>
      <c r="L267" t="s">
        <v>140</v>
      </c>
      <c r="M267">
        <v>483.50924042000003</v>
      </c>
      <c r="N267">
        <v>0</v>
      </c>
      <c r="O267" t="s">
        <v>104</v>
      </c>
      <c r="P267" s="56">
        <v>44269.859436574072</v>
      </c>
      <c r="Q267">
        <v>1779015</v>
      </c>
      <c r="R267" t="s">
        <v>105</v>
      </c>
      <c r="S267">
        <v>48.962610380000001</v>
      </c>
      <c r="W267"/>
      <c r="X267">
        <v>0</v>
      </c>
      <c r="AC267" t="s">
        <v>108</v>
      </c>
      <c r="AD267" s="56">
        <v>43497</v>
      </c>
    </row>
    <row r="268" spans="1:30" x14ac:dyDescent="0.3">
      <c r="A268">
        <v>187283</v>
      </c>
      <c r="B268" t="s">
        <v>184</v>
      </c>
      <c r="C268">
        <v>2019</v>
      </c>
      <c r="D268">
        <v>2</v>
      </c>
      <c r="E268" t="s">
        <v>114</v>
      </c>
      <c r="F268" t="s">
        <v>108</v>
      </c>
      <c r="G268" t="s">
        <v>108</v>
      </c>
      <c r="H268" t="s">
        <v>25</v>
      </c>
      <c r="I268" t="s">
        <v>25</v>
      </c>
      <c r="J268" t="s">
        <v>138</v>
      </c>
      <c r="K268" t="s">
        <v>114</v>
      </c>
      <c r="L268" t="s">
        <v>140</v>
      </c>
      <c r="M268">
        <v>1177.9328353799999</v>
      </c>
      <c r="N268">
        <v>0</v>
      </c>
      <c r="O268" t="s">
        <v>104</v>
      </c>
      <c r="P268" s="56">
        <v>44269.859437847219</v>
      </c>
      <c r="Q268">
        <v>1779150</v>
      </c>
      <c r="R268" t="s">
        <v>105</v>
      </c>
      <c r="S268">
        <v>119.52849241</v>
      </c>
      <c r="W268"/>
      <c r="X268">
        <v>0</v>
      </c>
      <c r="AC268" t="s">
        <v>108</v>
      </c>
      <c r="AD268" s="56">
        <v>43497</v>
      </c>
    </row>
    <row r="269" spans="1:30" x14ac:dyDescent="0.3">
      <c r="A269">
        <v>187283</v>
      </c>
      <c r="B269" t="s">
        <v>184</v>
      </c>
      <c r="C269">
        <v>2019</v>
      </c>
      <c r="D269">
        <v>2</v>
      </c>
      <c r="E269" t="s">
        <v>114</v>
      </c>
      <c r="F269" t="s">
        <v>108</v>
      </c>
      <c r="G269" t="s">
        <v>108</v>
      </c>
      <c r="H269" t="s">
        <v>25</v>
      </c>
      <c r="I269" t="s">
        <v>25</v>
      </c>
      <c r="J269" t="s">
        <v>138</v>
      </c>
      <c r="K269" t="s">
        <v>114</v>
      </c>
      <c r="L269" t="s">
        <v>140</v>
      </c>
      <c r="M269">
        <v>1177.9328353799999</v>
      </c>
      <c r="N269">
        <v>0</v>
      </c>
      <c r="O269" t="s">
        <v>104</v>
      </c>
      <c r="P269" s="56">
        <v>44269.859437847219</v>
      </c>
      <c r="Q269">
        <v>1779149</v>
      </c>
      <c r="R269" t="s">
        <v>27</v>
      </c>
      <c r="S269">
        <v>651.01386399</v>
      </c>
      <c r="W269"/>
      <c r="X269">
        <v>0</v>
      </c>
      <c r="AC269" t="s">
        <v>108</v>
      </c>
      <c r="AD269" s="56">
        <v>43497</v>
      </c>
    </row>
    <row r="270" spans="1:30" x14ac:dyDescent="0.3">
      <c r="A270">
        <v>187229</v>
      </c>
      <c r="B270" t="s">
        <v>184</v>
      </c>
      <c r="C270">
        <v>2019</v>
      </c>
      <c r="D270">
        <v>2</v>
      </c>
      <c r="E270" t="s">
        <v>110</v>
      </c>
      <c r="F270" t="s">
        <v>108</v>
      </c>
      <c r="G270" t="s">
        <v>108</v>
      </c>
      <c r="H270" t="s">
        <v>25</v>
      </c>
      <c r="I270" t="s">
        <v>25</v>
      </c>
      <c r="J270" t="s">
        <v>138</v>
      </c>
      <c r="K270" t="s">
        <v>110</v>
      </c>
      <c r="L270" t="s">
        <v>140</v>
      </c>
      <c r="M270">
        <v>2097.42093987</v>
      </c>
      <c r="N270">
        <v>0</v>
      </c>
      <c r="O270" t="s">
        <v>104</v>
      </c>
      <c r="P270" s="56">
        <v>44269.859435266189</v>
      </c>
      <c r="Q270">
        <v>1778879</v>
      </c>
      <c r="R270" t="s">
        <v>27</v>
      </c>
      <c r="S270">
        <v>1164.58345811</v>
      </c>
      <c r="W270"/>
      <c r="X270">
        <v>0</v>
      </c>
      <c r="AC270" t="s">
        <v>108</v>
      </c>
      <c r="AD270" s="56">
        <v>43497</v>
      </c>
    </row>
    <row r="271" spans="1:30" x14ac:dyDescent="0.3">
      <c r="A271">
        <v>187256</v>
      </c>
      <c r="B271" t="s">
        <v>184</v>
      </c>
      <c r="C271">
        <v>2019</v>
      </c>
      <c r="D271">
        <v>2</v>
      </c>
      <c r="E271" t="s">
        <v>112</v>
      </c>
      <c r="F271" t="s">
        <v>108</v>
      </c>
      <c r="G271" t="s">
        <v>108</v>
      </c>
      <c r="H271" t="s">
        <v>25</v>
      </c>
      <c r="I271" t="s">
        <v>25</v>
      </c>
      <c r="J271" t="s">
        <v>138</v>
      </c>
      <c r="K271" t="s">
        <v>112</v>
      </c>
      <c r="L271" t="s">
        <v>140</v>
      </c>
      <c r="M271">
        <v>483.50924042000003</v>
      </c>
      <c r="N271">
        <v>0</v>
      </c>
      <c r="O271" t="s">
        <v>104</v>
      </c>
      <c r="P271" s="56">
        <v>44269.859436574072</v>
      </c>
      <c r="Q271">
        <v>1779014</v>
      </c>
      <c r="R271" t="s">
        <v>27</v>
      </c>
      <c r="S271">
        <v>233.86371754000001</v>
      </c>
      <c r="W271"/>
      <c r="X271">
        <v>0</v>
      </c>
      <c r="AC271" t="s">
        <v>108</v>
      </c>
      <c r="AD271" s="56">
        <v>43497</v>
      </c>
    </row>
    <row r="272" spans="1:30" x14ac:dyDescent="0.3">
      <c r="A272">
        <v>187283</v>
      </c>
      <c r="B272" t="s">
        <v>184</v>
      </c>
      <c r="C272">
        <v>2019</v>
      </c>
      <c r="D272">
        <v>2</v>
      </c>
      <c r="E272" t="s">
        <v>114</v>
      </c>
      <c r="F272" t="s">
        <v>108</v>
      </c>
      <c r="G272" t="s">
        <v>108</v>
      </c>
      <c r="H272" t="s">
        <v>25</v>
      </c>
      <c r="I272" t="s">
        <v>25</v>
      </c>
      <c r="J272" t="s">
        <v>138</v>
      </c>
      <c r="K272" t="s">
        <v>114</v>
      </c>
      <c r="L272" t="s">
        <v>140</v>
      </c>
      <c r="M272">
        <v>1177.9328353799999</v>
      </c>
      <c r="N272">
        <v>0</v>
      </c>
      <c r="O272" t="s">
        <v>104</v>
      </c>
      <c r="P272" s="56">
        <v>44269.859437847219</v>
      </c>
      <c r="Q272">
        <v>1779146</v>
      </c>
      <c r="R272" t="s">
        <v>115</v>
      </c>
      <c r="S272">
        <v>3.0727337100000001</v>
      </c>
      <c r="W272"/>
      <c r="X272">
        <v>0</v>
      </c>
      <c r="AC272" t="s">
        <v>108</v>
      </c>
      <c r="AD272" s="56">
        <v>43497</v>
      </c>
    </row>
    <row r="273" spans="1:30" x14ac:dyDescent="0.3">
      <c r="A273">
        <v>187256</v>
      </c>
      <c r="B273" t="s">
        <v>184</v>
      </c>
      <c r="C273">
        <v>2019</v>
      </c>
      <c r="D273">
        <v>2</v>
      </c>
      <c r="E273" t="s">
        <v>112</v>
      </c>
      <c r="F273" t="s">
        <v>108</v>
      </c>
      <c r="G273" t="s">
        <v>108</v>
      </c>
      <c r="H273" t="s">
        <v>25</v>
      </c>
      <c r="I273" t="s">
        <v>25</v>
      </c>
      <c r="J273" t="s">
        <v>138</v>
      </c>
      <c r="K273" t="s">
        <v>112</v>
      </c>
      <c r="L273" t="s">
        <v>140</v>
      </c>
      <c r="M273">
        <v>483.50924042000003</v>
      </c>
      <c r="N273">
        <v>0</v>
      </c>
      <c r="O273" t="s">
        <v>104</v>
      </c>
      <c r="P273" s="56">
        <v>44269.859436574072</v>
      </c>
      <c r="Q273">
        <v>1779011</v>
      </c>
      <c r="R273" t="s">
        <v>115</v>
      </c>
      <c r="S273">
        <v>0</v>
      </c>
      <c r="W273"/>
      <c r="X273">
        <v>0</v>
      </c>
      <c r="AC273" t="s">
        <v>108</v>
      </c>
      <c r="AD273" s="56">
        <v>43497</v>
      </c>
    </row>
    <row r="274" spans="1:30" x14ac:dyDescent="0.3">
      <c r="A274">
        <v>187229</v>
      </c>
      <c r="B274" t="s">
        <v>184</v>
      </c>
      <c r="C274">
        <v>2019</v>
      </c>
      <c r="D274">
        <v>2</v>
      </c>
      <c r="E274" t="s">
        <v>110</v>
      </c>
      <c r="F274" t="s">
        <v>108</v>
      </c>
      <c r="G274" t="s">
        <v>108</v>
      </c>
      <c r="H274" t="s">
        <v>25</v>
      </c>
      <c r="I274" t="s">
        <v>25</v>
      </c>
      <c r="J274" t="s">
        <v>138</v>
      </c>
      <c r="K274" t="s">
        <v>110</v>
      </c>
      <c r="L274" t="s">
        <v>140</v>
      </c>
      <c r="M274">
        <v>2097.42093987</v>
      </c>
      <c r="N274">
        <v>0</v>
      </c>
      <c r="O274" t="s">
        <v>104</v>
      </c>
      <c r="P274" s="56">
        <v>44269.859435266189</v>
      </c>
      <c r="Q274">
        <v>1778876</v>
      </c>
      <c r="R274" t="s">
        <v>115</v>
      </c>
      <c r="S274">
        <v>5.6539723300000002</v>
      </c>
      <c r="W274"/>
      <c r="X274">
        <v>0</v>
      </c>
      <c r="AC274" t="s">
        <v>108</v>
      </c>
      <c r="AD274" s="56">
        <v>43497</v>
      </c>
    </row>
    <row r="275" spans="1:30" x14ac:dyDescent="0.3">
      <c r="A275">
        <v>187229</v>
      </c>
      <c r="B275" t="s">
        <v>184</v>
      </c>
      <c r="C275">
        <v>2019</v>
      </c>
      <c r="D275">
        <v>2</v>
      </c>
      <c r="E275" t="s">
        <v>110</v>
      </c>
      <c r="F275" t="s">
        <v>108</v>
      </c>
      <c r="G275" t="s">
        <v>108</v>
      </c>
      <c r="H275" t="s">
        <v>25</v>
      </c>
      <c r="I275" t="s">
        <v>25</v>
      </c>
      <c r="J275" t="s">
        <v>138</v>
      </c>
      <c r="K275" t="s">
        <v>110</v>
      </c>
      <c r="L275" t="s">
        <v>140</v>
      </c>
      <c r="M275">
        <v>2097.42093987</v>
      </c>
      <c r="N275">
        <v>0</v>
      </c>
      <c r="O275" t="s">
        <v>104</v>
      </c>
      <c r="P275" s="56">
        <v>44269.859435266189</v>
      </c>
      <c r="Q275">
        <v>1778878</v>
      </c>
      <c r="R275" t="s">
        <v>28</v>
      </c>
      <c r="S275">
        <v>5.2544580400000003</v>
      </c>
      <c r="W275"/>
      <c r="X275">
        <v>0</v>
      </c>
      <c r="AC275" t="s">
        <v>108</v>
      </c>
      <c r="AD275" s="56">
        <v>43497</v>
      </c>
    </row>
    <row r="276" spans="1:30" x14ac:dyDescent="0.3">
      <c r="A276">
        <v>187283</v>
      </c>
      <c r="B276" t="s">
        <v>184</v>
      </c>
      <c r="C276">
        <v>2019</v>
      </c>
      <c r="D276">
        <v>2</v>
      </c>
      <c r="E276" t="s">
        <v>114</v>
      </c>
      <c r="F276" t="s">
        <v>108</v>
      </c>
      <c r="G276" t="s">
        <v>108</v>
      </c>
      <c r="H276" t="s">
        <v>25</v>
      </c>
      <c r="I276" t="s">
        <v>25</v>
      </c>
      <c r="J276" t="s">
        <v>138</v>
      </c>
      <c r="K276" t="s">
        <v>114</v>
      </c>
      <c r="L276" t="s">
        <v>140</v>
      </c>
      <c r="M276">
        <v>1177.9328353799999</v>
      </c>
      <c r="N276">
        <v>0</v>
      </c>
      <c r="O276" t="s">
        <v>104</v>
      </c>
      <c r="P276" s="56">
        <v>44269.859437847219</v>
      </c>
      <c r="Q276">
        <v>1779148</v>
      </c>
      <c r="R276" t="s">
        <v>28</v>
      </c>
      <c r="S276">
        <v>2.76522976</v>
      </c>
      <c r="W276"/>
      <c r="X276">
        <v>0</v>
      </c>
      <c r="AC276" t="s">
        <v>108</v>
      </c>
      <c r="AD276" s="56">
        <v>43497</v>
      </c>
    </row>
    <row r="277" spans="1:30" x14ac:dyDescent="0.3">
      <c r="A277">
        <v>187256</v>
      </c>
      <c r="B277" t="s">
        <v>184</v>
      </c>
      <c r="C277">
        <v>2019</v>
      </c>
      <c r="D277">
        <v>2</v>
      </c>
      <c r="E277" t="s">
        <v>112</v>
      </c>
      <c r="F277" t="s">
        <v>108</v>
      </c>
      <c r="G277" t="s">
        <v>108</v>
      </c>
      <c r="H277" t="s">
        <v>25</v>
      </c>
      <c r="I277" t="s">
        <v>25</v>
      </c>
      <c r="J277" t="s">
        <v>138</v>
      </c>
      <c r="K277" t="s">
        <v>112</v>
      </c>
      <c r="L277" t="s">
        <v>140</v>
      </c>
      <c r="M277">
        <v>483.50924042000003</v>
      </c>
      <c r="N277">
        <v>0</v>
      </c>
      <c r="O277" t="s">
        <v>104</v>
      </c>
      <c r="P277" s="56">
        <v>44269.859436574072</v>
      </c>
      <c r="Q277">
        <v>1779013</v>
      </c>
      <c r="R277" t="s">
        <v>28</v>
      </c>
      <c r="S277">
        <v>0</v>
      </c>
      <c r="W277"/>
      <c r="X277">
        <v>0</v>
      </c>
      <c r="AC277" t="s">
        <v>108</v>
      </c>
      <c r="AD277" s="56">
        <v>43497</v>
      </c>
    </row>
    <row r="278" spans="1:30" x14ac:dyDescent="0.3">
      <c r="A278">
        <v>190955</v>
      </c>
      <c r="B278" t="s">
        <v>186</v>
      </c>
      <c r="C278">
        <v>2019</v>
      </c>
      <c r="D278">
        <v>3</v>
      </c>
      <c r="E278" t="s">
        <v>112</v>
      </c>
      <c r="F278" t="s">
        <v>108</v>
      </c>
      <c r="G278" t="s">
        <v>108</v>
      </c>
      <c r="H278" t="s">
        <v>25</v>
      </c>
      <c r="I278" t="s">
        <v>25</v>
      </c>
      <c r="J278" t="s">
        <v>138</v>
      </c>
      <c r="K278" t="s">
        <v>112</v>
      </c>
      <c r="L278" t="s">
        <v>140</v>
      </c>
      <c r="M278">
        <v>548.80313799999999</v>
      </c>
      <c r="N278">
        <v>0</v>
      </c>
      <c r="O278" t="s">
        <v>104</v>
      </c>
      <c r="P278" s="56">
        <v>44269.86019540509</v>
      </c>
      <c r="Q278">
        <v>1806418</v>
      </c>
      <c r="R278" t="s">
        <v>26</v>
      </c>
      <c r="S278">
        <v>239.48308926999999</v>
      </c>
      <c r="W278"/>
      <c r="X278">
        <v>0</v>
      </c>
      <c r="AC278" t="s">
        <v>108</v>
      </c>
      <c r="AD278" s="56">
        <v>43525</v>
      </c>
    </row>
    <row r="279" spans="1:30" x14ac:dyDescent="0.3">
      <c r="A279">
        <v>190928</v>
      </c>
      <c r="B279" t="s">
        <v>186</v>
      </c>
      <c r="C279">
        <v>2019</v>
      </c>
      <c r="D279">
        <v>3</v>
      </c>
      <c r="E279" t="s">
        <v>110</v>
      </c>
      <c r="F279" t="s">
        <v>108</v>
      </c>
      <c r="G279" t="s">
        <v>108</v>
      </c>
      <c r="H279" t="s">
        <v>25</v>
      </c>
      <c r="I279" t="s">
        <v>25</v>
      </c>
      <c r="J279" t="s">
        <v>138</v>
      </c>
      <c r="K279" t="s">
        <v>110</v>
      </c>
      <c r="L279" t="s">
        <v>140</v>
      </c>
      <c r="M279">
        <v>1987.4110310900001</v>
      </c>
      <c r="N279">
        <v>0</v>
      </c>
      <c r="O279" t="s">
        <v>104</v>
      </c>
      <c r="P279" s="56">
        <v>44269.860194062501</v>
      </c>
      <c r="Q279">
        <v>1806283</v>
      </c>
      <c r="R279" t="s">
        <v>26</v>
      </c>
      <c r="S279">
        <v>679.31434620000005</v>
      </c>
      <c r="W279"/>
      <c r="X279">
        <v>0</v>
      </c>
      <c r="AC279" t="s">
        <v>108</v>
      </c>
      <c r="AD279" s="56">
        <v>43525</v>
      </c>
    </row>
    <row r="280" spans="1:30" x14ac:dyDescent="0.3">
      <c r="A280">
        <v>190982</v>
      </c>
      <c r="B280" t="s">
        <v>186</v>
      </c>
      <c r="C280">
        <v>2019</v>
      </c>
      <c r="D280">
        <v>3</v>
      </c>
      <c r="E280" t="s">
        <v>114</v>
      </c>
      <c r="F280" t="s">
        <v>108</v>
      </c>
      <c r="G280" t="s">
        <v>108</v>
      </c>
      <c r="H280" t="s">
        <v>25</v>
      </c>
      <c r="I280" t="s">
        <v>25</v>
      </c>
      <c r="J280" t="s">
        <v>138</v>
      </c>
      <c r="K280" t="s">
        <v>114</v>
      </c>
      <c r="L280" t="s">
        <v>140</v>
      </c>
      <c r="M280">
        <v>1048.18988866</v>
      </c>
      <c r="N280">
        <v>0</v>
      </c>
      <c r="O280" t="s">
        <v>104</v>
      </c>
      <c r="P280" s="56">
        <v>44269.860196643524</v>
      </c>
      <c r="Q280">
        <v>1806553</v>
      </c>
      <c r="R280" t="s">
        <v>26</v>
      </c>
      <c r="S280">
        <v>379.66943299000002</v>
      </c>
      <c r="W280"/>
      <c r="X280">
        <v>0</v>
      </c>
      <c r="AC280" t="s">
        <v>108</v>
      </c>
      <c r="AD280" s="56">
        <v>43525</v>
      </c>
    </row>
    <row r="281" spans="1:30" x14ac:dyDescent="0.3">
      <c r="A281">
        <v>190928</v>
      </c>
      <c r="B281" t="s">
        <v>186</v>
      </c>
      <c r="C281">
        <v>2019</v>
      </c>
      <c r="D281">
        <v>3</v>
      </c>
      <c r="E281" t="s">
        <v>110</v>
      </c>
      <c r="F281" t="s">
        <v>108</v>
      </c>
      <c r="G281" t="s">
        <v>108</v>
      </c>
      <c r="H281" t="s">
        <v>25</v>
      </c>
      <c r="I281" t="s">
        <v>25</v>
      </c>
      <c r="J281" t="s">
        <v>138</v>
      </c>
      <c r="K281" t="s">
        <v>110</v>
      </c>
      <c r="L281" t="s">
        <v>140</v>
      </c>
      <c r="M281">
        <v>1987.4110310900001</v>
      </c>
      <c r="N281">
        <v>0</v>
      </c>
      <c r="O281" t="s">
        <v>104</v>
      </c>
      <c r="P281" s="56">
        <v>44269.860194062501</v>
      </c>
      <c r="Q281">
        <v>1806286</v>
      </c>
      <c r="R281" t="s">
        <v>105</v>
      </c>
      <c r="S281">
        <v>236.62792603</v>
      </c>
      <c r="W281"/>
      <c r="X281">
        <v>0</v>
      </c>
      <c r="AC281" t="s">
        <v>108</v>
      </c>
      <c r="AD281" s="56">
        <v>43525</v>
      </c>
    </row>
    <row r="282" spans="1:30" x14ac:dyDescent="0.3">
      <c r="A282">
        <v>190955</v>
      </c>
      <c r="B282" t="s">
        <v>186</v>
      </c>
      <c r="C282">
        <v>2019</v>
      </c>
      <c r="D282">
        <v>3</v>
      </c>
      <c r="E282" t="s">
        <v>112</v>
      </c>
      <c r="F282" t="s">
        <v>108</v>
      </c>
      <c r="G282" t="s">
        <v>108</v>
      </c>
      <c r="H282" t="s">
        <v>25</v>
      </c>
      <c r="I282" t="s">
        <v>25</v>
      </c>
      <c r="J282" t="s">
        <v>138</v>
      </c>
      <c r="K282" t="s">
        <v>112</v>
      </c>
      <c r="L282" t="s">
        <v>140</v>
      </c>
      <c r="M282">
        <v>548.80313799999999</v>
      </c>
      <c r="N282">
        <v>0</v>
      </c>
      <c r="O282" t="s">
        <v>104</v>
      </c>
      <c r="P282" s="56">
        <v>44269.86019540509</v>
      </c>
      <c r="Q282">
        <v>1806421</v>
      </c>
      <c r="R282" t="s">
        <v>105</v>
      </c>
      <c r="S282">
        <v>55.574603279999998</v>
      </c>
      <c r="W282"/>
      <c r="X282">
        <v>0</v>
      </c>
      <c r="AC282" t="s">
        <v>108</v>
      </c>
      <c r="AD282" s="56">
        <v>43525</v>
      </c>
    </row>
    <row r="283" spans="1:30" x14ac:dyDescent="0.3">
      <c r="A283">
        <v>190982</v>
      </c>
      <c r="B283" t="s">
        <v>186</v>
      </c>
      <c r="C283">
        <v>2019</v>
      </c>
      <c r="D283">
        <v>3</v>
      </c>
      <c r="E283" t="s">
        <v>114</v>
      </c>
      <c r="F283" t="s">
        <v>108</v>
      </c>
      <c r="G283" t="s">
        <v>108</v>
      </c>
      <c r="H283" t="s">
        <v>25</v>
      </c>
      <c r="I283" t="s">
        <v>25</v>
      </c>
      <c r="J283" t="s">
        <v>138</v>
      </c>
      <c r="K283" t="s">
        <v>114</v>
      </c>
      <c r="L283" t="s">
        <v>140</v>
      </c>
      <c r="M283">
        <v>1048.18988866</v>
      </c>
      <c r="N283">
        <v>0</v>
      </c>
      <c r="O283" t="s">
        <v>104</v>
      </c>
      <c r="P283" s="56">
        <v>44269.860196643524</v>
      </c>
      <c r="Q283">
        <v>1806556</v>
      </c>
      <c r="R283" t="s">
        <v>105</v>
      </c>
      <c r="S283">
        <v>106.36307384</v>
      </c>
      <c r="W283"/>
      <c r="X283">
        <v>0</v>
      </c>
      <c r="AC283" t="s">
        <v>108</v>
      </c>
      <c r="AD283" s="56">
        <v>43525</v>
      </c>
    </row>
    <row r="284" spans="1:30" x14ac:dyDescent="0.3">
      <c r="A284">
        <v>190982</v>
      </c>
      <c r="B284" t="s">
        <v>186</v>
      </c>
      <c r="C284">
        <v>2019</v>
      </c>
      <c r="D284">
        <v>3</v>
      </c>
      <c r="E284" t="s">
        <v>114</v>
      </c>
      <c r="F284" t="s">
        <v>108</v>
      </c>
      <c r="G284" t="s">
        <v>108</v>
      </c>
      <c r="H284" t="s">
        <v>25</v>
      </c>
      <c r="I284" t="s">
        <v>25</v>
      </c>
      <c r="J284" t="s">
        <v>138</v>
      </c>
      <c r="K284" t="s">
        <v>114</v>
      </c>
      <c r="L284" t="s">
        <v>140</v>
      </c>
      <c r="M284">
        <v>1048.18988866</v>
      </c>
      <c r="N284">
        <v>0</v>
      </c>
      <c r="O284" t="s">
        <v>104</v>
      </c>
      <c r="P284" s="56">
        <v>44269.860196643524</v>
      </c>
      <c r="Q284">
        <v>1806555</v>
      </c>
      <c r="R284" t="s">
        <v>27</v>
      </c>
      <c r="S284">
        <v>579.30819916999997</v>
      </c>
      <c r="W284"/>
      <c r="X284">
        <v>0</v>
      </c>
      <c r="AC284" t="s">
        <v>108</v>
      </c>
      <c r="AD284" s="56">
        <v>43525</v>
      </c>
    </row>
    <row r="285" spans="1:30" x14ac:dyDescent="0.3">
      <c r="A285">
        <v>190928</v>
      </c>
      <c r="B285" t="s">
        <v>186</v>
      </c>
      <c r="C285">
        <v>2019</v>
      </c>
      <c r="D285">
        <v>3</v>
      </c>
      <c r="E285" t="s">
        <v>110</v>
      </c>
      <c r="F285" t="s">
        <v>108</v>
      </c>
      <c r="G285" t="s">
        <v>108</v>
      </c>
      <c r="H285" t="s">
        <v>25</v>
      </c>
      <c r="I285" t="s">
        <v>25</v>
      </c>
      <c r="J285" t="s">
        <v>138</v>
      </c>
      <c r="K285" t="s">
        <v>110</v>
      </c>
      <c r="L285" t="s">
        <v>140</v>
      </c>
      <c r="M285">
        <v>1987.4110310900001</v>
      </c>
      <c r="N285">
        <v>0</v>
      </c>
      <c r="O285" t="s">
        <v>104</v>
      </c>
      <c r="P285" s="56">
        <v>44269.860194062501</v>
      </c>
      <c r="Q285">
        <v>1806285</v>
      </c>
      <c r="R285" t="s">
        <v>27</v>
      </c>
      <c r="S285">
        <v>1103.5009555199999</v>
      </c>
      <c r="W285"/>
      <c r="X285">
        <v>0</v>
      </c>
      <c r="AC285" t="s">
        <v>108</v>
      </c>
      <c r="AD285" s="56">
        <v>43525</v>
      </c>
    </row>
    <row r="286" spans="1:30" x14ac:dyDescent="0.3">
      <c r="A286">
        <v>190955</v>
      </c>
      <c r="B286" t="s">
        <v>186</v>
      </c>
      <c r="C286">
        <v>2019</v>
      </c>
      <c r="D286">
        <v>3</v>
      </c>
      <c r="E286" t="s">
        <v>112</v>
      </c>
      <c r="F286" t="s">
        <v>108</v>
      </c>
      <c r="G286" t="s">
        <v>108</v>
      </c>
      <c r="H286" t="s">
        <v>25</v>
      </c>
      <c r="I286" t="s">
        <v>25</v>
      </c>
      <c r="J286" t="s">
        <v>138</v>
      </c>
      <c r="K286" t="s">
        <v>112</v>
      </c>
      <c r="L286" t="s">
        <v>140</v>
      </c>
      <c r="M286">
        <v>548.80313799999999</v>
      </c>
      <c r="N286">
        <v>0</v>
      </c>
      <c r="O286" t="s">
        <v>104</v>
      </c>
      <c r="P286" s="56">
        <v>44269.86019540509</v>
      </c>
      <c r="Q286">
        <v>1806420</v>
      </c>
      <c r="R286" t="s">
        <v>27</v>
      </c>
      <c r="S286">
        <v>265.44506561999998</v>
      </c>
      <c r="W286"/>
      <c r="X286">
        <v>0</v>
      </c>
      <c r="AC286" t="s">
        <v>108</v>
      </c>
      <c r="AD286" s="56">
        <v>43525</v>
      </c>
    </row>
    <row r="287" spans="1:30" x14ac:dyDescent="0.3">
      <c r="A287">
        <v>190955</v>
      </c>
      <c r="B287" t="s">
        <v>186</v>
      </c>
      <c r="C287">
        <v>2019</v>
      </c>
      <c r="D287">
        <v>3</v>
      </c>
      <c r="E287" t="s">
        <v>112</v>
      </c>
      <c r="F287" t="s">
        <v>108</v>
      </c>
      <c r="G287" t="s">
        <v>108</v>
      </c>
      <c r="H287" t="s">
        <v>25</v>
      </c>
      <c r="I287" t="s">
        <v>25</v>
      </c>
      <c r="J287" t="s">
        <v>138</v>
      </c>
      <c r="K287" t="s">
        <v>112</v>
      </c>
      <c r="L287" t="s">
        <v>140</v>
      </c>
      <c r="M287">
        <v>548.80313799999999</v>
      </c>
      <c r="N287">
        <v>0</v>
      </c>
      <c r="O287" t="s">
        <v>104</v>
      </c>
      <c r="P287" s="56">
        <v>44269.86019540509</v>
      </c>
      <c r="Q287">
        <v>1806417</v>
      </c>
      <c r="R287" t="s">
        <v>115</v>
      </c>
      <c r="S287">
        <v>0</v>
      </c>
      <c r="W287"/>
      <c r="X287">
        <v>0</v>
      </c>
      <c r="AC287" t="s">
        <v>108</v>
      </c>
      <c r="AD287" s="56">
        <v>43525</v>
      </c>
    </row>
    <row r="288" spans="1:30" x14ac:dyDescent="0.3">
      <c r="A288">
        <v>190928</v>
      </c>
      <c r="B288" t="s">
        <v>186</v>
      </c>
      <c r="C288">
        <v>2019</v>
      </c>
      <c r="D288">
        <v>3</v>
      </c>
      <c r="E288" t="s">
        <v>110</v>
      </c>
      <c r="F288" t="s">
        <v>108</v>
      </c>
      <c r="G288" t="s">
        <v>108</v>
      </c>
      <c r="H288" t="s">
        <v>25</v>
      </c>
      <c r="I288" t="s">
        <v>25</v>
      </c>
      <c r="J288" t="s">
        <v>138</v>
      </c>
      <c r="K288" t="s">
        <v>110</v>
      </c>
      <c r="L288" t="s">
        <v>140</v>
      </c>
      <c r="M288">
        <v>1987.4110310900001</v>
      </c>
      <c r="N288">
        <v>0</v>
      </c>
      <c r="O288" t="s">
        <v>104</v>
      </c>
      <c r="P288" s="56">
        <v>44269.860194062501</v>
      </c>
      <c r="Q288">
        <v>1806282</v>
      </c>
      <c r="R288" t="s">
        <v>115</v>
      </c>
      <c r="S288">
        <v>5.3574209899999996</v>
      </c>
      <c r="W288"/>
      <c r="X288">
        <v>0</v>
      </c>
      <c r="AC288" t="s">
        <v>108</v>
      </c>
      <c r="AD288" s="56">
        <v>43525</v>
      </c>
    </row>
    <row r="289" spans="1:30" x14ac:dyDescent="0.3">
      <c r="A289">
        <v>190982</v>
      </c>
      <c r="B289" t="s">
        <v>186</v>
      </c>
      <c r="C289">
        <v>2019</v>
      </c>
      <c r="D289">
        <v>3</v>
      </c>
      <c r="E289" t="s">
        <v>114</v>
      </c>
      <c r="F289" t="s">
        <v>108</v>
      </c>
      <c r="G289" t="s">
        <v>108</v>
      </c>
      <c r="H289" t="s">
        <v>25</v>
      </c>
      <c r="I289" t="s">
        <v>25</v>
      </c>
      <c r="J289" t="s">
        <v>138</v>
      </c>
      <c r="K289" t="s">
        <v>114</v>
      </c>
      <c r="L289" t="s">
        <v>140</v>
      </c>
      <c r="M289">
        <v>1048.18988866</v>
      </c>
      <c r="N289">
        <v>0</v>
      </c>
      <c r="O289" t="s">
        <v>104</v>
      </c>
      <c r="P289" s="56">
        <v>44269.860196643524</v>
      </c>
      <c r="Q289">
        <v>1806552</v>
      </c>
      <c r="R289" t="s">
        <v>115</v>
      </c>
      <c r="S289">
        <v>2.7342886700000002</v>
      </c>
      <c r="W289"/>
      <c r="X289">
        <v>0</v>
      </c>
      <c r="AC289" t="s">
        <v>108</v>
      </c>
      <c r="AD289" s="56">
        <v>43525</v>
      </c>
    </row>
    <row r="290" spans="1:30" x14ac:dyDescent="0.3">
      <c r="A290">
        <v>190955</v>
      </c>
      <c r="B290" t="s">
        <v>186</v>
      </c>
      <c r="C290">
        <v>2019</v>
      </c>
      <c r="D290">
        <v>3</v>
      </c>
      <c r="E290" t="s">
        <v>112</v>
      </c>
      <c r="F290" t="s">
        <v>108</v>
      </c>
      <c r="G290" t="s">
        <v>108</v>
      </c>
      <c r="H290" t="s">
        <v>25</v>
      </c>
      <c r="I290" t="s">
        <v>25</v>
      </c>
      <c r="J290" t="s">
        <v>138</v>
      </c>
      <c r="K290" t="s">
        <v>112</v>
      </c>
      <c r="L290" t="s">
        <v>140</v>
      </c>
      <c r="M290">
        <v>548.80313799999999</v>
      </c>
      <c r="N290">
        <v>0</v>
      </c>
      <c r="O290" t="s">
        <v>104</v>
      </c>
      <c r="P290" s="56">
        <v>44269.86019540509</v>
      </c>
      <c r="Q290">
        <v>1806419</v>
      </c>
      <c r="R290" t="s">
        <v>28</v>
      </c>
      <c r="S290">
        <v>0</v>
      </c>
      <c r="W290"/>
      <c r="X290">
        <v>0</v>
      </c>
      <c r="AC290" t="s">
        <v>108</v>
      </c>
      <c r="AD290" s="56">
        <v>43525</v>
      </c>
    </row>
    <row r="291" spans="1:30" x14ac:dyDescent="0.3">
      <c r="A291">
        <v>190928</v>
      </c>
      <c r="B291" t="s">
        <v>186</v>
      </c>
      <c r="C291">
        <v>2019</v>
      </c>
      <c r="D291">
        <v>3</v>
      </c>
      <c r="E291" t="s">
        <v>110</v>
      </c>
      <c r="F291" t="s">
        <v>108</v>
      </c>
      <c r="G291" t="s">
        <v>108</v>
      </c>
      <c r="H291" t="s">
        <v>25</v>
      </c>
      <c r="I291" t="s">
        <v>25</v>
      </c>
      <c r="J291" t="s">
        <v>138</v>
      </c>
      <c r="K291" t="s">
        <v>110</v>
      </c>
      <c r="L291" t="s">
        <v>140</v>
      </c>
      <c r="M291">
        <v>1987.4110310900001</v>
      </c>
      <c r="N291">
        <v>0</v>
      </c>
      <c r="O291" t="s">
        <v>104</v>
      </c>
      <c r="P291" s="56">
        <v>44269.860194062501</v>
      </c>
      <c r="Q291">
        <v>1806284</v>
      </c>
      <c r="R291" t="s">
        <v>28</v>
      </c>
      <c r="S291">
        <v>4.9788612700000003</v>
      </c>
      <c r="W291"/>
      <c r="X291">
        <v>0</v>
      </c>
      <c r="AC291" t="s">
        <v>108</v>
      </c>
      <c r="AD291" s="56">
        <v>43525</v>
      </c>
    </row>
    <row r="292" spans="1:30" x14ac:dyDescent="0.3">
      <c r="A292">
        <v>190982</v>
      </c>
      <c r="B292" t="s">
        <v>186</v>
      </c>
      <c r="C292">
        <v>2019</v>
      </c>
      <c r="D292">
        <v>3</v>
      </c>
      <c r="E292" t="s">
        <v>114</v>
      </c>
      <c r="F292" t="s">
        <v>108</v>
      </c>
      <c r="G292" t="s">
        <v>108</v>
      </c>
      <c r="H292" t="s">
        <v>25</v>
      </c>
      <c r="I292" t="s">
        <v>25</v>
      </c>
      <c r="J292" t="s">
        <v>138</v>
      </c>
      <c r="K292" t="s">
        <v>114</v>
      </c>
      <c r="L292" t="s">
        <v>140</v>
      </c>
      <c r="M292">
        <v>1048.18988866</v>
      </c>
      <c r="N292">
        <v>0</v>
      </c>
      <c r="O292" t="s">
        <v>104</v>
      </c>
      <c r="P292" s="56">
        <v>44269.860196643524</v>
      </c>
      <c r="Q292">
        <v>1806554</v>
      </c>
      <c r="R292" t="s">
        <v>28</v>
      </c>
      <c r="S292">
        <v>2.4606546200000001</v>
      </c>
      <c r="W292"/>
      <c r="X292">
        <v>0</v>
      </c>
      <c r="AC292" t="s">
        <v>108</v>
      </c>
      <c r="AD292" s="56">
        <v>43525</v>
      </c>
    </row>
    <row r="293" spans="1:30" x14ac:dyDescent="0.3">
      <c r="A293">
        <v>215938</v>
      </c>
      <c r="B293" t="s">
        <v>187</v>
      </c>
      <c r="C293">
        <v>2019</v>
      </c>
      <c r="D293">
        <v>4</v>
      </c>
      <c r="E293" t="s">
        <v>110</v>
      </c>
      <c r="F293" t="s">
        <v>108</v>
      </c>
      <c r="G293" t="s">
        <v>108</v>
      </c>
      <c r="H293" t="s">
        <v>25</v>
      </c>
      <c r="I293" t="s">
        <v>25</v>
      </c>
      <c r="J293" t="s">
        <v>138</v>
      </c>
      <c r="K293" t="s">
        <v>110</v>
      </c>
      <c r="L293" t="s">
        <v>140</v>
      </c>
      <c r="M293">
        <v>1388.5089304200001</v>
      </c>
      <c r="N293">
        <v>0</v>
      </c>
      <c r="O293" t="s">
        <v>104</v>
      </c>
      <c r="P293" s="56">
        <v>44269.862959456019</v>
      </c>
      <c r="Q293">
        <v>2049629</v>
      </c>
      <c r="R293" t="s">
        <v>26</v>
      </c>
      <c r="S293">
        <v>474.60440820000002</v>
      </c>
      <c r="W293"/>
      <c r="X293">
        <v>0</v>
      </c>
      <c r="AC293" t="s">
        <v>108</v>
      </c>
      <c r="AD293" s="56">
        <v>43556</v>
      </c>
    </row>
    <row r="294" spans="1:30" x14ac:dyDescent="0.3">
      <c r="A294">
        <v>215992</v>
      </c>
      <c r="B294" t="s">
        <v>187</v>
      </c>
      <c r="C294">
        <v>2019</v>
      </c>
      <c r="D294">
        <v>4</v>
      </c>
      <c r="E294" t="s">
        <v>114</v>
      </c>
      <c r="F294" t="s">
        <v>108</v>
      </c>
      <c r="G294" t="s">
        <v>108</v>
      </c>
      <c r="H294" t="s">
        <v>25</v>
      </c>
      <c r="I294" t="s">
        <v>25</v>
      </c>
      <c r="J294" t="s">
        <v>138</v>
      </c>
      <c r="K294" t="s">
        <v>114</v>
      </c>
      <c r="L294" t="s">
        <v>140</v>
      </c>
      <c r="M294">
        <v>807.94171081000002</v>
      </c>
      <c r="N294">
        <v>0</v>
      </c>
      <c r="O294" t="s">
        <v>104</v>
      </c>
      <c r="P294" s="56">
        <v>44269.862962037027</v>
      </c>
      <c r="Q294">
        <v>2049899</v>
      </c>
      <c r="R294" t="s">
        <v>26</v>
      </c>
      <c r="S294">
        <v>292.64809224999999</v>
      </c>
      <c r="W294"/>
      <c r="X294">
        <v>0</v>
      </c>
      <c r="AC294" t="s">
        <v>108</v>
      </c>
      <c r="AD294" s="56">
        <v>43556</v>
      </c>
    </row>
    <row r="295" spans="1:30" x14ac:dyDescent="0.3">
      <c r="A295">
        <v>215965</v>
      </c>
      <c r="B295" t="s">
        <v>187</v>
      </c>
      <c r="C295">
        <v>2019</v>
      </c>
      <c r="D295">
        <v>4</v>
      </c>
      <c r="E295" t="s">
        <v>112</v>
      </c>
      <c r="F295" t="s">
        <v>108</v>
      </c>
      <c r="G295" t="s">
        <v>108</v>
      </c>
      <c r="H295" t="s">
        <v>25</v>
      </c>
      <c r="I295" t="s">
        <v>25</v>
      </c>
      <c r="J295" t="s">
        <v>138</v>
      </c>
      <c r="K295" t="s">
        <v>112</v>
      </c>
      <c r="L295" t="s">
        <v>140</v>
      </c>
      <c r="M295">
        <v>278.00060418999999</v>
      </c>
      <c r="N295">
        <v>0</v>
      </c>
      <c r="O295" t="s">
        <v>104</v>
      </c>
      <c r="P295" s="56">
        <v>44269.862960763887</v>
      </c>
      <c r="Q295">
        <v>2049764</v>
      </c>
      <c r="R295" t="s">
        <v>26</v>
      </c>
      <c r="S295">
        <v>121.31206784</v>
      </c>
      <c r="W295"/>
      <c r="X295">
        <v>0</v>
      </c>
      <c r="AC295" t="s">
        <v>108</v>
      </c>
      <c r="AD295" s="56">
        <v>43556</v>
      </c>
    </row>
    <row r="296" spans="1:30" x14ac:dyDescent="0.3">
      <c r="A296">
        <v>215965</v>
      </c>
      <c r="B296" t="s">
        <v>187</v>
      </c>
      <c r="C296">
        <v>2019</v>
      </c>
      <c r="D296">
        <v>4</v>
      </c>
      <c r="E296" t="s">
        <v>112</v>
      </c>
      <c r="F296" t="s">
        <v>108</v>
      </c>
      <c r="G296" t="s">
        <v>108</v>
      </c>
      <c r="H296" t="s">
        <v>25</v>
      </c>
      <c r="I296" t="s">
        <v>25</v>
      </c>
      <c r="J296" t="s">
        <v>138</v>
      </c>
      <c r="K296" t="s">
        <v>112</v>
      </c>
      <c r="L296" t="s">
        <v>140</v>
      </c>
      <c r="M296">
        <v>278.00060418999999</v>
      </c>
      <c r="N296">
        <v>0</v>
      </c>
      <c r="O296" t="s">
        <v>104</v>
      </c>
      <c r="P296" s="56">
        <v>44269.862960763887</v>
      </c>
      <c r="Q296">
        <v>2049767</v>
      </c>
      <c r="R296" t="s">
        <v>105</v>
      </c>
      <c r="S296">
        <v>28.15175829</v>
      </c>
      <c r="W296"/>
      <c r="X296">
        <v>0</v>
      </c>
      <c r="AC296" t="s">
        <v>108</v>
      </c>
      <c r="AD296" s="56">
        <v>43556</v>
      </c>
    </row>
    <row r="297" spans="1:30" x14ac:dyDescent="0.3">
      <c r="A297">
        <v>215938</v>
      </c>
      <c r="B297" t="s">
        <v>187</v>
      </c>
      <c r="C297">
        <v>2019</v>
      </c>
      <c r="D297">
        <v>4</v>
      </c>
      <c r="E297" t="s">
        <v>110</v>
      </c>
      <c r="F297" t="s">
        <v>108</v>
      </c>
      <c r="G297" t="s">
        <v>108</v>
      </c>
      <c r="H297" t="s">
        <v>25</v>
      </c>
      <c r="I297" t="s">
        <v>25</v>
      </c>
      <c r="J297" t="s">
        <v>138</v>
      </c>
      <c r="K297" t="s">
        <v>110</v>
      </c>
      <c r="L297" t="s">
        <v>140</v>
      </c>
      <c r="M297">
        <v>1388.5089304200001</v>
      </c>
      <c r="N297">
        <v>0</v>
      </c>
      <c r="O297" t="s">
        <v>104</v>
      </c>
      <c r="P297" s="56">
        <v>44269.862959456019</v>
      </c>
      <c r="Q297">
        <v>2049632</v>
      </c>
      <c r="R297" t="s">
        <v>105</v>
      </c>
      <c r="S297">
        <v>165.3206022</v>
      </c>
      <c r="W297"/>
      <c r="X297">
        <v>0</v>
      </c>
      <c r="AC297" t="s">
        <v>108</v>
      </c>
      <c r="AD297" s="56">
        <v>43556</v>
      </c>
    </row>
    <row r="298" spans="1:30" x14ac:dyDescent="0.3">
      <c r="A298">
        <v>215992</v>
      </c>
      <c r="B298" t="s">
        <v>187</v>
      </c>
      <c r="C298">
        <v>2019</v>
      </c>
      <c r="D298">
        <v>4</v>
      </c>
      <c r="E298" t="s">
        <v>114</v>
      </c>
      <c r="F298" t="s">
        <v>108</v>
      </c>
      <c r="G298" t="s">
        <v>108</v>
      </c>
      <c r="H298" t="s">
        <v>25</v>
      </c>
      <c r="I298" t="s">
        <v>25</v>
      </c>
      <c r="J298" t="s">
        <v>138</v>
      </c>
      <c r="K298" t="s">
        <v>114</v>
      </c>
      <c r="L298" t="s">
        <v>140</v>
      </c>
      <c r="M298">
        <v>807.94171081000002</v>
      </c>
      <c r="N298">
        <v>0</v>
      </c>
      <c r="O298" t="s">
        <v>104</v>
      </c>
      <c r="P298" s="56">
        <v>44269.862962037027</v>
      </c>
      <c r="Q298">
        <v>2049902</v>
      </c>
      <c r="R298" t="s">
        <v>105</v>
      </c>
      <c r="S298">
        <v>81.984347279999994</v>
      </c>
      <c r="W298"/>
      <c r="X298">
        <v>0</v>
      </c>
      <c r="AC298" t="s">
        <v>108</v>
      </c>
      <c r="AD298" s="56">
        <v>43556</v>
      </c>
    </row>
    <row r="299" spans="1:30" x14ac:dyDescent="0.3">
      <c r="A299">
        <v>215938</v>
      </c>
      <c r="B299" t="s">
        <v>187</v>
      </c>
      <c r="C299">
        <v>2019</v>
      </c>
      <c r="D299">
        <v>4</v>
      </c>
      <c r="E299" t="s">
        <v>110</v>
      </c>
      <c r="F299" t="s">
        <v>108</v>
      </c>
      <c r="G299" t="s">
        <v>108</v>
      </c>
      <c r="H299" t="s">
        <v>25</v>
      </c>
      <c r="I299" t="s">
        <v>25</v>
      </c>
      <c r="J299" t="s">
        <v>138</v>
      </c>
      <c r="K299" t="s">
        <v>110</v>
      </c>
      <c r="L299" t="s">
        <v>140</v>
      </c>
      <c r="M299">
        <v>1388.5089304200001</v>
      </c>
      <c r="N299">
        <v>0</v>
      </c>
      <c r="O299" t="s">
        <v>104</v>
      </c>
      <c r="P299" s="56">
        <v>44269.862959456019</v>
      </c>
      <c r="Q299">
        <v>2049631</v>
      </c>
      <c r="R299" t="s">
        <v>27</v>
      </c>
      <c r="S299">
        <v>770.96328213000004</v>
      </c>
      <c r="W299"/>
      <c r="X299">
        <v>0</v>
      </c>
      <c r="AC299" t="s">
        <v>108</v>
      </c>
      <c r="AD299" s="56">
        <v>43556</v>
      </c>
    </row>
    <row r="300" spans="1:30" x14ac:dyDescent="0.3">
      <c r="A300">
        <v>215965</v>
      </c>
      <c r="B300" t="s">
        <v>187</v>
      </c>
      <c r="C300">
        <v>2019</v>
      </c>
      <c r="D300">
        <v>4</v>
      </c>
      <c r="E300" t="s">
        <v>112</v>
      </c>
      <c r="F300" t="s">
        <v>108</v>
      </c>
      <c r="G300" t="s">
        <v>108</v>
      </c>
      <c r="H300" t="s">
        <v>25</v>
      </c>
      <c r="I300" t="s">
        <v>25</v>
      </c>
      <c r="J300" t="s">
        <v>138</v>
      </c>
      <c r="K300" t="s">
        <v>112</v>
      </c>
      <c r="L300" t="s">
        <v>140</v>
      </c>
      <c r="M300">
        <v>278.00060418999999</v>
      </c>
      <c r="N300">
        <v>0</v>
      </c>
      <c r="O300" t="s">
        <v>104</v>
      </c>
      <c r="P300" s="56">
        <v>44269.862960763887</v>
      </c>
      <c r="Q300">
        <v>2049766</v>
      </c>
      <c r="R300" t="s">
        <v>27</v>
      </c>
      <c r="S300">
        <v>134.46331391000001</v>
      </c>
      <c r="W300"/>
      <c r="X300">
        <v>0</v>
      </c>
      <c r="AC300" t="s">
        <v>108</v>
      </c>
      <c r="AD300" s="56">
        <v>43556</v>
      </c>
    </row>
    <row r="301" spans="1:30" x14ac:dyDescent="0.3">
      <c r="A301">
        <v>215992</v>
      </c>
      <c r="B301" t="s">
        <v>187</v>
      </c>
      <c r="C301">
        <v>2019</v>
      </c>
      <c r="D301">
        <v>4</v>
      </c>
      <c r="E301" t="s">
        <v>114</v>
      </c>
      <c r="F301" t="s">
        <v>108</v>
      </c>
      <c r="G301" t="s">
        <v>108</v>
      </c>
      <c r="H301" t="s">
        <v>25</v>
      </c>
      <c r="I301" t="s">
        <v>25</v>
      </c>
      <c r="J301" t="s">
        <v>138</v>
      </c>
      <c r="K301" t="s">
        <v>114</v>
      </c>
      <c r="L301" t="s">
        <v>140</v>
      </c>
      <c r="M301">
        <v>807.94171081000002</v>
      </c>
      <c r="N301">
        <v>0</v>
      </c>
      <c r="O301" t="s">
        <v>104</v>
      </c>
      <c r="P301" s="56">
        <v>44269.862962037027</v>
      </c>
      <c r="Q301">
        <v>2049901</v>
      </c>
      <c r="R301" t="s">
        <v>27</v>
      </c>
      <c r="S301">
        <v>446.5290713</v>
      </c>
      <c r="W301"/>
      <c r="X301">
        <v>0</v>
      </c>
      <c r="AC301" t="s">
        <v>108</v>
      </c>
      <c r="AD301" s="56">
        <v>43556</v>
      </c>
    </row>
    <row r="302" spans="1:30" x14ac:dyDescent="0.3">
      <c r="A302">
        <v>215992</v>
      </c>
      <c r="B302" t="s">
        <v>187</v>
      </c>
      <c r="C302">
        <v>2019</v>
      </c>
      <c r="D302">
        <v>4</v>
      </c>
      <c r="E302" t="s">
        <v>114</v>
      </c>
      <c r="F302" t="s">
        <v>108</v>
      </c>
      <c r="G302" t="s">
        <v>108</v>
      </c>
      <c r="H302" t="s">
        <v>25</v>
      </c>
      <c r="I302" t="s">
        <v>25</v>
      </c>
      <c r="J302" t="s">
        <v>138</v>
      </c>
      <c r="K302" t="s">
        <v>114</v>
      </c>
      <c r="L302" t="s">
        <v>140</v>
      </c>
      <c r="M302">
        <v>807.94171081000002</v>
      </c>
      <c r="N302">
        <v>0</v>
      </c>
      <c r="O302" t="s">
        <v>104</v>
      </c>
      <c r="P302" s="56">
        <v>44269.862962037027</v>
      </c>
      <c r="Q302">
        <v>2049898</v>
      </c>
      <c r="R302" t="s">
        <v>115</v>
      </c>
      <c r="S302">
        <v>2.1075817400000001</v>
      </c>
      <c r="W302"/>
      <c r="X302">
        <v>0</v>
      </c>
      <c r="AC302" t="s">
        <v>108</v>
      </c>
      <c r="AD302" s="56">
        <v>43556</v>
      </c>
    </row>
    <row r="303" spans="1:30" x14ac:dyDescent="0.3">
      <c r="A303">
        <v>215965</v>
      </c>
      <c r="B303" t="s">
        <v>187</v>
      </c>
      <c r="C303">
        <v>2019</v>
      </c>
      <c r="D303">
        <v>4</v>
      </c>
      <c r="E303" t="s">
        <v>112</v>
      </c>
      <c r="F303" t="s">
        <v>108</v>
      </c>
      <c r="G303" t="s">
        <v>108</v>
      </c>
      <c r="H303" t="s">
        <v>25</v>
      </c>
      <c r="I303" t="s">
        <v>25</v>
      </c>
      <c r="J303" t="s">
        <v>138</v>
      </c>
      <c r="K303" t="s">
        <v>112</v>
      </c>
      <c r="L303" t="s">
        <v>140</v>
      </c>
      <c r="M303">
        <v>278.00060418999999</v>
      </c>
      <c r="N303">
        <v>0</v>
      </c>
      <c r="O303" t="s">
        <v>104</v>
      </c>
      <c r="P303" s="56">
        <v>44269.862960763887</v>
      </c>
      <c r="Q303">
        <v>2049763</v>
      </c>
      <c r="R303" t="s">
        <v>115</v>
      </c>
      <c r="S303">
        <v>0</v>
      </c>
      <c r="W303"/>
      <c r="X303">
        <v>0</v>
      </c>
      <c r="AC303" t="s">
        <v>108</v>
      </c>
      <c r="AD303" s="56">
        <v>43556</v>
      </c>
    </row>
    <row r="304" spans="1:30" x14ac:dyDescent="0.3">
      <c r="A304">
        <v>215938</v>
      </c>
      <c r="B304" t="s">
        <v>187</v>
      </c>
      <c r="C304">
        <v>2019</v>
      </c>
      <c r="D304">
        <v>4</v>
      </c>
      <c r="E304" t="s">
        <v>110</v>
      </c>
      <c r="F304" t="s">
        <v>108</v>
      </c>
      <c r="G304" t="s">
        <v>108</v>
      </c>
      <c r="H304" t="s">
        <v>25</v>
      </c>
      <c r="I304" t="s">
        <v>25</v>
      </c>
      <c r="J304" t="s">
        <v>138</v>
      </c>
      <c r="K304" t="s">
        <v>110</v>
      </c>
      <c r="L304" t="s">
        <v>140</v>
      </c>
      <c r="M304">
        <v>1388.5089304200001</v>
      </c>
      <c r="N304">
        <v>0</v>
      </c>
      <c r="O304" t="s">
        <v>104</v>
      </c>
      <c r="P304" s="56">
        <v>44269.862959456019</v>
      </c>
      <c r="Q304">
        <v>2049628</v>
      </c>
      <c r="R304" t="s">
        <v>115</v>
      </c>
      <c r="S304">
        <v>3.74297353</v>
      </c>
      <c r="W304"/>
      <c r="X304">
        <v>0</v>
      </c>
      <c r="AC304" t="s">
        <v>108</v>
      </c>
      <c r="AD304" s="56">
        <v>43556</v>
      </c>
    </row>
    <row r="305" spans="1:30" x14ac:dyDescent="0.3">
      <c r="A305">
        <v>215938</v>
      </c>
      <c r="B305" t="s">
        <v>187</v>
      </c>
      <c r="C305">
        <v>2019</v>
      </c>
      <c r="D305">
        <v>4</v>
      </c>
      <c r="E305" t="s">
        <v>110</v>
      </c>
      <c r="F305" t="s">
        <v>108</v>
      </c>
      <c r="G305" t="s">
        <v>108</v>
      </c>
      <c r="H305" t="s">
        <v>25</v>
      </c>
      <c r="I305" t="s">
        <v>25</v>
      </c>
      <c r="J305" t="s">
        <v>138</v>
      </c>
      <c r="K305" t="s">
        <v>110</v>
      </c>
      <c r="L305" t="s">
        <v>140</v>
      </c>
      <c r="M305">
        <v>1388.5089304200001</v>
      </c>
      <c r="N305">
        <v>0</v>
      </c>
      <c r="O305" t="s">
        <v>104</v>
      </c>
      <c r="P305" s="56">
        <v>44269.862959456019</v>
      </c>
      <c r="Q305">
        <v>2049630</v>
      </c>
      <c r="R305" t="s">
        <v>28</v>
      </c>
      <c r="S305">
        <v>3.4784919799999998</v>
      </c>
      <c r="W305"/>
      <c r="X305">
        <v>0</v>
      </c>
      <c r="AC305" t="s">
        <v>108</v>
      </c>
      <c r="AD305" s="56">
        <v>43556</v>
      </c>
    </row>
    <row r="306" spans="1:30" x14ac:dyDescent="0.3">
      <c r="A306">
        <v>215965</v>
      </c>
      <c r="B306" t="s">
        <v>187</v>
      </c>
      <c r="C306">
        <v>2019</v>
      </c>
      <c r="D306">
        <v>4</v>
      </c>
      <c r="E306" t="s">
        <v>112</v>
      </c>
      <c r="F306" t="s">
        <v>108</v>
      </c>
      <c r="G306" t="s">
        <v>108</v>
      </c>
      <c r="H306" t="s">
        <v>25</v>
      </c>
      <c r="I306" t="s">
        <v>25</v>
      </c>
      <c r="J306" t="s">
        <v>138</v>
      </c>
      <c r="K306" t="s">
        <v>112</v>
      </c>
      <c r="L306" t="s">
        <v>140</v>
      </c>
      <c r="M306">
        <v>278.00060418999999</v>
      </c>
      <c r="N306">
        <v>0</v>
      </c>
      <c r="O306" t="s">
        <v>104</v>
      </c>
      <c r="P306" s="56">
        <v>44269.862960763887</v>
      </c>
      <c r="Q306">
        <v>2049765</v>
      </c>
      <c r="R306" t="s">
        <v>28</v>
      </c>
      <c r="S306">
        <v>0</v>
      </c>
      <c r="W306"/>
      <c r="X306">
        <v>0</v>
      </c>
      <c r="AC306" t="s">
        <v>108</v>
      </c>
      <c r="AD306" s="56">
        <v>43556</v>
      </c>
    </row>
    <row r="307" spans="1:30" x14ac:dyDescent="0.3">
      <c r="A307">
        <v>215992</v>
      </c>
      <c r="B307" t="s">
        <v>187</v>
      </c>
      <c r="C307">
        <v>2019</v>
      </c>
      <c r="D307">
        <v>4</v>
      </c>
      <c r="E307" t="s">
        <v>114</v>
      </c>
      <c r="F307" t="s">
        <v>108</v>
      </c>
      <c r="G307" t="s">
        <v>108</v>
      </c>
      <c r="H307" t="s">
        <v>25</v>
      </c>
      <c r="I307" t="s">
        <v>25</v>
      </c>
      <c r="J307" t="s">
        <v>138</v>
      </c>
      <c r="K307" t="s">
        <v>114</v>
      </c>
      <c r="L307" t="s">
        <v>140</v>
      </c>
      <c r="M307">
        <v>807.94171081000002</v>
      </c>
      <c r="N307">
        <v>0</v>
      </c>
      <c r="O307" t="s">
        <v>104</v>
      </c>
      <c r="P307" s="56">
        <v>44269.862962037027</v>
      </c>
      <c r="Q307">
        <v>2049900</v>
      </c>
      <c r="R307" t="s">
        <v>28</v>
      </c>
      <c r="S307">
        <v>1.89666541</v>
      </c>
      <c r="W307"/>
      <c r="X307">
        <v>0</v>
      </c>
      <c r="AC307" t="s">
        <v>108</v>
      </c>
      <c r="AD307" s="56">
        <v>43556</v>
      </c>
    </row>
    <row r="308" spans="1:30" x14ac:dyDescent="0.3">
      <c r="A308">
        <v>229711</v>
      </c>
      <c r="B308" t="s">
        <v>189</v>
      </c>
      <c r="C308">
        <v>2019</v>
      </c>
      <c r="D308">
        <v>5</v>
      </c>
      <c r="E308" t="s">
        <v>114</v>
      </c>
      <c r="F308" t="s">
        <v>108</v>
      </c>
      <c r="G308" t="s">
        <v>108</v>
      </c>
      <c r="H308" t="s">
        <v>25</v>
      </c>
      <c r="I308" t="s">
        <v>25</v>
      </c>
      <c r="J308" t="s">
        <v>138</v>
      </c>
      <c r="K308" t="s">
        <v>114</v>
      </c>
      <c r="L308" t="s">
        <v>140</v>
      </c>
      <c r="M308">
        <v>761.62555524000004</v>
      </c>
      <c r="N308">
        <v>0</v>
      </c>
      <c r="O308" t="s">
        <v>104</v>
      </c>
      <c r="P308" s="56">
        <v>44269.864760335651</v>
      </c>
      <c r="Q308">
        <v>2179776</v>
      </c>
      <c r="R308" t="s">
        <v>26</v>
      </c>
      <c r="S308">
        <v>275.87171546000002</v>
      </c>
      <c r="W308"/>
      <c r="X308">
        <v>0</v>
      </c>
      <c r="AC308" t="s">
        <v>108</v>
      </c>
      <c r="AD308" s="56">
        <v>43586</v>
      </c>
    </row>
    <row r="309" spans="1:30" x14ac:dyDescent="0.3">
      <c r="A309">
        <v>229684</v>
      </c>
      <c r="B309" t="s">
        <v>189</v>
      </c>
      <c r="C309">
        <v>2019</v>
      </c>
      <c r="D309">
        <v>5</v>
      </c>
      <c r="E309" t="s">
        <v>112</v>
      </c>
      <c r="F309" t="s">
        <v>108</v>
      </c>
      <c r="G309" t="s">
        <v>108</v>
      </c>
      <c r="H309" t="s">
        <v>25</v>
      </c>
      <c r="I309" t="s">
        <v>25</v>
      </c>
      <c r="J309" t="s">
        <v>138</v>
      </c>
      <c r="K309" t="s">
        <v>112</v>
      </c>
      <c r="L309" t="s">
        <v>140</v>
      </c>
      <c r="M309">
        <v>306.35749342000003</v>
      </c>
      <c r="N309">
        <v>0</v>
      </c>
      <c r="O309" t="s">
        <v>104</v>
      </c>
      <c r="P309" s="56">
        <v>44269.864759108787</v>
      </c>
      <c r="Q309">
        <v>2179641</v>
      </c>
      <c r="R309" t="s">
        <v>26</v>
      </c>
      <c r="S309">
        <v>133.68625990999999</v>
      </c>
      <c r="W309"/>
      <c r="X309">
        <v>0</v>
      </c>
      <c r="AC309" t="s">
        <v>108</v>
      </c>
      <c r="AD309" s="56">
        <v>43586</v>
      </c>
    </row>
    <row r="310" spans="1:30" x14ac:dyDescent="0.3">
      <c r="A310">
        <v>229657</v>
      </c>
      <c r="B310" t="s">
        <v>189</v>
      </c>
      <c r="C310">
        <v>2019</v>
      </c>
      <c r="D310">
        <v>5</v>
      </c>
      <c r="E310" t="s">
        <v>110</v>
      </c>
      <c r="F310" t="s">
        <v>108</v>
      </c>
      <c r="G310" t="s">
        <v>108</v>
      </c>
      <c r="H310" t="s">
        <v>25</v>
      </c>
      <c r="I310" t="s">
        <v>25</v>
      </c>
      <c r="J310" t="s">
        <v>138</v>
      </c>
      <c r="K310" t="s">
        <v>110</v>
      </c>
      <c r="L310" t="s">
        <v>140</v>
      </c>
      <c r="M310">
        <v>1362.84439969</v>
      </c>
      <c r="N310">
        <v>0</v>
      </c>
      <c r="O310" t="s">
        <v>104</v>
      </c>
      <c r="P310" s="56">
        <v>44269.864757754629</v>
      </c>
      <c r="Q310">
        <v>2179506</v>
      </c>
      <c r="R310" t="s">
        <v>26</v>
      </c>
      <c r="S310">
        <v>465.83204876000002</v>
      </c>
      <c r="W310"/>
      <c r="X310">
        <v>0</v>
      </c>
      <c r="AC310" t="s">
        <v>108</v>
      </c>
      <c r="AD310" s="56">
        <v>43586</v>
      </c>
    </row>
    <row r="311" spans="1:30" x14ac:dyDescent="0.3">
      <c r="A311">
        <v>229684</v>
      </c>
      <c r="B311" t="s">
        <v>189</v>
      </c>
      <c r="C311">
        <v>2019</v>
      </c>
      <c r="D311">
        <v>5</v>
      </c>
      <c r="E311" t="s">
        <v>112</v>
      </c>
      <c r="F311" t="s">
        <v>108</v>
      </c>
      <c r="G311" t="s">
        <v>108</v>
      </c>
      <c r="H311" t="s">
        <v>25</v>
      </c>
      <c r="I311" t="s">
        <v>25</v>
      </c>
      <c r="J311" t="s">
        <v>138</v>
      </c>
      <c r="K311" t="s">
        <v>112</v>
      </c>
      <c r="L311" t="s">
        <v>140</v>
      </c>
      <c r="M311">
        <v>306.35749342000003</v>
      </c>
      <c r="N311">
        <v>0</v>
      </c>
      <c r="O311" t="s">
        <v>104</v>
      </c>
      <c r="P311" s="56">
        <v>44269.864759108787</v>
      </c>
      <c r="Q311">
        <v>2179644</v>
      </c>
      <c r="R311" t="s">
        <v>105</v>
      </c>
      <c r="S311">
        <v>31.02332144</v>
      </c>
      <c r="W311"/>
      <c r="X311">
        <v>0</v>
      </c>
      <c r="AC311" t="s">
        <v>108</v>
      </c>
      <c r="AD311" s="56">
        <v>43586</v>
      </c>
    </row>
    <row r="312" spans="1:30" x14ac:dyDescent="0.3">
      <c r="A312">
        <v>229711</v>
      </c>
      <c r="B312" t="s">
        <v>189</v>
      </c>
      <c r="C312">
        <v>2019</v>
      </c>
      <c r="D312">
        <v>5</v>
      </c>
      <c r="E312" t="s">
        <v>114</v>
      </c>
      <c r="F312" t="s">
        <v>108</v>
      </c>
      <c r="G312" t="s">
        <v>108</v>
      </c>
      <c r="H312" t="s">
        <v>25</v>
      </c>
      <c r="I312" t="s">
        <v>25</v>
      </c>
      <c r="J312" t="s">
        <v>138</v>
      </c>
      <c r="K312" t="s">
        <v>114</v>
      </c>
      <c r="L312" t="s">
        <v>140</v>
      </c>
      <c r="M312">
        <v>761.62555524000004</v>
      </c>
      <c r="N312">
        <v>0</v>
      </c>
      <c r="O312" t="s">
        <v>104</v>
      </c>
      <c r="P312" s="56">
        <v>44269.864760335651</v>
      </c>
      <c r="Q312">
        <v>2179779</v>
      </c>
      <c r="R312" t="s">
        <v>105</v>
      </c>
      <c r="S312">
        <v>77.284503549999997</v>
      </c>
      <c r="W312"/>
      <c r="X312">
        <v>0</v>
      </c>
      <c r="AC312" t="s">
        <v>108</v>
      </c>
      <c r="AD312" s="56">
        <v>43586</v>
      </c>
    </row>
    <row r="313" spans="1:30" x14ac:dyDescent="0.3">
      <c r="A313">
        <v>229657</v>
      </c>
      <c r="B313" t="s">
        <v>189</v>
      </c>
      <c r="C313">
        <v>2019</v>
      </c>
      <c r="D313">
        <v>5</v>
      </c>
      <c r="E313" t="s">
        <v>110</v>
      </c>
      <c r="F313" t="s">
        <v>108</v>
      </c>
      <c r="G313" t="s">
        <v>108</v>
      </c>
      <c r="H313" t="s">
        <v>25</v>
      </c>
      <c r="I313" t="s">
        <v>25</v>
      </c>
      <c r="J313" t="s">
        <v>138</v>
      </c>
      <c r="K313" t="s">
        <v>110</v>
      </c>
      <c r="L313" t="s">
        <v>140</v>
      </c>
      <c r="M313">
        <v>1362.84439969</v>
      </c>
      <c r="N313">
        <v>0</v>
      </c>
      <c r="O313" t="s">
        <v>104</v>
      </c>
      <c r="P313" s="56">
        <v>44269.864757754629</v>
      </c>
      <c r="Q313">
        <v>2179509</v>
      </c>
      <c r="R313" t="s">
        <v>105</v>
      </c>
      <c r="S313">
        <v>162.26489577000001</v>
      </c>
      <c r="W313"/>
      <c r="X313">
        <v>0</v>
      </c>
      <c r="AC313" t="s">
        <v>108</v>
      </c>
      <c r="AD313" s="56">
        <v>43586</v>
      </c>
    </row>
    <row r="314" spans="1:30" x14ac:dyDescent="0.3">
      <c r="A314">
        <v>229711</v>
      </c>
      <c r="B314" t="s">
        <v>189</v>
      </c>
      <c r="C314">
        <v>2019</v>
      </c>
      <c r="D314">
        <v>5</v>
      </c>
      <c r="E314" t="s">
        <v>114</v>
      </c>
      <c r="F314" t="s">
        <v>108</v>
      </c>
      <c r="G314" t="s">
        <v>108</v>
      </c>
      <c r="H314" t="s">
        <v>25</v>
      </c>
      <c r="I314" t="s">
        <v>25</v>
      </c>
      <c r="J314" t="s">
        <v>138</v>
      </c>
      <c r="K314" t="s">
        <v>114</v>
      </c>
      <c r="L314" t="s">
        <v>140</v>
      </c>
      <c r="M314">
        <v>761.62555524000004</v>
      </c>
      <c r="N314">
        <v>0</v>
      </c>
      <c r="O314" t="s">
        <v>104</v>
      </c>
      <c r="P314" s="56">
        <v>44269.864760335651</v>
      </c>
      <c r="Q314">
        <v>2179778</v>
      </c>
      <c r="R314" t="s">
        <v>27</v>
      </c>
      <c r="S314">
        <v>420.93129654000001</v>
      </c>
      <c r="W314"/>
      <c r="X314">
        <v>0</v>
      </c>
      <c r="AC314" t="s">
        <v>108</v>
      </c>
      <c r="AD314" s="56">
        <v>43586</v>
      </c>
    </row>
    <row r="315" spans="1:30" x14ac:dyDescent="0.3">
      <c r="A315">
        <v>229657</v>
      </c>
      <c r="B315" t="s">
        <v>189</v>
      </c>
      <c r="C315">
        <v>2019</v>
      </c>
      <c r="D315">
        <v>5</v>
      </c>
      <c r="E315" t="s">
        <v>110</v>
      </c>
      <c r="F315" t="s">
        <v>108</v>
      </c>
      <c r="G315" t="s">
        <v>108</v>
      </c>
      <c r="H315" t="s">
        <v>25</v>
      </c>
      <c r="I315" t="s">
        <v>25</v>
      </c>
      <c r="J315" t="s">
        <v>138</v>
      </c>
      <c r="K315" t="s">
        <v>110</v>
      </c>
      <c r="L315" t="s">
        <v>140</v>
      </c>
      <c r="M315">
        <v>1362.84439969</v>
      </c>
      <c r="N315">
        <v>0</v>
      </c>
      <c r="O315" t="s">
        <v>104</v>
      </c>
      <c r="P315" s="56">
        <v>44269.864757754629</v>
      </c>
      <c r="Q315">
        <v>2179508</v>
      </c>
      <c r="R315" t="s">
        <v>27</v>
      </c>
      <c r="S315">
        <v>756.71316791000004</v>
      </c>
      <c r="W315"/>
      <c r="X315">
        <v>0</v>
      </c>
      <c r="AC315" t="s">
        <v>108</v>
      </c>
      <c r="AD315" s="56">
        <v>43586</v>
      </c>
    </row>
    <row r="316" spans="1:30" x14ac:dyDescent="0.3">
      <c r="A316">
        <v>229684</v>
      </c>
      <c r="B316" t="s">
        <v>189</v>
      </c>
      <c r="C316">
        <v>2019</v>
      </c>
      <c r="D316">
        <v>5</v>
      </c>
      <c r="E316" t="s">
        <v>112</v>
      </c>
      <c r="F316" t="s">
        <v>108</v>
      </c>
      <c r="G316" t="s">
        <v>108</v>
      </c>
      <c r="H316" t="s">
        <v>25</v>
      </c>
      <c r="I316" t="s">
        <v>25</v>
      </c>
      <c r="J316" t="s">
        <v>138</v>
      </c>
      <c r="K316" t="s">
        <v>112</v>
      </c>
      <c r="L316" t="s">
        <v>140</v>
      </c>
      <c r="M316">
        <v>306.35749342000003</v>
      </c>
      <c r="N316">
        <v>0</v>
      </c>
      <c r="O316" t="s">
        <v>104</v>
      </c>
      <c r="P316" s="56">
        <v>44269.864759108787</v>
      </c>
      <c r="Q316">
        <v>2179643</v>
      </c>
      <c r="R316" t="s">
        <v>27</v>
      </c>
      <c r="S316">
        <v>148.17897223</v>
      </c>
      <c r="W316"/>
      <c r="X316">
        <v>0</v>
      </c>
      <c r="AC316" t="s">
        <v>108</v>
      </c>
      <c r="AD316" s="56">
        <v>43586</v>
      </c>
    </row>
    <row r="317" spans="1:30" x14ac:dyDescent="0.3">
      <c r="A317">
        <v>229684</v>
      </c>
      <c r="B317" t="s">
        <v>189</v>
      </c>
      <c r="C317">
        <v>2019</v>
      </c>
      <c r="D317">
        <v>5</v>
      </c>
      <c r="E317" t="s">
        <v>112</v>
      </c>
      <c r="F317" t="s">
        <v>108</v>
      </c>
      <c r="G317" t="s">
        <v>108</v>
      </c>
      <c r="H317" t="s">
        <v>25</v>
      </c>
      <c r="I317" t="s">
        <v>25</v>
      </c>
      <c r="J317" t="s">
        <v>138</v>
      </c>
      <c r="K317" t="s">
        <v>112</v>
      </c>
      <c r="L317" t="s">
        <v>140</v>
      </c>
      <c r="M317">
        <v>306.35749342000003</v>
      </c>
      <c r="N317">
        <v>0</v>
      </c>
      <c r="O317" t="s">
        <v>104</v>
      </c>
      <c r="P317" s="56">
        <v>44269.864759108787</v>
      </c>
      <c r="Q317">
        <v>2179640</v>
      </c>
      <c r="R317" t="s">
        <v>115</v>
      </c>
      <c r="S317">
        <v>0</v>
      </c>
      <c r="W317"/>
      <c r="X317">
        <v>0</v>
      </c>
      <c r="AC317" t="s">
        <v>108</v>
      </c>
      <c r="AD317" s="56">
        <v>43586</v>
      </c>
    </row>
    <row r="318" spans="1:30" x14ac:dyDescent="0.3">
      <c r="A318">
        <v>229657</v>
      </c>
      <c r="B318" t="s">
        <v>189</v>
      </c>
      <c r="C318">
        <v>2019</v>
      </c>
      <c r="D318">
        <v>5</v>
      </c>
      <c r="E318" t="s">
        <v>110</v>
      </c>
      <c r="F318" t="s">
        <v>108</v>
      </c>
      <c r="G318" t="s">
        <v>108</v>
      </c>
      <c r="H318" t="s">
        <v>25</v>
      </c>
      <c r="I318" t="s">
        <v>25</v>
      </c>
      <c r="J318" t="s">
        <v>138</v>
      </c>
      <c r="K318" t="s">
        <v>110</v>
      </c>
      <c r="L318" t="s">
        <v>140</v>
      </c>
      <c r="M318">
        <v>1362.84439969</v>
      </c>
      <c r="N318">
        <v>0</v>
      </c>
      <c r="O318" t="s">
        <v>104</v>
      </c>
      <c r="P318" s="56">
        <v>44269.864757754629</v>
      </c>
      <c r="Q318">
        <v>2179505</v>
      </c>
      <c r="R318" t="s">
        <v>115</v>
      </c>
      <c r="S318">
        <v>3.6737902099999999</v>
      </c>
      <c r="W318"/>
      <c r="X318">
        <v>0</v>
      </c>
      <c r="AC318" t="s">
        <v>108</v>
      </c>
      <c r="AD318" s="56">
        <v>43586</v>
      </c>
    </row>
    <row r="319" spans="1:30" x14ac:dyDescent="0.3">
      <c r="A319">
        <v>229711</v>
      </c>
      <c r="B319" t="s">
        <v>189</v>
      </c>
      <c r="C319">
        <v>2019</v>
      </c>
      <c r="D319">
        <v>5</v>
      </c>
      <c r="E319" t="s">
        <v>114</v>
      </c>
      <c r="F319" t="s">
        <v>108</v>
      </c>
      <c r="G319" t="s">
        <v>108</v>
      </c>
      <c r="H319" t="s">
        <v>25</v>
      </c>
      <c r="I319" t="s">
        <v>25</v>
      </c>
      <c r="J319" t="s">
        <v>138</v>
      </c>
      <c r="K319" t="s">
        <v>114</v>
      </c>
      <c r="L319" t="s">
        <v>140</v>
      </c>
      <c r="M319">
        <v>761.62555524000004</v>
      </c>
      <c r="N319">
        <v>0</v>
      </c>
      <c r="O319" t="s">
        <v>104</v>
      </c>
      <c r="P319" s="56">
        <v>44269.864760335651</v>
      </c>
      <c r="Q319">
        <v>2179775</v>
      </c>
      <c r="R319" t="s">
        <v>115</v>
      </c>
      <c r="S319">
        <v>1.9867622700000001</v>
      </c>
      <c r="W319"/>
      <c r="X319">
        <v>0</v>
      </c>
      <c r="AC319" t="s">
        <v>108</v>
      </c>
      <c r="AD319" s="56">
        <v>43586</v>
      </c>
    </row>
    <row r="320" spans="1:30" x14ac:dyDescent="0.3">
      <c r="A320">
        <v>229711</v>
      </c>
      <c r="B320" t="s">
        <v>189</v>
      </c>
      <c r="C320">
        <v>2019</v>
      </c>
      <c r="D320">
        <v>5</v>
      </c>
      <c r="E320" t="s">
        <v>114</v>
      </c>
      <c r="F320" t="s">
        <v>108</v>
      </c>
      <c r="G320" t="s">
        <v>108</v>
      </c>
      <c r="H320" t="s">
        <v>25</v>
      </c>
      <c r="I320" t="s">
        <v>25</v>
      </c>
      <c r="J320" t="s">
        <v>138</v>
      </c>
      <c r="K320" t="s">
        <v>114</v>
      </c>
      <c r="L320" t="s">
        <v>140</v>
      </c>
      <c r="M320">
        <v>761.62555524000004</v>
      </c>
      <c r="N320">
        <v>0</v>
      </c>
      <c r="O320" t="s">
        <v>104</v>
      </c>
      <c r="P320" s="56">
        <v>44269.864760335651</v>
      </c>
      <c r="Q320">
        <v>2179777</v>
      </c>
      <c r="R320" t="s">
        <v>28</v>
      </c>
      <c r="S320">
        <v>1.7879369599999999</v>
      </c>
      <c r="W320"/>
      <c r="X320">
        <v>0</v>
      </c>
      <c r="AC320" t="s">
        <v>108</v>
      </c>
      <c r="AD320" s="56">
        <v>43586</v>
      </c>
    </row>
    <row r="321" spans="1:30" x14ac:dyDescent="0.3">
      <c r="A321">
        <v>229684</v>
      </c>
      <c r="B321" t="s">
        <v>189</v>
      </c>
      <c r="C321">
        <v>2019</v>
      </c>
      <c r="D321">
        <v>5</v>
      </c>
      <c r="E321" t="s">
        <v>112</v>
      </c>
      <c r="F321" t="s">
        <v>108</v>
      </c>
      <c r="G321" t="s">
        <v>108</v>
      </c>
      <c r="H321" t="s">
        <v>25</v>
      </c>
      <c r="I321" t="s">
        <v>25</v>
      </c>
      <c r="J321" t="s">
        <v>138</v>
      </c>
      <c r="K321" t="s">
        <v>112</v>
      </c>
      <c r="L321" t="s">
        <v>140</v>
      </c>
      <c r="M321">
        <v>306.35749342000003</v>
      </c>
      <c r="N321">
        <v>0</v>
      </c>
      <c r="O321" t="s">
        <v>104</v>
      </c>
      <c r="P321" s="56">
        <v>44269.864759108787</v>
      </c>
      <c r="Q321">
        <v>2179642</v>
      </c>
      <c r="R321" t="s">
        <v>28</v>
      </c>
      <c r="S321">
        <v>0</v>
      </c>
      <c r="W321"/>
      <c r="X321">
        <v>0</v>
      </c>
      <c r="AC321" t="s">
        <v>108</v>
      </c>
      <c r="AD321" s="56">
        <v>43586</v>
      </c>
    </row>
    <row r="322" spans="1:30" x14ac:dyDescent="0.3">
      <c r="A322">
        <v>229657</v>
      </c>
      <c r="B322" t="s">
        <v>189</v>
      </c>
      <c r="C322">
        <v>2019</v>
      </c>
      <c r="D322">
        <v>5</v>
      </c>
      <c r="E322" t="s">
        <v>110</v>
      </c>
      <c r="F322" t="s">
        <v>108</v>
      </c>
      <c r="G322" t="s">
        <v>108</v>
      </c>
      <c r="H322" t="s">
        <v>25</v>
      </c>
      <c r="I322" t="s">
        <v>25</v>
      </c>
      <c r="J322" t="s">
        <v>138</v>
      </c>
      <c r="K322" t="s">
        <v>110</v>
      </c>
      <c r="L322" t="s">
        <v>140</v>
      </c>
      <c r="M322">
        <v>1362.84439969</v>
      </c>
      <c r="N322">
        <v>0</v>
      </c>
      <c r="O322" t="s">
        <v>104</v>
      </c>
      <c r="P322" s="56">
        <v>44269.864757754629</v>
      </c>
      <c r="Q322">
        <v>2179507</v>
      </c>
      <c r="R322" t="s">
        <v>28</v>
      </c>
      <c r="S322">
        <v>3.4141972100000002</v>
      </c>
      <c r="W322"/>
      <c r="X322">
        <v>0</v>
      </c>
      <c r="AC322" t="s">
        <v>108</v>
      </c>
      <c r="AD322" s="56">
        <v>43586</v>
      </c>
    </row>
    <row r="323" spans="1:30" x14ac:dyDescent="0.3">
      <c r="A323">
        <v>243438</v>
      </c>
      <c r="B323" t="s">
        <v>190</v>
      </c>
      <c r="C323">
        <v>2019</v>
      </c>
      <c r="D323">
        <v>6</v>
      </c>
      <c r="E323" t="s">
        <v>112</v>
      </c>
      <c r="F323" t="s">
        <v>108</v>
      </c>
      <c r="G323" t="s">
        <v>108</v>
      </c>
      <c r="H323" t="s">
        <v>25</v>
      </c>
      <c r="I323" t="s">
        <v>25</v>
      </c>
      <c r="J323" t="s">
        <v>138</v>
      </c>
      <c r="K323" t="s">
        <v>112</v>
      </c>
      <c r="L323" t="s">
        <v>140</v>
      </c>
      <c r="M323">
        <v>251.84571108</v>
      </c>
      <c r="N323">
        <v>0</v>
      </c>
      <c r="O323" t="s">
        <v>104</v>
      </c>
      <c r="P323" s="56">
        <v>44269.86638498844</v>
      </c>
      <c r="Q323">
        <v>2309635</v>
      </c>
      <c r="R323" t="s">
        <v>26</v>
      </c>
      <c r="S323">
        <v>109.8987683</v>
      </c>
      <c r="W323"/>
      <c r="X323">
        <v>0</v>
      </c>
      <c r="AC323" t="s">
        <v>108</v>
      </c>
      <c r="AD323" s="56">
        <v>43617</v>
      </c>
    </row>
    <row r="324" spans="1:30" x14ac:dyDescent="0.3">
      <c r="A324">
        <v>243411</v>
      </c>
      <c r="B324" t="s">
        <v>190</v>
      </c>
      <c r="C324">
        <v>2019</v>
      </c>
      <c r="D324">
        <v>6</v>
      </c>
      <c r="E324" t="s">
        <v>110</v>
      </c>
      <c r="F324" t="s">
        <v>108</v>
      </c>
      <c r="G324" t="s">
        <v>108</v>
      </c>
      <c r="H324" t="s">
        <v>25</v>
      </c>
      <c r="I324" t="s">
        <v>25</v>
      </c>
      <c r="J324" t="s">
        <v>138</v>
      </c>
      <c r="K324" t="s">
        <v>110</v>
      </c>
      <c r="L324" t="s">
        <v>140</v>
      </c>
      <c r="M324">
        <v>1258.64819612</v>
      </c>
      <c r="N324">
        <v>0</v>
      </c>
      <c r="O324" t="s">
        <v>104</v>
      </c>
      <c r="P324" s="56">
        <v>44269.866383564811</v>
      </c>
      <c r="Q324">
        <v>2309500</v>
      </c>
      <c r="R324" t="s">
        <v>26</v>
      </c>
      <c r="S324">
        <v>430.21688168999998</v>
      </c>
      <c r="W324"/>
      <c r="X324">
        <v>0</v>
      </c>
      <c r="AC324" t="s">
        <v>108</v>
      </c>
      <c r="AD324" s="56">
        <v>43617</v>
      </c>
    </row>
    <row r="325" spans="1:30" x14ac:dyDescent="0.3">
      <c r="A325">
        <v>243465</v>
      </c>
      <c r="B325" t="s">
        <v>190</v>
      </c>
      <c r="C325">
        <v>2019</v>
      </c>
      <c r="D325">
        <v>6</v>
      </c>
      <c r="E325" t="s">
        <v>114</v>
      </c>
      <c r="F325" t="s">
        <v>108</v>
      </c>
      <c r="G325" t="s">
        <v>108</v>
      </c>
      <c r="H325" t="s">
        <v>25</v>
      </c>
      <c r="I325" t="s">
        <v>25</v>
      </c>
      <c r="J325" t="s">
        <v>138</v>
      </c>
      <c r="K325" t="s">
        <v>114</v>
      </c>
      <c r="L325" t="s">
        <v>140</v>
      </c>
      <c r="M325">
        <v>676.21524277000003</v>
      </c>
      <c r="N325">
        <v>0</v>
      </c>
      <c r="O325" t="s">
        <v>104</v>
      </c>
      <c r="P325" s="56">
        <v>44269.866386307869</v>
      </c>
      <c r="Q325">
        <v>2309770</v>
      </c>
      <c r="R325" t="s">
        <v>26</v>
      </c>
      <c r="S325">
        <v>244.93487352</v>
      </c>
      <c r="W325"/>
      <c r="X325">
        <v>0</v>
      </c>
      <c r="AC325" t="s">
        <v>108</v>
      </c>
      <c r="AD325" s="56">
        <v>43617</v>
      </c>
    </row>
    <row r="326" spans="1:30" x14ac:dyDescent="0.3">
      <c r="A326">
        <v>243411</v>
      </c>
      <c r="B326" t="s">
        <v>190</v>
      </c>
      <c r="C326">
        <v>2019</v>
      </c>
      <c r="D326">
        <v>6</v>
      </c>
      <c r="E326" t="s">
        <v>110</v>
      </c>
      <c r="F326" t="s">
        <v>108</v>
      </c>
      <c r="G326" t="s">
        <v>108</v>
      </c>
      <c r="H326" t="s">
        <v>25</v>
      </c>
      <c r="I326" t="s">
        <v>25</v>
      </c>
      <c r="J326" t="s">
        <v>138</v>
      </c>
      <c r="K326" t="s">
        <v>110</v>
      </c>
      <c r="L326" t="s">
        <v>140</v>
      </c>
      <c r="M326">
        <v>1258.64819612</v>
      </c>
      <c r="N326">
        <v>0</v>
      </c>
      <c r="O326" t="s">
        <v>104</v>
      </c>
      <c r="P326" s="56">
        <v>44269.866383564811</v>
      </c>
      <c r="Q326">
        <v>2309503</v>
      </c>
      <c r="R326" t="s">
        <v>105</v>
      </c>
      <c r="S326">
        <v>149.85894089999999</v>
      </c>
      <c r="W326"/>
      <c r="X326">
        <v>0</v>
      </c>
      <c r="AC326" t="s">
        <v>108</v>
      </c>
      <c r="AD326" s="56">
        <v>43617</v>
      </c>
    </row>
    <row r="327" spans="1:30" x14ac:dyDescent="0.3">
      <c r="A327">
        <v>243438</v>
      </c>
      <c r="B327" t="s">
        <v>190</v>
      </c>
      <c r="C327">
        <v>2019</v>
      </c>
      <c r="D327">
        <v>6</v>
      </c>
      <c r="E327" t="s">
        <v>112</v>
      </c>
      <c r="F327" t="s">
        <v>108</v>
      </c>
      <c r="G327" t="s">
        <v>108</v>
      </c>
      <c r="H327" t="s">
        <v>25</v>
      </c>
      <c r="I327" t="s">
        <v>25</v>
      </c>
      <c r="J327" t="s">
        <v>138</v>
      </c>
      <c r="K327" t="s">
        <v>112</v>
      </c>
      <c r="L327" t="s">
        <v>140</v>
      </c>
      <c r="M327">
        <v>251.84571108</v>
      </c>
      <c r="N327">
        <v>0</v>
      </c>
      <c r="O327" t="s">
        <v>104</v>
      </c>
      <c r="P327" s="56">
        <v>44269.86638498844</v>
      </c>
      <c r="Q327">
        <v>2309638</v>
      </c>
      <c r="R327" t="s">
        <v>105</v>
      </c>
      <c r="S327">
        <v>25.503180489999998</v>
      </c>
      <c r="W327"/>
      <c r="X327">
        <v>0</v>
      </c>
      <c r="AC327" t="s">
        <v>108</v>
      </c>
      <c r="AD327" s="56">
        <v>43617</v>
      </c>
    </row>
    <row r="328" spans="1:30" x14ac:dyDescent="0.3">
      <c r="A328">
        <v>243465</v>
      </c>
      <c r="B328" t="s">
        <v>190</v>
      </c>
      <c r="C328">
        <v>2019</v>
      </c>
      <c r="D328">
        <v>6</v>
      </c>
      <c r="E328" t="s">
        <v>114</v>
      </c>
      <c r="F328" t="s">
        <v>108</v>
      </c>
      <c r="G328" t="s">
        <v>108</v>
      </c>
      <c r="H328" t="s">
        <v>25</v>
      </c>
      <c r="I328" t="s">
        <v>25</v>
      </c>
      <c r="J328" t="s">
        <v>138</v>
      </c>
      <c r="K328" t="s">
        <v>114</v>
      </c>
      <c r="L328" t="s">
        <v>140</v>
      </c>
      <c r="M328">
        <v>676.21524277000003</v>
      </c>
      <c r="N328">
        <v>0</v>
      </c>
      <c r="O328" t="s">
        <v>104</v>
      </c>
      <c r="P328" s="56">
        <v>44269.866386307869</v>
      </c>
      <c r="Q328">
        <v>2309773</v>
      </c>
      <c r="R328" t="s">
        <v>105</v>
      </c>
      <c r="S328">
        <v>68.617654659999999</v>
      </c>
      <c r="W328"/>
      <c r="X328">
        <v>0</v>
      </c>
      <c r="AC328" t="s">
        <v>108</v>
      </c>
      <c r="AD328" s="56">
        <v>43617</v>
      </c>
    </row>
    <row r="329" spans="1:30" x14ac:dyDescent="0.3">
      <c r="A329">
        <v>243411</v>
      </c>
      <c r="B329" t="s">
        <v>190</v>
      </c>
      <c r="C329">
        <v>2019</v>
      </c>
      <c r="D329">
        <v>6</v>
      </c>
      <c r="E329" t="s">
        <v>110</v>
      </c>
      <c r="F329" t="s">
        <v>108</v>
      </c>
      <c r="G329" t="s">
        <v>108</v>
      </c>
      <c r="H329" t="s">
        <v>25</v>
      </c>
      <c r="I329" t="s">
        <v>25</v>
      </c>
      <c r="J329" t="s">
        <v>138</v>
      </c>
      <c r="K329" t="s">
        <v>110</v>
      </c>
      <c r="L329" t="s">
        <v>140</v>
      </c>
      <c r="M329">
        <v>1258.64819612</v>
      </c>
      <c r="N329">
        <v>0</v>
      </c>
      <c r="O329" t="s">
        <v>104</v>
      </c>
      <c r="P329" s="56">
        <v>44269.866383564811</v>
      </c>
      <c r="Q329">
        <v>2309502</v>
      </c>
      <c r="R329" t="s">
        <v>27</v>
      </c>
      <c r="S329">
        <v>698.85869876000004</v>
      </c>
      <c r="W329"/>
      <c r="X329">
        <v>0</v>
      </c>
      <c r="AC329" t="s">
        <v>108</v>
      </c>
      <c r="AD329" s="56">
        <v>43617</v>
      </c>
    </row>
    <row r="330" spans="1:30" x14ac:dyDescent="0.3">
      <c r="A330">
        <v>243465</v>
      </c>
      <c r="B330" t="s">
        <v>190</v>
      </c>
      <c r="C330">
        <v>2019</v>
      </c>
      <c r="D330">
        <v>6</v>
      </c>
      <c r="E330" t="s">
        <v>114</v>
      </c>
      <c r="F330" t="s">
        <v>108</v>
      </c>
      <c r="G330" t="s">
        <v>108</v>
      </c>
      <c r="H330" t="s">
        <v>25</v>
      </c>
      <c r="I330" t="s">
        <v>25</v>
      </c>
      <c r="J330" t="s">
        <v>138</v>
      </c>
      <c r="K330" t="s">
        <v>114</v>
      </c>
      <c r="L330" t="s">
        <v>140</v>
      </c>
      <c r="M330">
        <v>676.21524277000003</v>
      </c>
      <c r="N330">
        <v>0</v>
      </c>
      <c r="O330" t="s">
        <v>104</v>
      </c>
      <c r="P330" s="56">
        <v>44269.866386307869</v>
      </c>
      <c r="Q330">
        <v>2309772</v>
      </c>
      <c r="R330" t="s">
        <v>27</v>
      </c>
      <c r="S330">
        <v>373.72716412</v>
      </c>
      <c r="W330"/>
      <c r="X330">
        <v>0</v>
      </c>
      <c r="AC330" t="s">
        <v>108</v>
      </c>
      <c r="AD330" s="56">
        <v>43617</v>
      </c>
    </row>
    <row r="331" spans="1:30" x14ac:dyDescent="0.3">
      <c r="A331">
        <v>243438</v>
      </c>
      <c r="B331" t="s">
        <v>190</v>
      </c>
      <c r="C331">
        <v>2019</v>
      </c>
      <c r="D331">
        <v>6</v>
      </c>
      <c r="E331" t="s">
        <v>112</v>
      </c>
      <c r="F331" t="s">
        <v>108</v>
      </c>
      <c r="G331" t="s">
        <v>108</v>
      </c>
      <c r="H331" t="s">
        <v>25</v>
      </c>
      <c r="I331" t="s">
        <v>25</v>
      </c>
      <c r="J331" t="s">
        <v>138</v>
      </c>
      <c r="K331" t="s">
        <v>112</v>
      </c>
      <c r="L331" t="s">
        <v>140</v>
      </c>
      <c r="M331">
        <v>251.84571108</v>
      </c>
      <c r="N331">
        <v>0</v>
      </c>
      <c r="O331" t="s">
        <v>104</v>
      </c>
      <c r="P331" s="56">
        <v>44269.86638498844</v>
      </c>
      <c r="Q331">
        <v>2309637</v>
      </c>
      <c r="R331" t="s">
        <v>27</v>
      </c>
      <c r="S331">
        <v>121.81271694</v>
      </c>
      <c r="W331"/>
      <c r="X331">
        <v>0</v>
      </c>
      <c r="AC331" t="s">
        <v>108</v>
      </c>
      <c r="AD331" s="56">
        <v>43617</v>
      </c>
    </row>
    <row r="332" spans="1:30" x14ac:dyDescent="0.3">
      <c r="A332">
        <v>243411</v>
      </c>
      <c r="B332" t="s">
        <v>190</v>
      </c>
      <c r="C332">
        <v>2019</v>
      </c>
      <c r="D332">
        <v>6</v>
      </c>
      <c r="E332" t="s">
        <v>110</v>
      </c>
      <c r="F332" t="s">
        <v>108</v>
      </c>
      <c r="G332" t="s">
        <v>108</v>
      </c>
      <c r="H332" t="s">
        <v>25</v>
      </c>
      <c r="I332" t="s">
        <v>25</v>
      </c>
      <c r="J332" t="s">
        <v>138</v>
      </c>
      <c r="K332" t="s">
        <v>110</v>
      </c>
      <c r="L332" t="s">
        <v>140</v>
      </c>
      <c r="M332">
        <v>1258.64819612</v>
      </c>
      <c r="N332">
        <v>0</v>
      </c>
      <c r="O332" t="s">
        <v>104</v>
      </c>
      <c r="P332" s="56">
        <v>44269.866383564811</v>
      </c>
      <c r="Q332">
        <v>2309499</v>
      </c>
      <c r="R332" t="s">
        <v>115</v>
      </c>
      <c r="S332">
        <v>3.3929107599999999</v>
      </c>
      <c r="W332"/>
      <c r="X332">
        <v>0</v>
      </c>
      <c r="AC332" t="s">
        <v>108</v>
      </c>
      <c r="AD332" s="56">
        <v>43617</v>
      </c>
    </row>
    <row r="333" spans="1:30" x14ac:dyDescent="0.3">
      <c r="A333">
        <v>243465</v>
      </c>
      <c r="B333" t="s">
        <v>190</v>
      </c>
      <c r="C333">
        <v>2019</v>
      </c>
      <c r="D333">
        <v>6</v>
      </c>
      <c r="E333" t="s">
        <v>114</v>
      </c>
      <c r="F333" t="s">
        <v>108</v>
      </c>
      <c r="G333" t="s">
        <v>108</v>
      </c>
      <c r="H333" t="s">
        <v>25</v>
      </c>
      <c r="I333" t="s">
        <v>25</v>
      </c>
      <c r="J333" t="s">
        <v>138</v>
      </c>
      <c r="K333" t="s">
        <v>114</v>
      </c>
      <c r="L333" t="s">
        <v>140</v>
      </c>
      <c r="M333">
        <v>676.21524277000003</v>
      </c>
      <c r="N333">
        <v>0</v>
      </c>
      <c r="O333" t="s">
        <v>104</v>
      </c>
      <c r="P333" s="56">
        <v>44269.866386307869</v>
      </c>
      <c r="Q333">
        <v>2309769</v>
      </c>
      <c r="R333" t="s">
        <v>115</v>
      </c>
      <c r="S333">
        <v>1.76396252</v>
      </c>
      <c r="W333"/>
      <c r="X333">
        <v>0</v>
      </c>
      <c r="AC333" t="s">
        <v>108</v>
      </c>
      <c r="AD333" s="56">
        <v>43617</v>
      </c>
    </row>
    <row r="334" spans="1:30" x14ac:dyDescent="0.3">
      <c r="A334">
        <v>243438</v>
      </c>
      <c r="B334" t="s">
        <v>190</v>
      </c>
      <c r="C334">
        <v>2019</v>
      </c>
      <c r="D334">
        <v>6</v>
      </c>
      <c r="E334" t="s">
        <v>112</v>
      </c>
      <c r="F334" t="s">
        <v>108</v>
      </c>
      <c r="G334" t="s">
        <v>108</v>
      </c>
      <c r="H334" t="s">
        <v>25</v>
      </c>
      <c r="I334" t="s">
        <v>25</v>
      </c>
      <c r="J334" t="s">
        <v>138</v>
      </c>
      <c r="K334" t="s">
        <v>112</v>
      </c>
      <c r="L334" t="s">
        <v>140</v>
      </c>
      <c r="M334">
        <v>251.84571108</v>
      </c>
      <c r="N334">
        <v>0</v>
      </c>
      <c r="O334" t="s">
        <v>104</v>
      </c>
      <c r="P334" s="56">
        <v>44269.86638498844</v>
      </c>
      <c r="Q334">
        <v>2309634</v>
      </c>
      <c r="R334" t="s">
        <v>115</v>
      </c>
      <c r="S334">
        <v>0</v>
      </c>
      <c r="W334"/>
      <c r="X334">
        <v>0</v>
      </c>
      <c r="AC334" t="s">
        <v>108</v>
      </c>
      <c r="AD334" s="56">
        <v>43617</v>
      </c>
    </row>
    <row r="335" spans="1:30" x14ac:dyDescent="0.3">
      <c r="A335">
        <v>243411</v>
      </c>
      <c r="B335" t="s">
        <v>190</v>
      </c>
      <c r="C335">
        <v>2019</v>
      </c>
      <c r="D335">
        <v>6</v>
      </c>
      <c r="E335" t="s">
        <v>110</v>
      </c>
      <c r="F335" t="s">
        <v>108</v>
      </c>
      <c r="G335" t="s">
        <v>108</v>
      </c>
      <c r="H335" t="s">
        <v>25</v>
      </c>
      <c r="I335" t="s">
        <v>25</v>
      </c>
      <c r="J335" t="s">
        <v>138</v>
      </c>
      <c r="K335" t="s">
        <v>110</v>
      </c>
      <c r="L335" t="s">
        <v>140</v>
      </c>
      <c r="M335">
        <v>1258.64819612</v>
      </c>
      <c r="N335">
        <v>0</v>
      </c>
      <c r="O335" t="s">
        <v>104</v>
      </c>
      <c r="P335" s="56">
        <v>44269.866383564811</v>
      </c>
      <c r="Q335">
        <v>2309501</v>
      </c>
      <c r="R335" t="s">
        <v>28</v>
      </c>
      <c r="S335">
        <v>3.15316492</v>
      </c>
      <c r="W335"/>
      <c r="X335">
        <v>0</v>
      </c>
      <c r="AC335" t="s">
        <v>108</v>
      </c>
      <c r="AD335" s="56">
        <v>43617</v>
      </c>
    </row>
    <row r="336" spans="1:30" x14ac:dyDescent="0.3">
      <c r="A336">
        <v>243438</v>
      </c>
      <c r="B336" t="s">
        <v>190</v>
      </c>
      <c r="C336">
        <v>2019</v>
      </c>
      <c r="D336">
        <v>6</v>
      </c>
      <c r="E336" t="s">
        <v>112</v>
      </c>
      <c r="F336" t="s">
        <v>108</v>
      </c>
      <c r="G336" t="s">
        <v>108</v>
      </c>
      <c r="H336" t="s">
        <v>25</v>
      </c>
      <c r="I336" t="s">
        <v>25</v>
      </c>
      <c r="J336" t="s">
        <v>138</v>
      </c>
      <c r="K336" t="s">
        <v>112</v>
      </c>
      <c r="L336" t="s">
        <v>140</v>
      </c>
      <c r="M336">
        <v>251.84571108</v>
      </c>
      <c r="N336">
        <v>0</v>
      </c>
      <c r="O336" t="s">
        <v>104</v>
      </c>
      <c r="P336" s="56">
        <v>44269.86638498844</v>
      </c>
      <c r="Q336">
        <v>2309636</v>
      </c>
      <c r="R336" t="s">
        <v>28</v>
      </c>
      <c r="S336">
        <v>0</v>
      </c>
      <c r="W336"/>
      <c r="X336">
        <v>0</v>
      </c>
      <c r="AC336" t="s">
        <v>108</v>
      </c>
      <c r="AD336" s="56">
        <v>43617</v>
      </c>
    </row>
    <row r="337" spans="1:30" x14ac:dyDescent="0.3">
      <c r="A337">
        <v>243465</v>
      </c>
      <c r="B337" t="s">
        <v>190</v>
      </c>
      <c r="C337">
        <v>2019</v>
      </c>
      <c r="D337">
        <v>6</v>
      </c>
      <c r="E337" t="s">
        <v>114</v>
      </c>
      <c r="F337" t="s">
        <v>108</v>
      </c>
      <c r="G337" t="s">
        <v>108</v>
      </c>
      <c r="H337" t="s">
        <v>25</v>
      </c>
      <c r="I337" t="s">
        <v>25</v>
      </c>
      <c r="J337" t="s">
        <v>138</v>
      </c>
      <c r="K337" t="s">
        <v>114</v>
      </c>
      <c r="L337" t="s">
        <v>140</v>
      </c>
      <c r="M337">
        <v>676.21524277000003</v>
      </c>
      <c r="N337">
        <v>0</v>
      </c>
      <c r="O337" t="s">
        <v>104</v>
      </c>
      <c r="P337" s="56">
        <v>44269.866386307869</v>
      </c>
      <c r="Q337">
        <v>2309771</v>
      </c>
      <c r="R337" t="s">
        <v>28</v>
      </c>
      <c r="S337">
        <v>1.5874339</v>
      </c>
      <c r="W337"/>
      <c r="X337">
        <v>0</v>
      </c>
      <c r="AC337" t="s">
        <v>108</v>
      </c>
      <c r="AD337" s="56">
        <v>43617</v>
      </c>
    </row>
    <row r="338" spans="1:30" x14ac:dyDescent="0.3">
      <c r="A338">
        <v>257220</v>
      </c>
      <c r="B338" t="s">
        <v>183</v>
      </c>
      <c r="C338">
        <v>2019</v>
      </c>
      <c r="D338">
        <v>7</v>
      </c>
      <c r="E338" t="s">
        <v>114</v>
      </c>
      <c r="F338" t="s">
        <v>108</v>
      </c>
      <c r="G338" t="s">
        <v>108</v>
      </c>
      <c r="H338" t="s">
        <v>25</v>
      </c>
      <c r="I338" t="s">
        <v>25</v>
      </c>
      <c r="J338" t="s">
        <v>138</v>
      </c>
      <c r="K338" t="s">
        <v>114</v>
      </c>
      <c r="L338" t="s">
        <v>140</v>
      </c>
      <c r="M338">
        <v>665.56227894000006</v>
      </c>
      <c r="N338">
        <v>0</v>
      </c>
      <c r="O338" t="s">
        <v>104</v>
      </c>
      <c r="P338" s="56">
        <v>44269.868006446763</v>
      </c>
      <c r="Q338">
        <v>2439798</v>
      </c>
      <c r="R338" t="s">
        <v>26</v>
      </c>
      <c r="S338">
        <v>241.07621700999999</v>
      </c>
      <c r="W338"/>
      <c r="X338">
        <v>0</v>
      </c>
      <c r="AC338" t="s">
        <v>108</v>
      </c>
      <c r="AD338" s="56">
        <v>43647</v>
      </c>
    </row>
    <row r="339" spans="1:30" x14ac:dyDescent="0.3">
      <c r="A339">
        <v>257193</v>
      </c>
      <c r="B339" t="s">
        <v>183</v>
      </c>
      <c r="C339">
        <v>2019</v>
      </c>
      <c r="D339">
        <v>7</v>
      </c>
      <c r="E339" t="s">
        <v>112</v>
      </c>
      <c r="F339" t="s">
        <v>108</v>
      </c>
      <c r="G339" t="s">
        <v>108</v>
      </c>
      <c r="H339" t="s">
        <v>25</v>
      </c>
      <c r="I339" t="s">
        <v>25</v>
      </c>
      <c r="J339" t="s">
        <v>138</v>
      </c>
      <c r="K339" t="s">
        <v>112</v>
      </c>
      <c r="L339" t="s">
        <v>140</v>
      </c>
      <c r="M339">
        <v>259.70617061000002</v>
      </c>
      <c r="N339">
        <v>0</v>
      </c>
      <c r="O339" t="s">
        <v>104</v>
      </c>
      <c r="P339" s="56">
        <v>44269.868005127311</v>
      </c>
      <c r="Q339">
        <v>2439663</v>
      </c>
      <c r="R339" t="s">
        <v>26</v>
      </c>
      <c r="S339">
        <v>113.32886372999999</v>
      </c>
      <c r="W339"/>
      <c r="X339">
        <v>0</v>
      </c>
      <c r="AC339" t="s">
        <v>108</v>
      </c>
      <c r="AD339" s="56">
        <v>43647</v>
      </c>
    </row>
    <row r="340" spans="1:30" x14ac:dyDescent="0.3">
      <c r="A340">
        <v>257166</v>
      </c>
      <c r="B340" t="s">
        <v>183</v>
      </c>
      <c r="C340">
        <v>2019</v>
      </c>
      <c r="D340">
        <v>7</v>
      </c>
      <c r="E340" t="s">
        <v>110</v>
      </c>
      <c r="F340" t="s">
        <v>108</v>
      </c>
      <c r="G340" t="s">
        <v>108</v>
      </c>
      <c r="H340" t="s">
        <v>25</v>
      </c>
      <c r="I340" t="s">
        <v>25</v>
      </c>
      <c r="J340" t="s">
        <v>138</v>
      </c>
      <c r="K340" t="s">
        <v>110</v>
      </c>
      <c r="L340" t="s">
        <v>140</v>
      </c>
      <c r="M340">
        <v>1240.59596756</v>
      </c>
      <c r="N340">
        <v>0</v>
      </c>
      <c r="O340" t="s">
        <v>104</v>
      </c>
      <c r="P340" s="56">
        <v>44269.868003854157</v>
      </c>
      <c r="Q340">
        <v>2439528</v>
      </c>
      <c r="R340" t="s">
        <v>26</v>
      </c>
      <c r="S340">
        <v>424.04647323</v>
      </c>
      <c r="W340"/>
      <c r="X340">
        <v>0</v>
      </c>
      <c r="AC340" t="s">
        <v>108</v>
      </c>
      <c r="AD340" s="56">
        <v>43647</v>
      </c>
    </row>
    <row r="341" spans="1:30" x14ac:dyDescent="0.3">
      <c r="A341">
        <v>257220</v>
      </c>
      <c r="B341" t="s">
        <v>183</v>
      </c>
      <c r="C341">
        <v>2019</v>
      </c>
      <c r="D341">
        <v>7</v>
      </c>
      <c r="E341" t="s">
        <v>114</v>
      </c>
      <c r="F341" t="s">
        <v>108</v>
      </c>
      <c r="G341" t="s">
        <v>108</v>
      </c>
      <c r="H341" t="s">
        <v>25</v>
      </c>
      <c r="I341" t="s">
        <v>25</v>
      </c>
      <c r="J341" t="s">
        <v>138</v>
      </c>
      <c r="K341" t="s">
        <v>114</v>
      </c>
      <c r="L341" t="s">
        <v>140</v>
      </c>
      <c r="M341">
        <v>665.56227894000006</v>
      </c>
      <c r="N341">
        <v>0</v>
      </c>
      <c r="O341" t="s">
        <v>104</v>
      </c>
      <c r="P341" s="56">
        <v>44269.868006446763</v>
      </c>
      <c r="Q341">
        <v>2439801</v>
      </c>
      <c r="R341" t="s">
        <v>105</v>
      </c>
      <c r="S341">
        <v>67.536665429999999</v>
      </c>
      <c r="W341"/>
      <c r="X341">
        <v>0</v>
      </c>
      <c r="AC341" t="s">
        <v>108</v>
      </c>
      <c r="AD341" s="56">
        <v>43647</v>
      </c>
    </row>
    <row r="342" spans="1:30" x14ac:dyDescent="0.3">
      <c r="A342">
        <v>257193</v>
      </c>
      <c r="B342" t="s">
        <v>183</v>
      </c>
      <c r="C342">
        <v>2019</v>
      </c>
      <c r="D342">
        <v>7</v>
      </c>
      <c r="E342" t="s">
        <v>112</v>
      </c>
      <c r="F342" t="s">
        <v>108</v>
      </c>
      <c r="G342" t="s">
        <v>108</v>
      </c>
      <c r="H342" t="s">
        <v>25</v>
      </c>
      <c r="I342" t="s">
        <v>25</v>
      </c>
      <c r="J342" t="s">
        <v>138</v>
      </c>
      <c r="K342" t="s">
        <v>112</v>
      </c>
      <c r="L342" t="s">
        <v>140</v>
      </c>
      <c r="M342">
        <v>259.70617061000002</v>
      </c>
      <c r="N342">
        <v>0</v>
      </c>
      <c r="O342" t="s">
        <v>104</v>
      </c>
      <c r="P342" s="56">
        <v>44269.868005127311</v>
      </c>
      <c r="Q342">
        <v>2439666</v>
      </c>
      <c r="R342" t="s">
        <v>105</v>
      </c>
      <c r="S342">
        <v>26.29917069</v>
      </c>
      <c r="W342"/>
      <c r="X342">
        <v>0</v>
      </c>
      <c r="AC342" t="s">
        <v>108</v>
      </c>
      <c r="AD342" s="56">
        <v>43647</v>
      </c>
    </row>
    <row r="343" spans="1:30" x14ac:dyDescent="0.3">
      <c r="A343">
        <v>257166</v>
      </c>
      <c r="B343" t="s">
        <v>183</v>
      </c>
      <c r="C343">
        <v>2019</v>
      </c>
      <c r="D343">
        <v>7</v>
      </c>
      <c r="E343" t="s">
        <v>110</v>
      </c>
      <c r="F343" t="s">
        <v>108</v>
      </c>
      <c r="G343" t="s">
        <v>108</v>
      </c>
      <c r="H343" t="s">
        <v>25</v>
      </c>
      <c r="I343" t="s">
        <v>25</v>
      </c>
      <c r="J343" t="s">
        <v>138</v>
      </c>
      <c r="K343" t="s">
        <v>110</v>
      </c>
      <c r="L343" t="s">
        <v>140</v>
      </c>
      <c r="M343">
        <v>1240.59596756</v>
      </c>
      <c r="N343">
        <v>0</v>
      </c>
      <c r="O343" t="s">
        <v>104</v>
      </c>
      <c r="P343" s="56">
        <v>44269.868003854157</v>
      </c>
      <c r="Q343">
        <v>2439531</v>
      </c>
      <c r="R343" t="s">
        <v>105</v>
      </c>
      <c r="S343">
        <v>147.70958109</v>
      </c>
      <c r="W343"/>
      <c r="X343">
        <v>0</v>
      </c>
      <c r="AC343" t="s">
        <v>108</v>
      </c>
      <c r="AD343" s="56">
        <v>43647</v>
      </c>
    </row>
    <row r="344" spans="1:30" x14ac:dyDescent="0.3">
      <c r="A344">
        <v>257166</v>
      </c>
      <c r="B344" t="s">
        <v>183</v>
      </c>
      <c r="C344">
        <v>2019</v>
      </c>
      <c r="D344">
        <v>7</v>
      </c>
      <c r="E344" t="s">
        <v>110</v>
      </c>
      <c r="F344" t="s">
        <v>108</v>
      </c>
      <c r="G344" t="s">
        <v>108</v>
      </c>
      <c r="H344" t="s">
        <v>25</v>
      </c>
      <c r="I344" t="s">
        <v>25</v>
      </c>
      <c r="J344" t="s">
        <v>138</v>
      </c>
      <c r="K344" t="s">
        <v>110</v>
      </c>
      <c r="L344" t="s">
        <v>140</v>
      </c>
      <c r="M344">
        <v>1240.59596756</v>
      </c>
      <c r="N344">
        <v>0</v>
      </c>
      <c r="O344" t="s">
        <v>104</v>
      </c>
      <c r="P344" s="56">
        <v>44269.868003854157</v>
      </c>
      <c r="Q344">
        <v>2439530</v>
      </c>
      <c r="R344" t="s">
        <v>27</v>
      </c>
      <c r="S344">
        <v>688.83528077000005</v>
      </c>
      <c r="W344"/>
      <c r="X344">
        <v>0</v>
      </c>
      <c r="AC344" t="s">
        <v>108</v>
      </c>
      <c r="AD344" s="56">
        <v>43647</v>
      </c>
    </row>
    <row r="345" spans="1:30" x14ac:dyDescent="0.3">
      <c r="A345">
        <v>257193</v>
      </c>
      <c r="B345" t="s">
        <v>183</v>
      </c>
      <c r="C345">
        <v>2019</v>
      </c>
      <c r="D345">
        <v>7</v>
      </c>
      <c r="E345" t="s">
        <v>112</v>
      </c>
      <c r="F345" t="s">
        <v>108</v>
      </c>
      <c r="G345" t="s">
        <v>108</v>
      </c>
      <c r="H345" t="s">
        <v>25</v>
      </c>
      <c r="I345" t="s">
        <v>25</v>
      </c>
      <c r="J345" t="s">
        <v>138</v>
      </c>
      <c r="K345" t="s">
        <v>112</v>
      </c>
      <c r="L345" t="s">
        <v>140</v>
      </c>
      <c r="M345">
        <v>259.70617061000002</v>
      </c>
      <c r="N345">
        <v>0</v>
      </c>
      <c r="O345" t="s">
        <v>104</v>
      </c>
      <c r="P345" s="56">
        <v>44269.868005127311</v>
      </c>
      <c r="Q345">
        <v>2439665</v>
      </c>
      <c r="R345" t="s">
        <v>27</v>
      </c>
      <c r="S345">
        <v>125.61466348</v>
      </c>
      <c r="W345"/>
      <c r="X345">
        <v>0</v>
      </c>
      <c r="AC345" t="s">
        <v>108</v>
      </c>
      <c r="AD345" s="56">
        <v>43647</v>
      </c>
    </row>
    <row r="346" spans="1:30" x14ac:dyDescent="0.3">
      <c r="A346">
        <v>257220</v>
      </c>
      <c r="B346" t="s">
        <v>183</v>
      </c>
      <c r="C346">
        <v>2019</v>
      </c>
      <c r="D346">
        <v>7</v>
      </c>
      <c r="E346" t="s">
        <v>114</v>
      </c>
      <c r="F346" t="s">
        <v>108</v>
      </c>
      <c r="G346" t="s">
        <v>108</v>
      </c>
      <c r="H346" t="s">
        <v>25</v>
      </c>
      <c r="I346" t="s">
        <v>25</v>
      </c>
      <c r="J346" t="s">
        <v>138</v>
      </c>
      <c r="K346" t="s">
        <v>114</v>
      </c>
      <c r="L346" t="s">
        <v>140</v>
      </c>
      <c r="M346">
        <v>665.56227894000006</v>
      </c>
      <c r="N346">
        <v>0</v>
      </c>
      <c r="O346" t="s">
        <v>104</v>
      </c>
      <c r="P346" s="56">
        <v>44269.868006446763</v>
      </c>
      <c r="Q346">
        <v>2439800</v>
      </c>
      <c r="R346" t="s">
        <v>27</v>
      </c>
      <c r="S346">
        <v>367.83953882999998</v>
      </c>
      <c r="W346"/>
      <c r="X346">
        <v>0</v>
      </c>
      <c r="AC346" t="s">
        <v>108</v>
      </c>
      <c r="AD346" s="56">
        <v>43647</v>
      </c>
    </row>
    <row r="347" spans="1:30" x14ac:dyDescent="0.3">
      <c r="A347">
        <v>257193</v>
      </c>
      <c r="B347" t="s">
        <v>183</v>
      </c>
      <c r="C347">
        <v>2019</v>
      </c>
      <c r="D347">
        <v>7</v>
      </c>
      <c r="E347" t="s">
        <v>112</v>
      </c>
      <c r="F347" t="s">
        <v>108</v>
      </c>
      <c r="G347" t="s">
        <v>108</v>
      </c>
      <c r="H347" t="s">
        <v>25</v>
      </c>
      <c r="I347" t="s">
        <v>25</v>
      </c>
      <c r="J347" t="s">
        <v>138</v>
      </c>
      <c r="K347" t="s">
        <v>112</v>
      </c>
      <c r="L347" t="s">
        <v>140</v>
      </c>
      <c r="M347">
        <v>259.70617061000002</v>
      </c>
      <c r="N347">
        <v>0</v>
      </c>
      <c r="O347" t="s">
        <v>104</v>
      </c>
      <c r="P347" s="56">
        <v>44269.868005127311</v>
      </c>
      <c r="Q347">
        <v>2439662</v>
      </c>
      <c r="R347" t="s">
        <v>115</v>
      </c>
      <c r="S347">
        <v>0</v>
      </c>
      <c r="W347"/>
      <c r="X347">
        <v>0</v>
      </c>
      <c r="AC347" t="s">
        <v>108</v>
      </c>
      <c r="AD347" s="56">
        <v>43647</v>
      </c>
    </row>
    <row r="348" spans="1:30" x14ac:dyDescent="0.3">
      <c r="A348">
        <v>257220</v>
      </c>
      <c r="B348" t="s">
        <v>183</v>
      </c>
      <c r="C348">
        <v>2019</v>
      </c>
      <c r="D348">
        <v>7</v>
      </c>
      <c r="E348" t="s">
        <v>114</v>
      </c>
      <c r="F348" t="s">
        <v>108</v>
      </c>
      <c r="G348" t="s">
        <v>108</v>
      </c>
      <c r="H348" t="s">
        <v>25</v>
      </c>
      <c r="I348" t="s">
        <v>25</v>
      </c>
      <c r="J348" t="s">
        <v>138</v>
      </c>
      <c r="K348" t="s">
        <v>114</v>
      </c>
      <c r="L348" t="s">
        <v>140</v>
      </c>
      <c r="M348">
        <v>665.56227894000006</v>
      </c>
      <c r="N348">
        <v>0</v>
      </c>
      <c r="O348" t="s">
        <v>104</v>
      </c>
      <c r="P348" s="56">
        <v>44269.868006446763</v>
      </c>
      <c r="Q348">
        <v>2439797</v>
      </c>
      <c r="R348" t="s">
        <v>115</v>
      </c>
      <c r="S348">
        <v>1.7361734</v>
      </c>
      <c r="W348"/>
      <c r="X348">
        <v>0</v>
      </c>
      <c r="AC348" t="s">
        <v>108</v>
      </c>
      <c r="AD348" s="56">
        <v>43647</v>
      </c>
    </row>
    <row r="349" spans="1:30" x14ac:dyDescent="0.3">
      <c r="A349">
        <v>257166</v>
      </c>
      <c r="B349" t="s">
        <v>183</v>
      </c>
      <c r="C349">
        <v>2019</v>
      </c>
      <c r="D349">
        <v>7</v>
      </c>
      <c r="E349" t="s">
        <v>110</v>
      </c>
      <c r="F349" t="s">
        <v>108</v>
      </c>
      <c r="G349" t="s">
        <v>108</v>
      </c>
      <c r="H349" t="s">
        <v>25</v>
      </c>
      <c r="I349" t="s">
        <v>25</v>
      </c>
      <c r="J349" t="s">
        <v>138</v>
      </c>
      <c r="K349" t="s">
        <v>110</v>
      </c>
      <c r="L349" t="s">
        <v>140</v>
      </c>
      <c r="M349">
        <v>1240.59596756</v>
      </c>
      <c r="N349">
        <v>0</v>
      </c>
      <c r="O349" t="s">
        <v>104</v>
      </c>
      <c r="P349" s="56">
        <v>44269.868003854157</v>
      </c>
      <c r="Q349">
        <v>2439527</v>
      </c>
      <c r="R349" t="s">
        <v>115</v>
      </c>
      <c r="S349">
        <v>3.3442477500000001</v>
      </c>
      <c r="W349"/>
      <c r="X349">
        <v>0</v>
      </c>
      <c r="AC349" t="s">
        <v>108</v>
      </c>
      <c r="AD349" s="56">
        <v>43647</v>
      </c>
    </row>
    <row r="350" spans="1:30" x14ac:dyDescent="0.3">
      <c r="A350">
        <v>257220</v>
      </c>
      <c r="B350" t="s">
        <v>183</v>
      </c>
      <c r="C350">
        <v>2019</v>
      </c>
      <c r="D350">
        <v>7</v>
      </c>
      <c r="E350" t="s">
        <v>114</v>
      </c>
      <c r="F350" t="s">
        <v>108</v>
      </c>
      <c r="G350" t="s">
        <v>108</v>
      </c>
      <c r="H350" t="s">
        <v>25</v>
      </c>
      <c r="I350" t="s">
        <v>25</v>
      </c>
      <c r="J350" t="s">
        <v>138</v>
      </c>
      <c r="K350" t="s">
        <v>114</v>
      </c>
      <c r="L350" t="s">
        <v>140</v>
      </c>
      <c r="M350">
        <v>665.56227894000006</v>
      </c>
      <c r="N350">
        <v>0</v>
      </c>
      <c r="O350" t="s">
        <v>104</v>
      </c>
      <c r="P350" s="56">
        <v>44269.868006446763</v>
      </c>
      <c r="Q350">
        <v>2439799</v>
      </c>
      <c r="R350" t="s">
        <v>28</v>
      </c>
      <c r="S350">
        <v>1.5624257699999999</v>
      </c>
      <c r="W350"/>
      <c r="X350">
        <v>0</v>
      </c>
      <c r="AC350" t="s">
        <v>108</v>
      </c>
      <c r="AD350" s="56">
        <v>43647</v>
      </c>
    </row>
    <row r="351" spans="1:30" x14ac:dyDescent="0.3">
      <c r="A351">
        <v>257166</v>
      </c>
      <c r="B351" t="s">
        <v>183</v>
      </c>
      <c r="C351">
        <v>2019</v>
      </c>
      <c r="D351">
        <v>7</v>
      </c>
      <c r="E351" t="s">
        <v>110</v>
      </c>
      <c r="F351" t="s">
        <v>108</v>
      </c>
      <c r="G351" t="s">
        <v>108</v>
      </c>
      <c r="H351" t="s">
        <v>25</v>
      </c>
      <c r="I351" t="s">
        <v>25</v>
      </c>
      <c r="J351" t="s">
        <v>138</v>
      </c>
      <c r="K351" t="s">
        <v>110</v>
      </c>
      <c r="L351" t="s">
        <v>140</v>
      </c>
      <c r="M351">
        <v>1240.59596756</v>
      </c>
      <c r="N351">
        <v>0</v>
      </c>
      <c r="O351" t="s">
        <v>104</v>
      </c>
      <c r="P351" s="56">
        <v>44269.868003854157</v>
      </c>
      <c r="Q351">
        <v>2439529</v>
      </c>
      <c r="R351" t="s">
        <v>28</v>
      </c>
      <c r="S351">
        <v>3.1079404899999998</v>
      </c>
      <c r="W351"/>
      <c r="X351">
        <v>0</v>
      </c>
      <c r="AC351" t="s">
        <v>108</v>
      </c>
      <c r="AD351" s="56">
        <v>43647</v>
      </c>
    </row>
    <row r="352" spans="1:30" x14ac:dyDescent="0.3">
      <c r="A352">
        <v>257193</v>
      </c>
      <c r="B352" t="s">
        <v>183</v>
      </c>
      <c r="C352">
        <v>2019</v>
      </c>
      <c r="D352">
        <v>7</v>
      </c>
      <c r="E352" t="s">
        <v>112</v>
      </c>
      <c r="F352" t="s">
        <v>108</v>
      </c>
      <c r="G352" t="s">
        <v>108</v>
      </c>
      <c r="H352" t="s">
        <v>25</v>
      </c>
      <c r="I352" t="s">
        <v>25</v>
      </c>
      <c r="J352" t="s">
        <v>138</v>
      </c>
      <c r="K352" t="s">
        <v>112</v>
      </c>
      <c r="L352" t="s">
        <v>140</v>
      </c>
      <c r="M352">
        <v>259.70617061000002</v>
      </c>
      <c r="N352">
        <v>0</v>
      </c>
      <c r="O352" t="s">
        <v>104</v>
      </c>
      <c r="P352" s="56">
        <v>44269.868005127311</v>
      </c>
      <c r="Q352">
        <v>2439664</v>
      </c>
      <c r="R352" t="s">
        <v>28</v>
      </c>
      <c r="S352">
        <v>0</v>
      </c>
      <c r="W352"/>
      <c r="X352">
        <v>0</v>
      </c>
      <c r="AC352" t="s">
        <v>108</v>
      </c>
      <c r="AD352" s="56">
        <v>43647</v>
      </c>
    </row>
    <row r="353" spans="1:30" x14ac:dyDescent="0.3">
      <c r="A353">
        <v>270966</v>
      </c>
      <c r="B353" t="s">
        <v>188</v>
      </c>
      <c r="C353">
        <v>2019</v>
      </c>
      <c r="D353">
        <v>8</v>
      </c>
      <c r="E353" t="s">
        <v>112</v>
      </c>
      <c r="F353" t="s">
        <v>108</v>
      </c>
      <c r="G353" t="s">
        <v>108</v>
      </c>
      <c r="H353" t="s">
        <v>25</v>
      </c>
      <c r="I353" t="s">
        <v>25</v>
      </c>
      <c r="J353" t="s">
        <v>138</v>
      </c>
      <c r="K353" t="s">
        <v>112</v>
      </c>
      <c r="L353" t="s">
        <v>140</v>
      </c>
      <c r="M353">
        <v>293.74292012000001</v>
      </c>
      <c r="N353">
        <v>0</v>
      </c>
      <c r="O353" t="s">
        <v>104</v>
      </c>
      <c r="P353" s="56">
        <v>44269.869631712972</v>
      </c>
      <c r="Q353">
        <v>2570055</v>
      </c>
      <c r="R353" t="s">
        <v>26</v>
      </c>
      <c r="S353">
        <v>128.18159571000001</v>
      </c>
      <c r="W353"/>
      <c r="X353">
        <v>0</v>
      </c>
      <c r="AC353" t="s">
        <v>108</v>
      </c>
      <c r="AD353" s="56">
        <v>43678</v>
      </c>
    </row>
    <row r="354" spans="1:30" x14ac:dyDescent="0.3">
      <c r="A354">
        <v>270993</v>
      </c>
      <c r="B354" t="s">
        <v>188</v>
      </c>
      <c r="C354">
        <v>2019</v>
      </c>
      <c r="D354">
        <v>8</v>
      </c>
      <c r="E354" t="s">
        <v>114</v>
      </c>
      <c r="F354" t="s">
        <v>108</v>
      </c>
      <c r="G354" t="s">
        <v>108</v>
      </c>
      <c r="H354" t="s">
        <v>25</v>
      </c>
      <c r="I354" t="s">
        <v>25</v>
      </c>
      <c r="J354" t="s">
        <v>138</v>
      </c>
      <c r="K354" t="s">
        <v>114</v>
      </c>
      <c r="L354" t="s">
        <v>140</v>
      </c>
      <c r="M354">
        <v>553.34695345</v>
      </c>
      <c r="N354">
        <v>0</v>
      </c>
      <c r="O354" t="s">
        <v>104</v>
      </c>
      <c r="P354" s="56">
        <v>44269.869632986112</v>
      </c>
      <c r="Q354">
        <v>2570190</v>
      </c>
      <c r="R354" t="s">
        <v>26</v>
      </c>
      <c r="S354">
        <v>200.43021435</v>
      </c>
      <c r="W354"/>
      <c r="X354">
        <v>0</v>
      </c>
      <c r="AC354" t="s">
        <v>108</v>
      </c>
      <c r="AD354" s="56">
        <v>43678</v>
      </c>
    </row>
    <row r="355" spans="1:30" x14ac:dyDescent="0.3">
      <c r="A355">
        <v>270939</v>
      </c>
      <c r="B355" t="s">
        <v>188</v>
      </c>
      <c r="C355">
        <v>2019</v>
      </c>
      <c r="D355">
        <v>8</v>
      </c>
      <c r="E355" t="s">
        <v>110</v>
      </c>
      <c r="F355" t="s">
        <v>108</v>
      </c>
      <c r="G355" t="s">
        <v>108</v>
      </c>
      <c r="H355" t="s">
        <v>25</v>
      </c>
      <c r="I355" t="s">
        <v>25</v>
      </c>
      <c r="J355" t="s">
        <v>138</v>
      </c>
      <c r="K355" t="s">
        <v>110</v>
      </c>
      <c r="L355" t="s">
        <v>140</v>
      </c>
      <c r="M355">
        <v>1193.87028252</v>
      </c>
      <c r="N355">
        <v>0</v>
      </c>
      <c r="O355" t="s">
        <v>104</v>
      </c>
      <c r="P355" s="56">
        <v>44269.869630439818</v>
      </c>
      <c r="Q355">
        <v>2569920</v>
      </c>
      <c r="R355" t="s">
        <v>26</v>
      </c>
      <c r="S355">
        <v>408.07522839000001</v>
      </c>
      <c r="W355"/>
      <c r="X355">
        <v>0</v>
      </c>
      <c r="AC355" t="s">
        <v>108</v>
      </c>
      <c r="AD355" s="56">
        <v>43678</v>
      </c>
    </row>
    <row r="356" spans="1:30" x14ac:dyDescent="0.3">
      <c r="A356">
        <v>270966</v>
      </c>
      <c r="B356" t="s">
        <v>188</v>
      </c>
      <c r="C356">
        <v>2019</v>
      </c>
      <c r="D356">
        <v>8</v>
      </c>
      <c r="E356" t="s">
        <v>112</v>
      </c>
      <c r="F356" t="s">
        <v>108</v>
      </c>
      <c r="G356" t="s">
        <v>108</v>
      </c>
      <c r="H356" t="s">
        <v>25</v>
      </c>
      <c r="I356" t="s">
        <v>25</v>
      </c>
      <c r="J356" t="s">
        <v>138</v>
      </c>
      <c r="K356" t="s">
        <v>112</v>
      </c>
      <c r="L356" t="s">
        <v>140</v>
      </c>
      <c r="M356">
        <v>293.74292012000001</v>
      </c>
      <c r="N356">
        <v>0</v>
      </c>
      <c r="O356" t="s">
        <v>104</v>
      </c>
      <c r="P356" s="56">
        <v>44269.869631712972</v>
      </c>
      <c r="Q356">
        <v>2570058</v>
      </c>
      <c r="R356" t="s">
        <v>105</v>
      </c>
      <c r="S356">
        <v>29.745905449999999</v>
      </c>
      <c r="W356"/>
      <c r="X356">
        <v>0</v>
      </c>
      <c r="AC356" t="s">
        <v>108</v>
      </c>
      <c r="AD356" s="56">
        <v>43678</v>
      </c>
    </row>
    <row r="357" spans="1:30" x14ac:dyDescent="0.3">
      <c r="A357">
        <v>270993</v>
      </c>
      <c r="B357" t="s">
        <v>188</v>
      </c>
      <c r="C357">
        <v>2019</v>
      </c>
      <c r="D357">
        <v>8</v>
      </c>
      <c r="E357" t="s">
        <v>114</v>
      </c>
      <c r="F357" t="s">
        <v>108</v>
      </c>
      <c r="G357" t="s">
        <v>108</v>
      </c>
      <c r="H357" t="s">
        <v>25</v>
      </c>
      <c r="I357" t="s">
        <v>25</v>
      </c>
      <c r="J357" t="s">
        <v>138</v>
      </c>
      <c r="K357" t="s">
        <v>114</v>
      </c>
      <c r="L357" t="s">
        <v>140</v>
      </c>
      <c r="M357">
        <v>553.34695345</v>
      </c>
      <c r="N357">
        <v>0</v>
      </c>
      <c r="O357" t="s">
        <v>104</v>
      </c>
      <c r="P357" s="56">
        <v>44269.869632986112</v>
      </c>
      <c r="Q357">
        <v>2570193</v>
      </c>
      <c r="R357" t="s">
        <v>105</v>
      </c>
      <c r="S357">
        <v>56.14982887</v>
      </c>
      <c r="W357"/>
      <c r="X357">
        <v>0</v>
      </c>
      <c r="AC357" t="s">
        <v>108</v>
      </c>
      <c r="AD357" s="56">
        <v>43678</v>
      </c>
    </row>
    <row r="358" spans="1:30" x14ac:dyDescent="0.3">
      <c r="A358">
        <v>270939</v>
      </c>
      <c r="B358" t="s">
        <v>188</v>
      </c>
      <c r="C358">
        <v>2019</v>
      </c>
      <c r="D358">
        <v>8</v>
      </c>
      <c r="E358" t="s">
        <v>110</v>
      </c>
      <c r="F358" t="s">
        <v>108</v>
      </c>
      <c r="G358" t="s">
        <v>108</v>
      </c>
      <c r="H358" t="s">
        <v>25</v>
      </c>
      <c r="I358" t="s">
        <v>25</v>
      </c>
      <c r="J358" t="s">
        <v>138</v>
      </c>
      <c r="K358" t="s">
        <v>110</v>
      </c>
      <c r="L358" t="s">
        <v>140</v>
      </c>
      <c r="M358">
        <v>1193.87028252</v>
      </c>
      <c r="N358">
        <v>0</v>
      </c>
      <c r="O358" t="s">
        <v>104</v>
      </c>
      <c r="P358" s="56">
        <v>44269.869630439818</v>
      </c>
      <c r="Q358">
        <v>2569923</v>
      </c>
      <c r="R358" t="s">
        <v>105</v>
      </c>
      <c r="S358">
        <v>142.14626189000001</v>
      </c>
      <c r="W358"/>
      <c r="X358">
        <v>0</v>
      </c>
      <c r="AC358" t="s">
        <v>108</v>
      </c>
      <c r="AD358" s="56">
        <v>43678</v>
      </c>
    </row>
    <row r="359" spans="1:30" x14ac:dyDescent="0.3">
      <c r="A359">
        <v>270993</v>
      </c>
      <c r="B359" t="s">
        <v>188</v>
      </c>
      <c r="C359">
        <v>2019</v>
      </c>
      <c r="D359">
        <v>8</v>
      </c>
      <c r="E359" t="s">
        <v>114</v>
      </c>
      <c r="F359" t="s">
        <v>108</v>
      </c>
      <c r="G359" t="s">
        <v>108</v>
      </c>
      <c r="H359" t="s">
        <v>25</v>
      </c>
      <c r="I359" t="s">
        <v>25</v>
      </c>
      <c r="J359" t="s">
        <v>138</v>
      </c>
      <c r="K359" t="s">
        <v>114</v>
      </c>
      <c r="L359" t="s">
        <v>140</v>
      </c>
      <c r="M359">
        <v>553.34695345</v>
      </c>
      <c r="N359">
        <v>0</v>
      </c>
      <c r="O359" t="s">
        <v>104</v>
      </c>
      <c r="P359" s="56">
        <v>44269.869632986112</v>
      </c>
      <c r="Q359">
        <v>2570192</v>
      </c>
      <c r="R359" t="s">
        <v>27</v>
      </c>
      <c r="S359">
        <v>305.82094961000001</v>
      </c>
      <c r="W359"/>
      <c r="X359">
        <v>0</v>
      </c>
      <c r="AC359" t="s">
        <v>108</v>
      </c>
      <c r="AD359" s="56">
        <v>43678</v>
      </c>
    </row>
    <row r="360" spans="1:30" x14ac:dyDescent="0.3">
      <c r="A360">
        <v>270939</v>
      </c>
      <c r="B360" t="s">
        <v>188</v>
      </c>
      <c r="C360">
        <v>2019</v>
      </c>
      <c r="D360">
        <v>8</v>
      </c>
      <c r="E360" t="s">
        <v>110</v>
      </c>
      <c r="F360" t="s">
        <v>108</v>
      </c>
      <c r="G360" t="s">
        <v>108</v>
      </c>
      <c r="H360" t="s">
        <v>25</v>
      </c>
      <c r="I360" t="s">
        <v>25</v>
      </c>
      <c r="J360" t="s">
        <v>138</v>
      </c>
      <c r="K360" t="s">
        <v>110</v>
      </c>
      <c r="L360" t="s">
        <v>140</v>
      </c>
      <c r="M360">
        <v>1193.87028252</v>
      </c>
      <c r="N360">
        <v>0</v>
      </c>
      <c r="O360" t="s">
        <v>104</v>
      </c>
      <c r="P360" s="56">
        <v>44269.869630439818</v>
      </c>
      <c r="Q360">
        <v>2569922</v>
      </c>
      <c r="R360" t="s">
        <v>27</v>
      </c>
      <c r="S360">
        <v>662.89105620999999</v>
      </c>
      <c r="W360"/>
      <c r="X360">
        <v>0</v>
      </c>
      <c r="AC360" t="s">
        <v>108</v>
      </c>
      <c r="AD360" s="56">
        <v>43678</v>
      </c>
    </row>
    <row r="361" spans="1:30" x14ac:dyDescent="0.3">
      <c r="A361">
        <v>270966</v>
      </c>
      <c r="B361" t="s">
        <v>188</v>
      </c>
      <c r="C361">
        <v>2019</v>
      </c>
      <c r="D361">
        <v>8</v>
      </c>
      <c r="E361" t="s">
        <v>112</v>
      </c>
      <c r="F361" t="s">
        <v>108</v>
      </c>
      <c r="G361" t="s">
        <v>108</v>
      </c>
      <c r="H361" t="s">
        <v>25</v>
      </c>
      <c r="I361" t="s">
        <v>25</v>
      </c>
      <c r="J361" t="s">
        <v>138</v>
      </c>
      <c r="K361" t="s">
        <v>112</v>
      </c>
      <c r="L361" t="s">
        <v>140</v>
      </c>
      <c r="M361">
        <v>293.74292012000001</v>
      </c>
      <c r="N361">
        <v>0</v>
      </c>
      <c r="O361" t="s">
        <v>104</v>
      </c>
      <c r="P361" s="56">
        <v>44269.869631712972</v>
      </c>
      <c r="Q361">
        <v>2570057</v>
      </c>
      <c r="R361" t="s">
        <v>27</v>
      </c>
      <c r="S361">
        <v>142.07755624999999</v>
      </c>
      <c r="W361"/>
      <c r="X361">
        <v>0</v>
      </c>
      <c r="AC361" t="s">
        <v>108</v>
      </c>
      <c r="AD361" s="56">
        <v>43678</v>
      </c>
    </row>
    <row r="362" spans="1:30" x14ac:dyDescent="0.3">
      <c r="A362">
        <v>270966</v>
      </c>
      <c r="B362" t="s">
        <v>188</v>
      </c>
      <c r="C362">
        <v>2019</v>
      </c>
      <c r="D362">
        <v>8</v>
      </c>
      <c r="E362" t="s">
        <v>112</v>
      </c>
      <c r="F362" t="s">
        <v>108</v>
      </c>
      <c r="G362" t="s">
        <v>108</v>
      </c>
      <c r="H362" t="s">
        <v>25</v>
      </c>
      <c r="I362" t="s">
        <v>25</v>
      </c>
      <c r="J362" t="s">
        <v>138</v>
      </c>
      <c r="K362" t="s">
        <v>112</v>
      </c>
      <c r="L362" t="s">
        <v>140</v>
      </c>
      <c r="M362">
        <v>293.74292012000001</v>
      </c>
      <c r="N362">
        <v>0</v>
      </c>
      <c r="O362" t="s">
        <v>104</v>
      </c>
      <c r="P362" s="56">
        <v>44269.869631712972</v>
      </c>
      <c r="Q362">
        <v>2570054</v>
      </c>
      <c r="R362" t="s">
        <v>115</v>
      </c>
      <c r="S362">
        <v>0</v>
      </c>
      <c r="W362"/>
      <c r="X362">
        <v>0</v>
      </c>
      <c r="AC362" t="s">
        <v>108</v>
      </c>
      <c r="AD362" s="56">
        <v>43678</v>
      </c>
    </row>
    <row r="363" spans="1:30" x14ac:dyDescent="0.3">
      <c r="A363">
        <v>270939</v>
      </c>
      <c r="B363" t="s">
        <v>188</v>
      </c>
      <c r="C363">
        <v>2019</v>
      </c>
      <c r="D363">
        <v>8</v>
      </c>
      <c r="E363" t="s">
        <v>110</v>
      </c>
      <c r="F363" t="s">
        <v>108</v>
      </c>
      <c r="G363" t="s">
        <v>108</v>
      </c>
      <c r="H363" t="s">
        <v>25</v>
      </c>
      <c r="I363" t="s">
        <v>25</v>
      </c>
      <c r="J363" t="s">
        <v>138</v>
      </c>
      <c r="K363" t="s">
        <v>110</v>
      </c>
      <c r="L363" t="s">
        <v>140</v>
      </c>
      <c r="M363">
        <v>1193.87028252</v>
      </c>
      <c r="N363">
        <v>0</v>
      </c>
      <c r="O363" t="s">
        <v>104</v>
      </c>
      <c r="P363" s="56">
        <v>44269.869630439818</v>
      </c>
      <c r="Q363">
        <v>2569919</v>
      </c>
      <c r="R363" t="s">
        <v>115</v>
      </c>
      <c r="S363">
        <v>3.2182903299999999</v>
      </c>
      <c r="W363"/>
      <c r="X363">
        <v>0</v>
      </c>
      <c r="AC363" t="s">
        <v>108</v>
      </c>
      <c r="AD363" s="56">
        <v>43678</v>
      </c>
    </row>
    <row r="364" spans="1:30" x14ac:dyDescent="0.3">
      <c r="A364">
        <v>270993</v>
      </c>
      <c r="B364" t="s">
        <v>188</v>
      </c>
      <c r="C364">
        <v>2019</v>
      </c>
      <c r="D364">
        <v>8</v>
      </c>
      <c r="E364" t="s">
        <v>114</v>
      </c>
      <c r="F364" t="s">
        <v>108</v>
      </c>
      <c r="G364" t="s">
        <v>108</v>
      </c>
      <c r="H364" t="s">
        <v>25</v>
      </c>
      <c r="I364" t="s">
        <v>25</v>
      </c>
      <c r="J364" t="s">
        <v>138</v>
      </c>
      <c r="K364" t="s">
        <v>114</v>
      </c>
      <c r="L364" t="s">
        <v>140</v>
      </c>
      <c r="M364">
        <v>553.34695345</v>
      </c>
      <c r="N364">
        <v>0</v>
      </c>
      <c r="O364" t="s">
        <v>104</v>
      </c>
      <c r="P364" s="56">
        <v>44269.869632986112</v>
      </c>
      <c r="Q364">
        <v>2570189</v>
      </c>
      <c r="R364" t="s">
        <v>115</v>
      </c>
      <c r="S364">
        <v>1.4434505799999999</v>
      </c>
      <c r="W364"/>
      <c r="X364">
        <v>0</v>
      </c>
      <c r="AC364" t="s">
        <v>108</v>
      </c>
      <c r="AD364" s="56">
        <v>43678</v>
      </c>
    </row>
    <row r="365" spans="1:30" x14ac:dyDescent="0.3">
      <c r="A365">
        <v>270966</v>
      </c>
      <c r="B365" t="s">
        <v>188</v>
      </c>
      <c r="C365">
        <v>2019</v>
      </c>
      <c r="D365">
        <v>8</v>
      </c>
      <c r="E365" t="s">
        <v>112</v>
      </c>
      <c r="F365" t="s">
        <v>108</v>
      </c>
      <c r="G365" t="s">
        <v>108</v>
      </c>
      <c r="H365" t="s">
        <v>25</v>
      </c>
      <c r="I365" t="s">
        <v>25</v>
      </c>
      <c r="J365" t="s">
        <v>138</v>
      </c>
      <c r="K365" t="s">
        <v>112</v>
      </c>
      <c r="L365" t="s">
        <v>140</v>
      </c>
      <c r="M365">
        <v>293.74292012000001</v>
      </c>
      <c r="N365">
        <v>0</v>
      </c>
      <c r="O365" t="s">
        <v>104</v>
      </c>
      <c r="P365" s="56">
        <v>44269.869631712972</v>
      </c>
      <c r="Q365">
        <v>2570056</v>
      </c>
      <c r="R365" t="s">
        <v>28</v>
      </c>
      <c r="S365">
        <v>0</v>
      </c>
      <c r="W365"/>
      <c r="X365">
        <v>0</v>
      </c>
      <c r="AC365" t="s">
        <v>108</v>
      </c>
      <c r="AD365" s="56">
        <v>43678</v>
      </c>
    </row>
    <row r="366" spans="1:30" x14ac:dyDescent="0.3">
      <c r="A366">
        <v>270939</v>
      </c>
      <c r="B366" t="s">
        <v>188</v>
      </c>
      <c r="C366">
        <v>2019</v>
      </c>
      <c r="D366">
        <v>8</v>
      </c>
      <c r="E366" t="s">
        <v>110</v>
      </c>
      <c r="F366" t="s">
        <v>108</v>
      </c>
      <c r="G366" t="s">
        <v>108</v>
      </c>
      <c r="H366" t="s">
        <v>25</v>
      </c>
      <c r="I366" t="s">
        <v>25</v>
      </c>
      <c r="J366" t="s">
        <v>138</v>
      </c>
      <c r="K366" t="s">
        <v>110</v>
      </c>
      <c r="L366" t="s">
        <v>140</v>
      </c>
      <c r="M366">
        <v>1193.87028252</v>
      </c>
      <c r="N366">
        <v>0</v>
      </c>
      <c r="O366" t="s">
        <v>104</v>
      </c>
      <c r="P366" s="56">
        <v>44269.869630439818</v>
      </c>
      <c r="Q366">
        <v>2569921</v>
      </c>
      <c r="R366" t="s">
        <v>28</v>
      </c>
      <c r="S366">
        <v>2.99088332</v>
      </c>
      <c r="W366"/>
      <c r="X366">
        <v>0</v>
      </c>
      <c r="AC366" t="s">
        <v>108</v>
      </c>
      <c r="AD366" s="56">
        <v>43678</v>
      </c>
    </row>
    <row r="367" spans="1:30" x14ac:dyDescent="0.3">
      <c r="A367">
        <v>270993</v>
      </c>
      <c r="B367" t="s">
        <v>188</v>
      </c>
      <c r="C367">
        <v>2019</v>
      </c>
      <c r="D367">
        <v>8</v>
      </c>
      <c r="E367" t="s">
        <v>114</v>
      </c>
      <c r="F367" t="s">
        <v>108</v>
      </c>
      <c r="G367" t="s">
        <v>108</v>
      </c>
      <c r="H367" t="s">
        <v>25</v>
      </c>
      <c r="I367" t="s">
        <v>25</v>
      </c>
      <c r="J367" t="s">
        <v>138</v>
      </c>
      <c r="K367" t="s">
        <v>114</v>
      </c>
      <c r="L367" t="s">
        <v>140</v>
      </c>
      <c r="M367">
        <v>553.34695345</v>
      </c>
      <c r="N367">
        <v>0</v>
      </c>
      <c r="O367" t="s">
        <v>104</v>
      </c>
      <c r="P367" s="56">
        <v>44269.869632986112</v>
      </c>
      <c r="Q367">
        <v>2570191</v>
      </c>
      <c r="R367" t="s">
        <v>28</v>
      </c>
      <c r="S367">
        <v>1.29899721</v>
      </c>
      <c r="W367"/>
      <c r="X367">
        <v>0</v>
      </c>
      <c r="AC367" t="s">
        <v>108</v>
      </c>
      <c r="AD367" s="56">
        <v>43678</v>
      </c>
    </row>
    <row r="368" spans="1:30" x14ac:dyDescent="0.3">
      <c r="A368">
        <v>273480</v>
      </c>
      <c r="B368" t="s">
        <v>191</v>
      </c>
      <c r="C368">
        <v>2019</v>
      </c>
      <c r="D368">
        <v>9</v>
      </c>
      <c r="E368" t="s">
        <v>112</v>
      </c>
      <c r="F368" t="s">
        <v>108</v>
      </c>
      <c r="G368" t="s">
        <v>108</v>
      </c>
      <c r="H368" t="s">
        <v>25</v>
      </c>
      <c r="I368" t="s">
        <v>25</v>
      </c>
      <c r="J368" t="s">
        <v>138</v>
      </c>
      <c r="K368" t="s">
        <v>112</v>
      </c>
      <c r="L368" t="s">
        <v>140</v>
      </c>
      <c r="M368">
        <v>254.44613530000001</v>
      </c>
      <c r="N368">
        <v>0</v>
      </c>
      <c r="O368" t="s">
        <v>104</v>
      </c>
      <c r="P368" s="56">
        <v>44269.870332719911</v>
      </c>
      <c r="Q368">
        <v>2586874</v>
      </c>
      <c r="R368" t="s">
        <v>26</v>
      </c>
      <c r="S368">
        <v>111.03352425</v>
      </c>
      <c r="W368"/>
      <c r="X368">
        <v>0</v>
      </c>
      <c r="AC368" t="s">
        <v>108</v>
      </c>
      <c r="AD368" s="56">
        <v>43709</v>
      </c>
    </row>
    <row r="369" spans="1:30" x14ac:dyDescent="0.3">
      <c r="A369">
        <v>273453</v>
      </c>
      <c r="B369" t="s">
        <v>191</v>
      </c>
      <c r="C369">
        <v>2019</v>
      </c>
      <c r="D369">
        <v>9</v>
      </c>
      <c r="E369" t="s">
        <v>110</v>
      </c>
      <c r="F369" t="s">
        <v>108</v>
      </c>
      <c r="G369" t="s">
        <v>108</v>
      </c>
      <c r="H369" t="s">
        <v>25</v>
      </c>
      <c r="I369" t="s">
        <v>25</v>
      </c>
      <c r="J369" t="s">
        <v>138</v>
      </c>
      <c r="K369" t="s">
        <v>110</v>
      </c>
      <c r="L369" t="s">
        <v>140</v>
      </c>
      <c r="M369">
        <v>1168.3183385699999</v>
      </c>
      <c r="N369">
        <v>0</v>
      </c>
      <c r="O369" t="s">
        <v>104</v>
      </c>
      <c r="P369" s="56">
        <v>44269.870331331018</v>
      </c>
      <c r="Q369">
        <v>2586739</v>
      </c>
      <c r="R369" t="s">
        <v>26</v>
      </c>
      <c r="S369">
        <v>399.34135208999999</v>
      </c>
      <c r="W369"/>
      <c r="X369">
        <v>0</v>
      </c>
      <c r="AC369" t="s">
        <v>108</v>
      </c>
      <c r="AD369" s="56">
        <v>43709</v>
      </c>
    </row>
    <row r="370" spans="1:30" x14ac:dyDescent="0.3">
      <c r="A370">
        <v>273507</v>
      </c>
      <c r="B370" t="s">
        <v>191</v>
      </c>
      <c r="C370">
        <v>2019</v>
      </c>
      <c r="D370">
        <v>9</v>
      </c>
      <c r="E370" t="s">
        <v>114</v>
      </c>
      <c r="F370" t="s">
        <v>108</v>
      </c>
      <c r="G370" t="s">
        <v>108</v>
      </c>
      <c r="H370" t="s">
        <v>25</v>
      </c>
      <c r="I370" t="s">
        <v>25</v>
      </c>
      <c r="J370" t="s">
        <v>138</v>
      </c>
      <c r="K370" t="s">
        <v>114</v>
      </c>
      <c r="L370" t="s">
        <v>140</v>
      </c>
      <c r="M370">
        <v>533.50070271000004</v>
      </c>
      <c r="N370">
        <v>0</v>
      </c>
      <c r="O370" t="s">
        <v>104</v>
      </c>
      <c r="P370" s="56">
        <v>44269.870334027779</v>
      </c>
      <c r="Q370">
        <v>2587009</v>
      </c>
      <c r="R370" t="s">
        <v>26</v>
      </c>
      <c r="S370">
        <v>193.24161728000001</v>
      </c>
      <c r="W370"/>
      <c r="X370">
        <v>0</v>
      </c>
      <c r="AC370" t="s">
        <v>108</v>
      </c>
      <c r="AD370" s="56">
        <v>43709</v>
      </c>
    </row>
    <row r="371" spans="1:30" x14ac:dyDescent="0.3">
      <c r="A371">
        <v>273507</v>
      </c>
      <c r="B371" t="s">
        <v>191</v>
      </c>
      <c r="C371">
        <v>2019</v>
      </c>
      <c r="D371">
        <v>9</v>
      </c>
      <c r="E371" t="s">
        <v>114</v>
      </c>
      <c r="F371" t="s">
        <v>108</v>
      </c>
      <c r="G371" t="s">
        <v>108</v>
      </c>
      <c r="H371" t="s">
        <v>25</v>
      </c>
      <c r="I371" t="s">
        <v>25</v>
      </c>
      <c r="J371" t="s">
        <v>138</v>
      </c>
      <c r="K371" t="s">
        <v>114</v>
      </c>
      <c r="L371" t="s">
        <v>140</v>
      </c>
      <c r="M371">
        <v>533.50070271000004</v>
      </c>
      <c r="N371">
        <v>0</v>
      </c>
      <c r="O371" t="s">
        <v>104</v>
      </c>
      <c r="P371" s="56">
        <v>44269.870334027779</v>
      </c>
      <c r="Q371">
        <v>2587012</v>
      </c>
      <c r="R371" t="s">
        <v>105</v>
      </c>
      <c r="S371">
        <v>54.135968349999999</v>
      </c>
      <c r="W371"/>
      <c r="X371">
        <v>0</v>
      </c>
      <c r="AC371" t="s">
        <v>108</v>
      </c>
      <c r="AD371" s="56">
        <v>43709</v>
      </c>
    </row>
    <row r="372" spans="1:30" x14ac:dyDescent="0.3">
      <c r="A372">
        <v>273480</v>
      </c>
      <c r="B372" t="s">
        <v>191</v>
      </c>
      <c r="C372">
        <v>2019</v>
      </c>
      <c r="D372">
        <v>9</v>
      </c>
      <c r="E372" t="s">
        <v>112</v>
      </c>
      <c r="F372" t="s">
        <v>108</v>
      </c>
      <c r="G372" t="s">
        <v>108</v>
      </c>
      <c r="H372" t="s">
        <v>25</v>
      </c>
      <c r="I372" t="s">
        <v>25</v>
      </c>
      <c r="J372" t="s">
        <v>138</v>
      </c>
      <c r="K372" t="s">
        <v>112</v>
      </c>
      <c r="L372" t="s">
        <v>140</v>
      </c>
      <c r="M372">
        <v>254.44613530000001</v>
      </c>
      <c r="N372">
        <v>0</v>
      </c>
      <c r="O372" t="s">
        <v>104</v>
      </c>
      <c r="P372" s="56">
        <v>44269.870332719911</v>
      </c>
      <c r="Q372">
        <v>2586877</v>
      </c>
      <c r="R372" t="s">
        <v>105</v>
      </c>
      <c r="S372">
        <v>25.7665127</v>
      </c>
      <c r="W372"/>
      <c r="X372">
        <v>0</v>
      </c>
      <c r="AC372" t="s">
        <v>108</v>
      </c>
      <c r="AD372" s="56">
        <v>43709</v>
      </c>
    </row>
    <row r="373" spans="1:30" x14ac:dyDescent="0.3">
      <c r="A373">
        <v>273453</v>
      </c>
      <c r="B373" t="s">
        <v>191</v>
      </c>
      <c r="C373">
        <v>2019</v>
      </c>
      <c r="D373">
        <v>9</v>
      </c>
      <c r="E373" t="s">
        <v>110</v>
      </c>
      <c r="F373" t="s">
        <v>108</v>
      </c>
      <c r="G373" t="s">
        <v>108</v>
      </c>
      <c r="H373" t="s">
        <v>25</v>
      </c>
      <c r="I373" t="s">
        <v>25</v>
      </c>
      <c r="J373" t="s">
        <v>138</v>
      </c>
      <c r="K373" t="s">
        <v>110</v>
      </c>
      <c r="L373" t="s">
        <v>140</v>
      </c>
      <c r="M373">
        <v>1168.3183385699999</v>
      </c>
      <c r="N373">
        <v>0</v>
      </c>
      <c r="O373" t="s">
        <v>104</v>
      </c>
      <c r="P373" s="56">
        <v>44269.870331331018</v>
      </c>
      <c r="Q373">
        <v>2586742</v>
      </c>
      <c r="R373" t="s">
        <v>105</v>
      </c>
      <c r="S373">
        <v>139.10396041999999</v>
      </c>
      <c r="W373"/>
      <c r="X373">
        <v>0</v>
      </c>
      <c r="AC373" t="s">
        <v>108</v>
      </c>
      <c r="AD373" s="56">
        <v>43709</v>
      </c>
    </row>
    <row r="374" spans="1:30" x14ac:dyDescent="0.3">
      <c r="A374">
        <v>273480</v>
      </c>
      <c r="B374" t="s">
        <v>191</v>
      </c>
      <c r="C374">
        <v>2019</v>
      </c>
      <c r="D374">
        <v>9</v>
      </c>
      <c r="E374" t="s">
        <v>112</v>
      </c>
      <c r="F374" t="s">
        <v>108</v>
      </c>
      <c r="G374" t="s">
        <v>108</v>
      </c>
      <c r="H374" t="s">
        <v>25</v>
      </c>
      <c r="I374" t="s">
        <v>25</v>
      </c>
      <c r="J374" t="s">
        <v>138</v>
      </c>
      <c r="K374" t="s">
        <v>112</v>
      </c>
      <c r="L374" t="s">
        <v>140</v>
      </c>
      <c r="M374">
        <v>254.44613530000001</v>
      </c>
      <c r="N374">
        <v>0</v>
      </c>
      <c r="O374" t="s">
        <v>104</v>
      </c>
      <c r="P374" s="56">
        <v>44269.870332719911</v>
      </c>
      <c r="Q374">
        <v>2586876</v>
      </c>
      <c r="R374" t="s">
        <v>27</v>
      </c>
      <c r="S374">
        <v>123.07048995</v>
      </c>
      <c r="W374"/>
      <c r="X374">
        <v>0</v>
      </c>
      <c r="AC374" t="s">
        <v>108</v>
      </c>
      <c r="AD374" s="56">
        <v>43709</v>
      </c>
    </row>
    <row r="375" spans="1:30" x14ac:dyDescent="0.3">
      <c r="A375">
        <v>273507</v>
      </c>
      <c r="B375" t="s">
        <v>191</v>
      </c>
      <c r="C375">
        <v>2019</v>
      </c>
      <c r="D375">
        <v>9</v>
      </c>
      <c r="E375" t="s">
        <v>114</v>
      </c>
      <c r="F375" t="s">
        <v>108</v>
      </c>
      <c r="G375" t="s">
        <v>108</v>
      </c>
      <c r="H375" t="s">
        <v>25</v>
      </c>
      <c r="I375" t="s">
        <v>25</v>
      </c>
      <c r="J375" t="s">
        <v>138</v>
      </c>
      <c r="K375" t="s">
        <v>114</v>
      </c>
      <c r="L375" t="s">
        <v>140</v>
      </c>
      <c r="M375">
        <v>533.50070271000004</v>
      </c>
      <c r="N375">
        <v>0</v>
      </c>
      <c r="O375" t="s">
        <v>104</v>
      </c>
      <c r="P375" s="56">
        <v>44269.870334027779</v>
      </c>
      <c r="Q375">
        <v>2587011</v>
      </c>
      <c r="R375" t="s">
        <v>27</v>
      </c>
      <c r="S375">
        <v>294.85242577000002</v>
      </c>
      <c r="W375"/>
      <c r="X375">
        <v>0</v>
      </c>
      <c r="AC375" t="s">
        <v>108</v>
      </c>
      <c r="AD375" s="56">
        <v>43709</v>
      </c>
    </row>
    <row r="376" spans="1:30" x14ac:dyDescent="0.3">
      <c r="A376">
        <v>273453</v>
      </c>
      <c r="B376" t="s">
        <v>191</v>
      </c>
      <c r="C376">
        <v>2019</v>
      </c>
      <c r="D376">
        <v>9</v>
      </c>
      <c r="E376" t="s">
        <v>110</v>
      </c>
      <c r="F376" t="s">
        <v>108</v>
      </c>
      <c r="G376" t="s">
        <v>108</v>
      </c>
      <c r="H376" t="s">
        <v>25</v>
      </c>
      <c r="I376" t="s">
        <v>25</v>
      </c>
      <c r="J376" t="s">
        <v>138</v>
      </c>
      <c r="K376" t="s">
        <v>110</v>
      </c>
      <c r="L376" t="s">
        <v>140</v>
      </c>
      <c r="M376">
        <v>1168.3183385699999</v>
      </c>
      <c r="N376">
        <v>0</v>
      </c>
      <c r="O376" t="s">
        <v>104</v>
      </c>
      <c r="P376" s="56">
        <v>44269.870331331018</v>
      </c>
      <c r="Q376">
        <v>2586741</v>
      </c>
      <c r="R376" t="s">
        <v>27</v>
      </c>
      <c r="S376">
        <v>648.70345529999997</v>
      </c>
      <c r="W376"/>
      <c r="X376">
        <v>0</v>
      </c>
      <c r="AC376" t="s">
        <v>108</v>
      </c>
      <c r="AD376" s="56">
        <v>43709</v>
      </c>
    </row>
    <row r="377" spans="1:30" x14ac:dyDescent="0.3">
      <c r="A377">
        <v>273480</v>
      </c>
      <c r="B377" t="s">
        <v>191</v>
      </c>
      <c r="C377">
        <v>2019</v>
      </c>
      <c r="D377">
        <v>9</v>
      </c>
      <c r="E377" t="s">
        <v>112</v>
      </c>
      <c r="F377" t="s">
        <v>108</v>
      </c>
      <c r="G377" t="s">
        <v>108</v>
      </c>
      <c r="H377" t="s">
        <v>25</v>
      </c>
      <c r="I377" t="s">
        <v>25</v>
      </c>
      <c r="J377" t="s">
        <v>138</v>
      </c>
      <c r="K377" t="s">
        <v>112</v>
      </c>
      <c r="L377" t="s">
        <v>140</v>
      </c>
      <c r="M377">
        <v>254.44613530000001</v>
      </c>
      <c r="N377">
        <v>0</v>
      </c>
      <c r="O377" t="s">
        <v>104</v>
      </c>
      <c r="P377" s="56">
        <v>44269.870332719911</v>
      </c>
      <c r="Q377">
        <v>2586873</v>
      </c>
      <c r="R377" t="s">
        <v>115</v>
      </c>
      <c r="S377">
        <v>0</v>
      </c>
      <c r="W377"/>
      <c r="X377">
        <v>0</v>
      </c>
      <c r="AC377" t="s">
        <v>108</v>
      </c>
      <c r="AD377" s="56">
        <v>43709</v>
      </c>
    </row>
    <row r="378" spans="1:30" x14ac:dyDescent="0.3">
      <c r="A378">
        <v>273507</v>
      </c>
      <c r="B378" t="s">
        <v>191</v>
      </c>
      <c r="C378">
        <v>2019</v>
      </c>
      <c r="D378">
        <v>9</v>
      </c>
      <c r="E378" t="s">
        <v>114</v>
      </c>
      <c r="F378" t="s">
        <v>108</v>
      </c>
      <c r="G378" t="s">
        <v>108</v>
      </c>
      <c r="H378" t="s">
        <v>25</v>
      </c>
      <c r="I378" t="s">
        <v>25</v>
      </c>
      <c r="J378" t="s">
        <v>138</v>
      </c>
      <c r="K378" t="s">
        <v>114</v>
      </c>
      <c r="L378" t="s">
        <v>140</v>
      </c>
      <c r="M378">
        <v>533.50070271000004</v>
      </c>
      <c r="N378">
        <v>0</v>
      </c>
      <c r="O378" t="s">
        <v>104</v>
      </c>
      <c r="P378" s="56">
        <v>44269.870334027779</v>
      </c>
      <c r="Q378">
        <v>2587008</v>
      </c>
      <c r="R378" t="s">
        <v>115</v>
      </c>
      <c r="S378">
        <v>1.3916800199999999</v>
      </c>
      <c r="W378"/>
      <c r="X378">
        <v>0</v>
      </c>
      <c r="AC378" t="s">
        <v>108</v>
      </c>
      <c r="AD378" s="56">
        <v>43709</v>
      </c>
    </row>
    <row r="379" spans="1:30" x14ac:dyDescent="0.3">
      <c r="A379">
        <v>273453</v>
      </c>
      <c r="B379" t="s">
        <v>191</v>
      </c>
      <c r="C379">
        <v>2019</v>
      </c>
      <c r="D379">
        <v>9</v>
      </c>
      <c r="E379" t="s">
        <v>110</v>
      </c>
      <c r="F379" t="s">
        <v>108</v>
      </c>
      <c r="G379" t="s">
        <v>108</v>
      </c>
      <c r="H379" t="s">
        <v>25</v>
      </c>
      <c r="I379" t="s">
        <v>25</v>
      </c>
      <c r="J379" t="s">
        <v>138</v>
      </c>
      <c r="K379" t="s">
        <v>110</v>
      </c>
      <c r="L379" t="s">
        <v>140</v>
      </c>
      <c r="M379">
        <v>1168.3183385699999</v>
      </c>
      <c r="N379">
        <v>0</v>
      </c>
      <c r="O379" t="s">
        <v>104</v>
      </c>
      <c r="P379" s="56">
        <v>44269.870331331018</v>
      </c>
      <c r="Q379">
        <v>2586738</v>
      </c>
      <c r="R379" t="s">
        <v>115</v>
      </c>
      <c r="S379">
        <v>3.1494105100000001</v>
      </c>
      <c r="W379"/>
      <c r="X379">
        <v>0</v>
      </c>
      <c r="AC379" t="s">
        <v>108</v>
      </c>
      <c r="AD379" s="56">
        <v>43709</v>
      </c>
    </row>
    <row r="380" spans="1:30" x14ac:dyDescent="0.3">
      <c r="A380">
        <v>273507</v>
      </c>
      <c r="B380" t="s">
        <v>191</v>
      </c>
      <c r="C380">
        <v>2019</v>
      </c>
      <c r="D380">
        <v>9</v>
      </c>
      <c r="E380" t="s">
        <v>114</v>
      </c>
      <c r="F380" t="s">
        <v>108</v>
      </c>
      <c r="G380" t="s">
        <v>108</v>
      </c>
      <c r="H380" t="s">
        <v>25</v>
      </c>
      <c r="I380" t="s">
        <v>25</v>
      </c>
      <c r="J380" t="s">
        <v>138</v>
      </c>
      <c r="K380" t="s">
        <v>114</v>
      </c>
      <c r="L380" t="s">
        <v>140</v>
      </c>
      <c r="M380">
        <v>533.50070271000004</v>
      </c>
      <c r="N380">
        <v>0</v>
      </c>
      <c r="O380" t="s">
        <v>104</v>
      </c>
      <c r="P380" s="56">
        <v>44269.870334027779</v>
      </c>
      <c r="Q380">
        <v>2587010</v>
      </c>
      <c r="R380" t="s">
        <v>28</v>
      </c>
      <c r="S380">
        <v>1.25240759</v>
      </c>
      <c r="W380"/>
      <c r="X380">
        <v>0</v>
      </c>
      <c r="AC380" t="s">
        <v>108</v>
      </c>
      <c r="AD380" s="56">
        <v>43709</v>
      </c>
    </row>
    <row r="381" spans="1:30" x14ac:dyDescent="0.3">
      <c r="A381">
        <v>273453</v>
      </c>
      <c r="B381" t="s">
        <v>191</v>
      </c>
      <c r="C381">
        <v>2019</v>
      </c>
      <c r="D381">
        <v>9</v>
      </c>
      <c r="E381" t="s">
        <v>110</v>
      </c>
      <c r="F381" t="s">
        <v>108</v>
      </c>
      <c r="G381" t="s">
        <v>108</v>
      </c>
      <c r="H381" t="s">
        <v>25</v>
      </c>
      <c r="I381" t="s">
        <v>25</v>
      </c>
      <c r="J381" t="s">
        <v>138</v>
      </c>
      <c r="K381" t="s">
        <v>110</v>
      </c>
      <c r="L381" t="s">
        <v>140</v>
      </c>
      <c r="M381">
        <v>1168.3183385699999</v>
      </c>
      <c r="N381">
        <v>0</v>
      </c>
      <c r="O381" t="s">
        <v>104</v>
      </c>
      <c r="P381" s="56">
        <v>44269.870331331018</v>
      </c>
      <c r="Q381">
        <v>2586740</v>
      </c>
      <c r="R381" t="s">
        <v>28</v>
      </c>
      <c r="S381">
        <v>2.9268706</v>
      </c>
      <c r="W381"/>
      <c r="X381">
        <v>0</v>
      </c>
      <c r="AC381" t="s">
        <v>108</v>
      </c>
      <c r="AD381" s="56">
        <v>43709</v>
      </c>
    </row>
    <row r="382" spans="1:30" x14ac:dyDescent="0.3">
      <c r="A382">
        <v>273480</v>
      </c>
      <c r="B382" t="s">
        <v>191</v>
      </c>
      <c r="C382">
        <v>2019</v>
      </c>
      <c r="D382">
        <v>9</v>
      </c>
      <c r="E382" t="s">
        <v>112</v>
      </c>
      <c r="F382" t="s">
        <v>108</v>
      </c>
      <c r="G382" t="s">
        <v>108</v>
      </c>
      <c r="H382" t="s">
        <v>25</v>
      </c>
      <c r="I382" t="s">
        <v>25</v>
      </c>
      <c r="J382" t="s">
        <v>138</v>
      </c>
      <c r="K382" t="s">
        <v>112</v>
      </c>
      <c r="L382" t="s">
        <v>140</v>
      </c>
      <c r="M382">
        <v>254.44613530000001</v>
      </c>
      <c r="N382">
        <v>0</v>
      </c>
      <c r="O382" t="s">
        <v>104</v>
      </c>
      <c r="P382" s="56">
        <v>44269.870332719911</v>
      </c>
      <c r="Q382">
        <v>2586875</v>
      </c>
      <c r="R382" t="s">
        <v>28</v>
      </c>
      <c r="S382">
        <v>0</v>
      </c>
      <c r="W382"/>
      <c r="X382">
        <v>0</v>
      </c>
      <c r="AC382" t="s">
        <v>108</v>
      </c>
      <c r="AD382" s="56">
        <v>43709</v>
      </c>
    </row>
    <row r="383" spans="1:30" x14ac:dyDescent="0.3">
      <c r="A383">
        <v>287325</v>
      </c>
      <c r="B383" t="s">
        <v>193</v>
      </c>
      <c r="C383">
        <v>2019</v>
      </c>
      <c r="D383">
        <v>10</v>
      </c>
      <c r="E383" t="s">
        <v>114</v>
      </c>
      <c r="F383" t="s">
        <v>108</v>
      </c>
      <c r="G383" t="s">
        <v>108</v>
      </c>
      <c r="H383" t="s">
        <v>25</v>
      </c>
      <c r="I383" t="s">
        <v>25</v>
      </c>
      <c r="J383" t="s">
        <v>138</v>
      </c>
      <c r="K383" t="s">
        <v>114</v>
      </c>
      <c r="L383" t="s">
        <v>140</v>
      </c>
      <c r="M383">
        <v>576.31545115999995</v>
      </c>
      <c r="N383">
        <v>0</v>
      </c>
      <c r="O383" t="s">
        <v>104</v>
      </c>
      <c r="P383" s="56">
        <v>44269.87196944443</v>
      </c>
      <c r="Q383">
        <v>2717716</v>
      </c>
      <c r="R383" t="s">
        <v>26</v>
      </c>
      <c r="S383">
        <v>208.74973412</v>
      </c>
      <c r="W383"/>
      <c r="X383">
        <v>0</v>
      </c>
      <c r="AC383" t="s">
        <v>108</v>
      </c>
      <c r="AD383" s="56">
        <v>43739</v>
      </c>
    </row>
    <row r="384" spans="1:30" x14ac:dyDescent="0.3">
      <c r="A384">
        <v>287271</v>
      </c>
      <c r="B384" t="s">
        <v>193</v>
      </c>
      <c r="C384">
        <v>2019</v>
      </c>
      <c r="D384">
        <v>10</v>
      </c>
      <c r="E384" t="s">
        <v>110</v>
      </c>
      <c r="F384" t="s">
        <v>108</v>
      </c>
      <c r="G384" t="s">
        <v>108</v>
      </c>
      <c r="H384" t="s">
        <v>25</v>
      </c>
      <c r="I384" t="s">
        <v>25</v>
      </c>
      <c r="J384" t="s">
        <v>138</v>
      </c>
      <c r="K384" t="s">
        <v>110</v>
      </c>
      <c r="L384" t="s">
        <v>140</v>
      </c>
      <c r="M384">
        <v>1469.1859072899999</v>
      </c>
      <c r="N384">
        <v>0</v>
      </c>
      <c r="O384" t="s">
        <v>104</v>
      </c>
      <c r="P384" s="56">
        <v>44269.871966747683</v>
      </c>
      <c r="Q384">
        <v>2717446</v>
      </c>
      <c r="R384" t="s">
        <v>26</v>
      </c>
      <c r="S384">
        <v>502.18049937000001</v>
      </c>
      <c r="W384"/>
      <c r="X384">
        <v>0</v>
      </c>
      <c r="AC384" t="s">
        <v>108</v>
      </c>
      <c r="AD384" s="56">
        <v>43739</v>
      </c>
    </row>
    <row r="385" spans="1:30" x14ac:dyDescent="0.3">
      <c r="A385">
        <v>287298</v>
      </c>
      <c r="B385" t="s">
        <v>193</v>
      </c>
      <c r="C385">
        <v>2019</v>
      </c>
      <c r="D385">
        <v>10</v>
      </c>
      <c r="E385" t="s">
        <v>112</v>
      </c>
      <c r="F385" t="s">
        <v>108</v>
      </c>
      <c r="G385" t="s">
        <v>108</v>
      </c>
      <c r="H385" t="s">
        <v>25</v>
      </c>
      <c r="I385" t="s">
        <v>25</v>
      </c>
      <c r="J385" t="s">
        <v>138</v>
      </c>
      <c r="K385" t="s">
        <v>112</v>
      </c>
      <c r="L385" t="s">
        <v>140</v>
      </c>
      <c r="M385">
        <v>290.75618709000003</v>
      </c>
      <c r="N385">
        <v>0</v>
      </c>
      <c r="O385" t="s">
        <v>104</v>
      </c>
      <c r="P385" s="56">
        <v>44269.871968136576</v>
      </c>
      <c r="Q385">
        <v>2717581</v>
      </c>
      <c r="R385" t="s">
        <v>26</v>
      </c>
      <c r="S385">
        <v>126.87826488</v>
      </c>
      <c r="W385"/>
      <c r="X385">
        <v>0</v>
      </c>
      <c r="AC385" t="s">
        <v>108</v>
      </c>
      <c r="AD385" s="56">
        <v>43739</v>
      </c>
    </row>
    <row r="386" spans="1:30" x14ac:dyDescent="0.3">
      <c r="A386">
        <v>287325</v>
      </c>
      <c r="B386" t="s">
        <v>193</v>
      </c>
      <c r="C386">
        <v>2019</v>
      </c>
      <c r="D386">
        <v>10</v>
      </c>
      <c r="E386" t="s">
        <v>114</v>
      </c>
      <c r="F386" t="s">
        <v>108</v>
      </c>
      <c r="G386" t="s">
        <v>108</v>
      </c>
      <c r="H386" t="s">
        <v>25</v>
      </c>
      <c r="I386" t="s">
        <v>25</v>
      </c>
      <c r="J386" t="s">
        <v>138</v>
      </c>
      <c r="K386" t="s">
        <v>114</v>
      </c>
      <c r="L386" t="s">
        <v>140</v>
      </c>
      <c r="M386">
        <v>576.31545115999995</v>
      </c>
      <c r="N386">
        <v>0</v>
      </c>
      <c r="O386" t="s">
        <v>104</v>
      </c>
      <c r="P386" s="56">
        <v>44269.87196944443</v>
      </c>
      <c r="Q386">
        <v>2717719</v>
      </c>
      <c r="R386" t="s">
        <v>105</v>
      </c>
      <c r="S386">
        <v>58.480513459999997</v>
      </c>
      <c r="W386"/>
      <c r="X386">
        <v>0</v>
      </c>
      <c r="AC386" t="s">
        <v>108</v>
      </c>
      <c r="AD386" s="56">
        <v>43739</v>
      </c>
    </row>
    <row r="387" spans="1:30" x14ac:dyDescent="0.3">
      <c r="A387">
        <v>287298</v>
      </c>
      <c r="B387" t="s">
        <v>193</v>
      </c>
      <c r="C387">
        <v>2019</v>
      </c>
      <c r="D387">
        <v>10</v>
      </c>
      <c r="E387" t="s">
        <v>112</v>
      </c>
      <c r="F387" t="s">
        <v>108</v>
      </c>
      <c r="G387" t="s">
        <v>108</v>
      </c>
      <c r="H387" t="s">
        <v>25</v>
      </c>
      <c r="I387" t="s">
        <v>25</v>
      </c>
      <c r="J387" t="s">
        <v>138</v>
      </c>
      <c r="K387" t="s">
        <v>112</v>
      </c>
      <c r="L387" t="s">
        <v>140</v>
      </c>
      <c r="M387">
        <v>290.75618709000003</v>
      </c>
      <c r="N387">
        <v>0</v>
      </c>
      <c r="O387" t="s">
        <v>104</v>
      </c>
      <c r="P387" s="56">
        <v>44269.871968136576</v>
      </c>
      <c r="Q387">
        <v>2717584</v>
      </c>
      <c r="R387" t="s">
        <v>105</v>
      </c>
      <c r="S387">
        <v>29.443453640000001</v>
      </c>
      <c r="W387"/>
      <c r="X387">
        <v>0</v>
      </c>
      <c r="AC387" t="s">
        <v>108</v>
      </c>
      <c r="AD387" s="56">
        <v>43739</v>
      </c>
    </row>
    <row r="388" spans="1:30" x14ac:dyDescent="0.3">
      <c r="A388">
        <v>287271</v>
      </c>
      <c r="B388" t="s">
        <v>193</v>
      </c>
      <c r="C388">
        <v>2019</v>
      </c>
      <c r="D388">
        <v>10</v>
      </c>
      <c r="E388" t="s">
        <v>110</v>
      </c>
      <c r="F388" t="s">
        <v>108</v>
      </c>
      <c r="G388" t="s">
        <v>108</v>
      </c>
      <c r="H388" t="s">
        <v>25</v>
      </c>
      <c r="I388" t="s">
        <v>25</v>
      </c>
      <c r="J388" t="s">
        <v>138</v>
      </c>
      <c r="K388" t="s">
        <v>110</v>
      </c>
      <c r="L388" t="s">
        <v>140</v>
      </c>
      <c r="M388">
        <v>1469.1859072899999</v>
      </c>
      <c r="N388">
        <v>0</v>
      </c>
      <c r="O388" t="s">
        <v>104</v>
      </c>
      <c r="P388" s="56">
        <v>44269.871966747683</v>
      </c>
      <c r="Q388">
        <v>2717449</v>
      </c>
      <c r="R388" t="s">
        <v>105</v>
      </c>
      <c r="S388">
        <v>174.92627784000001</v>
      </c>
      <c r="W388"/>
      <c r="X388">
        <v>0</v>
      </c>
      <c r="AC388" t="s">
        <v>108</v>
      </c>
      <c r="AD388" s="56">
        <v>43739</v>
      </c>
    </row>
    <row r="389" spans="1:30" x14ac:dyDescent="0.3">
      <c r="A389">
        <v>287298</v>
      </c>
      <c r="B389" t="s">
        <v>193</v>
      </c>
      <c r="C389">
        <v>2019</v>
      </c>
      <c r="D389">
        <v>10</v>
      </c>
      <c r="E389" t="s">
        <v>112</v>
      </c>
      <c r="F389" t="s">
        <v>108</v>
      </c>
      <c r="G389" t="s">
        <v>108</v>
      </c>
      <c r="H389" t="s">
        <v>25</v>
      </c>
      <c r="I389" t="s">
        <v>25</v>
      </c>
      <c r="J389" t="s">
        <v>138</v>
      </c>
      <c r="K389" t="s">
        <v>112</v>
      </c>
      <c r="L389" t="s">
        <v>140</v>
      </c>
      <c r="M389">
        <v>290.75618709000003</v>
      </c>
      <c r="N389">
        <v>0</v>
      </c>
      <c r="O389" t="s">
        <v>104</v>
      </c>
      <c r="P389" s="56">
        <v>44269.871968136576</v>
      </c>
      <c r="Q389">
        <v>2717583</v>
      </c>
      <c r="R389" t="s">
        <v>27</v>
      </c>
      <c r="S389">
        <v>140.63293340999999</v>
      </c>
      <c r="W389"/>
      <c r="X389">
        <v>0</v>
      </c>
      <c r="AC389" t="s">
        <v>108</v>
      </c>
      <c r="AD389" s="56">
        <v>43739</v>
      </c>
    </row>
    <row r="390" spans="1:30" x14ac:dyDescent="0.3">
      <c r="A390">
        <v>287271</v>
      </c>
      <c r="B390" t="s">
        <v>193</v>
      </c>
      <c r="C390">
        <v>2019</v>
      </c>
      <c r="D390">
        <v>10</v>
      </c>
      <c r="E390" t="s">
        <v>110</v>
      </c>
      <c r="F390" t="s">
        <v>108</v>
      </c>
      <c r="G390" t="s">
        <v>108</v>
      </c>
      <c r="H390" t="s">
        <v>25</v>
      </c>
      <c r="I390" t="s">
        <v>25</v>
      </c>
      <c r="J390" t="s">
        <v>138</v>
      </c>
      <c r="K390" t="s">
        <v>110</v>
      </c>
      <c r="L390" t="s">
        <v>140</v>
      </c>
      <c r="M390">
        <v>1469.1859072899999</v>
      </c>
      <c r="N390">
        <v>0</v>
      </c>
      <c r="O390" t="s">
        <v>104</v>
      </c>
      <c r="P390" s="56">
        <v>44269.871966747683</v>
      </c>
      <c r="Q390">
        <v>2717448</v>
      </c>
      <c r="R390" t="s">
        <v>27</v>
      </c>
      <c r="S390">
        <v>815.75880739000002</v>
      </c>
      <c r="W390"/>
      <c r="X390">
        <v>0</v>
      </c>
      <c r="AC390" t="s">
        <v>108</v>
      </c>
      <c r="AD390" s="56">
        <v>43739</v>
      </c>
    </row>
    <row r="391" spans="1:30" x14ac:dyDescent="0.3">
      <c r="A391">
        <v>287325</v>
      </c>
      <c r="B391" t="s">
        <v>193</v>
      </c>
      <c r="C391">
        <v>2019</v>
      </c>
      <c r="D391">
        <v>10</v>
      </c>
      <c r="E391" t="s">
        <v>114</v>
      </c>
      <c r="F391" t="s">
        <v>108</v>
      </c>
      <c r="G391" t="s">
        <v>108</v>
      </c>
      <c r="H391" t="s">
        <v>25</v>
      </c>
      <c r="I391" t="s">
        <v>25</v>
      </c>
      <c r="J391" t="s">
        <v>138</v>
      </c>
      <c r="K391" t="s">
        <v>114</v>
      </c>
      <c r="L391" t="s">
        <v>140</v>
      </c>
      <c r="M391">
        <v>576.31545115999995</v>
      </c>
      <c r="N391">
        <v>0</v>
      </c>
      <c r="O391" t="s">
        <v>104</v>
      </c>
      <c r="P391" s="56">
        <v>44269.87196944443</v>
      </c>
      <c r="Q391">
        <v>2717718</v>
      </c>
      <c r="R391" t="s">
        <v>27</v>
      </c>
      <c r="S391">
        <v>318.51506085</v>
      </c>
      <c r="W391"/>
      <c r="X391">
        <v>0</v>
      </c>
      <c r="AC391" t="s">
        <v>108</v>
      </c>
      <c r="AD391" s="56">
        <v>43739</v>
      </c>
    </row>
    <row r="392" spans="1:30" x14ac:dyDescent="0.3">
      <c r="A392">
        <v>287298</v>
      </c>
      <c r="B392" t="s">
        <v>193</v>
      </c>
      <c r="C392">
        <v>2019</v>
      </c>
      <c r="D392">
        <v>10</v>
      </c>
      <c r="E392" t="s">
        <v>112</v>
      </c>
      <c r="F392" t="s">
        <v>108</v>
      </c>
      <c r="G392" t="s">
        <v>108</v>
      </c>
      <c r="H392" t="s">
        <v>25</v>
      </c>
      <c r="I392" t="s">
        <v>25</v>
      </c>
      <c r="J392" t="s">
        <v>138</v>
      </c>
      <c r="K392" t="s">
        <v>112</v>
      </c>
      <c r="L392" t="s">
        <v>140</v>
      </c>
      <c r="M392">
        <v>290.75618709000003</v>
      </c>
      <c r="N392">
        <v>0</v>
      </c>
      <c r="O392" t="s">
        <v>104</v>
      </c>
      <c r="P392" s="56">
        <v>44269.871968136576</v>
      </c>
      <c r="Q392">
        <v>2717580</v>
      </c>
      <c r="R392" t="s">
        <v>115</v>
      </c>
      <c r="S392">
        <v>0</v>
      </c>
      <c r="W392"/>
      <c r="X392">
        <v>0</v>
      </c>
      <c r="AC392" t="s">
        <v>108</v>
      </c>
      <c r="AD392" s="56">
        <v>43739</v>
      </c>
    </row>
    <row r="393" spans="1:30" x14ac:dyDescent="0.3">
      <c r="A393">
        <v>287325</v>
      </c>
      <c r="B393" t="s">
        <v>193</v>
      </c>
      <c r="C393">
        <v>2019</v>
      </c>
      <c r="D393">
        <v>10</v>
      </c>
      <c r="E393" t="s">
        <v>114</v>
      </c>
      <c r="F393" t="s">
        <v>108</v>
      </c>
      <c r="G393" t="s">
        <v>108</v>
      </c>
      <c r="H393" t="s">
        <v>25</v>
      </c>
      <c r="I393" t="s">
        <v>25</v>
      </c>
      <c r="J393" t="s">
        <v>138</v>
      </c>
      <c r="K393" t="s">
        <v>114</v>
      </c>
      <c r="L393" t="s">
        <v>140</v>
      </c>
      <c r="M393">
        <v>576.31545115999995</v>
      </c>
      <c r="N393">
        <v>0</v>
      </c>
      <c r="O393" t="s">
        <v>104</v>
      </c>
      <c r="P393" s="56">
        <v>44269.87196944443</v>
      </c>
      <c r="Q393">
        <v>2717715</v>
      </c>
      <c r="R393" t="s">
        <v>115</v>
      </c>
      <c r="S393">
        <v>1.50336578</v>
      </c>
      <c r="W393"/>
      <c r="X393">
        <v>0</v>
      </c>
      <c r="AC393" t="s">
        <v>108</v>
      </c>
      <c r="AD393" s="56">
        <v>43739</v>
      </c>
    </row>
    <row r="394" spans="1:30" x14ac:dyDescent="0.3">
      <c r="A394">
        <v>287271</v>
      </c>
      <c r="B394" t="s">
        <v>193</v>
      </c>
      <c r="C394">
        <v>2019</v>
      </c>
      <c r="D394">
        <v>10</v>
      </c>
      <c r="E394" t="s">
        <v>110</v>
      </c>
      <c r="F394" t="s">
        <v>108</v>
      </c>
      <c r="G394" t="s">
        <v>108</v>
      </c>
      <c r="H394" t="s">
        <v>25</v>
      </c>
      <c r="I394" t="s">
        <v>25</v>
      </c>
      <c r="J394" t="s">
        <v>138</v>
      </c>
      <c r="K394" t="s">
        <v>110</v>
      </c>
      <c r="L394" t="s">
        <v>140</v>
      </c>
      <c r="M394">
        <v>1469.1859072899999</v>
      </c>
      <c r="N394">
        <v>0</v>
      </c>
      <c r="O394" t="s">
        <v>104</v>
      </c>
      <c r="P394" s="56">
        <v>44269.871966747683</v>
      </c>
      <c r="Q394">
        <v>2717445</v>
      </c>
      <c r="R394" t="s">
        <v>115</v>
      </c>
      <c r="S394">
        <v>3.9604527200000001</v>
      </c>
      <c r="W394"/>
      <c r="X394">
        <v>0</v>
      </c>
      <c r="AC394" t="s">
        <v>108</v>
      </c>
      <c r="AD394" s="56">
        <v>43739</v>
      </c>
    </row>
    <row r="395" spans="1:30" x14ac:dyDescent="0.3">
      <c r="A395">
        <v>287298</v>
      </c>
      <c r="B395" t="s">
        <v>193</v>
      </c>
      <c r="C395">
        <v>2019</v>
      </c>
      <c r="D395">
        <v>10</v>
      </c>
      <c r="E395" t="s">
        <v>112</v>
      </c>
      <c r="F395" t="s">
        <v>108</v>
      </c>
      <c r="G395" t="s">
        <v>108</v>
      </c>
      <c r="H395" t="s">
        <v>25</v>
      </c>
      <c r="I395" t="s">
        <v>25</v>
      </c>
      <c r="J395" t="s">
        <v>138</v>
      </c>
      <c r="K395" t="s">
        <v>112</v>
      </c>
      <c r="L395" t="s">
        <v>140</v>
      </c>
      <c r="M395">
        <v>290.75618709000003</v>
      </c>
      <c r="N395">
        <v>0</v>
      </c>
      <c r="O395" t="s">
        <v>104</v>
      </c>
      <c r="P395" s="56">
        <v>44269.871968136576</v>
      </c>
      <c r="Q395">
        <v>2717582</v>
      </c>
      <c r="R395" t="s">
        <v>28</v>
      </c>
      <c r="S395">
        <v>0</v>
      </c>
      <c r="W395"/>
      <c r="X395">
        <v>0</v>
      </c>
      <c r="AC395" t="s">
        <v>108</v>
      </c>
      <c r="AD395" s="56">
        <v>43739</v>
      </c>
    </row>
    <row r="396" spans="1:30" x14ac:dyDescent="0.3">
      <c r="A396">
        <v>287271</v>
      </c>
      <c r="B396" t="s">
        <v>193</v>
      </c>
      <c r="C396">
        <v>2019</v>
      </c>
      <c r="D396">
        <v>10</v>
      </c>
      <c r="E396" t="s">
        <v>110</v>
      </c>
      <c r="F396" t="s">
        <v>108</v>
      </c>
      <c r="G396" t="s">
        <v>108</v>
      </c>
      <c r="H396" t="s">
        <v>25</v>
      </c>
      <c r="I396" t="s">
        <v>25</v>
      </c>
      <c r="J396" t="s">
        <v>138</v>
      </c>
      <c r="K396" t="s">
        <v>110</v>
      </c>
      <c r="L396" t="s">
        <v>140</v>
      </c>
      <c r="M396">
        <v>1469.1859072899999</v>
      </c>
      <c r="N396">
        <v>0</v>
      </c>
      <c r="O396" t="s">
        <v>104</v>
      </c>
      <c r="P396" s="56">
        <v>44269.871966747683</v>
      </c>
      <c r="Q396">
        <v>2717447</v>
      </c>
      <c r="R396" t="s">
        <v>28</v>
      </c>
      <c r="S396">
        <v>3.6806039099999999</v>
      </c>
      <c r="W396"/>
      <c r="X396">
        <v>0</v>
      </c>
      <c r="AC396" t="s">
        <v>108</v>
      </c>
      <c r="AD396" s="56">
        <v>43739</v>
      </c>
    </row>
    <row r="397" spans="1:30" x14ac:dyDescent="0.3">
      <c r="A397">
        <v>287325</v>
      </c>
      <c r="B397" t="s">
        <v>193</v>
      </c>
      <c r="C397">
        <v>2019</v>
      </c>
      <c r="D397">
        <v>10</v>
      </c>
      <c r="E397" t="s">
        <v>114</v>
      </c>
      <c r="F397" t="s">
        <v>108</v>
      </c>
      <c r="G397" t="s">
        <v>108</v>
      </c>
      <c r="H397" t="s">
        <v>25</v>
      </c>
      <c r="I397" t="s">
        <v>25</v>
      </c>
      <c r="J397" t="s">
        <v>138</v>
      </c>
      <c r="K397" t="s">
        <v>114</v>
      </c>
      <c r="L397" t="s">
        <v>140</v>
      </c>
      <c r="M397">
        <v>576.31545115999995</v>
      </c>
      <c r="N397">
        <v>0</v>
      </c>
      <c r="O397" t="s">
        <v>104</v>
      </c>
      <c r="P397" s="56">
        <v>44269.87196944443</v>
      </c>
      <c r="Q397">
        <v>2717717</v>
      </c>
      <c r="R397" t="s">
        <v>28</v>
      </c>
      <c r="S397">
        <v>1.3529163900000001</v>
      </c>
      <c r="W397"/>
      <c r="X397">
        <v>0</v>
      </c>
      <c r="AC397" t="s">
        <v>108</v>
      </c>
      <c r="AD397" s="56">
        <v>43739</v>
      </c>
    </row>
    <row r="398" spans="1:30" x14ac:dyDescent="0.3">
      <c r="A398">
        <v>301116</v>
      </c>
      <c r="B398" t="s">
        <v>192</v>
      </c>
      <c r="C398">
        <v>2019</v>
      </c>
      <c r="D398">
        <v>11</v>
      </c>
      <c r="E398" t="s">
        <v>112</v>
      </c>
      <c r="F398" t="s">
        <v>108</v>
      </c>
      <c r="G398" t="s">
        <v>108</v>
      </c>
      <c r="H398" t="s">
        <v>25</v>
      </c>
      <c r="I398" t="s">
        <v>25</v>
      </c>
      <c r="J398" t="s">
        <v>138</v>
      </c>
      <c r="K398" t="s">
        <v>112</v>
      </c>
      <c r="L398" t="s">
        <v>140</v>
      </c>
      <c r="M398">
        <v>633.19527639</v>
      </c>
      <c r="N398">
        <v>0</v>
      </c>
      <c r="O398" t="s">
        <v>104</v>
      </c>
      <c r="P398" s="56">
        <v>44269.873618055557</v>
      </c>
      <c r="Q398">
        <v>2848288</v>
      </c>
      <c r="R398" t="s">
        <v>26</v>
      </c>
      <c r="S398">
        <v>276.30957332000003</v>
      </c>
      <c r="W398"/>
      <c r="X398">
        <v>0</v>
      </c>
      <c r="AC398" t="s">
        <v>108</v>
      </c>
      <c r="AD398" s="56">
        <v>43770</v>
      </c>
    </row>
    <row r="399" spans="1:30" x14ac:dyDescent="0.3">
      <c r="A399">
        <v>301089</v>
      </c>
      <c r="B399" t="s">
        <v>192</v>
      </c>
      <c r="C399">
        <v>2019</v>
      </c>
      <c r="D399">
        <v>11</v>
      </c>
      <c r="E399" t="s">
        <v>110</v>
      </c>
      <c r="F399" t="s">
        <v>108</v>
      </c>
      <c r="G399" t="s">
        <v>108</v>
      </c>
      <c r="H399" t="s">
        <v>25</v>
      </c>
      <c r="I399" t="s">
        <v>25</v>
      </c>
      <c r="J399" t="s">
        <v>138</v>
      </c>
      <c r="K399" t="s">
        <v>110</v>
      </c>
      <c r="L399" t="s">
        <v>140</v>
      </c>
      <c r="M399">
        <v>1777.6837430800001</v>
      </c>
      <c r="N399">
        <v>0</v>
      </c>
      <c r="O399" t="s">
        <v>104</v>
      </c>
      <c r="P399" s="56">
        <v>44269.873616666657</v>
      </c>
      <c r="Q399">
        <v>2848153</v>
      </c>
      <c r="R399" t="s">
        <v>26</v>
      </c>
      <c r="S399">
        <v>607.62773818999995</v>
      </c>
      <c r="W399"/>
      <c r="X399">
        <v>0</v>
      </c>
      <c r="AC399" t="s">
        <v>108</v>
      </c>
      <c r="AD399" s="56">
        <v>43770</v>
      </c>
    </row>
    <row r="400" spans="1:30" x14ac:dyDescent="0.3">
      <c r="A400">
        <v>301143</v>
      </c>
      <c r="B400" t="s">
        <v>192</v>
      </c>
      <c r="C400">
        <v>2019</v>
      </c>
      <c r="D400">
        <v>11</v>
      </c>
      <c r="E400" t="s">
        <v>114</v>
      </c>
      <c r="F400" t="s">
        <v>108</v>
      </c>
      <c r="G400" t="s">
        <v>108</v>
      </c>
      <c r="H400" t="s">
        <v>25</v>
      </c>
      <c r="I400" t="s">
        <v>25</v>
      </c>
      <c r="J400" t="s">
        <v>138</v>
      </c>
      <c r="K400" t="s">
        <v>114</v>
      </c>
      <c r="L400" t="s">
        <v>140</v>
      </c>
      <c r="M400">
        <v>555.24552490999997</v>
      </c>
      <c r="N400">
        <v>0</v>
      </c>
      <c r="O400" t="s">
        <v>104</v>
      </c>
      <c r="P400" s="56">
        <v>44269.873619479164</v>
      </c>
      <c r="Q400">
        <v>2848423</v>
      </c>
      <c r="R400" t="s">
        <v>26</v>
      </c>
      <c r="S400">
        <v>201.1179042</v>
      </c>
      <c r="W400"/>
      <c r="X400">
        <v>0</v>
      </c>
      <c r="AC400" t="s">
        <v>108</v>
      </c>
      <c r="AD400" s="56">
        <v>43770</v>
      </c>
    </row>
    <row r="401" spans="1:30" x14ac:dyDescent="0.3">
      <c r="A401">
        <v>301143</v>
      </c>
      <c r="B401" t="s">
        <v>192</v>
      </c>
      <c r="C401">
        <v>2019</v>
      </c>
      <c r="D401">
        <v>11</v>
      </c>
      <c r="E401" t="s">
        <v>114</v>
      </c>
      <c r="F401" t="s">
        <v>108</v>
      </c>
      <c r="G401" t="s">
        <v>108</v>
      </c>
      <c r="H401" t="s">
        <v>25</v>
      </c>
      <c r="I401" t="s">
        <v>25</v>
      </c>
      <c r="J401" t="s">
        <v>138</v>
      </c>
      <c r="K401" t="s">
        <v>114</v>
      </c>
      <c r="L401" t="s">
        <v>140</v>
      </c>
      <c r="M401">
        <v>555.24552490999997</v>
      </c>
      <c r="N401">
        <v>0</v>
      </c>
      <c r="O401" t="s">
        <v>104</v>
      </c>
      <c r="P401" s="56">
        <v>44269.873619479164</v>
      </c>
      <c r="Q401">
        <v>2848426</v>
      </c>
      <c r="R401" t="s">
        <v>105</v>
      </c>
      <c r="S401">
        <v>56.342482789999998</v>
      </c>
      <c r="W401"/>
      <c r="X401">
        <v>0</v>
      </c>
      <c r="AC401" t="s">
        <v>108</v>
      </c>
      <c r="AD401" s="56">
        <v>43770</v>
      </c>
    </row>
    <row r="402" spans="1:30" x14ac:dyDescent="0.3">
      <c r="A402">
        <v>301116</v>
      </c>
      <c r="B402" t="s">
        <v>192</v>
      </c>
      <c r="C402">
        <v>2019</v>
      </c>
      <c r="D402">
        <v>11</v>
      </c>
      <c r="E402" t="s">
        <v>112</v>
      </c>
      <c r="F402" t="s">
        <v>108</v>
      </c>
      <c r="G402" t="s">
        <v>108</v>
      </c>
      <c r="H402" t="s">
        <v>25</v>
      </c>
      <c r="I402" t="s">
        <v>25</v>
      </c>
      <c r="J402" t="s">
        <v>138</v>
      </c>
      <c r="K402" t="s">
        <v>112</v>
      </c>
      <c r="L402" t="s">
        <v>140</v>
      </c>
      <c r="M402">
        <v>633.19527639</v>
      </c>
      <c r="N402">
        <v>0</v>
      </c>
      <c r="O402" t="s">
        <v>104</v>
      </c>
      <c r="P402" s="56">
        <v>44269.873618055557</v>
      </c>
      <c r="Q402">
        <v>2848291</v>
      </c>
      <c r="R402" t="s">
        <v>105</v>
      </c>
      <c r="S402">
        <v>64.120581400000006</v>
      </c>
      <c r="W402"/>
      <c r="X402">
        <v>0</v>
      </c>
      <c r="AC402" t="s">
        <v>108</v>
      </c>
      <c r="AD402" s="56">
        <v>43770</v>
      </c>
    </row>
    <row r="403" spans="1:30" x14ac:dyDescent="0.3">
      <c r="A403">
        <v>301089</v>
      </c>
      <c r="B403" t="s">
        <v>192</v>
      </c>
      <c r="C403">
        <v>2019</v>
      </c>
      <c r="D403">
        <v>11</v>
      </c>
      <c r="E403" t="s">
        <v>110</v>
      </c>
      <c r="F403" t="s">
        <v>108</v>
      </c>
      <c r="G403" t="s">
        <v>108</v>
      </c>
      <c r="H403" t="s">
        <v>25</v>
      </c>
      <c r="I403" t="s">
        <v>25</v>
      </c>
      <c r="J403" t="s">
        <v>138</v>
      </c>
      <c r="K403" t="s">
        <v>110</v>
      </c>
      <c r="L403" t="s">
        <v>140</v>
      </c>
      <c r="M403">
        <v>1777.6837430800001</v>
      </c>
      <c r="N403">
        <v>0</v>
      </c>
      <c r="O403" t="s">
        <v>104</v>
      </c>
      <c r="P403" s="56">
        <v>44269.873616666657</v>
      </c>
      <c r="Q403">
        <v>2848156</v>
      </c>
      <c r="R403" t="s">
        <v>105</v>
      </c>
      <c r="S403">
        <v>211.65708083999999</v>
      </c>
      <c r="W403"/>
      <c r="X403">
        <v>0</v>
      </c>
      <c r="AC403" t="s">
        <v>108</v>
      </c>
      <c r="AD403" s="56">
        <v>43770</v>
      </c>
    </row>
    <row r="404" spans="1:30" x14ac:dyDescent="0.3">
      <c r="A404">
        <v>301116</v>
      </c>
      <c r="B404" t="s">
        <v>192</v>
      </c>
      <c r="C404">
        <v>2019</v>
      </c>
      <c r="D404">
        <v>11</v>
      </c>
      <c r="E404" t="s">
        <v>112</v>
      </c>
      <c r="F404" t="s">
        <v>108</v>
      </c>
      <c r="G404" t="s">
        <v>108</v>
      </c>
      <c r="H404" t="s">
        <v>25</v>
      </c>
      <c r="I404" t="s">
        <v>25</v>
      </c>
      <c r="J404" t="s">
        <v>138</v>
      </c>
      <c r="K404" t="s">
        <v>112</v>
      </c>
      <c r="L404" t="s">
        <v>140</v>
      </c>
      <c r="M404">
        <v>633.19527639</v>
      </c>
      <c r="N404">
        <v>0</v>
      </c>
      <c r="O404" t="s">
        <v>104</v>
      </c>
      <c r="P404" s="56">
        <v>44269.873618055557</v>
      </c>
      <c r="Q404">
        <v>2848290</v>
      </c>
      <c r="R404" t="s">
        <v>27</v>
      </c>
      <c r="S404">
        <v>306.26384954999997</v>
      </c>
      <c r="W404"/>
      <c r="X404">
        <v>0</v>
      </c>
      <c r="AC404" t="s">
        <v>108</v>
      </c>
      <c r="AD404" s="56">
        <v>43770</v>
      </c>
    </row>
    <row r="405" spans="1:30" x14ac:dyDescent="0.3">
      <c r="A405">
        <v>301143</v>
      </c>
      <c r="B405" t="s">
        <v>192</v>
      </c>
      <c r="C405">
        <v>2019</v>
      </c>
      <c r="D405">
        <v>11</v>
      </c>
      <c r="E405" t="s">
        <v>114</v>
      </c>
      <c r="F405" t="s">
        <v>108</v>
      </c>
      <c r="G405" t="s">
        <v>108</v>
      </c>
      <c r="H405" t="s">
        <v>25</v>
      </c>
      <c r="I405" t="s">
        <v>25</v>
      </c>
      <c r="J405" t="s">
        <v>138</v>
      </c>
      <c r="K405" t="s">
        <v>114</v>
      </c>
      <c r="L405" t="s">
        <v>140</v>
      </c>
      <c r="M405">
        <v>555.24552490999997</v>
      </c>
      <c r="N405">
        <v>0</v>
      </c>
      <c r="O405" t="s">
        <v>104</v>
      </c>
      <c r="P405" s="56">
        <v>44269.873619479164</v>
      </c>
      <c r="Q405">
        <v>2848425</v>
      </c>
      <c r="R405" t="s">
        <v>27</v>
      </c>
      <c r="S405">
        <v>306.87024231999999</v>
      </c>
      <c r="W405"/>
      <c r="X405">
        <v>0</v>
      </c>
      <c r="AC405" t="s">
        <v>108</v>
      </c>
      <c r="AD405" s="56">
        <v>43770</v>
      </c>
    </row>
    <row r="406" spans="1:30" x14ac:dyDescent="0.3">
      <c r="A406">
        <v>301089</v>
      </c>
      <c r="B406" t="s">
        <v>192</v>
      </c>
      <c r="C406">
        <v>2019</v>
      </c>
      <c r="D406">
        <v>11</v>
      </c>
      <c r="E406" t="s">
        <v>110</v>
      </c>
      <c r="F406" t="s">
        <v>108</v>
      </c>
      <c r="G406" t="s">
        <v>108</v>
      </c>
      <c r="H406" t="s">
        <v>25</v>
      </c>
      <c r="I406" t="s">
        <v>25</v>
      </c>
      <c r="J406" t="s">
        <v>138</v>
      </c>
      <c r="K406" t="s">
        <v>110</v>
      </c>
      <c r="L406" t="s">
        <v>140</v>
      </c>
      <c r="M406">
        <v>1777.6837430800001</v>
      </c>
      <c r="N406">
        <v>0</v>
      </c>
      <c r="O406" t="s">
        <v>104</v>
      </c>
      <c r="P406" s="56">
        <v>44269.873616666657</v>
      </c>
      <c r="Q406">
        <v>2848155</v>
      </c>
      <c r="R406" t="s">
        <v>27</v>
      </c>
      <c r="S406">
        <v>987.05083065999997</v>
      </c>
      <c r="W406"/>
      <c r="X406">
        <v>0</v>
      </c>
      <c r="AC406" t="s">
        <v>108</v>
      </c>
      <c r="AD406" s="56">
        <v>43770</v>
      </c>
    </row>
    <row r="407" spans="1:30" x14ac:dyDescent="0.3">
      <c r="A407">
        <v>301089</v>
      </c>
      <c r="B407" t="s">
        <v>192</v>
      </c>
      <c r="C407">
        <v>2019</v>
      </c>
      <c r="D407">
        <v>11</v>
      </c>
      <c r="E407" t="s">
        <v>110</v>
      </c>
      <c r="F407" t="s">
        <v>108</v>
      </c>
      <c r="G407" t="s">
        <v>108</v>
      </c>
      <c r="H407" t="s">
        <v>25</v>
      </c>
      <c r="I407" t="s">
        <v>25</v>
      </c>
      <c r="J407" t="s">
        <v>138</v>
      </c>
      <c r="K407" t="s">
        <v>110</v>
      </c>
      <c r="L407" t="s">
        <v>140</v>
      </c>
      <c r="M407">
        <v>1777.6837430800001</v>
      </c>
      <c r="N407">
        <v>0</v>
      </c>
      <c r="O407" t="s">
        <v>104</v>
      </c>
      <c r="P407" s="56">
        <v>44269.873616666657</v>
      </c>
      <c r="Q407">
        <v>2848152</v>
      </c>
      <c r="R407" t="s">
        <v>115</v>
      </c>
      <c r="S407">
        <v>4.7920636700000001</v>
      </c>
      <c r="W407"/>
      <c r="X407">
        <v>0</v>
      </c>
      <c r="AC407" t="s">
        <v>108</v>
      </c>
      <c r="AD407" s="56">
        <v>43770</v>
      </c>
    </row>
    <row r="408" spans="1:30" x14ac:dyDescent="0.3">
      <c r="A408">
        <v>301143</v>
      </c>
      <c r="B408" t="s">
        <v>192</v>
      </c>
      <c r="C408">
        <v>2019</v>
      </c>
      <c r="D408">
        <v>11</v>
      </c>
      <c r="E408" t="s">
        <v>114</v>
      </c>
      <c r="F408" t="s">
        <v>108</v>
      </c>
      <c r="G408" t="s">
        <v>108</v>
      </c>
      <c r="H408" t="s">
        <v>25</v>
      </c>
      <c r="I408" t="s">
        <v>25</v>
      </c>
      <c r="J408" t="s">
        <v>138</v>
      </c>
      <c r="K408" t="s">
        <v>114</v>
      </c>
      <c r="L408" t="s">
        <v>140</v>
      </c>
      <c r="M408">
        <v>555.24552490999997</v>
      </c>
      <c r="N408">
        <v>0</v>
      </c>
      <c r="O408" t="s">
        <v>104</v>
      </c>
      <c r="P408" s="56">
        <v>44269.873619479164</v>
      </c>
      <c r="Q408">
        <v>2848422</v>
      </c>
      <c r="R408" t="s">
        <v>115</v>
      </c>
      <c r="S408">
        <v>1.44840316</v>
      </c>
      <c r="W408"/>
      <c r="X408">
        <v>0</v>
      </c>
      <c r="AC408" t="s">
        <v>108</v>
      </c>
      <c r="AD408" s="56">
        <v>43770</v>
      </c>
    </row>
    <row r="409" spans="1:30" x14ac:dyDescent="0.3">
      <c r="A409">
        <v>301116</v>
      </c>
      <c r="B409" t="s">
        <v>192</v>
      </c>
      <c r="C409">
        <v>2019</v>
      </c>
      <c r="D409">
        <v>11</v>
      </c>
      <c r="E409" t="s">
        <v>112</v>
      </c>
      <c r="F409" t="s">
        <v>108</v>
      </c>
      <c r="G409" t="s">
        <v>108</v>
      </c>
      <c r="H409" t="s">
        <v>25</v>
      </c>
      <c r="I409" t="s">
        <v>25</v>
      </c>
      <c r="J409" t="s">
        <v>138</v>
      </c>
      <c r="K409" t="s">
        <v>112</v>
      </c>
      <c r="L409" t="s">
        <v>140</v>
      </c>
      <c r="M409">
        <v>633.19527639</v>
      </c>
      <c r="N409">
        <v>0</v>
      </c>
      <c r="O409" t="s">
        <v>104</v>
      </c>
      <c r="P409" s="56">
        <v>44269.873618055557</v>
      </c>
      <c r="Q409">
        <v>2848287</v>
      </c>
      <c r="R409" t="s">
        <v>115</v>
      </c>
      <c r="S409">
        <v>0</v>
      </c>
      <c r="W409"/>
      <c r="X409">
        <v>0</v>
      </c>
      <c r="AC409" t="s">
        <v>108</v>
      </c>
      <c r="AD409" s="56">
        <v>43770</v>
      </c>
    </row>
    <row r="410" spans="1:30" x14ac:dyDescent="0.3">
      <c r="A410">
        <v>301089</v>
      </c>
      <c r="B410" t="s">
        <v>192</v>
      </c>
      <c r="C410">
        <v>2019</v>
      </c>
      <c r="D410">
        <v>11</v>
      </c>
      <c r="E410" t="s">
        <v>110</v>
      </c>
      <c r="F410" t="s">
        <v>108</v>
      </c>
      <c r="G410" t="s">
        <v>108</v>
      </c>
      <c r="H410" t="s">
        <v>25</v>
      </c>
      <c r="I410" t="s">
        <v>25</v>
      </c>
      <c r="J410" t="s">
        <v>138</v>
      </c>
      <c r="K410" t="s">
        <v>110</v>
      </c>
      <c r="L410" t="s">
        <v>140</v>
      </c>
      <c r="M410">
        <v>1777.6837430800001</v>
      </c>
      <c r="N410">
        <v>0</v>
      </c>
      <c r="O410" t="s">
        <v>104</v>
      </c>
      <c r="P410" s="56">
        <v>44269.873616666657</v>
      </c>
      <c r="Q410">
        <v>2848154</v>
      </c>
      <c r="R410" t="s">
        <v>28</v>
      </c>
      <c r="S410">
        <v>4.4534525599999997</v>
      </c>
      <c r="W410"/>
      <c r="X410">
        <v>0</v>
      </c>
      <c r="AC410" t="s">
        <v>108</v>
      </c>
      <c r="AD410" s="56">
        <v>43770</v>
      </c>
    </row>
    <row r="411" spans="1:30" x14ac:dyDescent="0.3">
      <c r="A411">
        <v>301143</v>
      </c>
      <c r="B411" t="s">
        <v>192</v>
      </c>
      <c r="C411">
        <v>2019</v>
      </c>
      <c r="D411">
        <v>11</v>
      </c>
      <c r="E411" t="s">
        <v>114</v>
      </c>
      <c r="F411" t="s">
        <v>108</v>
      </c>
      <c r="G411" t="s">
        <v>108</v>
      </c>
      <c r="H411" t="s">
        <v>25</v>
      </c>
      <c r="I411" t="s">
        <v>25</v>
      </c>
      <c r="J411" t="s">
        <v>138</v>
      </c>
      <c r="K411" t="s">
        <v>114</v>
      </c>
      <c r="L411" t="s">
        <v>140</v>
      </c>
      <c r="M411">
        <v>555.24552490999997</v>
      </c>
      <c r="N411">
        <v>0</v>
      </c>
      <c r="O411" t="s">
        <v>104</v>
      </c>
      <c r="P411" s="56">
        <v>44269.873619479164</v>
      </c>
      <c r="Q411">
        <v>2848424</v>
      </c>
      <c r="R411" t="s">
        <v>28</v>
      </c>
      <c r="S411">
        <v>1.30345416</v>
      </c>
      <c r="W411"/>
      <c r="X411">
        <v>0</v>
      </c>
      <c r="AC411" t="s">
        <v>108</v>
      </c>
      <c r="AD411" s="56">
        <v>43770</v>
      </c>
    </row>
    <row r="412" spans="1:30" x14ac:dyDescent="0.3">
      <c r="A412">
        <v>301116</v>
      </c>
      <c r="B412" t="s">
        <v>192</v>
      </c>
      <c r="C412">
        <v>2019</v>
      </c>
      <c r="D412">
        <v>11</v>
      </c>
      <c r="E412" t="s">
        <v>112</v>
      </c>
      <c r="F412" t="s">
        <v>108</v>
      </c>
      <c r="G412" t="s">
        <v>108</v>
      </c>
      <c r="H412" t="s">
        <v>25</v>
      </c>
      <c r="I412" t="s">
        <v>25</v>
      </c>
      <c r="J412" t="s">
        <v>138</v>
      </c>
      <c r="K412" t="s">
        <v>112</v>
      </c>
      <c r="L412" t="s">
        <v>140</v>
      </c>
      <c r="M412">
        <v>633.19527639</v>
      </c>
      <c r="N412">
        <v>0</v>
      </c>
      <c r="O412" t="s">
        <v>104</v>
      </c>
      <c r="P412" s="56">
        <v>44269.873618055557</v>
      </c>
      <c r="Q412">
        <v>2848289</v>
      </c>
      <c r="R412" t="s">
        <v>28</v>
      </c>
      <c r="S412">
        <v>0</v>
      </c>
      <c r="W412"/>
      <c r="X412">
        <v>0</v>
      </c>
      <c r="AC412" t="s">
        <v>108</v>
      </c>
      <c r="AD412" s="56">
        <v>43770</v>
      </c>
    </row>
    <row r="413" spans="1:30" x14ac:dyDescent="0.3">
      <c r="A413">
        <v>314988</v>
      </c>
      <c r="B413" t="s">
        <v>185</v>
      </c>
      <c r="C413">
        <v>2019</v>
      </c>
      <c r="D413">
        <v>12</v>
      </c>
      <c r="E413" t="s">
        <v>110</v>
      </c>
      <c r="F413" t="s">
        <v>108</v>
      </c>
      <c r="G413" t="s">
        <v>108</v>
      </c>
      <c r="H413" t="s">
        <v>25</v>
      </c>
      <c r="I413" t="s">
        <v>25</v>
      </c>
      <c r="J413" t="s">
        <v>138</v>
      </c>
      <c r="K413" t="s">
        <v>110</v>
      </c>
      <c r="L413" t="s">
        <v>140</v>
      </c>
      <c r="M413">
        <v>2155.3283754300001</v>
      </c>
      <c r="N413">
        <v>0</v>
      </c>
      <c r="O413" t="s">
        <v>104</v>
      </c>
      <c r="P413" s="56">
        <v>44269.875250428238</v>
      </c>
      <c r="Q413">
        <v>2979364</v>
      </c>
      <c r="R413" t="s">
        <v>26</v>
      </c>
      <c r="S413">
        <v>736.70995244000005</v>
      </c>
      <c r="W413"/>
      <c r="X413">
        <v>0</v>
      </c>
      <c r="AC413" t="s">
        <v>108</v>
      </c>
      <c r="AD413" s="56">
        <v>43800</v>
      </c>
    </row>
    <row r="414" spans="1:30" x14ac:dyDescent="0.3">
      <c r="A414">
        <v>315042</v>
      </c>
      <c r="B414" t="s">
        <v>185</v>
      </c>
      <c r="C414">
        <v>2019</v>
      </c>
      <c r="D414">
        <v>12</v>
      </c>
      <c r="E414" t="s">
        <v>114</v>
      </c>
      <c r="F414" t="s">
        <v>108</v>
      </c>
      <c r="G414" t="s">
        <v>108</v>
      </c>
      <c r="H414" t="s">
        <v>25</v>
      </c>
      <c r="I414" t="s">
        <v>25</v>
      </c>
      <c r="J414" t="s">
        <v>138</v>
      </c>
      <c r="K414" t="s">
        <v>114</v>
      </c>
      <c r="L414" t="s">
        <v>140</v>
      </c>
      <c r="M414">
        <v>491.15728963999999</v>
      </c>
      <c r="N414">
        <v>0</v>
      </c>
      <c r="O414" t="s">
        <v>104</v>
      </c>
      <c r="P414" s="56">
        <v>44269.875253009261</v>
      </c>
      <c r="Q414">
        <v>2979634</v>
      </c>
      <c r="R414" t="s">
        <v>26</v>
      </c>
      <c r="S414">
        <v>177.90422487999999</v>
      </c>
      <c r="W414"/>
      <c r="X414">
        <v>0</v>
      </c>
      <c r="AC414" t="s">
        <v>108</v>
      </c>
      <c r="AD414" s="56">
        <v>43800</v>
      </c>
    </row>
    <row r="415" spans="1:30" x14ac:dyDescent="0.3">
      <c r="A415">
        <v>315015</v>
      </c>
      <c r="B415" t="s">
        <v>185</v>
      </c>
      <c r="C415">
        <v>2019</v>
      </c>
      <c r="D415">
        <v>12</v>
      </c>
      <c r="E415" t="s">
        <v>112</v>
      </c>
      <c r="F415" t="s">
        <v>108</v>
      </c>
      <c r="G415" t="s">
        <v>108</v>
      </c>
      <c r="H415" t="s">
        <v>25</v>
      </c>
      <c r="I415" t="s">
        <v>25</v>
      </c>
      <c r="J415" t="s">
        <v>138</v>
      </c>
      <c r="K415" t="s">
        <v>112</v>
      </c>
      <c r="L415" t="s">
        <v>140</v>
      </c>
      <c r="M415">
        <v>1168.3792061199999</v>
      </c>
      <c r="N415">
        <v>0</v>
      </c>
      <c r="O415" t="s">
        <v>104</v>
      </c>
      <c r="P415" s="56">
        <v>44269.875251701393</v>
      </c>
      <c r="Q415">
        <v>2979499</v>
      </c>
      <c r="R415" t="s">
        <v>26</v>
      </c>
      <c r="S415">
        <v>509.84960242</v>
      </c>
      <c r="W415"/>
      <c r="X415">
        <v>0</v>
      </c>
      <c r="AC415" t="s">
        <v>108</v>
      </c>
      <c r="AD415" s="56">
        <v>43800</v>
      </c>
    </row>
    <row r="416" spans="1:30" x14ac:dyDescent="0.3">
      <c r="A416">
        <v>314988</v>
      </c>
      <c r="B416" t="s">
        <v>185</v>
      </c>
      <c r="C416">
        <v>2019</v>
      </c>
      <c r="D416">
        <v>12</v>
      </c>
      <c r="E416" t="s">
        <v>110</v>
      </c>
      <c r="F416" t="s">
        <v>108</v>
      </c>
      <c r="G416" t="s">
        <v>108</v>
      </c>
      <c r="H416" t="s">
        <v>25</v>
      </c>
      <c r="I416" t="s">
        <v>25</v>
      </c>
      <c r="J416" t="s">
        <v>138</v>
      </c>
      <c r="K416" t="s">
        <v>110</v>
      </c>
      <c r="L416" t="s">
        <v>140</v>
      </c>
      <c r="M416">
        <v>2155.3283754300001</v>
      </c>
      <c r="N416">
        <v>0</v>
      </c>
      <c r="O416" t="s">
        <v>104</v>
      </c>
      <c r="P416" s="56">
        <v>44269.875250428238</v>
      </c>
      <c r="Q416">
        <v>2979367</v>
      </c>
      <c r="R416" t="s">
        <v>105</v>
      </c>
      <c r="S416">
        <v>256.62073693999997</v>
      </c>
      <c r="W416"/>
      <c r="X416">
        <v>0</v>
      </c>
      <c r="AC416" t="s">
        <v>108</v>
      </c>
      <c r="AD416" s="56">
        <v>43800</v>
      </c>
    </row>
    <row r="417" spans="1:30" x14ac:dyDescent="0.3">
      <c r="A417">
        <v>315042</v>
      </c>
      <c r="B417" t="s">
        <v>185</v>
      </c>
      <c r="C417">
        <v>2019</v>
      </c>
      <c r="D417">
        <v>12</v>
      </c>
      <c r="E417" t="s">
        <v>114</v>
      </c>
      <c r="F417" t="s">
        <v>108</v>
      </c>
      <c r="G417" t="s">
        <v>108</v>
      </c>
      <c r="H417" t="s">
        <v>25</v>
      </c>
      <c r="I417" t="s">
        <v>25</v>
      </c>
      <c r="J417" t="s">
        <v>138</v>
      </c>
      <c r="K417" t="s">
        <v>114</v>
      </c>
      <c r="L417" t="s">
        <v>140</v>
      </c>
      <c r="M417">
        <v>491.15728963999999</v>
      </c>
      <c r="N417">
        <v>0</v>
      </c>
      <c r="O417" t="s">
        <v>104</v>
      </c>
      <c r="P417" s="56">
        <v>44269.875253009261</v>
      </c>
      <c r="Q417">
        <v>2979637</v>
      </c>
      <c r="R417" t="s">
        <v>105</v>
      </c>
      <c r="S417">
        <v>49.839251099999998</v>
      </c>
      <c r="W417"/>
      <c r="X417">
        <v>0</v>
      </c>
      <c r="AC417" t="s">
        <v>108</v>
      </c>
      <c r="AD417" s="56">
        <v>43800</v>
      </c>
    </row>
    <row r="418" spans="1:30" x14ac:dyDescent="0.3">
      <c r="A418">
        <v>315015</v>
      </c>
      <c r="B418" t="s">
        <v>185</v>
      </c>
      <c r="C418">
        <v>2019</v>
      </c>
      <c r="D418">
        <v>12</v>
      </c>
      <c r="E418" t="s">
        <v>112</v>
      </c>
      <c r="F418" t="s">
        <v>108</v>
      </c>
      <c r="G418" t="s">
        <v>108</v>
      </c>
      <c r="H418" t="s">
        <v>25</v>
      </c>
      <c r="I418" t="s">
        <v>25</v>
      </c>
      <c r="J418" t="s">
        <v>138</v>
      </c>
      <c r="K418" t="s">
        <v>112</v>
      </c>
      <c r="L418" t="s">
        <v>140</v>
      </c>
      <c r="M418">
        <v>1168.3792061199999</v>
      </c>
      <c r="N418">
        <v>0</v>
      </c>
      <c r="O418" t="s">
        <v>104</v>
      </c>
      <c r="P418" s="56">
        <v>44269.875251701393</v>
      </c>
      <c r="Q418">
        <v>2979502</v>
      </c>
      <c r="R418" t="s">
        <v>105</v>
      </c>
      <c r="S418">
        <v>118.31603423</v>
      </c>
      <c r="W418"/>
      <c r="X418">
        <v>0</v>
      </c>
      <c r="AC418" t="s">
        <v>108</v>
      </c>
      <c r="AD418" s="56">
        <v>43800</v>
      </c>
    </row>
    <row r="419" spans="1:30" x14ac:dyDescent="0.3">
      <c r="A419">
        <v>315015</v>
      </c>
      <c r="B419" t="s">
        <v>185</v>
      </c>
      <c r="C419">
        <v>2019</v>
      </c>
      <c r="D419">
        <v>12</v>
      </c>
      <c r="E419" t="s">
        <v>112</v>
      </c>
      <c r="F419" t="s">
        <v>108</v>
      </c>
      <c r="G419" t="s">
        <v>108</v>
      </c>
      <c r="H419" t="s">
        <v>25</v>
      </c>
      <c r="I419" t="s">
        <v>25</v>
      </c>
      <c r="J419" t="s">
        <v>138</v>
      </c>
      <c r="K419" t="s">
        <v>112</v>
      </c>
      <c r="L419" t="s">
        <v>140</v>
      </c>
      <c r="M419">
        <v>1168.3792061199999</v>
      </c>
      <c r="N419">
        <v>0</v>
      </c>
      <c r="O419" t="s">
        <v>104</v>
      </c>
      <c r="P419" s="56">
        <v>44269.875251701393</v>
      </c>
      <c r="Q419">
        <v>2979501</v>
      </c>
      <c r="R419" t="s">
        <v>27</v>
      </c>
      <c r="S419">
        <v>565.12157741999999</v>
      </c>
      <c r="W419"/>
      <c r="X419">
        <v>0</v>
      </c>
      <c r="AC419" t="s">
        <v>108</v>
      </c>
      <c r="AD419" s="56">
        <v>43800</v>
      </c>
    </row>
    <row r="420" spans="1:30" x14ac:dyDescent="0.3">
      <c r="A420">
        <v>314988</v>
      </c>
      <c r="B420" t="s">
        <v>185</v>
      </c>
      <c r="C420">
        <v>2019</v>
      </c>
      <c r="D420">
        <v>12</v>
      </c>
      <c r="E420" t="s">
        <v>110</v>
      </c>
      <c r="F420" t="s">
        <v>108</v>
      </c>
      <c r="G420" t="s">
        <v>108</v>
      </c>
      <c r="H420" t="s">
        <v>25</v>
      </c>
      <c r="I420" t="s">
        <v>25</v>
      </c>
      <c r="J420" t="s">
        <v>138</v>
      </c>
      <c r="K420" t="s">
        <v>110</v>
      </c>
      <c r="L420" t="s">
        <v>140</v>
      </c>
      <c r="M420">
        <v>2155.3283754300001</v>
      </c>
      <c r="N420">
        <v>0</v>
      </c>
      <c r="O420" t="s">
        <v>104</v>
      </c>
      <c r="P420" s="56">
        <v>44269.875250428238</v>
      </c>
      <c r="Q420">
        <v>2979366</v>
      </c>
      <c r="R420" t="s">
        <v>27</v>
      </c>
      <c r="S420">
        <v>1196.7362989000001</v>
      </c>
      <c r="W420"/>
      <c r="X420">
        <v>0</v>
      </c>
      <c r="AC420" t="s">
        <v>108</v>
      </c>
      <c r="AD420" s="56">
        <v>43800</v>
      </c>
    </row>
    <row r="421" spans="1:30" x14ac:dyDescent="0.3">
      <c r="A421">
        <v>315042</v>
      </c>
      <c r="B421" t="s">
        <v>185</v>
      </c>
      <c r="C421">
        <v>2019</v>
      </c>
      <c r="D421">
        <v>12</v>
      </c>
      <c r="E421" t="s">
        <v>114</v>
      </c>
      <c r="F421" t="s">
        <v>108</v>
      </c>
      <c r="G421" t="s">
        <v>108</v>
      </c>
      <c r="H421" t="s">
        <v>25</v>
      </c>
      <c r="I421" t="s">
        <v>25</v>
      </c>
      <c r="J421" t="s">
        <v>138</v>
      </c>
      <c r="K421" t="s">
        <v>114</v>
      </c>
      <c r="L421" t="s">
        <v>140</v>
      </c>
      <c r="M421">
        <v>491.15728963999999</v>
      </c>
      <c r="N421">
        <v>0</v>
      </c>
      <c r="O421" t="s">
        <v>104</v>
      </c>
      <c r="P421" s="56">
        <v>44269.875253009261</v>
      </c>
      <c r="Q421">
        <v>2979636</v>
      </c>
      <c r="R421" t="s">
        <v>27</v>
      </c>
      <c r="S421">
        <v>271.45028592</v>
      </c>
      <c r="W421"/>
      <c r="X421">
        <v>0</v>
      </c>
      <c r="AC421" t="s">
        <v>108</v>
      </c>
      <c r="AD421" s="56">
        <v>43800</v>
      </c>
    </row>
    <row r="422" spans="1:30" x14ac:dyDescent="0.3">
      <c r="A422">
        <v>315042</v>
      </c>
      <c r="B422" t="s">
        <v>185</v>
      </c>
      <c r="C422">
        <v>2019</v>
      </c>
      <c r="D422">
        <v>12</v>
      </c>
      <c r="E422" t="s">
        <v>114</v>
      </c>
      <c r="F422" t="s">
        <v>108</v>
      </c>
      <c r="G422" t="s">
        <v>108</v>
      </c>
      <c r="H422" t="s">
        <v>25</v>
      </c>
      <c r="I422" t="s">
        <v>25</v>
      </c>
      <c r="J422" t="s">
        <v>138</v>
      </c>
      <c r="K422" t="s">
        <v>114</v>
      </c>
      <c r="L422" t="s">
        <v>140</v>
      </c>
      <c r="M422">
        <v>491.15728963999999</v>
      </c>
      <c r="N422">
        <v>0</v>
      </c>
      <c r="O422" t="s">
        <v>104</v>
      </c>
      <c r="P422" s="56">
        <v>44269.875253009261</v>
      </c>
      <c r="Q422">
        <v>2979633</v>
      </c>
      <c r="R422" t="s">
        <v>115</v>
      </c>
      <c r="S422">
        <v>1.2812237799999999</v>
      </c>
      <c r="W422"/>
      <c r="X422">
        <v>0</v>
      </c>
      <c r="AC422" t="s">
        <v>108</v>
      </c>
      <c r="AD422" s="56">
        <v>43800</v>
      </c>
    </row>
    <row r="423" spans="1:30" x14ac:dyDescent="0.3">
      <c r="A423">
        <v>314988</v>
      </c>
      <c r="B423" t="s">
        <v>185</v>
      </c>
      <c r="C423">
        <v>2019</v>
      </c>
      <c r="D423">
        <v>12</v>
      </c>
      <c r="E423" t="s">
        <v>110</v>
      </c>
      <c r="F423" t="s">
        <v>108</v>
      </c>
      <c r="G423" t="s">
        <v>108</v>
      </c>
      <c r="H423" t="s">
        <v>25</v>
      </c>
      <c r="I423" t="s">
        <v>25</v>
      </c>
      <c r="J423" t="s">
        <v>138</v>
      </c>
      <c r="K423" t="s">
        <v>110</v>
      </c>
      <c r="L423" t="s">
        <v>140</v>
      </c>
      <c r="M423">
        <v>2155.3283754300001</v>
      </c>
      <c r="N423">
        <v>0</v>
      </c>
      <c r="O423" t="s">
        <v>104</v>
      </c>
      <c r="P423" s="56">
        <v>44269.875250428238</v>
      </c>
      <c r="Q423">
        <v>2979363</v>
      </c>
      <c r="R423" t="s">
        <v>115</v>
      </c>
      <c r="S423">
        <v>5.8100721499999999</v>
      </c>
      <c r="W423"/>
      <c r="X423">
        <v>0</v>
      </c>
      <c r="AC423" t="s">
        <v>108</v>
      </c>
      <c r="AD423" s="56">
        <v>43800</v>
      </c>
    </row>
    <row r="424" spans="1:30" x14ac:dyDescent="0.3">
      <c r="A424">
        <v>315015</v>
      </c>
      <c r="B424" t="s">
        <v>185</v>
      </c>
      <c r="C424">
        <v>2019</v>
      </c>
      <c r="D424">
        <v>12</v>
      </c>
      <c r="E424" t="s">
        <v>112</v>
      </c>
      <c r="F424" t="s">
        <v>108</v>
      </c>
      <c r="G424" t="s">
        <v>108</v>
      </c>
      <c r="H424" t="s">
        <v>25</v>
      </c>
      <c r="I424" t="s">
        <v>25</v>
      </c>
      <c r="J424" t="s">
        <v>138</v>
      </c>
      <c r="K424" t="s">
        <v>112</v>
      </c>
      <c r="L424" t="s">
        <v>140</v>
      </c>
      <c r="M424">
        <v>1168.3792061199999</v>
      </c>
      <c r="N424">
        <v>0</v>
      </c>
      <c r="O424" t="s">
        <v>104</v>
      </c>
      <c r="P424" s="56">
        <v>44269.875251701393</v>
      </c>
      <c r="Q424">
        <v>2979498</v>
      </c>
      <c r="R424" t="s">
        <v>115</v>
      </c>
      <c r="S424">
        <v>0</v>
      </c>
      <c r="W424"/>
      <c r="X424">
        <v>0</v>
      </c>
      <c r="AC424" t="s">
        <v>108</v>
      </c>
      <c r="AD424" s="56">
        <v>43800</v>
      </c>
    </row>
    <row r="425" spans="1:30" x14ac:dyDescent="0.3">
      <c r="A425">
        <v>315015</v>
      </c>
      <c r="B425" t="s">
        <v>185</v>
      </c>
      <c r="C425">
        <v>2019</v>
      </c>
      <c r="D425">
        <v>12</v>
      </c>
      <c r="E425" t="s">
        <v>112</v>
      </c>
      <c r="F425" t="s">
        <v>108</v>
      </c>
      <c r="G425" t="s">
        <v>108</v>
      </c>
      <c r="H425" t="s">
        <v>25</v>
      </c>
      <c r="I425" t="s">
        <v>25</v>
      </c>
      <c r="J425" t="s">
        <v>138</v>
      </c>
      <c r="K425" t="s">
        <v>112</v>
      </c>
      <c r="L425" t="s">
        <v>140</v>
      </c>
      <c r="M425">
        <v>1168.3792061199999</v>
      </c>
      <c r="N425">
        <v>0</v>
      </c>
      <c r="O425" t="s">
        <v>104</v>
      </c>
      <c r="P425" s="56">
        <v>44269.875251701393</v>
      </c>
      <c r="Q425">
        <v>2979500</v>
      </c>
      <c r="R425" t="s">
        <v>28</v>
      </c>
      <c r="S425">
        <v>0</v>
      </c>
      <c r="W425"/>
      <c r="X425">
        <v>0</v>
      </c>
      <c r="AC425" t="s">
        <v>108</v>
      </c>
      <c r="AD425" s="56">
        <v>43800</v>
      </c>
    </row>
    <row r="426" spans="1:30" x14ac:dyDescent="0.3">
      <c r="A426">
        <v>314988</v>
      </c>
      <c r="B426" t="s">
        <v>185</v>
      </c>
      <c r="C426">
        <v>2019</v>
      </c>
      <c r="D426">
        <v>12</v>
      </c>
      <c r="E426" t="s">
        <v>110</v>
      </c>
      <c r="F426" t="s">
        <v>108</v>
      </c>
      <c r="G426" t="s">
        <v>108</v>
      </c>
      <c r="H426" t="s">
        <v>25</v>
      </c>
      <c r="I426" t="s">
        <v>25</v>
      </c>
      <c r="J426" t="s">
        <v>138</v>
      </c>
      <c r="K426" t="s">
        <v>110</v>
      </c>
      <c r="L426" t="s">
        <v>140</v>
      </c>
      <c r="M426">
        <v>2155.3283754300001</v>
      </c>
      <c r="N426">
        <v>0</v>
      </c>
      <c r="O426" t="s">
        <v>104</v>
      </c>
      <c r="P426" s="56">
        <v>44269.875250428238</v>
      </c>
      <c r="Q426">
        <v>2979365</v>
      </c>
      <c r="R426" t="s">
        <v>28</v>
      </c>
      <c r="S426">
        <v>5.39952773</v>
      </c>
      <c r="W426"/>
      <c r="X426">
        <v>0</v>
      </c>
      <c r="AC426" t="s">
        <v>108</v>
      </c>
      <c r="AD426" s="56">
        <v>43800</v>
      </c>
    </row>
    <row r="427" spans="1:30" x14ac:dyDescent="0.3">
      <c r="A427">
        <v>315042</v>
      </c>
      <c r="B427" t="s">
        <v>185</v>
      </c>
      <c r="C427">
        <v>2019</v>
      </c>
      <c r="D427">
        <v>12</v>
      </c>
      <c r="E427" t="s">
        <v>114</v>
      </c>
      <c r="F427" t="s">
        <v>108</v>
      </c>
      <c r="G427" t="s">
        <v>108</v>
      </c>
      <c r="H427" t="s">
        <v>25</v>
      </c>
      <c r="I427" t="s">
        <v>25</v>
      </c>
      <c r="J427" t="s">
        <v>138</v>
      </c>
      <c r="K427" t="s">
        <v>114</v>
      </c>
      <c r="L427" t="s">
        <v>140</v>
      </c>
      <c r="M427">
        <v>491.15728963999999</v>
      </c>
      <c r="N427">
        <v>0</v>
      </c>
      <c r="O427" t="s">
        <v>104</v>
      </c>
      <c r="P427" s="56">
        <v>44269.875253009261</v>
      </c>
      <c r="Q427">
        <v>2979635</v>
      </c>
      <c r="R427" t="s">
        <v>28</v>
      </c>
      <c r="S427">
        <v>1.15300526</v>
      </c>
      <c r="W427"/>
      <c r="X427">
        <v>0</v>
      </c>
      <c r="AC427" t="s">
        <v>108</v>
      </c>
      <c r="AD427" s="56">
        <v>43800</v>
      </c>
    </row>
    <row r="428" spans="1:30" x14ac:dyDescent="0.3">
      <c r="A428">
        <v>354556</v>
      </c>
      <c r="B428" t="s">
        <v>287</v>
      </c>
      <c r="C428">
        <v>2020</v>
      </c>
      <c r="D428">
        <v>1</v>
      </c>
      <c r="E428" t="s">
        <v>112</v>
      </c>
      <c r="F428" t="s">
        <v>108</v>
      </c>
      <c r="G428" t="s">
        <v>108</v>
      </c>
      <c r="H428" t="s">
        <v>25</v>
      </c>
      <c r="I428" t="s">
        <v>25</v>
      </c>
      <c r="J428" t="s">
        <v>138</v>
      </c>
      <c r="K428" t="s">
        <v>112</v>
      </c>
      <c r="L428" t="s">
        <v>140</v>
      </c>
      <c r="M428">
        <v>2001.48077276</v>
      </c>
      <c r="N428">
        <v>0</v>
      </c>
      <c r="O428" t="s">
        <v>104</v>
      </c>
      <c r="P428" s="56">
        <v>44277.57723599537</v>
      </c>
      <c r="Q428">
        <v>3346610</v>
      </c>
      <c r="R428" t="s">
        <v>26</v>
      </c>
      <c r="S428">
        <v>1211.0908766</v>
      </c>
      <c r="W428"/>
      <c r="X428">
        <v>0</v>
      </c>
      <c r="AC428" t="s">
        <v>108</v>
      </c>
      <c r="AD428" s="56">
        <v>43831</v>
      </c>
    </row>
    <row r="429" spans="1:30" x14ac:dyDescent="0.3">
      <c r="A429">
        <v>354580</v>
      </c>
      <c r="B429" t="s">
        <v>287</v>
      </c>
      <c r="C429">
        <v>2020</v>
      </c>
      <c r="D429">
        <v>1</v>
      </c>
      <c r="E429" t="s">
        <v>114</v>
      </c>
      <c r="F429" t="s">
        <v>108</v>
      </c>
      <c r="G429" t="s">
        <v>108</v>
      </c>
      <c r="H429" t="s">
        <v>25</v>
      </c>
      <c r="I429" t="s">
        <v>25</v>
      </c>
      <c r="J429" t="s">
        <v>138</v>
      </c>
      <c r="K429" t="s">
        <v>114</v>
      </c>
      <c r="L429" t="s">
        <v>140</v>
      </c>
      <c r="M429">
        <v>1639.6683604499999</v>
      </c>
      <c r="N429">
        <v>0</v>
      </c>
      <c r="O429" t="s">
        <v>104</v>
      </c>
      <c r="P429" s="56">
        <v>44277.577237650461</v>
      </c>
      <c r="Q429">
        <v>3346730</v>
      </c>
      <c r="R429" t="s">
        <v>26</v>
      </c>
      <c r="S429">
        <v>819.60831085999996</v>
      </c>
      <c r="W429"/>
      <c r="X429">
        <v>0</v>
      </c>
      <c r="AC429" t="s">
        <v>108</v>
      </c>
      <c r="AD429" s="56">
        <v>43831</v>
      </c>
    </row>
    <row r="430" spans="1:30" x14ac:dyDescent="0.3">
      <c r="A430">
        <v>354532</v>
      </c>
      <c r="B430" t="s">
        <v>287</v>
      </c>
      <c r="C430">
        <v>2020</v>
      </c>
      <c r="D430">
        <v>1</v>
      </c>
      <c r="E430" t="s">
        <v>110</v>
      </c>
      <c r="F430" t="s">
        <v>108</v>
      </c>
      <c r="G430" t="s">
        <v>108</v>
      </c>
      <c r="H430" t="s">
        <v>25</v>
      </c>
      <c r="I430" t="s">
        <v>25</v>
      </c>
      <c r="J430" t="s">
        <v>138</v>
      </c>
      <c r="K430" t="s">
        <v>110</v>
      </c>
      <c r="L430" t="s">
        <v>140</v>
      </c>
      <c r="M430">
        <v>4821.9581158499996</v>
      </c>
      <c r="N430">
        <v>0</v>
      </c>
      <c r="O430" t="s">
        <v>104</v>
      </c>
      <c r="P430" s="56">
        <v>44277.577233530094</v>
      </c>
      <c r="Q430">
        <v>3346490</v>
      </c>
      <c r="R430" t="s">
        <v>26</v>
      </c>
      <c r="S430">
        <v>2258.1656889199999</v>
      </c>
      <c r="W430"/>
      <c r="X430">
        <v>0</v>
      </c>
      <c r="AC430" t="s">
        <v>108</v>
      </c>
      <c r="AD430" s="56">
        <v>43831</v>
      </c>
    </row>
    <row r="431" spans="1:30" x14ac:dyDescent="0.3">
      <c r="A431">
        <v>354580</v>
      </c>
      <c r="B431" t="s">
        <v>287</v>
      </c>
      <c r="C431">
        <v>2020</v>
      </c>
      <c r="D431">
        <v>1</v>
      </c>
      <c r="E431" t="s">
        <v>114</v>
      </c>
      <c r="F431" t="s">
        <v>108</v>
      </c>
      <c r="G431" t="s">
        <v>108</v>
      </c>
      <c r="H431" t="s">
        <v>25</v>
      </c>
      <c r="I431" t="s">
        <v>25</v>
      </c>
      <c r="J431" t="s">
        <v>138</v>
      </c>
      <c r="K431" t="s">
        <v>114</v>
      </c>
      <c r="L431" t="s">
        <v>140</v>
      </c>
      <c r="M431">
        <v>1639.6683604499999</v>
      </c>
      <c r="N431">
        <v>0</v>
      </c>
      <c r="O431" t="s">
        <v>104</v>
      </c>
      <c r="P431" s="56">
        <v>44277.577237650461</v>
      </c>
      <c r="Q431">
        <v>3346733</v>
      </c>
      <c r="R431" t="s">
        <v>105</v>
      </c>
      <c r="S431">
        <v>99.612631500000006</v>
      </c>
      <c r="W431"/>
      <c r="X431">
        <v>0</v>
      </c>
      <c r="AC431" t="s">
        <v>108</v>
      </c>
      <c r="AD431" s="56">
        <v>43831</v>
      </c>
    </row>
    <row r="432" spans="1:30" x14ac:dyDescent="0.3">
      <c r="A432">
        <v>354556</v>
      </c>
      <c r="B432" t="s">
        <v>287</v>
      </c>
      <c r="C432">
        <v>2020</v>
      </c>
      <c r="D432">
        <v>1</v>
      </c>
      <c r="E432" t="s">
        <v>112</v>
      </c>
      <c r="F432" t="s">
        <v>108</v>
      </c>
      <c r="G432" t="s">
        <v>108</v>
      </c>
      <c r="H432" t="s">
        <v>25</v>
      </c>
      <c r="I432" t="s">
        <v>25</v>
      </c>
      <c r="J432" t="s">
        <v>138</v>
      </c>
      <c r="K432" t="s">
        <v>112</v>
      </c>
      <c r="L432" t="s">
        <v>140</v>
      </c>
      <c r="M432">
        <v>2001.48077276</v>
      </c>
      <c r="N432">
        <v>0</v>
      </c>
      <c r="O432" t="s">
        <v>104</v>
      </c>
      <c r="P432" s="56">
        <v>44277.57723599537</v>
      </c>
      <c r="Q432">
        <v>3346613</v>
      </c>
      <c r="R432" t="s">
        <v>105</v>
      </c>
      <c r="S432">
        <v>110.03143731</v>
      </c>
      <c r="W432"/>
      <c r="X432">
        <v>0</v>
      </c>
      <c r="AC432" t="s">
        <v>108</v>
      </c>
      <c r="AD432" s="56">
        <v>43831</v>
      </c>
    </row>
    <row r="433" spans="1:30" x14ac:dyDescent="0.3">
      <c r="A433">
        <v>354532</v>
      </c>
      <c r="B433" t="s">
        <v>287</v>
      </c>
      <c r="C433">
        <v>2020</v>
      </c>
      <c r="D433">
        <v>1</v>
      </c>
      <c r="E433" t="s">
        <v>110</v>
      </c>
      <c r="F433" t="s">
        <v>108</v>
      </c>
      <c r="G433" t="s">
        <v>108</v>
      </c>
      <c r="H433" t="s">
        <v>25</v>
      </c>
      <c r="I433" t="s">
        <v>25</v>
      </c>
      <c r="J433" t="s">
        <v>138</v>
      </c>
      <c r="K433" t="s">
        <v>110</v>
      </c>
      <c r="L433" t="s">
        <v>140</v>
      </c>
      <c r="M433">
        <v>4821.9581158499996</v>
      </c>
      <c r="N433">
        <v>0</v>
      </c>
      <c r="O433" t="s">
        <v>104</v>
      </c>
      <c r="P433" s="56">
        <v>44277.577233530094</v>
      </c>
      <c r="Q433">
        <v>3346493</v>
      </c>
      <c r="R433" t="s">
        <v>105</v>
      </c>
      <c r="S433">
        <v>396.49751971000001</v>
      </c>
      <c r="W433"/>
      <c r="X433">
        <v>0</v>
      </c>
      <c r="AC433" t="s">
        <v>108</v>
      </c>
      <c r="AD433" s="56">
        <v>43831</v>
      </c>
    </row>
    <row r="434" spans="1:30" x14ac:dyDescent="0.3">
      <c r="A434">
        <v>354580</v>
      </c>
      <c r="B434" t="s">
        <v>287</v>
      </c>
      <c r="C434">
        <v>2020</v>
      </c>
      <c r="D434">
        <v>1</v>
      </c>
      <c r="E434" t="s">
        <v>114</v>
      </c>
      <c r="F434" t="s">
        <v>108</v>
      </c>
      <c r="G434" t="s">
        <v>108</v>
      </c>
      <c r="H434" t="s">
        <v>25</v>
      </c>
      <c r="I434" t="s">
        <v>25</v>
      </c>
      <c r="J434" t="s">
        <v>138</v>
      </c>
      <c r="K434" t="s">
        <v>114</v>
      </c>
      <c r="L434" t="s">
        <v>140</v>
      </c>
      <c r="M434">
        <v>1639.6683604499999</v>
      </c>
      <c r="N434">
        <v>0</v>
      </c>
      <c r="O434" t="s">
        <v>104</v>
      </c>
      <c r="P434" s="56">
        <v>44277.577237650461</v>
      </c>
      <c r="Q434">
        <v>3346732</v>
      </c>
      <c r="R434" t="s">
        <v>27</v>
      </c>
      <c r="S434">
        <v>749.26697894999995</v>
      </c>
      <c r="W434"/>
      <c r="X434">
        <v>0</v>
      </c>
      <c r="AC434" t="s">
        <v>108</v>
      </c>
      <c r="AD434" s="56">
        <v>43831</v>
      </c>
    </row>
    <row r="435" spans="1:30" x14ac:dyDescent="0.3">
      <c r="A435">
        <v>354532</v>
      </c>
      <c r="B435" t="s">
        <v>287</v>
      </c>
      <c r="C435">
        <v>2020</v>
      </c>
      <c r="D435">
        <v>1</v>
      </c>
      <c r="E435" t="s">
        <v>110</v>
      </c>
      <c r="F435" t="s">
        <v>108</v>
      </c>
      <c r="G435" t="s">
        <v>108</v>
      </c>
      <c r="H435" t="s">
        <v>25</v>
      </c>
      <c r="I435" t="s">
        <v>25</v>
      </c>
      <c r="J435" t="s">
        <v>138</v>
      </c>
      <c r="K435" t="s">
        <v>110</v>
      </c>
      <c r="L435" t="s">
        <v>140</v>
      </c>
      <c r="M435">
        <v>4821.9581158499996</v>
      </c>
      <c r="N435">
        <v>0</v>
      </c>
      <c r="O435" t="s">
        <v>104</v>
      </c>
      <c r="P435" s="56">
        <v>44277.577233530094</v>
      </c>
      <c r="Q435">
        <v>3346492</v>
      </c>
      <c r="R435" t="s">
        <v>27</v>
      </c>
      <c r="S435">
        <v>2246.2373125399999</v>
      </c>
      <c r="W435"/>
      <c r="X435">
        <v>0</v>
      </c>
      <c r="AC435" t="s">
        <v>108</v>
      </c>
      <c r="AD435" s="56">
        <v>43831</v>
      </c>
    </row>
    <row r="436" spans="1:30" x14ac:dyDescent="0.3">
      <c r="A436">
        <v>354556</v>
      </c>
      <c r="B436" t="s">
        <v>287</v>
      </c>
      <c r="C436">
        <v>2020</v>
      </c>
      <c r="D436">
        <v>1</v>
      </c>
      <c r="E436" t="s">
        <v>112</v>
      </c>
      <c r="F436" t="s">
        <v>108</v>
      </c>
      <c r="G436" t="s">
        <v>108</v>
      </c>
      <c r="H436" t="s">
        <v>25</v>
      </c>
      <c r="I436" t="s">
        <v>25</v>
      </c>
      <c r="J436" t="s">
        <v>138</v>
      </c>
      <c r="K436" t="s">
        <v>112</v>
      </c>
      <c r="L436" t="s">
        <v>140</v>
      </c>
      <c r="M436">
        <v>2001.48077276</v>
      </c>
      <c r="N436">
        <v>0</v>
      </c>
      <c r="O436" t="s">
        <v>104</v>
      </c>
      <c r="P436" s="56">
        <v>44277.57723599537</v>
      </c>
      <c r="Q436">
        <v>3346612</v>
      </c>
      <c r="R436" t="s">
        <v>27</v>
      </c>
      <c r="S436">
        <v>722.36906870999996</v>
      </c>
      <c r="W436"/>
      <c r="X436">
        <v>0</v>
      </c>
      <c r="AC436" t="s">
        <v>108</v>
      </c>
      <c r="AD436" s="56">
        <v>43831</v>
      </c>
    </row>
    <row r="437" spans="1:30" x14ac:dyDescent="0.3">
      <c r="A437">
        <v>354580</v>
      </c>
      <c r="B437" t="s">
        <v>287</v>
      </c>
      <c r="C437">
        <v>2020</v>
      </c>
      <c r="D437">
        <v>1</v>
      </c>
      <c r="E437" t="s">
        <v>114</v>
      </c>
      <c r="F437" t="s">
        <v>108</v>
      </c>
      <c r="G437" t="s">
        <v>108</v>
      </c>
      <c r="H437" t="s">
        <v>25</v>
      </c>
      <c r="I437" t="s">
        <v>25</v>
      </c>
      <c r="J437" t="s">
        <v>138</v>
      </c>
      <c r="K437" t="s">
        <v>114</v>
      </c>
      <c r="L437" t="s">
        <v>140</v>
      </c>
      <c r="M437">
        <v>1639.6683604499999</v>
      </c>
      <c r="N437">
        <v>0</v>
      </c>
      <c r="O437" t="s">
        <v>104</v>
      </c>
      <c r="P437" s="56">
        <v>44277.577237650461</v>
      </c>
      <c r="Q437">
        <v>3346729</v>
      </c>
      <c r="R437" t="s">
        <v>115</v>
      </c>
      <c r="S437">
        <v>0.85902349</v>
      </c>
      <c r="W437"/>
      <c r="X437">
        <v>0</v>
      </c>
      <c r="AC437" t="s">
        <v>108</v>
      </c>
      <c r="AD437" s="56">
        <v>43831</v>
      </c>
    </row>
    <row r="438" spans="1:30" x14ac:dyDescent="0.3">
      <c r="A438">
        <v>354532</v>
      </c>
      <c r="B438" t="s">
        <v>287</v>
      </c>
      <c r="C438">
        <v>2020</v>
      </c>
      <c r="D438">
        <v>1</v>
      </c>
      <c r="E438" t="s">
        <v>110</v>
      </c>
      <c r="F438" t="s">
        <v>108</v>
      </c>
      <c r="G438" t="s">
        <v>108</v>
      </c>
      <c r="H438" t="s">
        <v>25</v>
      </c>
      <c r="I438" t="s">
        <v>25</v>
      </c>
      <c r="J438" t="s">
        <v>138</v>
      </c>
      <c r="K438" t="s">
        <v>110</v>
      </c>
      <c r="L438" t="s">
        <v>140</v>
      </c>
      <c r="M438">
        <v>4821.9581158499996</v>
      </c>
      <c r="N438">
        <v>0</v>
      </c>
      <c r="O438" t="s">
        <v>104</v>
      </c>
      <c r="P438" s="56">
        <v>44277.577233530094</v>
      </c>
      <c r="Q438">
        <v>3346489</v>
      </c>
      <c r="R438" t="s">
        <v>115</v>
      </c>
      <c r="S438">
        <v>7.3349707899999999</v>
      </c>
      <c r="W438"/>
      <c r="X438">
        <v>0</v>
      </c>
      <c r="AC438" t="s">
        <v>108</v>
      </c>
      <c r="AD438" s="56">
        <v>43831</v>
      </c>
    </row>
    <row r="439" spans="1:30" x14ac:dyDescent="0.3">
      <c r="A439">
        <v>354556</v>
      </c>
      <c r="B439" t="s">
        <v>287</v>
      </c>
      <c r="C439">
        <v>2020</v>
      </c>
      <c r="D439">
        <v>1</v>
      </c>
      <c r="E439" t="s">
        <v>112</v>
      </c>
      <c r="F439" t="s">
        <v>108</v>
      </c>
      <c r="G439" t="s">
        <v>108</v>
      </c>
      <c r="H439" t="s">
        <v>25</v>
      </c>
      <c r="I439" t="s">
        <v>25</v>
      </c>
      <c r="J439" t="s">
        <v>138</v>
      </c>
      <c r="K439" t="s">
        <v>112</v>
      </c>
      <c r="L439" t="s">
        <v>140</v>
      </c>
      <c r="M439">
        <v>2001.48077276</v>
      </c>
      <c r="N439">
        <v>0</v>
      </c>
      <c r="O439" t="s">
        <v>104</v>
      </c>
      <c r="P439" s="56">
        <v>44277.57723599537</v>
      </c>
      <c r="Q439">
        <v>3346609</v>
      </c>
      <c r="R439" t="s">
        <v>115</v>
      </c>
      <c r="S439">
        <v>0</v>
      </c>
      <c r="W439"/>
      <c r="X439">
        <v>0</v>
      </c>
      <c r="AC439" t="s">
        <v>108</v>
      </c>
      <c r="AD439" s="56">
        <v>43831</v>
      </c>
    </row>
    <row r="440" spans="1:30" x14ac:dyDescent="0.3">
      <c r="A440">
        <v>354556</v>
      </c>
      <c r="B440" t="s">
        <v>287</v>
      </c>
      <c r="C440">
        <v>2020</v>
      </c>
      <c r="D440">
        <v>1</v>
      </c>
      <c r="E440" t="s">
        <v>112</v>
      </c>
      <c r="F440" t="s">
        <v>108</v>
      </c>
      <c r="G440" t="s">
        <v>108</v>
      </c>
      <c r="H440" t="s">
        <v>25</v>
      </c>
      <c r="I440" t="s">
        <v>25</v>
      </c>
      <c r="J440" t="s">
        <v>138</v>
      </c>
      <c r="K440" t="s">
        <v>112</v>
      </c>
      <c r="L440" t="s">
        <v>140</v>
      </c>
      <c r="M440">
        <v>2001.48077276</v>
      </c>
      <c r="N440">
        <v>0</v>
      </c>
      <c r="O440" t="s">
        <v>104</v>
      </c>
      <c r="P440" s="56">
        <v>44277.57723599537</v>
      </c>
      <c r="Q440">
        <v>3346611</v>
      </c>
      <c r="R440" t="s">
        <v>28</v>
      </c>
      <c r="S440">
        <v>0</v>
      </c>
      <c r="W440"/>
      <c r="X440">
        <v>0</v>
      </c>
      <c r="AC440" t="s">
        <v>108</v>
      </c>
      <c r="AD440" s="56">
        <v>43831</v>
      </c>
    </row>
    <row r="441" spans="1:30" x14ac:dyDescent="0.3">
      <c r="A441">
        <v>354580</v>
      </c>
      <c r="B441" t="s">
        <v>287</v>
      </c>
      <c r="C441">
        <v>2020</v>
      </c>
      <c r="D441">
        <v>1</v>
      </c>
      <c r="E441" t="s">
        <v>114</v>
      </c>
      <c r="F441" t="s">
        <v>108</v>
      </c>
      <c r="G441" t="s">
        <v>108</v>
      </c>
      <c r="H441" t="s">
        <v>25</v>
      </c>
      <c r="I441" t="s">
        <v>25</v>
      </c>
      <c r="J441" t="s">
        <v>138</v>
      </c>
      <c r="K441" t="s">
        <v>114</v>
      </c>
      <c r="L441" t="s">
        <v>140</v>
      </c>
      <c r="M441">
        <v>1639.6683604499999</v>
      </c>
      <c r="N441">
        <v>0</v>
      </c>
      <c r="O441" t="s">
        <v>104</v>
      </c>
      <c r="P441" s="56">
        <v>44277.577237650461</v>
      </c>
      <c r="Q441">
        <v>3346731</v>
      </c>
      <c r="R441" t="s">
        <v>28</v>
      </c>
      <c r="S441">
        <v>4.7376682099999998</v>
      </c>
      <c r="W441"/>
      <c r="X441">
        <v>0</v>
      </c>
      <c r="AC441" t="s">
        <v>108</v>
      </c>
      <c r="AD441" s="56">
        <v>43831</v>
      </c>
    </row>
    <row r="442" spans="1:30" x14ac:dyDescent="0.3">
      <c r="A442">
        <v>354532</v>
      </c>
      <c r="B442" t="s">
        <v>287</v>
      </c>
      <c r="C442">
        <v>2020</v>
      </c>
      <c r="D442">
        <v>1</v>
      </c>
      <c r="E442" t="s">
        <v>110</v>
      </c>
      <c r="F442" t="s">
        <v>108</v>
      </c>
      <c r="G442" t="s">
        <v>108</v>
      </c>
      <c r="H442" t="s">
        <v>25</v>
      </c>
      <c r="I442" t="s">
        <v>25</v>
      </c>
      <c r="J442" t="s">
        <v>138</v>
      </c>
      <c r="K442" t="s">
        <v>110</v>
      </c>
      <c r="L442" t="s">
        <v>140</v>
      </c>
      <c r="M442">
        <v>4821.9581158499996</v>
      </c>
      <c r="N442">
        <v>0</v>
      </c>
      <c r="O442" t="s">
        <v>104</v>
      </c>
      <c r="P442" s="56">
        <v>44277.577233530094</v>
      </c>
      <c r="Q442">
        <v>3346491</v>
      </c>
      <c r="R442" t="s">
        <v>28</v>
      </c>
      <c r="S442">
        <v>14.934388630000001</v>
      </c>
      <c r="W442"/>
      <c r="X442">
        <v>0</v>
      </c>
      <c r="AC442" t="s">
        <v>108</v>
      </c>
      <c r="AD442" s="56">
        <v>43831</v>
      </c>
    </row>
    <row r="443" spans="1:30" x14ac:dyDescent="0.3">
      <c r="A443">
        <v>367680</v>
      </c>
      <c r="B443" t="s">
        <v>296</v>
      </c>
      <c r="C443">
        <v>2020</v>
      </c>
      <c r="D443">
        <v>2</v>
      </c>
      <c r="E443" t="s">
        <v>110</v>
      </c>
      <c r="F443" t="s">
        <v>108</v>
      </c>
      <c r="G443" t="s">
        <v>108</v>
      </c>
      <c r="H443" t="s">
        <v>25</v>
      </c>
      <c r="I443" t="s">
        <v>25</v>
      </c>
      <c r="J443" t="s">
        <v>138</v>
      </c>
      <c r="K443" t="s">
        <v>110</v>
      </c>
      <c r="L443" t="s">
        <v>140</v>
      </c>
      <c r="M443">
        <v>4817.7602658300002</v>
      </c>
      <c r="N443">
        <v>0</v>
      </c>
      <c r="O443" t="s">
        <v>104</v>
      </c>
      <c r="P443" s="56">
        <v>44277.578842361108</v>
      </c>
      <c r="Q443">
        <v>3472941</v>
      </c>
      <c r="R443" t="s">
        <v>26</v>
      </c>
      <c r="S443">
        <v>2256.1997985799999</v>
      </c>
      <c r="W443"/>
      <c r="X443">
        <v>0</v>
      </c>
      <c r="AC443" t="s">
        <v>108</v>
      </c>
      <c r="AD443" s="56">
        <v>43862</v>
      </c>
    </row>
    <row r="444" spans="1:30" x14ac:dyDescent="0.3">
      <c r="A444">
        <v>367704</v>
      </c>
      <c r="B444" t="s">
        <v>296</v>
      </c>
      <c r="C444">
        <v>2020</v>
      </c>
      <c r="D444">
        <v>2</v>
      </c>
      <c r="E444" t="s">
        <v>112</v>
      </c>
      <c r="F444" t="s">
        <v>108</v>
      </c>
      <c r="G444" t="s">
        <v>108</v>
      </c>
      <c r="H444" t="s">
        <v>25</v>
      </c>
      <c r="I444" t="s">
        <v>25</v>
      </c>
      <c r="J444" t="s">
        <v>138</v>
      </c>
      <c r="K444" t="s">
        <v>112</v>
      </c>
      <c r="L444" t="s">
        <v>140</v>
      </c>
      <c r="M444">
        <v>1964.2184333</v>
      </c>
      <c r="N444">
        <v>0</v>
      </c>
      <c r="O444" t="s">
        <v>104</v>
      </c>
      <c r="P444" s="56">
        <v>44277.578843750001</v>
      </c>
      <c r="Q444">
        <v>3473061</v>
      </c>
      <c r="R444" t="s">
        <v>26</v>
      </c>
      <c r="S444">
        <v>1188.54353066</v>
      </c>
      <c r="W444"/>
      <c r="X444">
        <v>0</v>
      </c>
      <c r="AC444" t="s">
        <v>108</v>
      </c>
      <c r="AD444" s="56">
        <v>43862</v>
      </c>
    </row>
    <row r="445" spans="1:30" x14ac:dyDescent="0.3">
      <c r="A445">
        <v>367728</v>
      </c>
      <c r="B445" t="s">
        <v>296</v>
      </c>
      <c r="C445">
        <v>2020</v>
      </c>
      <c r="D445">
        <v>2</v>
      </c>
      <c r="E445" t="s">
        <v>114</v>
      </c>
      <c r="F445" t="s">
        <v>108</v>
      </c>
      <c r="G445" t="s">
        <v>108</v>
      </c>
      <c r="H445" t="s">
        <v>25</v>
      </c>
      <c r="I445" t="s">
        <v>25</v>
      </c>
      <c r="J445" t="s">
        <v>138</v>
      </c>
      <c r="K445" t="s">
        <v>114</v>
      </c>
      <c r="L445" t="s">
        <v>140</v>
      </c>
      <c r="M445">
        <v>1505.0158114400001</v>
      </c>
      <c r="N445">
        <v>0</v>
      </c>
      <c r="O445" t="s">
        <v>104</v>
      </c>
      <c r="P445" s="56">
        <v>44277.578845023148</v>
      </c>
      <c r="Q445">
        <v>3473181</v>
      </c>
      <c r="R445" t="s">
        <v>26</v>
      </c>
      <c r="S445">
        <v>752.30058515999997</v>
      </c>
      <c r="W445"/>
      <c r="X445">
        <v>0</v>
      </c>
      <c r="AC445" t="s">
        <v>108</v>
      </c>
      <c r="AD445" s="56">
        <v>43862</v>
      </c>
    </row>
    <row r="446" spans="1:30" x14ac:dyDescent="0.3">
      <c r="A446">
        <v>367704</v>
      </c>
      <c r="B446" t="s">
        <v>296</v>
      </c>
      <c r="C446">
        <v>2020</v>
      </c>
      <c r="D446">
        <v>2</v>
      </c>
      <c r="E446" t="s">
        <v>112</v>
      </c>
      <c r="F446" t="s">
        <v>108</v>
      </c>
      <c r="G446" t="s">
        <v>108</v>
      </c>
      <c r="H446" t="s">
        <v>25</v>
      </c>
      <c r="I446" t="s">
        <v>25</v>
      </c>
      <c r="J446" t="s">
        <v>138</v>
      </c>
      <c r="K446" t="s">
        <v>112</v>
      </c>
      <c r="L446" t="s">
        <v>140</v>
      </c>
      <c r="M446">
        <v>1964.2184333</v>
      </c>
      <c r="N446">
        <v>0</v>
      </c>
      <c r="O446" t="s">
        <v>104</v>
      </c>
      <c r="P446" s="56">
        <v>44277.578843750001</v>
      </c>
      <c r="Q446">
        <v>3473064</v>
      </c>
      <c r="R446" t="s">
        <v>105</v>
      </c>
      <c r="S446">
        <v>107.98293959999999</v>
      </c>
      <c r="W446"/>
      <c r="X446">
        <v>0</v>
      </c>
      <c r="AC446" t="s">
        <v>108</v>
      </c>
      <c r="AD446" s="56">
        <v>43862</v>
      </c>
    </row>
    <row r="447" spans="1:30" x14ac:dyDescent="0.3">
      <c r="A447">
        <v>367728</v>
      </c>
      <c r="B447" t="s">
        <v>296</v>
      </c>
      <c r="C447">
        <v>2020</v>
      </c>
      <c r="D447">
        <v>2</v>
      </c>
      <c r="E447" t="s">
        <v>114</v>
      </c>
      <c r="F447" t="s">
        <v>108</v>
      </c>
      <c r="G447" t="s">
        <v>108</v>
      </c>
      <c r="H447" t="s">
        <v>25</v>
      </c>
      <c r="I447" t="s">
        <v>25</v>
      </c>
      <c r="J447" t="s">
        <v>138</v>
      </c>
      <c r="K447" t="s">
        <v>114</v>
      </c>
      <c r="L447" t="s">
        <v>140</v>
      </c>
      <c r="M447">
        <v>1505.0158114400001</v>
      </c>
      <c r="N447">
        <v>0</v>
      </c>
      <c r="O447" t="s">
        <v>104</v>
      </c>
      <c r="P447" s="56">
        <v>44277.578845023148</v>
      </c>
      <c r="Q447">
        <v>3473184</v>
      </c>
      <c r="R447" t="s">
        <v>105</v>
      </c>
      <c r="S447">
        <v>91.432260959999994</v>
      </c>
      <c r="W447"/>
      <c r="X447">
        <v>0</v>
      </c>
      <c r="AC447" t="s">
        <v>108</v>
      </c>
      <c r="AD447" s="56">
        <v>43862</v>
      </c>
    </row>
    <row r="448" spans="1:30" x14ac:dyDescent="0.3">
      <c r="A448">
        <v>367680</v>
      </c>
      <c r="B448" t="s">
        <v>296</v>
      </c>
      <c r="C448">
        <v>2020</v>
      </c>
      <c r="D448">
        <v>2</v>
      </c>
      <c r="E448" t="s">
        <v>110</v>
      </c>
      <c r="F448" t="s">
        <v>108</v>
      </c>
      <c r="G448" t="s">
        <v>108</v>
      </c>
      <c r="H448" t="s">
        <v>25</v>
      </c>
      <c r="I448" t="s">
        <v>25</v>
      </c>
      <c r="J448" t="s">
        <v>138</v>
      </c>
      <c r="K448" t="s">
        <v>110</v>
      </c>
      <c r="L448" t="s">
        <v>140</v>
      </c>
      <c r="M448">
        <v>4817.7602658300002</v>
      </c>
      <c r="N448">
        <v>0</v>
      </c>
      <c r="O448" t="s">
        <v>104</v>
      </c>
      <c r="P448" s="56">
        <v>44277.578842361108</v>
      </c>
      <c r="Q448">
        <v>3472944</v>
      </c>
      <c r="R448" t="s">
        <v>105</v>
      </c>
      <c r="S448">
        <v>396.15234104000001</v>
      </c>
      <c r="W448"/>
      <c r="X448">
        <v>0</v>
      </c>
      <c r="AC448" t="s">
        <v>108</v>
      </c>
      <c r="AD448" s="56">
        <v>43862</v>
      </c>
    </row>
    <row r="449" spans="1:30" x14ac:dyDescent="0.3">
      <c r="A449">
        <v>367704</v>
      </c>
      <c r="B449" t="s">
        <v>296</v>
      </c>
      <c r="C449">
        <v>2020</v>
      </c>
      <c r="D449">
        <v>2</v>
      </c>
      <c r="E449" t="s">
        <v>112</v>
      </c>
      <c r="F449" t="s">
        <v>108</v>
      </c>
      <c r="G449" t="s">
        <v>108</v>
      </c>
      <c r="H449" t="s">
        <v>25</v>
      </c>
      <c r="I449" t="s">
        <v>25</v>
      </c>
      <c r="J449" t="s">
        <v>138</v>
      </c>
      <c r="K449" t="s">
        <v>112</v>
      </c>
      <c r="L449" t="s">
        <v>140</v>
      </c>
      <c r="M449">
        <v>1964.2184333</v>
      </c>
      <c r="N449">
        <v>0</v>
      </c>
      <c r="O449" t="s">
        <v>104</v>
      </c>
      <c r="P449" s="56">
        <v>44277.578843750001</v>
      </c>
      <c r="Q449">
        <v>3473063</v>
      </c>
      <c r="R449" t="s">
        <v>27</v>
      </c>
      <c r="S449">
        <v>708.92044515999999</v>
      </c>
      <c r="W449"/>
      <c r="X449">
        <v>0</v>
      </c>
      <c r="AC449" t="s">
        <v>108</v>
      </c>
      <c r="AD449" s="56">
        <v>43862</v>
      </c>
    </row>
    <row r="450" spans="1:30" x14ac:dyDescent="0.3">
      <c r="A450">
        <v>367728</v>
      </c>
      <c r="B450" t="s">
        <v>296</v>
      </c>
      <c r="C450">
        <v>2020</v>
      </c>
      <c r="D450">
        <v>2</v>
      </c>
      <c r="E450" t="s">
        <v>114</v>
      </c>
      <c r="F450" t="s">
        <v>108</v>
      </c>
      <c r="G450" t="s">
        <v>108</v>
      </c>
      <c r="H450" t="s">
        <v>25</v>
      </c>
      <c r="I450" t="s">
        <v>25</v>
      </c>
      <c r="J450" t="s">
        <v>138</v>
      </c>
      <c r="K450" t="s">
        <v>114</v>
      </c>
      <c r="L450" t="s">
        <v>140</v>
      </c>
      <c r="M450">
        <v>1505.0158114400001</v>
      </c>
      <c r="N450">
        <v>0</v>
      </c>
      <c r="O450" t="s">
        <v>104</v>
      </c>
      <c r="P450" s="56">
        <v>44277.578845023148</v>
      </c>
      <c r="Q450">
        <v>3473183</v>
      </c>
      <c r="R450" t="s">
        <v>27</v>
      </c>
      <c r="S450">
        <v>687.73581141</v>
      </c>
      <c r="W450"/>
      <c r="X450">
        <v>0</v>
      </c>
      <c r="AC450" t="s">
        <v>108</v>
      </c>
      <c r="AD450" s="56">
        <v>43862</v>
      </c>
    </row>
    <row r="451" spans="1:30" x14ac:dyDescent="0.3">
      <c r="A451">
        <v>367680</v>
      </c>
      <c r="B451" t="s">
        <v>296</v>
      </c>
      <c r="C451">
        <v>2020</v>
      </c>
      <c r="D451">
        <v>2</v>
      </c>
      <c r="E451" t="s">
        <v>110</v>
      </c>
      <c r="F451" t="s">
        <v>108</v>
      </c>
      <c r="G451" t="s">
        <v>108</v>
      </c>
      <c r="H451" t="s">
        <v>25</v>
      </c>
      <c r="I451" t="s">
        <v>25</v>
      </c>
      <c r="J451" t="s">
        <v>138</v>
      </c>
      <c r="K451" t="s">
        <v>110</v>
      </c>
      <c r="L451" t="s">
        <v>140</v>
      </c>
      <c r="M451">
        <v>4817.7602658300002</v>
      </c>
      <c r="N451">
        <v>0</v>
      </c>
      <c r="O451" t="s">
        <v>104</v>
      </c>
      <c r="P451" s="56">
        <v>44277.578842361108</v>
      </c>
      <c r="Q451">
        <v>3472943</v>
      </c>
      <c r="R451" t="s">
        <v>27</v>
      </c>
      <c r="S451">
        <v>2244.28180668</v>
      </c>
      <c r="W451"/>
      <c r="X451">
        <v>0</v>
      </c>
      <c r="AC451" t="s">
        <v>108</v>
      </c>
      <c r="AD451" s="56">
        <v>43862</v>
      </c>
    </row>
    <row r="452" spans="1:30" x14ac:dyDescent="0.3">
      <c r="A452">
        <v>367728</v>
      </c>
      <c r="B452" t="s">
        <v>296</v>
      </c>
      <c r="C452">
        <v>2020</v>
      </c>
      <c r="D452">
        <v>2</v>
      </c>
      <c r="E452" t="s">
        <v>114</v>
      </c>
      <c r="F452" t="s">
        <v>108</v>
      </c>
      <c r="G452" t="s">
        <v>108</v>
      </c>
      <c r="H452" t="s">
        <v>25</v>
      </c>
      <c r="I452" t="s">
        <v>25</v>
      </c>
      <c r="J452" t="s">
        <v>138</v>
      </c>
      <c r="K452" t="s">
        <v>114</v>
      </c>
      <c r="L452" t="s">
        <v>140</v>
      </c>
      <c r="M452">
        <v>1505.0158114400001</v>
      </c>
      <c r="N452">
        <v>0</v>
      </c>
      <c r="O452" t="s">
        <v>104</v>
      </c>
      <c r="P452" s="56">
        <v>44277.578845023148</v>
      </c>
      <c r="Q452">
        <v>3473180</v>
      </c>
      <c r="R452" t="s">
        <v>115</v>
      </c>
      <c r="S452">
        <v>0.78847891000000003</v>
      </c>
      <c r="W452"/>
      <c r="X452">
        <v>0</v>
      </c>
      <c r="AC452" t="s">
        <v>108</v>
      </c>
      <c r="AD452" s="56">
        <v>43862</v>
      </c>
    </row>
    <row r="453" spans="1:30" x14ac:dyDescent="0.3">
      <c r="A453">
        <v>367704</v>
      </c>
      <c r="B453" t="s">
        <v>296</v>
      </c>
      <c r="C453">
        <v>2020</v>
      </c>
      <c r="D453">
        <v>2</v>
      </c>
      <c r="E453" t="s">
        <v>112</v>
      </c>
      <c r="F453" t="s">
        <v>108</v>
      </c>
      <c r="G453" t="s">
        <v>108</v>
      </c>
      <c r="H453" t="s">
        <v>25</v>
      </c>
      <c r="I453" t="s">
        <v>25</v>
      </c>
      <c r="J453" t="s">
        <v>138</v>
      </c>
      <c r="K453" t="s">
        <v>112</v>
      </c>
      <c r="L453" t="s">
        <v>140</v>
      </c>
      <c r="M453">
        <v>1964.2184333</v>
      </c>
      <c r="N453">
        <v>0</v>
      </c>
      <c r="O453" t="s">
        <v>104</v>
      </c>
      <c r="P453" s="56">
        <v>44277.578843750001</v>
      </c>
      <c r="Q453">
        <v>3473060</v>
      </c>
      <c r="R453" t="s">
        <v>115</v>
      </c>
      <c r="S453">
        <v>0</v>
      </c>
      <c r="W453"/>
      <c r="X453">
        <v>0</v>
      </c>
      <c r="AC453" t="s">
        <v>108</v>
      </c>
      <c r="AD453" s="56">
        <v>43862</v>
      </c>
    </row>
    <row r="454" spans="1:30" x14ac:dyDescent="0.3">
      <c r="A454">
        <v>367680</v>
      </c>
      <c r="B454" t="s">
        <v>296</v>
      </c>
      <c r="C454">
        <v>2020</v>
      </c>
      <c r="D454">
        <v>2</v>
      </c>
      <c r="E454" t="s">
        <v>110</v>
      </c>
      <c r="F454" t="s">
        <v>108</v>
      </c>
      <c r="G454" t="s">
        <v>108</v>
      </c>
      <c r="H454" t="s">
        <v>25</v>
      </c>
      <c r="I454" t="s">
        <v>25</v>
      </c>
      <c r="J454" t="s">
        <v>138</v>
      </c>
      <c r="K454" t="s">
        <v>110</v>
      </c>
      <c r="L454" t="s">
        <v>140</v>
      </c>
      <c r="M454">
        <v>4817.7602658300002</v>
      </c>
      <c r="N454">
        <v>0</v>
      </c>
      <c r="O454" t="s">
        <v>104</v>
      </c>
      <c r="P454" s="56">
        <v>44277.578842361108</v>
      </c>
      <c r="Q454">
        <v>3472940</v>
      </c>
      <c r="R454" t="s">
        <v>115</v>
      </c>
      <c r="S454">
        <v>7.3285851800000001</v>
      </c>
      <c r="W454"/>
      <c r="X454">
        <v>0</v>
      </c>
      <c r="AC454" t="s">
        <v>108</v>
      </c>
      <c r="AD454" s="56">
        <v>43862</v>
      </c>
    </row>
    <row r="455" spans="1:30" x14ac:dyDescent="0.3">
      <c r="A455">
        <v>367704</v>
      </c>
      <c r="B455" t="s">
        <v>296</v>
      </c>
      <c r="C455">
        <v>2020</v>
      </c>
      <c r="D455">
        <v>2</v>
      </c>
      <c r="E455" t="s">
        <v>112</v>
      </c>
      <c r="F455" t="s">
        <v>108</v>
      </c>
      <c r="G455" t="s">
        <v>108</v>
      </c>
      <c r="H455" t="s">
        <v>25</v>
      </c>
      <c r="I455" t="s">
        <v>25</v>
      </c>
      <c r="J455" t="s">
        <v>138</v>
      </c>
      <c r="K455" t="s">
        <v>112</v>
      </c>
      <c r="L455" t="s">
        <v>140</v>
      </c>
      <c r="M455">
        <v>1964.2184333</v>
      </c>
      <c r="N455">
        <v>0</v>
      </c>
      <c r="O455" t="s">
        <v>104</v>
      </c>
      <c r="P455" s="56">
        <v>44277.578843750001</v>
      </c>
      <c r="Q455">
        <v>3473062</v>
      </c>
      <c r="R455" t="s">
        <v>28</v>
      </c>
      <c r="S455">
        <v>0</v>
      </c>
      <c r="W455"/>
      <c r="X455">
        <v>0</v>
      </c>
      <c r="AC455" t="s">
        <v>108</v>
      </c>
      <c r="AD455" s="56">
        <v>43862</v>
      </c>
    </row>
    <row r="456" spans="1:30" x14ac:dyDescent="0.3">
      <c r="A456">
        <v>367728</v>
      </c>
      <c r="B456" t="s">
        <v>296</v>
      </c>
      <c r="C456">
        <v>2020</v>
      </c>
      <c r="D456">
        <v>2</v>
      </c>
      <c r="E456" t="s">
        <v>114</v>
      </c>
      <c r="F456" t="s">
        <v>108</v>
      </c>
      <c r="G456" t="s">
        <v>108</v>
      </c>
      <c r="H456" t="s">
        <v>25</v>
      </c>
      <c r="I456" t="s">
        <v>25</v>
      </c>
      <c r="J456" t="s">
        <v>138</v>
      </c>
      <c r="K456" t="s">
        <v>114</v>
      </c>
      <c r="L456" t="s">
        <v>140</v>
      </c>
      <c r="M456">
        <v>1505.0158114400001</v>
      </c>
      <c r="N456">
        <v>0</v>
      </c>
      <c r="O456" t="s">
        <v>104</v>
      </c>
      <c r="P456" s="56">
        <v>44277.578845023148</v>
      </c>
      <c r="Q456">
        <v>3473182</v>
      </c>
      <c r="R456" t="s">
        <v>28</v>
      </c>
      <c r="S456">
        <v>4.3486022799999997</v>
      </c>
      <c r="W456"/>
      <c r="X456">
        <v>0</v>
      </c>
      <c r="AC456" t="s">
        <v>108</v>
      </c>
      <c r="AD456" s="56">
        <v>43862</v>
      </c>
    </row>
    <row r="457" spans="1:30" x14ac:dyDescent="0.3">
      <c r="A457">
        <v>367680</v>
      </c>
      <c r="B457" t="s">
        <v>296</v>
      </c>
      <c r="C457">
        <v>2020</v>
      </c>
      <c r="D457">
        <v>2</v>
      </c>
      <c r="E457" t="s">
        <v>110</v>
      </c>
      <c r="F457" t="s">
        <v>108</v>
      </c>
      <c r="G457" t="s">
        <v>108</v>
      </c>
      <c r="H457" t="s">
        <v>25</v>
      </c>
      <c r="I457" t="s">
        <v>25</v>
      </c>
      <c r="J457" t="s">
        <v>138</v>
      </c>
      <c r="K457" t="s">
        <v>110</v>
      </c>
      <c r="L457" t="s">
        <v>140</v>
      </c>
      <c r="M457">
        <v>4817.7602658300002</v>
      </c>
      <c r="N457">
        <v>0</v>
      </c>
      <c r="O457" t="s">
        <v>104</v>
      </c>
      <c r="P457" s="56">
        <v>44277.578842361108</v>
      </c>
      <c r="Q457">
        <v>3472942</v>
      </c>
      <c r="R457" t="s">
        <v>28</v>
      </c>
      <c r="S457">
        <v>14.921387210000001</v>
      </c>
      <c r="W457"/>
      <c r="X457">
        <v>0</v>
      </c>
      <c r="AC457" t="s">
        <v>108</v>
      </c>
      <c r="AD457" s="56">
        <v>43862</v>
      </c>
    </row>
    <row r="458" spans="1:30" x14ac:dyDescent="0.3">
      <c r="A458">
        <v>380901</v>
      </c>
      <c r="B458" t="s">
        <v>305</v>
      </c>
      <c r="C458">
        <v>2020</v>
      </c>
      <c r="D458">
        <v>3</v>
      </c>
      <c r="E458" t="s">
        <v>114</v>
      </c>
      <c r="F458" t="s">
        <v>108</v>
      </c>
      <c r="G458" t="s">
        <v>108</v>
      </c>
      <c r="H458" t="s">
        <v>25</v>
      </c>
      <c r="I458" t="s">
        <v>25</v>
      </c>
      <c r="J458" t="s">
        <v>138</v>
      </c>
      <c r="K458" t="s">
        <v>114</v>
      </c>
      <c r="L458" t="s">
        <v>140</v>
      </c>
      <c r="M458">
        <v>1368.2888326899999</v>
      </c>
      <c r="N458">
        <v>0</v>
      </c>
      <c r="O458" t="s">
        <v>104</v>
      </c>
      <c r="P458" s="56">
        <v>44277.58045115741</v>
      </c>
      <c r="Q458">
        <v>3600032</v>
      </c>
      <c r="R458" t="s">
        <v>26</v>
      </c>
      <c r="S458">
        <v>683.95593035000002</v>
      </c>
      <c r="W458"/>
      <c r="X458">
        <v>0</v>
      </c>
      <c r="AC458" t="s">
        <v>108</v>
      </c>
      <c r="AD458" s="56">
        <v>43891</v>
      </c>
    </row>
    <row r="459" spans="1:30" x14ac:dyDescent="0.3">
      <c r="A459">
        <v>380853</v>
      </c>
      <c r="B459" t="s">
        <v>305</v>
      </c>
      <c r="C459">
        <v>2020</v>
      </c>
      <c r="D459">
        <v>3</v>
      </c>
      <c r="E459" t="s">
        <v>110</v>
      </c>
      <c r="F459" t="s">
        <v>108</v>
      </c>
      <c r="G459" t="s">
        <v>108</v>
      </c>
      <c r="H459" t="s">
        <v>25</v>
      </c>
      <c r="I459" t="s">
        <v>25</v>
      </c>
      <c r="J459" t="s">
        <v>138</v>
      </c>
      <c r="K459" t="s">
        <v>110</v>
      </c>
      <c r="L459" t="s">
        <v>140</v>
      </c>
      <c r="M459">
        <v>4596.1657269400002</v>
      </c>
      <c r="N459">
        <v>0</v>
      </c>
      <c r="O459" t="s">
        <v>104</v>
      </c>
      <c r="P459" s="56">
        <v>44277.580443599538</v>
      </c>
      <c r="Q459">
        <v>3599792</v>
      </c>
      <c r="R459" t="s">
        <v>26</v>
      </c>
      <c r="S459">
        <v>2152.4251135700001</v>
      </c>
      <c r="W459"/>
      <c r="X459">
        <v>0</v>
      </c>
      <c r="AC459" t="s">
        <v>108</v>
      </c>
      <c r="AD459" s="56">
        <v>43891</v>
      </c>
    </row>
    <row r="460" spans="1:30" x14ac:dyDescent="0.3">
      <c r="A460">
        <v>380877</v>
      </c>
      <c r="B460" t="s">
        <v>305</v>
      </c>
      <c r="C460">
        <v>2020</v>
      </c>
      <c r="D460">
        <v>3</v>
      </c>
      <c r="E460" t="s">
        <v>112</v>
      </c>
      <c r="F460" t="s">
        <v>108</v>
      </c>
      <c r="G460" t="s">
        <v>108</v>
      </c>
      <c r="H460" t="s">
        <v>25</v>
      </c>
      <c r="I460" t="s">
        <v>25</v>
      </c>
      <c r="J460" t="s">
        <v>138</v>
      </c>
      <c r="K460" t="s">
        <v>112</v>
      </c>
      <c r="L460" t="s">
        <v>140</v>
      </c>
      <c r="M460">
        <v>1932.0776825</v>
      </c>
      <c r="N460">
        <v>0</v>
      </c>
      <c r="O460" t="s">
        <v>104</v>
      </c>
      <c r="P460" s="56">
        <v>44277.580448298613</v>
      </c>
      <c r="Q460">
        <v>3599912</v>
      </c>
      <c r="R460" t="s">
        <v>26</v>
      </c>
      <c r="S460">
        <v>1169.0952448800001</v>
      </c>
      <c r="W460"/>
      <c r="X460">
        <v>0</v>
      </c>
      <c r="AC460" t="s">
        <v>108</v>
      </c>
      <c r="AD460" s="56">
        <v>43891</v>
      </c>
    </row>
    <row r="461" spans="1:30" x14ac:dyDescent="0.3">
      <c r="A461">
        <v>380901</v>
      </c>
      <c r="B461" t="s">
        <v>305</v>
      </c>
      <c r="C461">
        <v>2020</v>
      </c>
      <c r="D461">
        <v>3</v>
      </c>
      <c r="E461" t="s">
        <v>114</v>
      </c>
      <c r="F461" t="s">
        <v>108</v>
      </c>
      <c r="G461" t="s">
        <v>108</v>
      </c>
      <c r="H461" t="s">
        <v>25</v>
      </c>
      <c r="I461" t="s">
        <v>25</v>
      </c>
      <c r="J461" t="s">
        <v>138</v>
      </c>
      <c r="K461" t="s">
        <v>114</v>
      </c>
      <c r="L461" t="s">
        <v>140</v>
      </c>
      <c r="M461">
        <v>1368.2888326899999</v>
      </c>
      <c r="N461">
        <v>0</v>
      </c>
      <c r="O461" t="s">
        <v>104</v>
      </c>
      <c r="P461" s="56">
        <v>44277.58045115741</v>
      </c>
      <c r="Q461">
        <v>3600035</v>
      </c>
      <c r="R461" t="s">
        <v>105</v>
      </c>
      <c r="S461">
        <v>83.125865300000001</v>
      </c>
      <c r="W461"/>
      <c r="X461">
        <v>0</v>
      </c>
      <c r="AC461" t="s">
        <v>108</v>
      </c>
      <c r="AD461" s="56">
        <v>43891</v>
      </c>
    </row>
    <row r="462" spans="1:30" x14ac:dyDescent="0.3">
      <c r="A462">
        <v>380853</v>
      </c>
      <c r="B462" t="s">
        <v>305</v>
      </c>
      <c r="C462">
        <v>2020</v>
      </c>
      <c r="D462">
        <v>3</v>
      </c>
      <c r="E462" t="s">
        <v>110</v>
      </c>
      <c r="F462" t="s">
        <v>108</v>
      </c>
      <c r="G462" t="s">
        <v>108</v>
      </c>
      <c r="H462" t="s">
        <v>25</v>
      </c>
      <c r="I462" t="s">
        <v>25</v>
      </c>
      <c r="J462" t="s">
        <v>138</v>
      </c>
      <c r="K462" t="s">
        <v>110</v>
      </c>
      <c r="L462" t="s">
        <v>140</v>
      </c>
      <c r="M462">
        <v>4596.1657269400002</v>
      </c>
      <c r="N462">
        <v>0</v>
      </c>
      <c r="O462" t="s">
        <v>104</v>
      </c>
      <c r="P462" s="56">
        <v>44277.580443599538</v>
      </c>
      <c r="Q462">
        <v>3599795</v>
      </c>
      <c r="R462" t="s">
        <v>105</v>
      </c>
      <c r="S462">
        <v>377.93117798999998</v>
      </c>
      <c r="W462"/>
      <c r="X462">
        <v>0</v>
      </c>
      <c r="AC462" t="s">
        <v>108</v>
      </c>
      <c r="AD462" s="56">
        <v>43891</v>
      </c>
    </row>
    <row r="463" spans="1:30" x14ac:dyDescent="0.3">
      <c r="A463">
        <v>380877</v>
      </c>
      <c r="B463" t="s">
        <v>305</v>
      </c>
      <c r="C463">
        <v>2020</v>
      </c>
      <c r="D463">
        <v>3</v>
      </c>
      <c r="E463" t="s">
        <v>112</v>
      </c>
      <c r="F463" t="s">
        <v>108</v>
      </c>
      <c r="G463" t="s">
        <v>108</v>
      </c>
      <c r="H463" t="s">
        <v>25</v>
      </c>
      <c r="I463" t="s">
        <v>25</v>
      </c>
      <c r="J463" t="s">
        <v>138</v>
      </c>
      <c r="K463" t="s">
        <v>112</v>
      </c>
      <c r="L463" t="s">
        <v>140</v>
      </c>
      <c r="M463">
        <v>1932.0776825</v>
      </c>
      <c r="N463">
        <v>0</v>
      </c>
      <c r="O463" t="s">
        <v>104</v>
      </c>
      <c r="P463" s="56">
        <v>44277.580448298613</v>
      </c>
      <c r="Q463">
        <v>3599915</v>
      </c>
      <c r="R463" t="s">
        <v>105</v>
      </c>
      <c r="S463">
        <v>106.21600132</v>
      </c>
      <c r="W463"/>
      <c r="X463">
        <v>0</v>
      </c>
      <c r="AC463" t="s">
        <v>108</v>
      </c>
      <c r="AD463" s="56">
        <v>43891</v>
      </c>
    </row>
    <row r="464" spans="1:30" x14ac:dyDescent="0.3">
      <c r="A464">
        <v>380901</v>
      </c>
      <c r="B464" t="s">
        <v>305</v>
      </c>
      <c r="C464">
        <v>2020</v>
      </c>
      <c r="D464">
        <v>3</v>
      </c>
      <c r="E464" t="s">
        <v>114</v>
      </c>
      <c r="F464" t="s">
        <v>108</v>
      </c>
      <c r="G464" t="s">
        <v>108</v>
      </c>
      <c r="H464" t="s">
        <v>25</v>
      </c>
      <c r="I464" t="s">
        <v>25</v>
      </c>
      <c r="J464" t="s">
        <v>138</v>
      </c>
      <c r="K464" t="s">
        <v>114</v>
      </c>
      <c r="L464" t="s">
        <v>140</v>
      </c>
      <c r="M464">
        <v>1368.2888326899999</v>
      </c>
      <c r="N464">
        <v>0</v>
      </c>
      <c r="O464" t="s">
        <v>104</v>
      </c>
      <c r="P464" s="56">
        <v>44277.58045115741</v>
      </c>
      <c r="Q464">
        <v>3600034</v>
      </c>
      <c r="R464" t="s">
        <v>27</v>
      </c>
      <c r="S464">
        <v>625.25670722999996</v>
      </c>
      <c r="W464"/>
      <c r="X464">
        <v>0</v>
      </c>
      <c r="AC464" t="s">
        <v>108</v>
      </c>
      <c r="AD464" s="56">
        <v>43891</v>
      </c>
    </row>
    <row r="465" spans="1:30" x14ac:dyDescent="0.3">
      <c r="A465">
        <v>380877</v>
      </c>
      <c r="B465" t="s">
        <v>305</v>
      </c>
      <c r="C465">
        <v>2020</v>
      </c>
      <c r="D465">
        <v>3</v>
      </c>
      <c r="E465" t="s">
        <v>112</v>
      </c>
      <c r="F465" t="s">
        <v>108</v>
      </c>
      <c r="G465" t="s">
        <v>108</v>
      </c>
      <c r="H465" t="s">
        <v>25</v>
      </c>
      <c r="I465" t="s">
        <v>25</v>
      </c>
      <c r="J465" t="s">
        <v>138</v>
      </c>
      <c r="K465" t="s">
        <v>112</v>
      </c>
      <c r="L465" t="s">
        <v>140</v>
      </c>
      <c r="M465">
        <v>1932.0776825</v>
      </c>
      <c r="N465">
        <v>0</v>
      </c>
      <c r="O465" t="s">
        <v>104</v>
      </c>
      <c r="P465" s="56">
        <v>44277.580448298613</v>
      </c>
      <c r="Q465">
        <v>3599914</v>
      </c>
      <c r="R465" t="s">
        <v>27</v>
      </c>
      <c r="S465">
        <v>697.32029164000005</v>
      </c>
      <c r="W465"/>
      <c r="X465">
        <v>0</v>
      </c>
      <c r="AC465" t="s">
        <v>108</v>
      </c>
      <c r="AD465" s="56">
        <v>43891</v>
      </c>
    </row>
    <row r="466" spans="1:30" x14ac:dyDescent="0.3">
      <c r="A466">
        <v>380853</v>
      </c>
      <c r="B466" t="s">
        <v>305</v>
      </c>
      <c r="C466">
        <v>2020</v>
      </c>
      <c r="D466">
        <v>3</v>
      </c>
      <c r="E466" t="s">
        <v>110</v>
      </c>
      <c r="F466" t="s">
        <v>108</v>
      </c>
      <c r="G466" t="s">
        <v>108</v>
      </c>
      <c r="H466" t="s">
        <v>25</v>
      </c>
      <c r="I466" t="s">
        <v>25</v>
      </c>
      <c r="J466" t="s">
        <v>138</v>
      </c>
      <c r="K466" t="s">
        <v>110</v>
      </c>
      <c r="L466" t="s">
        <v>140</v>
      </c>
      <c r="M466">
        <v>4596.1657269400002</v>
      </c>
      <c r="N466">
        <v>0</v>
      </c>
      <c r="O466" t="s">
        <v>104</v>
      </c>
      <c r="P466" s="56">
        <v>44277.580443599538</v>
      </c>
      <c r="Q466">
        <v>3599794</v>
      </c>
      <c r="R466" t="s">
        <v>27</v>
      </c>
      <c r="S466">
        <v>2141.05529381</v>
      </c>
      <c r="W466"/>
      <c r="X466">
        <v>0</v>
      </c>
      <c r="AC466" t="s">
        <v>108</v>
      </c>
      <c r="AD466" s="56">
        <v>43891</v>
      </c>
    </row>
    <row r="467" spans="1:30" x14ac:dyDescent="0.3">
      <c r="A467">
        <v>380901</v>
      </c>
      <c r="B467" t="s">
        <v>305</v>
      </c>
      <c r="C467">
        <v>2020</v>
      </c>
      <c r="D467">
        <v>3</v>
      </c>
      <c r="E467" t="s">
        <v>114</v>
      </c>
      <c r="F467" t="s">
        <v>108</v>
      </c>
      <c r="G467" t="s">
        <v>108</v>
      </c>
      <c r="H467" t="s">
        <v>25</v>
      </c>
      <c r="I467" t="s">
        <v>25</v>
      </c>
      <c r="J467" t="s">
        <v>138</v>
      </c>
      <c r="K467" t="s">
        <v>114</v>
      </c>
      <c r="L467" t="s">
        <v>140</v>
      </c>
      <c r="M467">
        <v>1368.2888326899999</v>
      </c>
      <c r="N467">
        <v>0</v>
      </c>
      <c r="O467" t="s">
        <v>104</v>
      </c>
      <c r="P467" s="56">
        <v>44277.58045115741</v>
      </c>
      <c r="Q467">
        <v>3600031</v>
      </c>
      <c r="R467" t="s">
        <v>115</v>
      </c>
      <c r="S467">
        <v>0.71684755</v>
      </c>
      <c r="W467"/>
      <c r="X467">
        <v>0</v>
      </c>
      <c r="AC467" t="s">
        <v>108</v>
      </c>
      <c r="AD467" s="56">
        <v>43891</v>
      </c>
    </row>
    <row r="468" spans="1:30" x14ac:dyDescent="0.3">
      <c r="A468">
        <v>380877</v>
      </c>
      <c r="B468" t="s">
        <v>305</v>
      </c>
      <c r="C468">
        <v>2020</v>
      </c>
      <c r="D468">
        <v>3</v>
      </c>
      <c r="E468" t="s">
        <v>112</v>
      </c>
      <c r="F468" t="s">
        <v>108</v>
      </c>
      <c r="G468" t="s">
        <v>108</v>
      </c>
      <c r="H468" t="s">
        <v>25</v>
      </c>
      <c r="I468" t="s">
        <v>25</v>
      </c>
      <c r="J468" t="s">
        <v>138</v>
      </c>
      <c r="K468" t="s">
        <v>112</v>
      </c>
      <c r="L468" t="s">
        <v>140</v>
      </c>
      <c r="M468">
        <v>1932.0776825</v>
      </c>
      <c r="N468">
        <v>0</v>
      </c>
      <c r="O468" t="s">
        <v>104</v>
      </c>
      <c r="P468" s="56">
        <v>44277.580448298613</v>
      </c>
      <c r="Q468">
        <v>3599911</v>
      </c>
      <c r="R468" t="s">
        <v>115</v>
      </c>
      <c r="S468">
        <v>0</v>
      </c>
      <c r="W468"/>
      <c r="X468">
        <v>0</v>
      </c>
      <c r="AC468" t="s">
        <v>108</v>
      </c>
      <c r="AD468" s="56">
        <v>43891</v>
      </c>
    </row>
    <row r="469" spans="1:30" x14ac:dyDescent="0.3">
      <c r="A469">
        <v>380853</v>
      </c>
      <c r="B469" t="s">
        <v>305</v>
      </c>
      <c r="C469">
        <v>2020</v>
      </c>
      <c r="D469">
        <v>3</v>
      </c>
      <c r="E469" t="s">
        <v>110</v>
      </c>
      <c r="F469" t="s">
        <v>108</v>
      </c>
      <c r="G469" t="s">
        <v>108</v>
      </c>
      <c r="H469" t="s">
        <v>25</v>
      </c>
      <c r="I469" t="s">
        <v>25</v>
      </c>
      <c r="J469" t="s">
        <v>138</v>
      </c>
      <c r="K469" t="s">
        <v>110</v>
      </c>
      <c r="L469" t="s">
        <v>140</v>
      </c>
      <c r="M469">
        <v>4596.1657269400002</v>
      </c>
      <c r="N469">
        <v>0</v>
      </c>
      <c r="O469" t="s">
        <v>104</v>
      </c>
      <c r="P469" s="56">
        <v>44277.580443599538</v>
      </c>
      <c r="Q469">
        <v>3599791</v>
      </c>
      <c r="R469" t="s">
        <v>115</v>
      </c>
      <c r="S469">
        <v>6.9915043900000002</v>
      </c>
      <c r="W469"/>
      <c r="X469">
        <v>0</v>
      </c>
      <c r="AC469" t="s">
        <v>108</v>
      </c>
      <c r="AD469" s="56">
        <v>43891</v>
      </c>
    </row>
    <row r="470" spans="1:30" x14ac:dyDescent="0.3">
      <c r="A470">
        <v>380877</v>
      </c>
      <c r="B470" t="s">
        <v>305</v>
      </c>
      <c r="C470">
        <v>2020</v>
      </c>
      <c r="D470">
        <v>3</v>
      </c>
      <c r="E470" t="s">
        <v>112</v>
      </c>
      <c r="F470" t="s">
        <v>108</v>
      </c>
      <c r="G470" t="s">
        <v>108</v>
      </c>
      <c r="H470" t="s">
        <v>25</v>
      </c>
      <c r="I470" t="s">
        <v>25</v>
      </c>
      <c r="J470" t="s">
        <v>138</v>
      </c>
      <c r="K470" t="s">
        <v>112</v>
      </c>
      <c r="L470" t="s">
        <v>140</v>
      </c>
      <c r="M470">
        <v>1932.0776825</v>
      </c>
      <c r="N470">
        <v>0</v>
      </c>
      <c r="O470" t="s">
        <v>104</v>
      </c>
      <c r="P470" s="56">
        <v>44277.580448298613</v>
      </c>
      <c r="Q470">
        <v>3599913</v>
      </c>
      <c r="R470" t="s">
        <v>28</v>
      </c>
      <c r="S470">
        <v>0</v>
      </c>
      <c r="W470"/>
      <c r="X470">
        <v>0</v>
      </c>
      <c r="AC470" t="s">
        <v>108</v>
      </c>
      <c r="AD470" s="56">
        <v>43891</v>
      </c>
    </row>
    <row r="471" spans="1:30" x14ac:dyDescent="0.3">
      <c r="A471">
        <v>380853</v>
      </c>
      <c r="B471" t="s">
        <v>305</v>
      </c>
      <c r="C471">
        <v>2020</v>
      </c>
      <c r="D471">
        <v>3</v>
      </c>
      <c r="E471" t="s">
        <v>110</v>
      </c>
      <c r="F471" t="s">
        <v>108</v>
      </c>
      <c r="G471" t="s">
        <v>108</v>
      </c>
      <c r="H471" t="s">
        <v>25</v>
      </c>
      <c r="I471" t="s">
        <v>25</v>
      </c>
      <c r="J471" t="s">
        <v>138</v>
      </c>
      <c r="K471" t="s">
        <v>110</v>
      </c>
      <c r="L471" t="s">
        <v>140</v>
      </c>
      <c r="M471">
        <v>4596.1657269400002</v>
      </c>
      <c r="N471">
        <v>0</v>
      </c>
      <c r="O471" t="s">
        <v>104</v>
      </c>
      <c r="P471" s="56">
        <v>44277.580443599538</v>
      </c>
      <c r="Q471">
        <v>3599793</v>
      </c>
      <c r="R471" t="s">
        <v>28</v>
      </c>
      <c r="S471">
        <v>14.235072880000001</v>
      </c>
      <c r="W471"/>
      <c r="X471">
        <v>0</v>
      </c>
      <c r="AC471" t="s">
        <v>108</v>
      </c>
      <c r="AD471" s="56">
        <v>43891</v>
      </c>
    </row>
    <row r="472" spans="1:30" x14ac:dyDescent="0.3">
      <c r="A472">
        <v>380901</v>
      </c>
      <c r="B472" t="s">
        <v>305</v>
      </c>
      <c r="C472">
        <v>2020</v>
      </c>
      <c r="D472">
        <v>3</v>
      </c>
      <c r="E472" t="s">
        <v>114</v>
      </c>
      <c r="F472" t="s">
        <v>108</v>
      </c>
      <c r="G472" t="s">
        <v>108</v>
      </c>
      <c r="H472" t="s">
        <v>25</v>
      </c>
      <c r="I472" t="s">
        <v>25</v>
      </c>
      <c r="J472" t="s">
        <v>138</v>
      </c>
      <c r="K472" t="s">
        <v>114</v>
      </c>
      <c r="L472" t="s">
        <v>140</v>
      </c>
      <c r="M472">
        <v>1368.2888326899999</v>
      </c>
      <c r="N472">
        <v>0</v>
      </c>
      <c r="O472" t="s">
        <v>104</v>
      </c>
      <c r="P472" s="56">
        <v>44277.58045115741</v>
      </c>
      <c r="Q472">
        <v>3600033</v>
      </c>
      <c r="R472" t="s">
        <v>28</v>
      </c>
      <c r="S472">
        <v>3.9535424699999999</v>
      </c>
      <c r="W472"/>
      <c r="X472">
        <v>0</v>
      </c>
      <c r="AC472" t="s">
        <v>108</v>
      </c>
      <c r="AD472" s="56">
        <v>43891</v>
      </c>
    </row>
    <row r="473" spans="1:30" x14ac:dyDescent="0.3">
      <c r="A473">
        <v>394026</v>
      </c>
      <c r="B473" t="s">
        <v>314</v>
      </c>
      <c r="C473">
        <v>2020</v>
      </c>
      <c r="D473">
        <v>4</v>
      </c>
      <c r="E473" t="s">
        <v>110</v>
      </c>
      <c r="F473" t="s">
        <v>108</v>
      </c>
      <c r="G473" t="s">
        <v>108</v>
      </c>
      <c r="H473" t="s">
        <v>25</v>
      </c>
      <c r="I473" t="s">
        <v>25</v>
      </c>
      <c r="J473" t="s">
        <v>138</v>
      </c>
      <c r="K473" t="s">
        <v>110</v>
      </c>
      <c r="L473" t="s">
        <v>140</v>
      </c>
      <c r="M473">
        <v>3484.5644192300001</v>
      </c>
      <c r="N473">
        <v>0</v>
      </c>
      <c r="O473" t="s">
        <v>104</v>
      </c>
      <c r="P473" s="56">
        <v>44277.582315590284</v>
      </c>
      <c r="Q473">
        <v>3726643</v>
      </c>
      <c r="R473" t="s">
        <v>26</v>
      </c>
      <c r="S473">
        <v>1631.8523768299999</v>
      </c>
      <c r="W473"/>
      <c r="X473">
        <v>0</v>
      </c>
      <c r="AC473" t="s">
        <v>108</v>
      </c>
      <c r="AD473" s="56">
        <v>43922</v>
      </c>
    </row>
    <row r="474" spans="1:30" x14ac:dyDescent="0.3">
      <c r="A474">
        <v>394050</v>
      </c>
      <c r="B474" t="s">
        <v>314</v>
      </c>
      <c r="C474">
        <v>2020</v>
      </c>
      <c r="D474">
        <v>4</v>
      </c>
      <c r="E474" t="s">
        <v>112</v>
      </c>
      <c r="F474" t="s">
        <v>108</v>
      </c>
      <c r="G474" t="s">
        <v>108</v>
      </c>
      <c r="H474" t="s">
        <v>25</v>
      </c>
      <c r="I474" t="s">
        <v>25</v>
      </c>
      <c r="J474" t="s">
        <v>138</v>
      </c>
      <c r="K474" t="s">
        <v>112</v>
      </c>
      <c r="L474" t="s">
        <v>140</v>
      </c>
      <c r="M474">
        <v>823.93457666999996</v>
      </c>
      <c r="N474">
        <v>0</v>
      </c>
      <c r="O474" t="s">
        <v>104</v>
      </c>
      <c r="P474" s="56">
        <v>44277.582317094908</v>
      </c>
      <c r="Q474">
        <v>3726763</v>
      </c>
      <c r="R474" t="s">
        <v>26</v>
      </c>
      <c r="S474">
        <v>498.56069681000002</v>
      </c>
      <c r="W474"/>
      <c r="X474">
        <v>0</v>
      </c>
      <c r="AC474" t="s">
        <v>108</v>
      </c>
      <c r="AD474" s="56">
        <v>43922</v>
      </c>
    </row>
    <row r="475" spans="1:30" x14ac:dyDescent="0.3">
      <c r="A475">
        <v>394074</v>
      </c>
      <c r="B475" t="s">
        <v>314</v>
      </c>
      <c r="C475">
        <v>2020</v>
      </c>
      <c r="D475">
        <v>4</v>
      </c>
      <c r="E475" t="s">
        <v>114</v>
      </c>
      <c r="F475" t="s">
        <v>108</v>
      </c>
      <c r="G475" t="s">
        <v>108</v>
      </c>
      <c r="H475" t="s">
        <v>25</v>
      </c>
      <c r="I475" t="s">
        <v>25</v>
      </c>
      <c r="J475" t="s">
        <v>138</v>
      </c>
      <c r="K475" t="s">
        <v>114</v>
      </c>
      <c r="L475" t="s">
        <v>140</v>
      </c>
      <c r="M475">
        <v>1607.7261362300001</v>
      </c>
      <c r="N475">
        <v>0</v>
      </c>
      <c r="O475" t="s">
        <v>104</v>
      </c>
      <c r="P475" s="56">
        <v>44277.582318402783</v>
      </c>
      <c r="Q475">
        <v>3726883</v>
      </c>
      <c r="R475" t="s">
        <v>26</v>
      </c>
      <c r="S475">
        <v>803.64159888999995</v>
      </c>
      <c r="W475"/>
      <c r="X475">
        <v>0</v>
      </c>
      <c r="AC475" t="s">
        <v>108</v>
      </c>
      <c r="AD475" s="56">
        <v>43922</v>
      </c>
    </row>
    <row r="476" spans="1:30" x14ac:dyDescent="0.3">
      <c r="A476">
        <v>394050</v>
      </c>
      <c r="B476" t="s">
        <v>314</v>
      </c>
      <c r="C476">
        <v>2020</v>
      </c>
      <c r="D476">
        <v>4</v>
      </c>
      <c r="E476" t="s">
        <v>112</v>
      </c>
      <c r="F476" t="s">
        <v>108</v>
      </c>
      <c r="G476" t="s">
        <v>108</v>
      </c>
      <c r="H476" t="s">
        <v>25</v>
      </c>
      <c r="I476" t="s">
        <v>25</v>
      </c>
      <c r="J476" t="s">
        <v>138</v>
      </c>
      <c r="K476" t="s">
        <v>112</v>
      </c>
      <c r="L476" t="s">
        <v>140</v>
      </c>
      <c r="M476">
        <v>823.93457666999996</v>
      </c>
      <c r="N476">
        <v>0</v>
      </c>
      <c r="O476" t="s">
        <v>104</v>
      </c>
      <c r="P476" s="56">
        <v>44277.582317094908</v>
      </c>
      <c r="Q476">
        <v>3726766</v>
      </c>
      <c r="R476" t="s">
        <v>105</v>
      </c>
      <c r="S476">
        <v>45.295816449999997</v>
      </c>
      <c r="W476"/>
      <c r="X476">
        <v>0</v>
      </c>
      <c r="AC476" t="s">
        <v>108</v>
      </c>
      <c r="AD476" s="56">
        <v>43922</v>
      </c>
    </row>
    <row r="477" spans="1:30" x14ac:dyDescent="0.3">
      <c r="A477">
        <v>394074</v>
      </c>
      <c r="B477" t="s">
        <v>314</v>
      </c>
      <c r="C477">
        <v>2020</v>
      </c>
      <c r="D477">
        <v>4</v>
      </c>
      <c r="E477" t="s">
        <v>114</v>
      </c>
      <c r="F477" t="s">
        <v>108</v>
      </c>
      <c r="G477" t="s">
        <v>108</v>
      </c>
      <c r="H477" t="s">
        <v>25</v>
      </c>
      <c r="I477" t="s">
        <v>25</v>
      </c>
      <c r="J477" t="s">
        <v>138</v>
      </c>
      <c r="K477" t="s">
        <v>114</v>
      </c>
      <c r="L477" t="s">
        <v>140</v>
      </c>
      <c r="M477">
        <v>1607.7261362300001</v>
      </c>
      <c r="N477">
        <v>0</v>
      </c>
      <c r="O477" t="s">
        <v>104</v>
      </c>
      <c r="P477" s="56">
        <v>44277.582318402783</v>
      </c>
      <c r="Q477">
        <v>3726886</v>
      </c>
      <c r="R477" t="s">
        <v>105</v>
      </c>
      <c r="S477">
        <v>97.672087250000004</v>
      </c>
      <c r="W477"/>
      <c r="X477">
        <v>0</v>
      </c>
      <c r="AC477" t="s">
        <v>108</v>
      </c>
      <c r="AD477" s="56">
        <v>43922</v>
      </c>
    </row>
    <row r="478" spans="1:30" x14ac:dyDescent="0.3">
      <c r="A478">
        <v>394026</v>
      </c>
      <c r="B478" t="s">
        <v>314</v>
      </c>
      <c r="C478">
        <v>2020</v>
      </c>
      <c r="D478">
        <v>4</v>
      </c>
      <c r="E478" t="s">
        <v>110</v>
      </c>
      <c r="F478" t="s">
        <v>108</v>
      </c>
      <c r="G478" t="s">
        <v>108</v>
      </c>
      <c r="H478" t="s">
        <v>25</v>
      </c>
      <c r="I478" t="s">
        <v>25</v>
      </c>
      <c r="J478" t="s">
        <v>138</v>
      </c>
      <c r="K478" t="s">
        <v>110</v>
      </c>
      <c r="L478" t="s">
        <v>140</v>
      </c>
      <c r="M478">
        <v>3484.5644192300001</v>
      </c>
      <c r="N478">
        <v>0</v>
      </c>
      <c r="O478" t="s">
        <v>104</v>
      </c>
      <c r="P478" s="56">
        <v>44277.582315590284</v>
      </c>
      <c r="Q478">
        <v>3726646</v>
      </c>
      <c r="R478" t="s">
        <v>105</v>
      </c>
      <c r="S478">
        <v>286.52699096999999</v>
      </c>
      <c r="W478"/>
      <c r="X478">
        <v>0</v>
      </c>
      <c r="AC478" t="s">
        <v>108</v>
      </c>
      <c r="AD478" s="56">
        <v>43922</v>
      </c>
    </row>
    <row r="479" spans="1:30" x14ac:dyDescent="0.3">
      <c r="A479">
        <v>394026</v>
      </c>
      <c r="B479" t="s">
        <v>314</v>
      </c>
      <c r="C479">
        <v>2020</v>
      </c>
      <c r="D479">
        <v>4</v>
      </c>
      <c r="E479" t="s">
        <v>110</v>
      </c>
      <c r="F479" t="s">
        <v>108</v>
      </c>
      <c r="G479" t="s">
        <v>108</v>
      </c>
      <c r="H479" t="s">
        <v>25</v>
      </c>
      <c r="I479" t="s">
        <v>25</v>
      </c>
      <c r="J479" t="s">
        <v>138</v>
      </c>
      <c r="K479" t="s">
        <v>110</v>
      </c>
      <c r="L479" t="s">
        <v>140</v>
      </c>
      <c r="M479">
        <v>3484.5644192300001</v>
      </c>
      <c r="N479">
        <v>0</v>
      </c>
      <c r="O479" t="s">
        <v>104</v>
      </c>
      <c r="P479" s="56">
        <v>44277.582315590284</v>
      </c>
      <c r="Q479">
        <v>3726645</v>
      </c>
      <c r="R479" t="s">
        <v>27</v>
      </c>
      <c r="S479">
        <v>1623.2323940599999</v>
      </c>
      <c r="W479"/>
      <c r="X479">
        <v>0</v>
      </c>
      <c r="AC479" t="s">
        <v>108</v>
      </c>
      <c r="AD479" s="56">
        <v>43922</v>
      </c>
    </row>
    <row r="480" spans="1:30" x14ac:dyDescent="0.3">
      <c r="A480">
        <v>394074</v>
      </c>
      <c r="B480" t="s">
        <v>314</v>
      </c>
      <c r="C480">
        <v>2020</v>
      </c>
      <c r="D480">
        <v>4</v>
      </c>
      <c r="E480" t="s">
        <v>114</v>
      </c>
      <c r="F480" t="s">
        <v>108</v>
      </c>
      <c r="G480" t="s">
        <v>108</v>
      </c>
      <c r="H480" t="s">
        <v>25</v>
      </c>
      <c r="I480" t="s">
        <v>25</v>
      </c>
      <c r="J480" t="s">
        <v>138</v>
      </c>
      <c r="K480" t="s">
        <v>114</v>
      </c>
      <c r="L480" t="s">
        <v>140</v>
      </c>
      <c r="M480">
        <v>1607.7261362300001</v>
      </c>
      <c r="N480">
        <v>0</v>
      </c>
      <c r="O480" t="s">
        <v>104</v>
      </c>
      <c r="P480" s="56">
        <v>44277.582318402783</v>
      </c>
      <c r="Q480">
        <v>3726885</v>
      </c>
      <c r="R480" t="s">
        <v>27</v>
      </c>
      <c r="S480">
        <v>734.67057981999994</v>
      </c>
      <c r="W480"/>
      <c r="X480">
        <v>0</v>
      </c>
      <c r="AC480" t="s">
        <v>108</v>
      </c>
      <c r="AD480" s="56">
        <v>43922</v>
      </c>
    </row>
    <row r="481" spans="1:30" x14ac:dyDescent="0.3">
      <c r="A481">
        <v>394050</v>
      </c>
      <c r="B481" t="s">
        <v>314</v>
      </c>
      <c r="C481">
        <v>2020</v>
      </c>
      <c r="D481">
        <v>4</v>
      </c>
      <c r="E481" t="s">
        <v>112</v>
      </c>
      <c r="F481" t="s">
        <v>108</v>
      </c>
      <c r="G481" t="s">
        <v>108</v>
      </c>
      <c r="H481" t="s">
        <v>25</v>
      </c>
      <c r="I481" t="s">
        <v>25</v>
      </c>
      <c r="J481" t="s">
        <v>138</v>
      </c>
      <c r="K481" t="s">
        <v>112</v>
      </c>
      <c r="L481" t="s">
        <v>140</v>
      </c>
      <c r="M481">
        <v>823.93457666999996</v>
      </c>
      <c r="N481">
        <v>0</v>
      </c>
      <c r="O481" t="s">
        <v>104</v>
      </c>
      <c r="P481" s="56">
        <v>44277.582317094908</v>
      </c>
      <c r="Q481">
        <v>3726765</v>
      </c>
      <c r="R481" t="s">
        <v>27</v>
      </c>
      <c r="S481">
        <v>297.37225604999998</v>
      </c>
      <c r="W481"/>
      <c r="X481">
        <v>0</v>
      </c>
      <c r="AC481" t="s">
        <v>108</v>
      </c>
      <c r="AD481" s="56">
        <v>43922</v>
      </c>
    </row>
    <row r="482" spans="1:30" x14ac:dyDescent="0.3">
      <c r="A482">
        <v>394026</v>
      </c>
      <c r="B482" t="s">
        <v>314</v>
      </c>
      <c r="C482">
        <v>2020</v>
      </c>
      <c r="D482">
        <v>4</v>
      </c>
      <c r="E482" t="s">
        <v>110</v>
      </c>
      <c r="F482" t="s">
        <v>108</v>
      </c>
      <c r="G482" t="s">
        <v>108</v>
      </c>
      <c r="H482" t="s">
        <v>25</v>
      </c>
      <c r="I482" t="s">
        <v>25</v>
      </c>
      <c r="J482" t="s">
        <v>138</v>
      </c>
      <c r="K482" t="s">
        <v>110</v>
      </c>
      <c r="L482" t="s">
        <v>140</v>
      </c>
      <c r="M482">
        <v>3484.5644192300001</v>
      </c>
      <c r="N482">
        <v>0</v>
      </c>
      <c r="O482" t="s">
        <v>104</v>
      </c>
      <c r="P482" s="56">
        <v>44277.582315590284</v>
      </c>
      <c r="Q482">
        <v>3726642</v>
      </c>
      <c r="R482" t="s">
        <v>115</v>
      </c>
      <c r="S482">
        <v>5.3005807200000001</v>
      </c>
      <c r="W482"/>
      <c r="X482">
        <v>0</v>
      </c>
      <c r="AC482" t="s">
        <v>108</v>
      </c>
      <c r="AD482" s="56">
        <v>43922</v>
      </c>
    </row>
    <row r="483" spans="1:30" x14ac:dyDescent="0.3">
      <c r="A483">
        <v>394050</v>
      </c>
      <c r="B483" t="s">
        <v>314</v>
      </c>
      <c r="C483">
        <v>2020</v>
      </c>
      <c r="D483">
        <v>4</v>
      </c>
      <c r="E483" t="s">
        <v>112</v>
      </c>
      <c r="F483" t="s">
        <v>108</v>
      </c>
      <c r="G483" t="s">
        <v>108</v>
      </c>
      <c r="H483" t="s">
        <v>25</v>
      </c>
      <c r="I483" t="s">
        <v>25</v>
      </c>
      <c r="J483" t="s">
        <v>138</v>
      </c>
      <c r="K483" t="s">
        <v>112</v>
      </c>
      <c r="L483" t="s">
        <v>140</v>
      </c>
      <c r="M483">
        <v>823.93457666999996</v>
      </c>
      <c r="N483">
        <v>0</v>
      </c>
      <c r="O483" t="s">
        <v>104</v>
      </c>
      <c r="P483" s="56">
        <v>44277.582317094908</v>
      </c>
      <c r="Q483">
        <v>3726762</v>
      </c>
      <c r="R483" t="s">
        <v>115</v>
      </c>
      <c r="S483">
        <v>0</v>
      </c>
      <c r="W483"/>
      <c r="X483">
        <v>0</v>
      </c>
      <c r="AC483" t="s">
        <v>108</v>
      </c>
      <c r="AD483" s="56">
        <v>43922</v>
      </c>
    </row>
    <row r="484" spans="1:30" x14ac:dyDescent="0.3">
      <c r="A484">
        <v>394074</v>
      </c>
      <c r="B484" t="s">
        <v>314</v>
      </c>
      <c r="C484">
        <v>2020</v>
      </c>
      <c r="D484">
        <v>4</v>
      </c>
      <c r="E484" t="s">
        <v>114</v>
      </c>
      <c r="F484" t="s">
        <v>108</v>
      </c>
      <c r="G484" t="s">
        <v>108</v>
      </c>
      <c r="H484" t="s">
        <v>25</v>
      </c>
      <c r="I484" t="s">
        <v>25</v>
      </c>
      <c r="J484" t="s">
        <v>138</v>
      </c>
      <c r="K484" t="s">
        <v>114</v>
      </c>
      <c r="L484" t="s">
        <v>140</v>
      </c>
      <c r="M484">
        <v>1607.7261362300001</v>
      </c>
      <c r="N484">
        <v>0</v>
      </c>
      <c r="O484" t="s">
        <v>104</v>
      </c>
      <c r="P484" s="56">
        <v>44277.582318402783</v>
      </c>
      <c r="Q484">
        <v>3726882</v>
      </c>
      <c r="R484" t="s">
        <v>115</v>
      </c>
      <c r="S484">
        <v>0.84228893000000005</v>
      </c>
      <c r="W484"/>
      <c r="X484">
        <v>0</v>
      </c>
      <c r="AC484" t="s">
        <v>108</v>
      </c>
      <c r="AD484" s="56">
        <v>43922</v>
      </c>
    </row>
    <row r="485" spans="1:30" x14ac:dyDescent="0.3">
      <c r="A485">
        <v>394074</v>
      </c>
      <c r="B485" t="s">
        <v>314</v>
      </c>
      <c r="C485">
        <v>2020</v>
      </c>
      <c r="D485">
        <v>4</v>
      </c>
      <c r="E485" t="s">
        <v>114</v>
      </c>
      <c r="F485" t="s">
        <v>108</v>
      </c>
      <c r="G485" t="s">
        <v>108</v>
      </c>
      <c r="H485" t="s">
        <v>25</v>
      </c>
      <c r="I485" t="s">
        <v>25</v>
      </c>
      <c r="J485" t="s">
        <v>138</v>
      </c>
      <c r="K485" t="s">
        <v>114</v>
      </c>
      <c r="L485" t="s">
        <v>140</v>
      </c>
      <c r="M485">
        <v>1607.7261362300001</v>
      </c>
      <c r="N485">
        <v>0</v>
      </c>
      <c r="O485" t="s">
        <v>104</v>
      </c>
      <c r="P485" s="56">
        <v>44277.582318402783</v>
      </c>
      <c r="Q485">
        <v>3726884</v>
      </c>
      <c r="R485" t="s">
        <v>28</v>
      </c>
      <c r="S485">
        <v>4.6453741400000004</v>
      </c>
      <c r="W485"/>
      <c r="X485">
        <v>0</v>
      </c>
      <c r="AC485" t="s">
        <v>108</v>
      </c>
      <c r="AD485" s="56">
        <v>43922</v>
      </c>
    </row>
    <row r="486" spans="1:30" x14ac:dyDescent="0.3">
      <c r="A486">
        <v>394026</v>
      </c>
      <c r="B486" t="s">
        <v>314</v>
      </c>
      <c r="C486">
        <v>2020</v>
      </c>
      <c r="D486">
        <v>4</v>
      </c>
      <c r="E486" t="s">
        <v>110</v>
      </c>
      <c r="F486" t="s">
        <v>108</v>
      </c>
      <c r="G486" t="s">
        <v>108</v>
      </c>
      <c r="H486" t="s">
        <v>25</v>
      </c>
      <c r="I486" t="s">
        <v>25</v>
      </c>
      <c r="J486" t="s">
        <v>138</v>
      </c>
      <c r="K486" t="s">
        <v>110</v>
      </c>
      <c r="L486" t="s">
        <v>140</v>
      </c>
      <c r="M486">
        <v>3484.5644192300001</v>
      </c>
      <c r="N486">
        <v>0</v>
      </c>
      <c r="O486" t="s">
        <v>104</v>
      </c>
      <c r="P486" s="56">
        <v>44277.582315590284</v>
      </c>
      <c r="Q486">
        <v>3726644</v>
      </c>
      <c r="R486" t="s">
        <v>28</v>
      </c>
      <c r="S486">
        <v>10.79226281</v>
      </c>
      <c r="W486"/>
      <c r="X486">
        <v>0</v>
      </c>
      <c r="AC486" t="s">
        <v>108</v>
      </c>
      <c r="AD486" s="56">
        <v>43922</v>
      </c>
    </row>
    <row r="487" spans="1:30" x14ac:dyDescent="0.3">
      <c r="A487">
        <v>394050</v>
      </c>
      <c r="B487" t="s">
        <v>314</v>
      </c>
      <c r="C487">
        <v>2020</v>
      </c>
      <c r="D487">
        <v>4</v>
      </c>
      <c r="E487" t="s">
        <v>112</v>
      </c>
      <c r="F487" t="s">
        <v>108</v>
      </c>
      <c r="G487" t="s">
        <v>108</v>
      </c>
      <c r="H487" t="s">
        <v>25</v>
      </c>
      <c r="I487" t="s">
        <v>25</v>
      </c>
      <c r="J487" t="s">
        <v>138</v>
      </c>
      <c r="K487" t="s">
        <v>112</v>
      </c>
      <c r="L487" t="s">
        <v>140</v>
      </c>
      <c r="M487">
        <v>823.93457666999996</v>
      </c>
      <c r="N487">
        <v>0</v>
      </c>
      <c r="O487" t="s">
        <v>104</v>
      </c>
      <c r="P487" s="56">
        <v>44277.582317094908</v>
      </c>
      <c r="Q487">
        <v>3726764</v>
      </c>
      <c r="R487" t="s">
        <v>28</v>
      </c>
      <c r="S487">
        <v>0</v>
      </c>
      <c r="W487"/>
      <c r="X487">
        <v>0</v>
      </c>
      <c r="AC487" t="s">
        <v>108</v>
      </c>
      <c r="AD487" s="56">
        <v>43922</v>
      </c>
    </row>
    <row r="488" spans="1:30" x14ac:dyDescent="0.3">
      <c r="A488">
        <v>407266</v>
      </c>
      <c r="B488" t="s">
        <v>323</v>
      </c>
      <c r="C488">
        <v>2020</v>
      </c>
      <c r="D488">
        <v>5</v>
      </c>
      <c r="E488" t="s">
        <v>110</v>
      </c>
      <c r="F488" t="s">
        <v>108</v>
      </c>
      <c r="G488" t="s">
        <v>108</v>
      </c>
      <c r="H488" t="s">
        <v>25</v>
      </c>
      <c r="I488" t="s">
        <v>25</v>
      </c>
      <c r="J488" t="s">
        <v>138</v>
      </c>
      <c r="K488" t="s">
        <v>110</v>
      </c>
      <c r="L488" t="s">
        <v>140</v>
      </c>
      <c r="M488">
        <v>3354.2577029700001</v>
      </c>
      <c r="N488">
        <v>0</v>
      </c>
      <c r="O488" t="s">
        <v>104</v>
      </c>
      <c r="P488" s="56">
        <v>44277.584026157398</v>
      </c>
      <c r="Q488">
        <v>3853715</v>
      </c>
      <c r="R488" t="s">
        <v>26</v>
      </c>
      <c r="S488">
        <v>1570.8285876100001</v>
      </c>
      <c r="W488"/>
      <c r="X488">
        <v>0</v>
      </c>
      <c r="AC488" t="s">
        <v>108</v>
      </c>
      <c r="AD488" s="56">
        <v>43952</v>
      </c>
    </row>
    <row r="489" spans="1:30" x14ac:dyDescent="0.3">
      <c r="A489">
        <v>407314</v>
      </c>
      <c r="B489" t="s">
        <v>323</v>
      </c>
      <c r="C489">
        <v>2020</v>
      </c>
      <c r="D489">
        <v>5</v>
      </c>
      <c r="E489" t="s">
        <v>114</v>
      </c>
      <c r="F489" t="s">
        <v>108</v>
      </c>
      <c r="G489" t="s">
        <v>108</v>
      </c>
      <c r="H489" t="s">
        <v>25</v>
      </c>
      <c r="I489" t="s">
        <v>25</v>
      </c>
      <c r="J489" t="s">
        <v>138</v>
      </c>
      <c r="K489" t="s">
        <v>114</v>
      </c>
      <c r="L489" t="s">
        <v>140</v>
      </c>
      <c r="M489">
        <v>1619.1342777699999</v>
      </c>
      <c r="N489">
        <v>0</v>
      </c>
      <c r="O489" t="s">
        <v>104</v>
      </c>
      <c r="P489" s="56">
        <v>44277.58402881943</v>
      </c>
      <c r="Q489">
        <v>3853955</v>
      </c>
      <c r="R489" t="s">
        <v>26</v>
      </c>
      <c r="S489">
        <v>809.34409816000004</v>
      </c>
      <c r="W489"/>
      <c r="X489">
        <v>0</v>
      </c>
      <c r="AC489" t="s">
        <v>108</v>
      </c>
      <c r="AD489" s="56">
        <v>43952</v>
      </c>
    </row>
    <row r="490" spans="1:30" x14ac:dyDescent="0.3">
      <c r="A490">
        <v>407290</v>
      </c>
      <c r="B490" t="s">
        <v>323</v>
      </c>
      <c r="C490">
        <v>2020</v>
      </c>
      <c r="D490">
        <v>5</v>
      </c>
      <c r="E490" t="s">
        <v>112</v>
      </c>
      <c r="F490" t="s">
        <v>108</v>
      </c>
      <c r="G490" t="s">
        <v>108</v>
      </c>
      <c r="H490" t="s">
        <v>25</v>
      </c>
      <c r="I490" t="s">
        <v>25</v>
      </c>
      <c r="J490" t="s">
        <v>138</v>
      </c>
      <c r="K490" t="s">
        <v>112</v>
      </c>
      <c r="L490" t="s">
        <v>140</v>
      </c>
      <c r="M490">
        <v>687.81619663000004</v>
      </c>
      <c r="N490">
        <v>0</v>
      </c>
      <c r="O490" t="s">
        <v>104</v>
      </c>
      <c r="P490" s="56">
        <v>44277.584027546298</v>
      </c>
      <c r="Q490">
        <v>3853835</v>
      </c>
      <c r="R490" t="s">
        <v>26</v>
      </c>
      <c r="S490">
        <v>416.19581455000002</v>
      </c>
      <c r="W490"/>
      <c r="X490">
        <v>0</v>
      </c>
      <c r="AC490" t="s">
        <v>108</v>
      </c>
      <c r="AD490" s="56">
        <v>43952</v>
      </c>
    </row>
    <row r="491" spans="1:30" x14ac:dyDescent="0.3">
      <c r="A491">
        <v>407314</v>
      </c>
      <c r="B491" t="s">
        <v>323</v>
      </c>
      <c r="C491">
        <v>2020</v>
      </c>
      <c r="D491">
        <v>5</v>
      </c>
      <c r="E491" t="s">
        <v>114</v>
      </c>
      <c r="F491" t="s">
        <v>108</v>
      </c>
      <c r="G491" t="s">
        <v>108</v>
      </c>
      <c r="H491" t="s">
        <v>25</v>
      </c>
      <c r="I491" t="s">
        <v>25</v>
      </c>
      <c r="J491" t="s">
        <v>138</v>
      </c>
      <c r="K491" t="s">
        <v>114</v>
      </c>
      <c r="L491" t="s">
        <v>140</v>
      </c>
      <c r="M491">
        <v>1619.1342777699999</v>
      </c>
      <c r="N491">
        <v>0</v>
      </c>
      <c r="O491" t="s">
        <v>104</v>
      </c>
      <c r="P491" s="56">
        <v>44277.58402881943</v>
      </c>
      <c r="Q491">
        <v>3853958</v>
      </c>
      <c r="R491" t="s">
        <v>105</v>
      </c>
      <c r="S491">
        <v>98.365151179999998</v>
      </c>
      <c r="W491"/>
      <c r="X491">
        <v>0</v>
      </c>
      <c r="AC491" t="s">
        <v>108</v>
      </c>
      <c r="AD491" s="56">
        <v>43952</v>
      </c>
    </row>
    <row r="492" spans="1:30" x14ac:dyDescent="0.3">
      <c r="A492">
        <v>407290</v>
      </c>
      <c r="B492" t="s">
        <v>323</v>
      </c>
      <c r="C492">
        <v>2020</v>
      </c>
      <c r="D492">
        <v>5</v>
      </c>
      <c r="E492" t="s">
        <v>112</v>
      </c>
      <c r="F492" t="s">
        <v>108</v>
      </c>
      <c r="G492" t="s">
        <v>108</v>
      </c>
      <c r="H492" t="s">
        <v>25</v>
      </c>
      <c r="I492" t="s">
        <v>25</v>
      </c>
      <c r="J492" t="s">
        <v>138</v>
      </c>
      <c r="K492" t="s">
        <v>112</v>
      </c>
      <c r="L492" t="s">
        <v>140</v>
      </c>
      <c r="M492">
        <v>687.81619663000004</v>
      </c>
      <c r="N492">
        <v>0</v>
      </c>
      <c r="O492" t="s">
        <v>104</v>
      </c>
      <c r="P492" s="56">
        <v>44277.584027546298</v>
      </c>
      <c r="Q492">
        <v>3853838</v>
      </c>
      <c r="R492" t="s">
        <v>105</v>
      </c>
      <c r="S492">
        <v>37.812706349999999</v>
      </c>
      <c r="W492"/>
      <c r="X492">
        <v>0</v>
      </c>
      <c r="AC492" t="s">
        <v>108</v>
      </c>
      <c r="AD492" s="56">
        <v>43952</v>
      </c>
    </row>
    <row r="493" spans="1:30" x14ac:dyDescent="0.3">
      <c r="A493">
        <v>407266</v>
      </c>
      <c r="B493" t="s">
        <v>323</v>
      </c>
      <c r="C493">
        <v>2020</v>
      </c>
      <c r="D493">
        <v>5</v>
      </c>
      <c r="E493" t="s">
        <v>110</v>
      </c>
      <c r="F493" t="s">
        <v>108</v>
      </c>
      <c r="G493" t="s">
        <v>108</v>
      </c>
      <c r="H493" t="s">
        <v>25</v>
      </c>
      <c r="I493" t="s">
        <v>25</v>
      </c>
      <c r="J493" t="s">
        <v>138</v>
      </c>
      <c r="K493" t="s">
        <v>110</v>
      </c>
      <c r="L493" t="s">
        <v>140</v>
      </c>
      <c r="M493">
        <v>3354.2577029700001</v>
      </c>
      <c r="N493">
        <v>0</v>
      </c>
      <c r="O493" t="s">
        <v>104</v>
      </c>
      <c r="P493" s="56">
        <v>44277.584026157398</v>
      </c>
      <c r="Q493">
        <v>3853718</v>
      </c>
      <c r="R493" t="s">
        <v>105</v>
      </c>
      <c r="S493">
        <v>275.81219657000003</v>
      </c>
      <c r="W493"/>
      <c r="X493">
        <v>0</v>
      </c>
      <c r="AC493" t="s">
        <v>108</v>
      </c>
      <c r="AD493" s="56">
        <v>43952</v>
      </c>
    </row>
    <row r="494" spans="1:30" x14ac:dyDescent="0.3">
      <c r="A494">
        <v>407266</v>
      </c>
      <c r="B494" t="s">
        <v>323</v>
      </c>
      <c r="C494">
        <v>2020</v>
      </c>
      <c r="D494">
        <v>5</v>
      </c>
      <c r="E494" t="s">
        <v>110</v>
      </c>
      <c r="F494" t="s">
        <v>108</v>
      </c>
      <c r="G494" t="s">
        <v>108</v>
      </c>
      <c r="H494" t="s">
        <v>25</v>
      </c>
      <c r="I494" t="s">
        <v>25</v>
      </c>
      <c r="J494" t="s">
        <v>138</v>
      </c>
      <c r="K494" t="s">
        <v>110</v>
      </c>
      <c r="L494" t="s">
        <v>140</v>
      </c>
      <c r="M494">
        <v>3354.2577029700001</v>
      </c>
      <c r="N494">
        <v>0</v>
      </c>
      <c r="O494" t="s">
        <v>104</v>
      </c>
      <c r="P494" s="56">
        <v>44277.584026157398</v>
      </c>
      <c r="Q494">
        <v>3853717</v>
      </c>
      <c r="R494" t="s">
        <v>27</v>
      </c>
      <c r="S494">
        <v>1562.53095263</v>
      </c>
      <c r="W494"/>
      <c r="X494">
        <v>0</v>
      </c>
      <c r="AC494" t="s">
        <v>108</v>
      </c>
      <c r="AD494" s="56">
        <v>43952</v>
      </c>
    </row>
    <row r="495" spans="1:30" x14ac:dyDescent="0.3">
      <c r="A495">
        <v>407290</v>
      </c>
      <c r="B495" t="s">
        <v>323</v>
      </c>
      <c r="C495">
        <v>2020</v>
      </c>
      <c r="D495">
        <v>5</v>
      </c>
      <c r="E495" t="s">
        <v>112</v>
      </c>
      <c r="F495" t="s">
        <v>108</v>
      </c>
      <c r="G495" t="s">
        <v>108</v>
      </c>
      <c r="H495" t="s">
        <v>25</v>
      </c>
      <c r="I495" t="s">
        <v>25</v>
      </c>
      <c r="J495" t="s">
        <v>138</v>
      </c>
      <c r="K495" t="s">
        <v>112</v>
      </c>
      <c r="L495" t="s">
        <v>140</v>
      </c>
      <c r="M495">
        <v>687.81619663000004</v>
      </c>
      <c r="N495">
        <v>0</v>
      </c>
      <c r="O495" t="s">
        <v>104</v>
      </c>
      <c r="P495" s="56">
        <v>44277.584027546298</v>
      </c>
      <c r="Q495">
        <v>3853837</v>
      </c>
      <c r="R495" t="s">
        <v>27</v>
      </c>
      <c r="S495">
        <v>248.24477565000001</v>
      </c>
      <c r="W495"/>
      <c r="X495">
        <v>0</v>
      </c>
      <c r="AC495" t="s">
        <v>108</v>
      </c>
      <c r="AD495" s="56">
        <v>43952</v>
      </c>
    </row>
    <row r="496" spans="1:30" x14ac:dyDescent="0.3">
      <c r="A496">
        <v>407314</v>
      </c>
      <c r="B496" t="s">
        <v>323</v>
      </c>
      <c r="C496">
        <v>2020</v>
      </c>
      <c r="D496">
        <v>5</v>
      </c>
      <c r="E496" t="s">
        <v>114</v>
      </c>
      <c r="F496" t="s">
        <v>108</v>
      </c>
      <c r="G496" t="s">
        <v>108</v>
      </c>
      <c r="H496" t="s">
        <v>25</v>
      </c>
      <c r="I496" t="s">
        <v>25</v>
      </c>
      <c r="J496" t="s">
        <v>138</v>
      </c>
      <c r="K496" t="s">
        <v>114</v>
      </c>
      <c r="L496" t="s">
        <v>140</v>
      </c>
      <c r="M496">
        <v>1619.1342777699999</v>
      </c>
      <c r="N496">
        <v>0</v>
      </c>
      <c r="O496" t="s">
        <v>104</v>
      </c>
      <c r="P496" s="56">
        <v>44277.58402881943</v>
      </c>
      <c r="Q496">
        <v>3853957</v>
      </c>
      <c r="R496" t="s">
        <v>27</v>
      </c>
      <c r="S496">
        <v>739.88367287000005</v>
      </c>
      <c r="W496"/>
      <c r="X496">
        <v>0</v>
      </c>
      <c r="AC496" t="s">
        <v>108</v>
      </c>
      <c r="AD496" s="56">
        <v>43952</v>
      </c>
    </row>
    <row r="497" spans="1:30" x14ac:dyDescent="0.3">
      <c r="A497">
        <v>407290</v>
      </c>
      <c r="B497" t="s">
        <v>323</v>
      </c>
      <c r="C497">
        <v>2020</v>
      </c>
      <c r="D497">
        <v>5</v>
      </c>
      <c r="E497" t="s">
        <v>112</v>
      </c>
      <c r="F497" t="s">
        <v>108</v>
      </c>
      <c r="G497" t="s">
        <v>108</v>
      </c>
      <c r="H497" t="s">
        <v>25</v>
      </c>
      <c r="I497" t="s">
        <v>25</v>
      </c>
      <c r="J497" t="s">
        <v>138</v>
      </c>
      <c r="K497" t="s">
        <v>112</v>
      </c>
      <c r="L497" t="s">
        <v>140</v>
      </c>
      <c r="M497">
        <v>687.81619663000004</v>
      </c>
      <c r="N497">
        <v>0</v>
      </c>
      <c r="O497" t="s">
        <v>104</v>
      </c>
      <c r="P497" s="56">
        <v>44277.584027546298</v>
      </c>
      <c r="Q497">
        <v>3853834</v>
      </c>
      <c r="R497" t="s">
        <v>115</v>
      </c>
      <c r="S497">
        <v>0</v>
      </c>
      <c r="W497"/>
      <c r="X497">
        <v>0</v>
      </c>
      <c r="AC497" t="s">
        <v>108</v>
      </c>
      <c r="AD497" s="56">
        <v>43952</v>
      </c>
    </row>
    <row r="498" spans="1:30" x14ac:dyDescent="0.3">
      <c r="A498">
        <v>407314</v>
      </c>
      <c r="B498" t="s">
        <v>323</v>
      </c>
      <c r="C498">
        <v>2020</v>
      </c>
      <c r="D498">
        <v>5</v>
      </c>
      <c r="E498" t="s">
        <v>114</v>
      </c>
      <c r="F498" t="s">
        <v>108</v>
      </c>
      <c r="G498" t="s">
        <v>108</v>
      </c>
      <c r="H498" t="s">
        <v>25</v>
      </c>
      <c r="I498" t="s">
        <v>25</v>
      </c>
      <c r="J498" t="s">
        <v>138</v>
      </c>
      <c r="K498" t="s">
        <v>114</v>
      </c>
      <c r="L498" t="s">
        <v>140</v>
      </c>
      <c r="M498">
        <v>1619.1342777699999</v>
      </c>
      <c r="N498">
        <v>0</v>
      </c>
      <c r="O498" t="s">
        <v>104</v>
      </c>
      <c r="P498" s="56">
        <v>44277.58402881943</v>
      </c>
      <c r="Q498">
        <v>3853954</v>
      </c>
      <c r="R498" t="s">
        <v>115</v>
      </c>
      <c r="S498">
        <v>0.84826566000000003</v>
      </c>
      <c r="W498"/>
      <c r="X498">
        <v>0</v>
      </c>
      <c r="AC498" t="s">
        <v>108</v>
      </c>
      <c r="AD498" s="56">
        <v>43952</v>
      </c>
    </row>
    <row r="499" spans="1:30" x14ac:dyDescent="0.3">
      <c r="A499">
        <v>407266</v>
      </c>
      <c r="B499" t="s">
        <v>323</v>
      </c>
      <c r="C499">
        <v>2020</v>
      </c>
      <c r="D499">
        <v>5</v>
      </c>
      <c r="E499" t="s">
        <v>110</v>
      </c>
      <c r="F499" t="s">
        <v>108</v>
      </c>
      <c r="G499" t="s">
        <v>108</v>
      </c>
      <c r="H499" t="s">
        <v>25</v>
      </c>
      <c r="I499" t="s">
        <v>25</v>
      </c>
      <c r="J499" t="s">
        <v>138</v>
      </c>
      <c r="K499" t="s">
        <v>110</v>
      </c>
      <c r="L499" t="s">
        <v>140</v>
      </c>
      <c r="M499">
        <v>3354.2577029700001</v>
      </c>
      <c r="N499">
        <v>0</v>
      </c>
      <c r="O499" t="s">
        <v>104</v>
      </c>
      <c r="P499" s="56">
        <v>44277.584026157398</v>
      </c>
      <c r="Q499">
        <v>3853714</v>
      </c>
      <c r="R499" t="s">
        <v>115</v>
      </c>
      <c r="S499">
        <v>5.1023633300000002</v>
      </c>
      <c r="W499"/>
      <c r="X499">
        <v>0</v>
      </c>
      <c r="AC499" t="s">
        <v>108</v>
      </c>
      <c r="AD499" s="56">
        <v>43952</v>
      </c>
    </row>
    <row r="500" spans="1:30" x14ac:dyDescent="0.3">
      <c r="A500">
        <v>407314</v>
      </c>
      <c r="B500" t="s">
        <v>323</v>
      </c>
      <c r="C500">
        <v>2020</v>
      </c>
      <c r="D500">
        <v>5</v>
      </c>
      <c r="E500" t="s">
        <v>114</v>
      </c>
      <c r="F500" t="s">
        <v>108</v>
      </c>
      <c r="G500" t="s">
        <v>108</v>
      </c>
      <c r="H500" t="s">
        <v>25</v>
      </c>
      <c r="I500" t="s">
        <v>25</v>
      </c>
      <c r="J500" t="s">
        <v>138</v>
      </c>
      <c r="K500" t="s">
        <v>114</v>
      </c>
      <c r="L500" t="s">
        <v>140</v>
      </c>
      <c r="M500">
        <v>1619.1342777699999</v>
      </c>
      <c r="N500">
        <v>0</v>
      </c>
      <c r="O500" t="s">
        <v>104</v>
      </c>
      <c r="P500" s="56">
        <v>44277.58402881943</v>
      </c>
      <c r="Q500">
        <v>3853956</v>
      </c>
      <c r="R500" t="s">
        <v>28</v>
      </c>
      <c r="S500">
        <v>4.6783368999999997</v>
      </c>
      <c r="W500"/>
      <c r="X500">
        <v>0</v>
      </c>
      <c r="AC500" t="s">
        <v>108</v>
      </c>
      <c r="AD500" s="56">
        <v>43952</v>
      </c>
    </row>
    <row r="501" spans="1:30" x14ac:dyDescent="0.3">
      <c r="A501">
        <v>407290</v>
      </c>
      <c r="B501" t="s">
        <v>323</v>
      </c>
      <c r="C501">
        <v>2020</v>
      </c>
      <c r="D501">
        <v>5</v>
      </c>
      <c r="E501" t="s">
        <v>112</v>
      </c>
      <c r="F501" t="s">
        <v>108</v>
      </c>
      <c r="G501" t="s">
        <v>108</v>
      </c>
      <c r="H501" t="s">
        <v>25</v>
      </c>
      <c r="I501" t="s">
        <v>25</v>
      </c>
      <c r="J501" t="s">
        <v>138</v>
      </c>
      <c r="K501" t="s">
        <v>112</v>
      </c>
      <c r="L501" t="s">
        <v>140</v>
      </c>
      <c r="M501">
        <v>687.81619663000004</v>
      </c>
      <c r="N501">
        <v>0</v>
      </c>
      <c r="O501" t="s">
        <v>104</v>
      </c>
      <c r="P501" s="56">
        <v>44277.584027546298</v>
      </c>
      <c r="Q501">
        <v>3853836</v>
      </c>
      <c r="R501" t="s">
        <v>28</v>
      </c>
      <c r="S501">
        <v>0</v>
      </c>
      <c r="W501"/>
      <c r="X501">
        <v>0</v>
      </c>
      <c r="AC501" t="s">
        <v>108</v>
      </c>
      <c r="AD501" s="56">
        <v>43952</v>
      </c>
    </row>
    <row r="502" spans="1:30" x14ac:dyDescent="0.3">
      <c r="A502">
        <v>407266</v>
      </c>
      <c r="B502" t="s">
        <v>323</v>
      </c>
      <c r="C502">
        <v>2020</v>
      </c>
      <c r="D502">
        <v>5</v>
      </c>
      <c r="E502" t="s">
        <v>110</v>
      </c>
      <c r="F502" t="s">
        <v>108</v>
      </c>
      <c r="G502" t="s">
        <v>108</v>
      </c>
      <c r="H502" t="s">
        <v>25</v>
      </c>
      <c r="I502" t="s">
        <v>25</v>
      </c>
      <c r="J502" t="s">
        <v>138</v>
      </c>
      <c r="K502" t="s">
        <v>110</v>
      </c>
      <c r="L502" t="s">
        <v>140</v>
      </c>
      <c r="M502">
        <v>3354.2577029700001</v>
      </c>
      <c r="N502">
        <v>0</v>
      </c>
      <c r="O502" t="s">
        <v>104</v>
      </c>
      <c r="P502" s="56">
        <v>44277.584026157398</v>
      </c>
      <c r="Q502">
        <v>3853716</v>
      </c>
      <c r="R502" t="s">
        <v>28</v>
      </c>
      <c r="S502">
        <v>10.388681719999999</v>
      </c>
      <c r="W502"/>
      <c r="X502">
        <v>0</v>
      </c>
      <c r="AC502" t="s">
        <v>108</v>
      </c>
      <c r="AD502" s="56">
        <v>43952</v>
      </c>
    </row>
    <row r="503" spans="1:30" x14ac:dyDescent="0.3">
      <c r="A503">
        <v>420554</v>
      </c>
      <c r="B503" t="s">
        <v>332</v>
      </c>
      <c r="C503">
        <v>2020</v>
      </c>
      <c r="D503">
        <v>6</v>
      </c>
      <c r="E503" t="s">
        <v>114</v>
      </c>
      <c r="F503" t="s">
        <v>108</v>
      </c>
      <c r="G503" t="s">
        <v>108</v>
      </c>
      <c r="H503" t="s">
        <v>25</v>
      </c>
      <c r="I503" t="s">
        <v>25</v>
      </c>
      <c r="J503" t="s">
        <v>138</v>
      </c>
      <c r="K503" t="s">
        <v>114</v>
      </c>
      <c r="L503" t="s">
        <v>140</v>
      </c>
      <c r="M503">
        <v>1684.49839561</v>
      </c>
      <c r="N503">
        <v>0</v>
      </c>
      <c r="O503" t="s">
        <v>104</v>
      </c>
      <c r="P503" s="56">
        <v>44277.585713425928</v>
      </c>
      <c r="Q503">
        <v>3981027</v>
      </c>
      <c r="R503" t="s">
        <v>26</v>
      </c>
      <c r="S503">
        <v>842.01715296999998</v>
      </c>
      <c r="W503"/>
      <c r="X503">
        <v>0</v>
      </c>
      <c r="AC503" t="s">
        <v>108</v>
      </c>
      <c r="AD503" s="56">
        <v>43983</v>
      </c>
    </row>
    <row r="504" spans="1:30" x14ac:dyDescent="0.3">
      <c r="A504">
        <v>420530</v>
      </c>
      <c r="B504" t="s">
        <v>332</v>
      </c>
      <c r="C504">
        <v>2020</v>
      </c>
      <c r="D504">
        <v>6</v>
      </c>
      <c r="E504" t="s">
        <v>112</v>
      </c>
      <c r="F504" t="s">
        <v>108</v>
      </c>
      <c r="G504" t="s">
        <v>108</v>
      </c>
      <c r="H504" t="s">
        <v>25</v>
      </c>
      <c r="I504" t="s">
        <v>25</v>
      </c>
      <c r="J504" t="s">
        <v>138</v>
      </c>
      <c r="K504" t="s">
        <v>112</v>
      </c>
      <c r="L504" t="s">
        <v>140</v>
      </c>
      <c r="M504">
        <v>573.77343242999996</v>
      </c>
      <c r="N504">
        <v>0</v>
      </c>
      <c r="O504" t="s">
        <v>104</v>
      </c>
      <c r="P504" s="56">
        <v>44277.585712268519</v>
      </c>
      <c r="Q504">
        <v>3980907</v>
      </c>
      <c r="R504" t="s">
        <v>26</v>
      </c>
      <c r="S504">
        <v>347.18883074000001</v>
      </c>
      <c r="W504"/>
      <c r="X504">
        <v>0</v>
      </c>
      <c r="AC504" t="s">
        <v>108</v>
      </c>
      <c r="AD504" s="56">
        <v>43983</v>
      </c>
    </row>
    <row r="505" spans="1:30" x14ac:dyDescent="0.3">
      <c r="A505">
        <v>420506</v>
      </c>
      <c r="B505" t="s">
        <v>332</v>
      </c>
      <c r="C505">
        <v>2020</v>
      </c>
      <c r="D505">
        <v>6</v>
      </c>
      <c r="E505" t="s">
        <v>110</v>
      </c>
      <c r="F505" t="s">
        <v>108</v>
      </c>
      <c r="G505" t="s">
        <v>108</v>
      </c>
      <c r="H505" t="s">
        <v>25</v>
      </c>
      <c r="I505" t="s">
        <v>25</v>
      </c>
      <c r="J505" t="s">
        <v>138</v>
      </c>
      <c r="K505" t="s">
        <v>110</v>
      </c>
      <c r="L505" t="s">
        <v>140</v>
      </c>
      <c r="M505">
        <v>2681.58003254</v>
      </c>
      <c r="N505">
        <v>0</v>
      </c>
      <c r="O505" t="s">
        <v>104</v>
      </c>
      <c r="P505" s="56">
        <v>44277.585711030093</v>
      </c>
      <c r="Q505">
        <v>3980787</v>
      </c>
      <c r="R505" t="s">
        <v>26</v>
      </c>
      <c r="S505">
        <v>1255.80767732</v>
      </c>
      <c r="W505"/>
      <c r="X505">
        <v>0</v>
      </c>
      <c r="AC505" t="s">
        <v>108</v>
      </c>
      <c r="AD505" s="56">
        <v>43983</v>
      </c>
    </row>
    <row r="506" spans="1:30" x14ac:dyDescent="0.3">
      <c r="A506">
        <v>420530</v>
      </c>
      <c r="B506" t="s">
        <v>332</v>
      </c>
      <c r="C506">
        <v>2020</v>
      </c>
      <c r="D506">
        <v>6</v>
      </c>
      <c r="E506" t="s">
        <v>112</v>
      </c>
      <c r="F506" t="s">
        <v>108</v>
      </c>
      <c r="G506" t="s">
        <v>108</v>
      </c>
      <c r="H506" t="s">
        <v>25</v>
      </c>
      <c r="I506" t="s">
        <v>25</v>
      </c>
      <c r="J506" t="s">
        <v>138</v>
      </c>
      <c r="K506" t="s">
        <v>112</v>
      </c>
      <c r="L506" t="s">
        <v>140</v>
      </c>
      <c r="M506">
        <v>573.77343242999996</v>
      </c>
      <c r="N506">
        <v>0</v>
      </c>
      <c r="O506" t="s">
        <v>104</v>
      </c>
      <c r="P506" s="56">
        <v>44277.585712268519</v>
      </c>
      <c r="Q506">
        <v>3980910</v>
      </c>
      <c r="R506" t="s">
        <v>105</v>
      </c>
      <c r="S506">
        <v>31.543203569999999</v>
      </c>
      <c r="W506"/>
      <c r="X506">
        <v>0</v>
      </c>
      <c r="AC506" t="s">
        <v>108</v>
      </c>
      <c r="AD506" s="56">
        <v>43983</v>
      </c>
    </row>
    <row r="507" spans="1:30" x14ac:dyDescent="0.3">
      <c r="A507">
        <v>420554</v>
      </c>
      <c r="B507" t="s">
        <v>332</v>
      </c>
      <c r="C507">
        <v>2020</v>
      </c>
      <c r="D507">
        <v>6</v>
      </c>
      <c r="E507" t="s">
        <v>114</v>
      </c>
      <c r="F507" t="s">
        <v>108</v>
      </c>
      <c r="G507" t="s">
        <v>108</v>
      </c>
      <c r="H507" t="s">
        <v>25</v>
      </c>
      <c r="I507" t="s">
        <v>25</v>
      </c>
      <c r="J507" t="s">
        <v>138</v>
      </c>
      <c r="K507" t="s">
        <v>114</v>
      </c>
      <c r="L507" t="s">
        <v>140</v>
      </c>
      <c r="M507">
        <v>1684.49839561</v>
      </c>
      <c r="N507">
        <v>0</v>
      </c>
      <c r="O507" t="s">
        <v>104</v>
      </c>
      <c r="P507" s="56">
        <v>44277.585713425928</v>
      </c>
      <c r="Q507">
        <v>3981030</v>
      </c>
      <c r="R507" t="s">
        <v>105</v>
      </c>
      <c r="S507">
        <v>102.3361321</v>
      </c>
      <c r="W507"/>
      <c r="X507">
        <v>0</v>
      </c>
      <c r="AC507" t="s">
        <v>108</v>
      </c>
      <c r="AD507" s="56">
        <v>43983</v>
      </c>
    </row>
    <row r="508" spans="1:30" x14ac:dyDescent="0.3">
      <c r="A508">
        <v>420506</v>
      </c>
      <c r="B508" t="s">
        <v>332</v>
      </c>
      <c r="C508">
        <v>2020</v>
      </c>
      <c r="D508">
        <v>6</v>
      </c>
      <c r="E508" t="s">
        <v>110</v>
      </c>
      <c r="F508" t="s">
        <v>108</v>
      </c>
      <c r="G508" t="s">
        <v>108</v>
      </c>
      <c r="H508" t="s">
        <v>25</v>
      </c>
      <c r="I508" t="s">
        <v>25</v>
      </c>
      <c r="J508" t="s">
        <v>138</v>
      </c>
      <c r="K508" t="s">
        <v>110</v>
      </c>
      <c r="L508" t="s">
        <v>140</v>
      </c>
      <c r="M508">
        <v>2681.58003254</v>
      </c>
      <c r="N508">
        <v>0</v>
      </c>
      <c r="O508" t="s">
        <v>104</v>
      </c>
      <c r="P508" s="56">
        <v>44277.585711030093</v>
      </c>
      <c r="Q508">
        <v>3980790</v>
      </c>
      <c r="R508" t="s">
        <v>105</v>
      </c>
      <c r="S508">
        <v>220.49959917999999</v>
      </c>
      <c r="W508"/>
      <c r="X508">
        <v>0</v>
      </c>
      <c r="AC508" t="s">
        <v>108</v>
      </c>
      <c r="AD508" s="56">
        <v>43983</v>
      </c>
    </row>
    <row r="509" spans="1:30" x14ac:dyDescent="0.3">
      <c r="A509">
        <v>420554</v>
      </c>
      <c r="B509" t="s">
        <v>332</v>
      </c>
      <c r="C509">
        <v>2020</v>
      </c>
      <c r="D509">
        <v>6</v>
      </c>
      <c r="E509" t="s">
        <v>114</v>
      </c>
      <c r="F509" t="s">
        <v>108</v>
      </c>
      <c r="G509" t="s">
        <v>108</v>
      </c>
      <c r="H509" t="s">
        <v>25</v>
      </c>
      <c r="I509" t="s">
        <v>25</v>
      </c>
      <c r="J509" t="s">
        <v>138</v>
      </c>
      <c r="K509" t="s">
        <v>114</v>
      </c>
      <c r="L509" t="s">
        <v>140</v>
      </c>
      <c r="M509">
        <v>1684.49839561</v>
      </c>
      <c r="N509">
        <v>0</v>
      </c>
      <c r="O509" t="s">
        <v>104</v>
      </c>
      <c r="P509" s="56">
        <v>44277.585713425928</v>
      </c>
      <c r="Q509">
        <v>3981029</v>
      </c>
      <c r="R509" t="s">
        <v>27</v>
      </c>
      <c r="S509">
        <v>769.75262459999999</v>
      </c>
      <c r="W509"/>
      <c r="X509">
        <v>0</v>
      </c>
      <c r="AC509" t="s">
        <v>108</v>
      </c>
      <c r="AD509" s="56">
        <v>43983</v>
      </c>
    </row>
    <row r="510" spans="1:30" x14ac:dyDescent="0.3">
      <c r="A510">
        <v>420506</v>
      </c>
      <c r="B510" t="s">
        <v>332</v>
      </c>
      <c r="C510">
        <v>2020</v>
      </c>
      <c r="D510">
        <v>6</v>
      </c>
      <c r="E510" t="s">
        <v>110</v>
      </c>
      <c r="F510" t="s">
        <v>108</v>
      </c>
      <c r="G510" t="s">
        <v>108</v>
      </c>
      <c r="H510" t="s">
        <v>25</v>
      </c>
      <c r="I510" t="s">
        <v>25</v>
      </c>
      <c r="J510" t="s">
        <v>138</v>
      </c>
      <c r="K510" t="s">
        <v>110</v>
      </c>
      <c r="L510" t="s">
        <v>140</v>
      </c>
      <c r="M510">
        <v>2681.58003254</v>
      </c>
      <c r="N510">
        <v>0</v>
      </c>
      <c r="O510" t="s">
        <v>104</v>
      </c>
      <c r="P510" s="56">
        <v>44277.585711030093</v>
      </c>
      <c r="Q510">
        <v>3980789</v>
      </c>
      <c r="R510" t="s">
        <v>27</v>
      </c>
      <c r="S510">
        <v>1249.1740867399999</v>
      </c>
      <c r="W510"/>
      <c r="X510">
        <v>0</v>
      </c>
      <c r="AC510" t="s">
        <v>108</v>
      </c>
      <c r="AD510" s="56">
        <v>43983</v>
      </c>
    </row>
    <row r="511" spans="1:30" x14ac:dyDescent="0.3">
      <c r="A511">
        <v>420530</v>
      </c>
      <c r="B511" t="s">
        <v>332</v>
      </c>
      <c r="C511">
        <v>2020</v>
      </c>
      <c r="D511">
        <v>6</v>
      </c>
      <c r="E511" t="s">
        <v>112</v>
      </c>
      <c r="F511" t="s">
        <v>108</v>
      </c>
      <c r="G511" t="s">
        <v>108</v>
      </c>
      <c r="H511" t="s">
        <v>25</v>
      </c>
      <c r="I511" t="s">
        <v>25</v>
      </c>
      <c r="J511" t="s">
        <v>138</v>
      </c>
      <c r="K511" t="s">
        <v>112</v>
      </c>
      <c r="L511" t="s">
        <v>140</v>
      </c>
      <c r="M511">
        <v>573.77343242999996</v>
      </c>
      <c r="N511">
        <v>0</v>
      </c>
      <c r="O511" t="s">
        <v>104</v>
      </c>
      <c r="P511" s="56">
        <v>44277.585712268519</v>
      </c>
      <c r="Q511">
        <v>3980909</v>
      </c>
      <c r="R511" t="s">
        <v>27</v>
      </c>
      <c r="S511">
        <v>207.08476727999999</v>
      </c>
      <c r="W511"/>
      <c r="X511">
        <v>0</v>
      </c>
      <c r="AC511" t="s">
        <v>108</v>
      </c>
      <c r="AD511" s="56">
        <v>43983</v>
      </c>
    </row>
    <row r="512" spans="1:30" x14ac:dyDescent="0.3">
      <c r="A512">
        <v>420554</v>
      </c>
      <c r="B512" t="s">
        <v>332</v>
      </c>
      <c r="C512">
        <v>2020</v>
      </c>
      <c r="D512">
        <v>6</v>
      </c>
      <c r="E512" t="s">
        <v>114</v>
      </c>
      <c r="F512" t="s">
        <v>108</v>
      </c>
      <c r="G512" t="s">
        <v>108</v>
      </c>
      <c r="H512" t="s">
        <v>25</v>
      </c>
      <c r="I512" t="s">
        <v>25</v>
      </c>
      <c r="J512" t="s">
        <v>138</v>
      </c>
      <c r="K512" t="s">
        <v>114</v>
      </c>
      <c r="L512" t="s">
        <v>140</v>
      </c>
      <c r="M512">
        <v>1684.49839561</v>
      </c>
      <c r="N512">
        <v>0</v>
      </c>
      <c r="O512" t="s">
        <v>104</v>
      </c>
      <c r="P512" s="56">
        <v>44277.585713425928</v>
      </c>
      <c r="Q512">
        <v>3981026</v>
      </c>
      <c r="R512" t="s">
        <v>115</v>
      </c>
      <c r="S512">
        <v>0.88250996999999998</v>
      </c>
      <c r="W512"/>
      <c r="X512">
        <v>0</v>
      </c>
      <c r="AC512" t="s">
        <v>108</v>
      </c>
      <c r="AD512" s="56">
        <v>43983</v>
      </c>
    </row>
    <row r="513" spans="1:30" x14ac:dyDescent="0.3">
      <c r="A513">
        <v>420530</v>
      </c>
      <c r="B513" t="s">
        <v>332</v>
      </c>
      <c r="C513">
        <v>2020</v>
      </c>
      <c r="D513">
        <v>6</v>
      </c>
      <c r="E513" t="s">
        <v>112</v>
      </c>
      <c r="F513" t="s">
        <v>108</v>
      </c>
      <c r="G513" t="s">
        <v>108</v>
      </c>
      <c r="H513" t="s">
        <v>25</v>
      </c>
      <c r="I513" t="s">
        <v>25</v>
      </c>
      <c r="J513" t="s">
        <v>138</v>
      </c>
      <c r="K513" t="s">
        <v>112</v>
      </c>
      <c r="L513" t="s">
        <v>140</v>
      </c>
      <c r="M513">
        <v>573.77343242999996</v>
      </c>
      <c r="N513">
        <v>0</v>
      </c>
      <c r="O513" t="s">
        <v>104</v>
      </c>
      <c r="P513" s="56">
        <v>44277.585712268519</v>
      </c>
      <c r="Q513">
        <v>3980906</v>
      </c>
      <c r="R513" t="s">
        <v>115</v>
      </c>
      <c r="S513">
        <v>0</v>
      </c>
      <c r="W513"/>
      <c r="X513">
        <v>0</v>
      </c>
      <c r="AC513" t="s">
        <v>108</v>
      </c>
      <c r="AD513" s="56">
        <v>43983</v>
      </c>
    </row>
    <row r="514" spans="1:30" x14ac:dyDescent="0.3">
      <c r="A514">
        <v>420506</v>
      </c>
      <c r="B514" t="s">
        <v>332</v>
      </c>
      <c r="C514">
        <v>2020</v>
      </c>
      <c r="D514">
        <v>6</v>
      </c>
      <c r="E514" t="s">
        <v>110</v>
      </c>
      <c r="F514" t="s">
        <v>108</v>
      </c>
      <c r="G514" t="s">
        <v>108</v>
      </c>
      <c r="H514" t="s">
        <v>25</v>
      </c>
      <c r="I514" t="s">
        <v>25</v>
      </c>
      <c r="J514" t="s">
        <v>138</v>
      </c>
      <c r="K514" t="s">
        <v>110</v>
      </c>
      <c r="L514" t="s">
        <v>140</v>
      </c>
      <c r="M514">
        <v>2681.58003254</v>
      </c>
      <c r="N514">
        <v>0</v>
      </c>
      <c r="O514" t="s">
        <v>104</v>
      </c>
      <c r="P514" s="56">
        <v>44277.585711030093</v>
      </c>
      <c r="Q514">
        <v>3980786</v>
      </c>
      <c r="R514" t="s">
        <v>115</v>
      </c>
      <c r="S514">
        <v>4.0791128299999997</v>
      </c>
      <c r="W514"/>
      <c r="X514">
        <v>0</v>
      </c>
      <c r="AC514" t="s">
        <v>108</v>
      </c>
      <c r="AD514" s="56">
        <v>43983</v>
      </c>
    </row>
    <row r="515" spans="1:30" x14ac:dyDescent="0.3">
      <c r="A515">
        <v>420530</v>
      </c>
      <c r="B515" t="s">
        <v>332</v>
      </c>
      <c r="C515">
        <v>2020</v>
      </c>
      <c r="D515">
        <v>6</v>
      </c>
      <c r="E515" t="s">
        <v>112</v>
      </c>
      <c r="F515" t="s">
        <v>108</v>
      </c>
      <c r="G515" t="s">
        <v>108</v>
      </c>
      <c r="H515" t="s">
        <v>25</v>
      </c>
      <c r="I515" t="s">
        <v>25</v>
      </c>
      <c r="J515" t="s">
        <v>138</v>
      </c>
      <c r="K515" t="s">
        <v>112</v>
      </c>
      <c r="L515" t="s">
        <v>140</v>
      </c>
      <c r="M515">
        <v>573.77343242999996</v>
      </c>
      <c r="N515">
        <v>0</v>
      </c>
      <c r="O515" t="s">
        <v>104</v>
      </c>
      <c r="P515" s="56">
        <v>44277.585712268519</v>
      </c>
      <c r="Q515">
        <v>3980908</v>
      </c>
      <c r="R515" t="s">
        <v>28</v>
      </c>
      <c r="S515">
        <v>0</v>
      </c>
      <c r="W515"/>
      <c r="X515">
        <v>0</v>
      </c>
      <c r="AC515" t="s">
        <v>108</v>
      </c>
      <c r="AD515" s="56">
        <v>43983</v>
      </c>
    </row>
    <row r="516" spans="1:30" x14ac:dyDescent="0.3">
      <c r="A516">
        <v>420554</v>
      </c>
      <c r="B516" t="s">
        <v>332</v>
      </c>
      <c r="C516">
        <v>2020</v>
      </c>
      <c r="D516">
        <v>6</v>
      </c>
      <c r="E516" t="s">
        <v>114</v>
      </c>
      <c r="F516" t="s">
        <v>108</v>
      </c>
      <c r="G516" t="s">
        <v>108</v>
      </c>
      <c r="H516" t="s">
        <v>25</v>
      </c>
      <c r="I516" t="s">
        <v>25</v>
      </c>
      <c r="J516" t="s">
        <v>138</v>
      </c>
      <c r="K516" t="s">
        <v>114</v>
      </c>
      <c r="L516" t="s">
        <v>140</v>
      </c>
      <c r="M516">
        <v>1684.49839561</v>
      </c>
      <c r="N516">
        <v>0</v>
      </c>
      <c r="O516" t="s">
        <v>104</v>
      </c>
      <c r="P516" s="56">
        <v>44277.585713425928</v>
      </c>
      <c r="Q516">
        <v>3981028</v>
      </c>
      <c r="R516" t="s">
        <v>28</v>
      </c>
      <c r="S516">
        <v>4.8672003999999998</v>
      </c>
      <c r="W516"/>
      <c r="X516">
        <v>0</v>
      </c>
      <c r="AC516" t="s">
        <v>108</v>
      </c>
      <c r="AD516" s="56">
        <v>43983</v>
      </c>
    </row>
    <row r="517" spans="1:30" x14ac:dyDescent="0.3">
      <c r="A517">
        <v>420506</v>
      </c>
      <c r="B517" t="s">
        <v>332</v>
      </c>
      <c r="C517">
        <v>2020</v>
      </c>
      <c r="D517">
        <v>6</v>
      </c>
      <c r="E517" t="s">
        <v>110</v>
      </c>
      <c r="F517" t="s">
        <v>108</v>
      </c>
      <c r="G517" t="s">
        <v>108</v>
      </c>
      <c r="H517" t="s">
        <v>25</v>
      </c>
      <c r="I517" t="s">
        <v>25</v>
      </c>
      <c r="J517" t="s">
        <v>138</v>
      </c>
      <c r="K517" t="s">
        <v>110</v>
      </c>
      <c r="L517" t="s">
        <v>140</v>
      </c>
      <c r="M517">
        <v>2681.58003254</v>
      </c>
      <c r="N517">
        <v>0</v>
      </c>
      <c r="O517" t="s">
        <v>104</v>
      </c>
      <c r="P517" s="56">
        <v>44277.585711030093</v>
      </c>
      <c r="Q517">
        <v>3980788</v>
      </c>
      <c r="R517" t="s">
        <v>28</v>
      </c>
      <c r="S517">
        <v>8.3052895499999995</v>
      </c>
      <c r="W517"/>
      <c r="X517">
        <v>0</v>
      </c>
      <c r="AC517" t="s">
        <v>108</v>
      </c>
      <c r="AD517" s="56">
        <v>43983</v>
      </c>
    </row>
    <row r="518" spans="1:30" x14ac:dyDescent="0.3">
      <c r="T518" s="12"/>
      <c r="U518" s="4"/>
      <c r="V518" s="4"/>
      <c r="X518" s="4"/>
      <c r="Y518" s="4"/>
    </row>
    <row r="519" spans="1:30" x14ac:dyDescent="0.3">
      <c r="T519" s="12"/>
      <c r="U519" s="4"/>
      <c r="V519" s="4"/>
      <c r="X519" s="4"/>
      <c r="Y519" s="4"/>
    </row>
    <row r="520" spans="1:30" x14ac:dyDescent="0.3">
      <c r="T520" s="12"/>
      <c r="U520" s="4"/>
      <c r="V520" s="4"/>
      <c r="X520" s="4"/>
      <c r="Y520" s="4"/>
    </row>
    <row r="521" spans="1:30" x14ac:dyDescent="0.3">
      <c r="T521" s="12"/>
      <c r="U521" s="4"/>
      <c r="V521" s="4"/>
      <c r="X521" s="4"/>
      <c r="Y521" s="4"/>
    </row>
    <row r="522" spans="1:30" x14ac:dyDescent="0.3">
      <c r="T522" s="12"/>
      <c r="U522" s="4"/>
      <c r="V522" s="4"/>
      <c r="X522" s="4"/>
      <c r="Y522" s="4"/>
    </row>
    <row r="523" spans="1:30" x14ac:dyDescent="0.3">
      <c r="T523" s="12"/>
      <c r="U523" s="4"/>
      <c r="V523" s="4"/>
      <c r="X523" s="4"/>
      <c r="Y523" s="4"/>
    </row>
    <row r="524" spans="1:30" x14ac:dyDescent="0.3">
      <c r="T524" s="12"/>
      <c r="U524" s="4"/>
      <c r="V524" s="4"/>
      <c r="X524" s="4"/>
      <c r="Y524" s="4"/>
    </row>
    <row r="525" spans="1:30" x14ac:dyDescent="0.3">
      <c r="T525" s="12"/>
      <c r="U525" s="4"/>
      <c r="V525" s="4"/>
      <c r="X525" s="4"/>
      <c r="Y525" s="4"/>
    </row>
    <row r="526" spans="1:30" x14ac:dyDescent="0.3">
      <c r="T526" s="12"/>
      <c r="U526" s="4"/>
      <c r="V526" s="4"/>
      <c r="X526" s="4"/>
      <c r="Y526" s="4"/>
    </row>
    <row r="527" spans="1:30" x14ac:dyDescent="0.3">
      <c r="T527" s="12"/>
      <c r="U527" s="4"/>
      <c r="V527" s="4"/>
      <c r="X527" s="4"/>
      <c r="Y527" s="4"/>
    </row>
    <row r="528" spans="1:30" x14ac:dyDescent="0.3">
      <c r="T528" s="12"/>
      <c r="U528" s="4"/>
      <c r="V528" s="4"/>
      <c r="X528" s="4"/>
      <c r="Y528" s="4"/>
    </row>
    <row r="529" spans="20:25" x14ac:dyDescent="0.3">
      <c r="T529" s="12"/>
      <c r="U529" s="4"/>
      <c r="V529" s="4"/>
      <c r="X529" s="4"/>
      <c r="Y529" s="4"/>
    </row>
    <row r="530" spans="20:25" x14ac:dyDescent="0.3">
      <c r="T530" s="12"/>
      <c r="U530" s="4"/>
      <c r="V530" s="4"/>
      <c r="X530" s="4"/>
      <c r="Y530" s="4"/>
    </row>
    <row r="531" spans="20:25" x14ac:dyDescent="0.3">
      <c r="T531" s="12"/>
      <c r="U531" s="4"/>
      <c r="V531" s="4"/>
      <c r="X531" s="4"/>
      <c r="Y531" s="4"/>
    </row>
    <row r="532" spans="20:25" x14ac:dyDescent="0.3">
      <c r="T532" s="12"/>
      <c r="U532" s="4"/>
      <c r="V532" s="4"/>
      <c r="X532" s="4"/>
      <c r="Y532" s="4"/>
    </row>
    <row r="533" spans="20:25" x14ac:dyDescent="0.3">
      <c r="T533" s="12"/>
      <c r="U533" s="4"/>
      <c r="V533" s="4"/>
      <c r="X533" s="4"/>
      <c r="Y533" s="4"/>
    </row>
    <row r="534" spans="20:25" x14ac:dyDescent="0.3">
      <c r="T534" s="12"/>
      <c r="U534" s="4"/>
      <c r="V534" s="4"/>
      <c r="X534" s="4"/>
      <c r="Y534" s="4"/>
    </row>
    <row r="535" spans="20:25" x14ac:dyDescent="0.3">
      <c r="T535" s="12"/>
      <c r="U535" s="4"/>
      <c r="V535" s="4"/>
      <c r="X535" s="4"/>
      <c r="Y535" s="4"/>
    </row>
    <row r="536" spans="20:25" x14ac:dyDescent="0.3">
      <c r="T536" s="12"/>
      <c r="U536" s="4"/>
      <c r="V536" s="4"/>
      <c r="X536" s="4"/>
      <c r="Y536" s="4"/>
    </row>
    <row r="537" spans="20:25" x14ac:dyDescent="0.3">
      <c r="T537" s="12"/>
      <c r="U537" s="4"/>
      <c r="V537" s="4"/>
      <c r="X537" s="4"/>
      <c r="Y537" s="4"/>
    </row>
    <row r="538" spans="20:25" x14ac:dyDescent="0.3">
      <c r="T538" s="12"/>
      <c r="U538" s="4"/>
      <c r="V538" s="4"/>
      <c r="X538" s="4"/>
      <c r="Y538" s="4"/>
    </row>
    <row r="539" spans="20:25" x14ac:dyDescent="0.3">
      <c r="T539" s="12"/>
      <c r="U539" s="4"/>
      <c r="V539" s="4"/>
      <c r="X539" s="4"/>
      <c r="Y539" s="4"/>
    </row>
    <row r="540" spans="20:25" x14ac:dyDescent="0.3">
      <c r="T540" s="12"/>
      <c r="U540" s="4"/>
      <c r="V540" s="4"/>
      <c r="X540" s="4"/>
      <c r="Y540" s="4"/>
    </row>
    <row r="541" spans="20:25" x14ac:dyDescent="0.3">
      <c r="T541" s="12"/>
      <c r="U541" s="4"/>
      <c r="V541" s="4"/>
      <c r="X541" s="4"/>
      <c r="Y541" s="4"/>
    </row>
    <row r="542" spans="20:25" x14ac:dyDescent="0.3">
      <c r="T542" s="12"/>
      <c r="U542" s="4"/>
      <c r="V542" s="4"/>
      <c r="X542" s="4"/>
      <c r="Y542" s="4"/>
    </row>
    <row r="543" spans="20:25" x14ac:dyDescent="0.3">
      <c r="T543" s="12"/>
      <c r="U543" s="4"/>
      <c r="V543" s="4"/>
      <c r="X543" s="4"/>
      <c r="Y543" s="4"/>
    </row>
    <row r="544" spans="20:25" x14ac:dyDescent="0.3">
      <c r="T544" s="12"/>
      <c r="U544" s="4"/>
      <c r="V544" s="4"/>
      <c r="X544" s="4"/>
      <c r="Y544" s="4"/>
    </row>
    <row r="545" spans="20:25" x14ac:dyDescent="0.3">
      <c r="T545" s="12"/>
      <c r="U545" s="4"/>
      <c r="V545" s="4"/>
      <c r="X545" s="4"/>
      <c r="Y545" s="4"/>
    </row>
    <row r="546" spans="20:25" x14ac:dyDescent="0.3">
      <c r="T546" s="12"/>
      <c r="U546" s="4"/>
      <c r="V546" s="4"/>
      <c r="X546" s="4"/>
      <c r="Y546" s="4"/>
    </row>
    <row r="547" spans="20:25" x14ac:dyDescent="0.3">
      <c r="T547" s="12"/>
      <c r="U547" s="4"/>
      <c r="V547" s="4"/>
      <c r="X547" s="4"/>
      <c r="Y547" s="4"/>
    </row>
    <row r="548" spans="20:25" x14ac:dyDescent="0.3">
      <c r="T548" s="12"/>
      <c r="U548" s="4"/>
      <c r="V548" s="4"/>
      <c r="X548" s="4"/>
      <c r="Y548" s="4"/>
    </row>
    <row r="549" spans="20:25" x14ac:dyDescent="0.3">
      <c r="T549" s="12"/>
      <c r="U549" s="4"/>
      <c r="V549" s="4"/>
      <c r="X549" s="4"/>
      <c r="Y549" s="4"/>
    </row>
    <row r="550" spans="20:25" x14ac:dyDescent="0.3">
      <c r="T550" s="12"/>
      <c r="U550" s="4"/>
      <c r="V550" s="4"/>
      <c r="X550" s="4"/>
      <c r="Y550" s="4"/>
    </row>
    <row r="551" spans="20:25" x14ac:dyDescent="0.3">
      <c r="T551" s="12"/>
      <c r="U551" s="4"/>
      <c r="V551" s="4"/>
      <c r="X551" s="4"/>
      <c r="Y551" s="4"/>
    </row>
    <row r="552" spans="20:25" x14ac:dyDescent="0.3">
      <c r="T552" s="12"/>
      <c r="U552" s="4"/>
      <c r="V552" s="4"/>
      <c r="X552" s="4"/>
      <c r="Y552" s="4"/>
    </row>
    <row r="553" spans="20:25" x14ac:dyDescent="0.3">
      <c r="T553" s="12"/>
      <c r="U553" s="4"/>
      <c r="V553" s="4"/>
      <c r="X553" s="4"/>
      <c r="Y553" s="4"/>
    </row>
    <row r="554" spans="20:25" x14ac:dyDescent="0.3">
      <c r="T554" s="12"/>
      <c r="U554" s="4"/>
      <c r="V554" s="4"/>
      <c r="X554" s="4"/>
      <c r="Y554" s="4"/>
    </row>
    <row r="555" spans="20:25" x14ac:dyDescent="0.3">
      <c r="T555" s="12"/>
      <c r="U555" s="4"/>
      <c r="V555" s="4"/>
      <c r="X555" s="4"/>
      <c r="Y555" s="4"/>
    </row>
    <row r="556" spans="20:25" x14ac:dyDescent="0.3">
      <c r="T556" s="12"/>
      <c r="U556" s="4"/>
      <c r="V556" s="4"/>
      <c r="X556" s="4"/>
      <c r="Y556" s="4"/>
    </row>
    <row r="557" spans="20:25" x14ac:dyDescent="0.3">
      <c r="T557" s="12"/>
      <c r="U557" s="4"/>
      <c r="V557" s="4"/>
      <c r="X557" s="4"/>
      <c r="Y557" s="4"/>
    </row>
    <row r="558" spans="20:25" x14ac:dyDescent="0.3">
      <c r="T558" s="12"/>
      <c r="U558" s="4"/>
      <c r="V558" s="4"/>
      <c r="X558" s="4"/>
      <c r="Y558" s="4"/>
    </row>
    <row r="559" spans="20:25" x14ac:dyDescent="0.3">
      <c r="T559" s="12"/>
      <c r="U559" s="4"/>
      <c r="V559" s="4"/>
      <c r="X559" s="4"/>
      <c r="Y559" s="4"/>
    </row>
    <row r="560" spans="20:25" x14ac:dyDescent="0.3">
      <c r="T560" s="12"/>
      <c r="U560" s="4"/>
      <c r="V560" s="4"/>
      <c r="X560" s="4"/>
      <c r="Y560" s="4"/>
    </row>
    <row r="561" spans="20:25" x14ac:dyDescent="0.3">
      <c r="T561" s="12"/>
      <c r="U561" s="4"/>
      <c r="V561" s="4"/>
      <c r="X561" s="4"/>
      <c r="Y561" s="4"/>
    </row>
    <row r="562" spans="20:25" x14ac:dyDescent="0.3">
      <c r="T562" s="12"/>
      <c r="U562" s="4"/>
      <c r="V562" s="4"/>
      <c r="X562" s="4"/>
      <c r="Y562" s="4"/>
    </row>
    <row r="563" spans="20:25" x14ac:dyDescent="0.3">
      <c r="T563" s="12"/>
      <c r="U563" s="4"/>
      <c r="V563" s="4"/>
      <c r="X563" s="4"/>
      <c r="Y563" s="4"/>
    </row>
    <row r="564" spans="20:25" x14ac:dyDescent="0.3">
      <c r="T564" s="12"/>
      <c r="U564" s="4"/>
      <c r="V564" s="4"/>
      <c r="X564" s="4"/>
      <c r="Y564" s="4"/>
    </row>
    <row r="565" spans="20:25" x14ac:dyDescent="0.3">
      <c r="T565" s="12"/>
      <c r="U565" s="4"/>
      <c r="V565" s="4"/>
      <c r="X565" s="4"/>
      <c r="Y565" s="4"/>
    </row>
    <row r="566" spans="20:25" x14ac:dyDescent="0.3">
      <c r="T566" s="12"/>
      <c r="U566" s="4"/>
      <c r="V566" s="4"/>
      <c r="X566" s="4"/>
      <c r="Y566" s="4"/>
    </row>
    <row r="567" spans="20:25" x14ac:dyDescent="0.3">
      <c r="T567" s="12"/>
      <c r="U567" s="4"/>
      <c r="V567" s="4"/>
      <c r="X567" s="4"/>
      <c r="Y567" s="4"/>
    </row>
    <row r="568" spans="20:25" x14ac:dyDescent="0.3">
      <c r="T568" s="12"/>
      <c r="U568" s="4"/>
      <c r="V568" s="4"/>
      <c r="X568" s="4"/>
      <c r="Y568" s="4"/>
    </row>
    <row r="569" spans="20:25" x14ac:dyDescent="0.3">
      <c r="T569" s="12"/>
      <c r="U569" s="4"/>
      <c r="V569" s="4"/>
      <c r="X569" s="4"/>
      <c r="Y569" s="4"/>
    </row>
    <row r="570" spans="20:25" x14ac:dyDescent="0.3">
      <c r="T570" s="12"/>
      <c r="U570" s="4"/>
      <c r="V570" s="4"/>
      <c r="X570" s="4"/>
      <c r="Y570" s="4"/>
    </row>
    <row r="571" spans="20:25" x14ac:dyDescent="0.3">
      <c r="T571" s="12"/>
      <c r="U571" s="4"/>
      <c r="V571" s="4"/>
      <c r="X571" s="4"/>
      <c r="Y571" s="4"/>
    </row>
    <row r="572" spans="20:25" x14ac:dyDescent="0.3">
      <c r="T572" s="12"/>
      <c r="U572" s="4"/>
      <c r="V572" s="4"/>
      <c r="X572" s="4"/>
      <c r="Y572" s="4"/>
    </row>
    <row r="573" spans="20:25" x14ac:dyDescent="0.3">
      <c r="T573" s="12"/>
      <c r="U573" s="4"/>
      <c r="V573" s="4"/>
      <c r="X573" s="4"/>
      <c r="Y573" s="4"/>
    </row>
    <row r="574" spans="20:25" x14ac:dyDescent="0.3">
      <c r="T574" s="12"/>
      <c r="U574" s="4"/>
      <c r="V574" s="4"/>
      <c r="X574" s="4"/>
      <c r="Y574" s="4"/>
    </row>
    <row r="575" spans="20:25" x14ac:dyDescent="0.3">
      <c r="T575" s="12"/>
      <c r="U575" s="4"/>
      <c r="V575" s="4"/>
      <c r="X575" s="4"/>
      <c r="Y575" s="4"/>
    </row>
    <row r="576" spans="20:25" x14ac:dyDescent="0.3">
      <c r="T576" s="12"/>
      <c r="U576" s="4"/>
      <c r="V576" s="4"/>
      <c r="X576" s="4"/>
      <c r="Y576" s="4"/>
    </row>
    <row r="577" spans="20:25" x14ac:dyDescent="0.3">
      <c r="T577" s="12"/>
      <c r="U577" s="4"/>
      <c r="V577" s="4"/>
      <c r="X577" s="4"/>
      <c r="Y577" s="4"/>
    </row>
    <row r="578" spans="20:25" x14ac:dyDescent="0.3">
      <c r="T578" s="12"/>
      <c r="U578" s="4"/>
      <c r="V578" s="4"/>
      <c r="X578" s="4"/>
      <c r="Y578" s="4"/>
    </row>
    <row r="579" spans="20:25" x14ac:dyDescent="0.3">
      <c r="T579" s="12"/>
      <c r="U579" s="4"/>
      <c r="V579" s="4"/>
      <c r="X579" s="4"/>
      <c r="Y579" s="4"/>
    </row>
    <row r="580" spans="20:25" x14ac:dyDescent="0.3">
      <c r="T580" s="12"/>
      <c r="U580" s="4"/>
      <c r="V580" s="4"/>
      <c r="X580" s="4"/>
      <c r="Y580" s="4"/>
    </row>
    <row r="581" spans="20:25" x14ac:dyDescent="0.3">
      <c r="T581" s="12"/>
      <c r="U581" s="4"/>
      <c r="V581" s="4"/>
      <c r="X581" s="4"/>
      <c r="Y581" s="4"/>
    </row>
    <row r="582" spans="20:25" x14ac:dyDescent="0.3">
      <c r="T582" s="12"/>
      <c r="U582" s="4"/>
      <c r="V582" s="4"/>
      <c r="X582" s="4"/>
      <c r="Y582" s="4"/>
    </row>
    <row r="583" spans="20:25" x14ac:dyDescent="0.3">
      <c r="T583" s="12"/>
      <c r="U583" s="4"/>
      <c r="V583" s="4"/>
      <c r="X583" s="4"/>
      <c r="Y583" s="4"/>
    </row>
    <row r="584" spans="20:25" x14ac:dyDescent="0.3">
      <c r="T584" s="12"/>
      <c r="U584" s="4"/>
      <c r="V584" s="4"/>
      <c r="X584" s="4"/>
      <c r="Y584" s="4"/>
    </row>
    <row r="585" spans="20:25" x14ac:dyDescent="0.3">
      <c r="T585" s="12"/>
      <c r="U585" s="4"/>
      <c r="V585" s="4"/>
      <c r="X585" s="4"/>
      <c r="Y585" s="4"/>
    </row>
    <row r="586" spans="20:25" x14ac:dyDescent="0.3">
      <c r="T586" s="12"/>
      <c r="U586" s="4"/>
      <c r="V586" s="4"/>
      <c r="X586" s="4"/>
      <c r="Y586" s="4"/>
    </row>
    <row r="587" spans="20:25" x14ac:dyDescent="0.3">
      <c r="T587" s="12"/>
      <c r="U587" s="4"/>
      <c r="V587" s="4"/>
      <c r="X587" s="4"/>
      <c r="Y587" s="4"/>
    </row>
    <row r="588" spans="20:25" x14ac:dyDescent="0.3">
      <c r="T588" s="12"/>
      <c r="U588" s="4"/>
      <c r="V588" s="4"/>
      <c r="X588" s="4"/>
      <c r="Y588" s="4"/>
    </row>
    <row r="589" spans="20:25" x14ac:dyDescent="0.3">
      <c r="T589" s="12"/>
      <c r="U589" s="4"/>
      <c r="V589" s="4"/>
      <c r="X589" s="4"/>
      <c r="Y589" s="4"/>
    </row>
    <row r="590" spans="20:25" x14ac:dyDescent="0.3">
      <c r="T590" s="12"/>
      <c r="U590" s="4"/>
      <c r="V590" s="4"/>
      <c r="X590" s="4"/>
      <c r="Y590" s="4"/>
    </row>
    <row r="591" spans="20:25" x14ac:dyDescent="0.3">
      <c r="T591" s="12"/>
      <c r="U591" s="4"/>
      <c r="V591" s="4"/>
      <c r="X591" s="4"/>
      <c r="Y591" s="4"/>
    </row>
    <row r="592" spans="20:25" x14ac:dyDescent="0.3">
      <c r="T592" s="12"/>
      <c r="U592" s="4"/>
      <c r="V592" s="4"/>
      <c r="X592" s="4"/>
      <c r="Y592" s="4"/>
    </row>
    <row r="593" spans="20:25" x14ac:dyDescent="0.3">
      <c r="T593" s="12"/>
      <c r="U593" s="4"/>
      <c r="V593" s="4"/>
      <c r="X593" s="4"/>
      <c r="Y593" s="4"/>
    </row>
    <row r="594" spans="20:25" x14ac:dyDescent="0.3">
      <c r="T594" s="12"/>
      <c r="U594" s="4"/>
      <c r="V594" s="4"/>
      <c r="X594" s="4"/>
      <c r="Y594" s="4"/>
    </row>
    <row r="595" spans="20:25" x14ac:dyDescent="0.3">
      <c r="T595" s="12"/>
      <c r="U595" s="4"/>
      <c r="V595" s="4"/>
      <c r="X595" s="4"/>
      <c r="Y595" s="4"/>
    </row>
    <row r="596" spans="20:25" x14ac:dyDescent="0.3">
      <c r="T596" s="12"/>
      <c r="U596" s="4"/>
      <c r="V596" s="4"/>
      <c r="X596" s="4"/>
      <c r="Y596" s="4"/>
    </row>
    <row r="597" spans="20:25" x14ac:dyDescent="0.3">
      <c r="T597" s="12"/>
      <c r="U597" s="4"/>
      <c r="V597" s="4"/>
      <c r="X597" s="4"/>
      <c r="Y597" s="4"/>
    </row>
    <row r="598" spans="20:25" x14ac:dyDescent="0.3">
      <c r="T598" s="12"/>
      <c r="U598" s="4"/>
      <c r="V598" s="4"/>
      <c r="X598" s="4"/>
      <c r="Y598" s="4"/>
    </row>
    <row r="599" spans="20:25" x14ac:dyDescent="0.3">
      <c r="T599" s="12"/>
      <c r="U599" s="4"/>
      <c r="V599" s="4"/>
      <c r="X599" s="4"/>
      <c r="Y599" s="4"/>
    </row>
    <row r="600" spans="20:25" x14ac:dyDescent="0.3">
      <c r="T600" s="12"/>
      <c r="U600" s="4"/>
      <c r="V600" s="4"/>
      <c r="X600" s="4"/>
      <c r="Y600" s="4"/>
    </row>
    <row r="601" spans="20:25" x14ac:dyDescent="0.3">
      <c r="T601" s="12"/>
      <c r="U601" s="4"/>
      <c r="V601" s="4"/>
      <c r="X601" s="4"/>
      <c r="Y601" s="4"/>
    </row>
    <row r="602" spans="20:25" x14ac:dyDescent="0.3">
      <c r="T602" s="12"/>
      <c r="U602" s="4"/>
      <c r="V602" s="4"/>
      <c r="X602" s="4"/>
      <c r="Y602" s="4"/>
    </row>
    <row r="603" spans="20:25" x14ac:dyDescent="0.3">
      <c r="T603" s="12"/>
      <c r="U603" s="4"/>
      <c r="V603" s="4"/>
      <c r="X603" s="4"/>
      <c r="Y603" s="4"/>
    </row>
    <row r="604" spans="20:25" x14ac:dyDescent="0.3">
      <c r="T604" s="12"/>
      <c r="U604" s="4"/>
      <c r="V604" s="4"/>
      <c r="X604" s="4"/>
      <c r="Y604" s="4"/>
    </row>
    <row r="605" spans="20:25" x14ac:dyDescent="0.3">
      <c r="T605" s="12"/>
      <c r="U605" s="4"/>
      <c r="V605" s="4"/>
      <c r="X605" s="4"/>
      <c r="Y605" s="4"/>
    </row>
    <row r="606" spans="20:25" x14ac:dyDescent="0.3">
      <c r="T606" s="12"/>
      <c r="U606" s="4"/>
      <c r="V606" s="4"/>
      <c r="X606" s="4"/>
      <c r="Y606" s="4"/>
    </row>
    <row r="607" spans="20:25" x14ac:dyDescent="0.3">
      <c r="T607" s="12"/>
      <c r="U607" s="4"/>
      <c r="V607" s="4"/>
      <c r="X607" s="4"/>
      <c r="Y607" s="4"/>
    </row>
    <row r="608" spans="20:25" x14ac:dyDescent="0.3">
      <c r="T608" s="12"/>
      <c r="U608" s="4"/>
      <c r="V608" s="4"/>
      <c r="X608" s="4"/>
      <c r="Y608" s="4"/>
    </row>
    <row r="609" spans="20:25" x14ac:dyDescent="0.3">
      <c r="T609" s="12"/>
      <c r="U609" s="4"/>
      <c r="V609" s="4"/>
      <c r="X609" s="4"/>
      <c r="Y609" s="4"/>
    </row>
    <row r="610" spans="20:25" x14ac:dyDescent="0.3">
      <c r="T610" s="12"/>
      <c r="U610" s="4"/>
      <c r="V610" s="4"/>
      <c r="X610" s="4"/>
      <c r="Y610" s="4"/>
    </row>
    <row r="611" spans="20:25" x14ac:dyDescent="0.3">
      <c r="T611" s="12"/>
      <c r="U611" s="4"/>
      <c r="V611" s="4"/>
      <c r="X611" s="4"/>
      <c r="Y611" s="4"/>
    </row>
    <row r="612" spans="20:25" x14ac:dyDescent="0.3">
      <c r="T612" s="12"/>
      <c r="U612" s="4"/>
      <c r="V612" s="4"/>
      <c r="X612" s="4"/>
      <c r="Y612" s="4"/>
    </row>
    <row r="613" spans="20:25" x14ac:dyDescent="0.3">
      <c r="T613" s="12"/>
      <c r="U613" s="4"/>
      <c r="V613" s="4"/>
      <c r="X613" s="4"/>
      <c r="Y613" s="4"/>
    </row>
    <row r="614" spans="20:25" x14ac:dyDescent="0.3">
      <c r="T614" s="12"/>
      <c r="U614" s="4"/>
      <c r="V614" s="4"/>
      <c r="X614" s="4"/>
      <c r="Y614" s="4"/>
    </row>
    <row r="615" spans="20:25" x14ac:dyDescent="0.3">
      <c r="T615" s="12"/>
      <c r="U615" s="4"/>
      <c r="V615" s="4"/>
      <c r="X615" s="4"/>
      <c r="Y615" s="4"/>
    </row>
    <row r="616" spans="20:25" x14ac:dyDescent="0.3">
      <c r="T616" s="12"/>
      <c r="U616" s="4"/>
      <c r="V616" s="4"/>
      <c r="X616" s="4"/>
      <c r="Y616" s="4"/>
    </row>
    <row r="617" spans="20:25" x14ac:dyDescent="0.3">
      <c r="T617" s="12"/>
      <c r="U617" s="4"/>
      <c r="V617" s="4"/>
      <c r="X617" s="4"/>
      <c r="Y617" s="4"/>
    </row>
    <row r="618" spans="20:25" x14ac:dyDescent="0.3">
      <c r="T618" s="12"/>
      <c r="U618" s="4"/>
      <c r="V618" s="4"/>
      <c r="X618" s="4"/>
      <c r="Y618" s="4"/>
    </row>
    <row r="619" spans="20:25" x14ac:dyDescent="0.3">
      <c r="T619" s="12"/>
      <c r="U619" s="4"/>
      <c r="V619" s="4"/>
      <c r="X619" s="4"/>
      <c r="Y619" s="4"/>
    </row>
    <row r="620" spans="20:25" x14ac:dyDescent="0.3">
      <c r="T620" s="12"/>
      <c r="U620" s="4"/>
      <c r="V620" s="4"/>
      <c r="X620" s="4"/>
      <c r="Y620" s="4"/>
    </row>
    <row r="621" spans="20:25" x14ac:dyDescent="0.3">
      <c r="T621" s="12"/>
      <c r="U621" s="4"/>
      <c r="V621" s="4"/>
      <c r="X621" s="4"/>
      <c r="Y621" s="4"/>
    </row>
    <row r="622" spans="20:25" x14ac:dyDescent="0.3">
      <c r="T622" s="12"/>
      <c r="U622" s="4"/>
      <c r="V622" s="4"/>
      <c r="X622" s="4"/>
      <c r="Y622" s="4"/>
    </row>
    <row r="623" spans="20:25" x14ac:dyDescent="0.3">
      <c r="T623" s="12"/>
      <c r="U623" s="4"/>
      <c r="V623" s="4"/>
      <c r="X623" s="4"/>
      <c r="Y623" s="4"/>
    </row>
    <row r="624" spans="20:25" x14ac:dyDescent="0.3">
      <c r="T624" s="12"/>
      <c r="U624" s="4"/>
      <c r="V624" s="4"/>
      <c r="X624" s="4"/>
      <c r="Y624" s="4"/>
    </row>
    <row r="625" spans="20:25" x14ac:dyDescent="0.3">
      <c r="T625" s="12"/>
      <c r="U625" s="4"/>
      <c r="V625" s="4"/>
      <c r="X625" s="4"/>
      <c r="Y625" s="4"/>
    </row>
    <row r="626" spans="20:25" x14ac:dyDescent="0.3">
      <c r="T626" s="12"/>
      <c r="U626" s="4"/>
      <c r="V626" s="4"/>
      <c r="X626" s="4"/>
      <c r="Y626" s="4"/>
    </row>
    <row r="627" spans="20:25" x14ac:dyDescent="0.3">
      <c r="T627" s="12"/>
      <c r="U627" s="4"/>
      <c r="V627" s="4"/>
      <c r="X627" s="4"/>
      <c r="Y627" s="4"/>
    </row>
    <row r="628" spans="20:25" x14ac:dyDescent="0.3">
      <c r="T628" s="12"/>
      <c r="U628" s="4"/>
      <c r="V628" s="4"/>
      <c r="X628" s="4"/>
      <c r="Y628" s="4"/>
    </row>
    <row r="629" spans="20:25" x14ac:dyDescent="0.3">
      <c r="T629" s="12"/>
      <c r="U629" s="4"/>
      <c r="V629" s="4"/>
      <c r="X629" s="4"/>
      <c r="Y629" s="4"/>
    </row>
    <row r="630" spans="20:25" x14ac:dyDescent="0.3">
      <c r="T630" s="12"/>
      <c r="U630" s="4"/>
      <c r="V630" s="4"/>
      <c r="X630" s="4"/>
      <c r="Y630" s="4"/>
    </row>
    <row r="631" spans="20:25" x14ac:dyDescent="0.3">
      <c r="T631" s="12"/>
      <c r="U631" s="4"/>
      <c r="V631" s="4"/>
      <c r="X631" s="4"/>
      <c r="Y631" s="4"/>
    </row>
    <row r="632" spans="20:25" x14ac:dyDescent="0.3">
      <c r="T632" s="12"/>
      <c r="U632" s="4"/>
      <c r="V632" s="4"/>
      <c r="X632" s="4"/>
      <c r="Y632" s="4"/>
    </row>
    <row r="633" spans="20:25" x14ac:dyDescent="0.3">
      <c r="T633" s="12"/>
      <c r="U633" s="4"/>
      <c r="V633" s="4"/>
      <c r="X633" s="4"/>
      <c r="Y633" s="4"/>
    </row>
    <row r="634" spans="20:25" x14ac:dyDescent="0.3">
      <c r="T634" s="12"/>
      <c r="U634" s="4"/>
      <c r="V634" s="4"/>
      <c r="X634" s="4"/>
      <c r="Y634" s="4"/>
    </row>
    <row r="635" spans="20:25" x14ac:dyDescent="0.3">
      <c r="T635" s="12"/>
      <c r="U635" s="4"/>
      <c r="V635" s="4"/>
      <c r="X635" s="4"/>
      <c r="Y635" s="4"/>
    </row>
    <row r="636" spans="20:25" x14ac:dyDescent="0.3">
      <c r="T636" s="12"/>
      <c r="U636" s="4"/>
      <c r="V636" s="4"/>
      <c r="X636" s="4"/>
      <c r="Y636" s="4"/>
    </row>
    <row r="637" spans="20:25" x14ac:dyDescent="0.3">
      <c r="T637" s="12"/>
      <c r="U637" s="4"/>
      <c r="V637" s="4"/>
      <c r="X637" s="4"/>
      <c r="Y637" s="4"/>
    </row>
    <row r="638" spans="20:25" x14ac:dyDescent="0.3">
      <c r="T638" s="12"/>
      <c r="U638" s="4"/>
      <c r="V638" s="4"/>
      <c r="X638" s="4"/>
      <c r="Y638" s="4"/>
    </row>
    <row r="639" spans="20:25" x14ac:dyDescent="0.3">
      <c r="T639" s="12"/>
      <c r="U639" s="4"/>
      <c r="V639" s="4"/>
      <c r="X639" s="4"/>
      <c r="Y639" s="4"/>
    </row>
    <row r="640" spans="20:25" x14ac:dyDescent="0.3">
      <c r="T640" s="12"/>
      <c r="U640" s="4"/>
      <c r="V640" s="4"/>
      <c r="X640" s="4"/>
      <c r="Y640" s="4"/>
    </row>
    <row r="641" spans="20:25" x14ac:dyDescent="0.3">
      <c r="T641" s="12"/>
      <c r="U641" s="4"/>
      <c r="V641" s="4"/>
      <c r="X641" s="4"/>
      <c r="Y641" s="4"/>
    </row>
    <row r="642" spans="20:25" x14ac:dyDescent="0.3">
      <c r="T642" s="12"/>
      <c r="U642" s="4"/>
      <c r="V642" s="4"/>
      <c r="X642" s="4"/>
      <c r="Y642" s="4"/>
    </row>
    <row r="643" spans="20:25" x14ac:dyDescent="0.3">
      <c r="T643" s="12"/>
      <c r="U643" s="4"/>
      <c r="V643" s="4"/>
      <c r="X643" s="4"/>
      <c r="Y643" s="4"/>
    </row>
    <row r="644" spans="20:25" x14ac:dyDescent="0.3">
      <c r="T644" s="12"/>
      <c r="U644" s="4"/>
      <c r="V644" s="4"/>
      <c r="X644" s="4"/>
      <c r="Y644" s="4"/>
    </row>
    <row r="645" spans="20:25" x14ac:dyDescent="0.3">
      <c r="T645" s="12"/>
      <c r="U645" s="4"/>
      <c r="V645" s="4"/>
      <c r="X645" s="4"/>
      <c r="Y645" s="4"/>
    </row>
    <row r="646" spans="20:25" x14ac:dyDescent="0.3">
      <c r="T646" s="12"/>
      <c r="U646" s="4"/>
      <c r="V646" s="4"/>
      <c r="X646" s="4"/>
      <c r="Y646" s="4"/>
    </row>
    <row r="647" spans="20:25" x14ac:dyDescent="0.3">
      <c r="T647" s="12"/>
      <c r="U647" s="4"/>
      <c r="V647" s="4"/>
      <c r="X647" s="4"/>
      <c r="Y647" s="4"/>
    </row>
    <row r="648" spans="20:25" x14ac:dyDescent="0.3">
      <c r="T648" s="12"/>
      <c r="U648" s="4"/>
      <c r="V648" s="4"/>
      <c r="X648" s="4"/>
      <c r="Y648" s="4"/>
    </row>
    <row r="649" spans="20:25" x14ac:dyDescent="0.3">
      <c r="T649" s="12"/>
      <c r="U649" s="4"/>
      <c r="V649" s="4"/>
      <c r="X649" s="4"/>
      <c r="Y649" s="4"/>
    </row>
    <row r="650" spans="20:25" x14ac:dyDescent="0.3">
      <c r="T650" s="12"/>
      <c r="U650" s="4"/>
      <c r="V650" s="4"/>
      <c r="X650" s="4"/>
      <c r="Y650" s="4"/>
    </row>
    <row r="651" spans="20:25" x14ac:dyDescent="0.3">
      <c r="T651" s="12"/>
      <c r="U651" s="4"/>
      <c r="V651" s="4"/>
      <c r="X651" s="4"/>
      <c r="Y651" s="4"/>
    </row>
    <row r="652" spans="20:25" x14ac:dyDescent="0.3">
      <c r="T652" s="12"/>
      <c r="U652" s="4"/>
      <c r="V652" s="4"/>
      <c r="X652" s="4"/>
      <c r="Y652" s="4"/>
    </row>
    <row r="653" spans="20:25" x14ac:dyDescent="0.3">
      <c r="T653" s="12"/>
      <c r="U653" s="4"/>
      <c r="V653" s="4"/>
      <c r="X653" s="4"/>
      <c r="Y653" s="4"/>
    </row>
    <row r="654" spans="20:25" x14ac:dyDescent="0.3">
      <c r="T654" s="12"/>
      <c r="U654" s="4"/>
      <c r="V654" s="4"/>
      <c r="X654" s="4"/>
      <c r="Y654" s="4"/>
    </row>
    <row r="655" spans="20:25" x14ac:dyDescent="0.3">
      <c r="T655" s="12"/>
      <c r="U655" s="4"/>
      <c r="V655" s="4"/>
      <c r="X655" s="4"/>
      <c r="Y655" s="4"/>
    </row>
    <row r="656" spans="20:25" x14ac:dyDescent="0.3">
      <c r="T656" s="12"/>
      <c r="U656" s="4"/>
      <c r="V656" s="4"/>
      <c r="X656" s="4"/>
      <c r="Y656" s="4"/>
    </row>
    <row r="657" spans="20:25" x14ac:dyDescent="0.3">
      <c r="T657" s="12"/>
      <c r="U657" s="4"/>
      <c r="V657" s="4"/>
      <c r="X657" s="4"/>
      <c r="Y657" s="4"/>
    </row>
    <row r="658" spans="20:25" x14ac:dyDescent="0.3">
      <c r="T658" s="12"/>
      <c r="U658" s="4"/>
      <c r="V658" s="4"/>
      <c r="X658" s="4"/>
      <c r="Y658" s="4"/>
    </row>
    <row r="659" spans="20:25" x14ac:dyDescent="0.3">
      <c r="T659" s="12"/>
      <c r="U659" s="4"/>
      <c r="V659" s="4"/>
      <c r="X659" s="4"/>
      <c r="Y659" s="4"/>
    </row>
    <row r="660" spans="20:25" x14ac:dyDescent="0.3">
      <c r="T660" s="12"/>
      <c r="U660" s="4"/>
      <c r="V660" s="4"/>
      <c r="X660" s="4"/>
      <c r="Y660" s="4"/>
    </row>
    <row r="661" spans="20:25" x14ac:dyDescent="0.3">
      <c r="T661" s="12"/>
      <c r="U661" s="4"/>
      <c r="V661" s="4"/>
      <c r="X661" s="4"/>
      <c r="Y661" s="4"/>
    </row>
    <row r="662" spans="20:25" x14ac:dyDescent="0.3">
      <c r="T662" s="12"/>
      <c r="U662" s="4"/>
      <c r="V662" s="4"/>
      <c r="X662" s="4"/>
      <c r="Y662" s="4"/>
    </row>
    <row r="663" spans="20:25" x14ac:dyDescent="0.3">
      <c r="T663" s="12"/>
      <c r="U663" s="4"/>
      <c r="V663" s="4"/>
      <c r="X663" s="4"/>
      <c r="Y663" s="4"/>
    </row>
    <row r="664" spans="20:25" x14ac:dyDescent="0.3">
      <c r="T664" s="12"/>
      <c r="U664" s="4"/>
      <c r="V664" s="4"/>
      <c r="X664" s="4"/>
      <c r="Y664" s="4"/>
    </row>
    <row r="665" spans="20:25" x14ac:dyDescent="0.3">
      <c r="T665" s="12"/>
      <c r="U665" s="4"/>
      <c r="V665" s="4"/>
      <c r="X665" s="4"/>
      <c r="Y665" s="4"/>
    </row>
    <row r="666" spans="20:25" x14ac:dyDescent="0.3">
      <c r="T666" s="12"/>
      <c r="U666" s="4"/>
      <c r="V666" s="4"/>
      <c r="X666" s="4"/>
      <c r="Y666" s="4"/>
    </row>
    <row r="667" spans="20:25" x14ac:dyDescent="0.3">
      <c r="T667" s="12"/>
      <c r="U667" s="4"/>
      <c r="V667" s="4"/>
      <c r="X667" s="4"/>
      <c r="Y667" s="4"/>
    </row>
    <row r="668" spans="20:25" x14ac:dyDescent="0.3">
      <c r="T668" s="12"/>
      <c r="U668" s="4"/>
      <c r="V668" s="4"/>
      <c r="X668" s="4"/>
      <c r="Y668" s="4"/>
    </row>
    <row r="669" spans="20:25" x14ac:dyDescent="0.3">
      <c r="T669" s="12"/>
      <c r="U669" s="4"/>
      <c r="V669" s="4"/>
      <c r="X669" s="4"/>
      <c r="Y669" s="4"/>
    </row>
    <row r="670" spans="20:25" x14ac:dyDescent="0.3">
      <c r="T670" s="12"/>
      <c r="U670" s="4"/>
      <c r="V670" s="4"/>
      <c r="X670" s="4"/>
      <c r="Y670" s="4"/>
    </row>
    <row r="671" spans="20:25" x14ac:dyDescent="0.3">
      <c r="T671" s="12"/>
      <c r="U671" s="4"/>
      <c r="V671" s="4"/>
      <c r="X671" s="4"/>
      <c r="Y671" s="4"/>
    </row>
    <row r="672" spans="20:25" x14ac:dyDescent="0.3">
      <c r="T672" s="12"/>
      <c r="U672" s="4"/>
      <c r="V672" s="4"/>
      <c r="X672" s="4"/>
      <c r="Y672" s="4"/>
    </row>
    <row r="673" spans="20:25" x14ac:dyDescent="0.3">
      <c r="T673" s="12"/>
      <c r="U673" s="4"/>
      <c r="V673" s="4"/>
      <c r="X673" s="4"/>
      <c r="Y673" s="4"/>
    </row>
    <row r="674" spans="20:25" x14ac:dyDescent="0.3">
      <c r="T674" s="12"/>
      <c r="U674" s="4"/>
      <c r="V674" s="4"/>
      <c r="X674" s="4"/>
      <c r="Y674" s="4"/>
    </row>
    <row r="675" spans="20:25" x14ac:dyDescent="0.3">
      <c r="T675" s="12"/>
      <c r="U675" s="4"/>
      <c r="V675" s="4"/>
      <c r="X675" s="4"/>
      <c r="Y675" s="4"/>
    </row>
    <row r="676" spans="20:25" x14ac:dyDescent="0.3">
      <c r="T676" s="12"/>
      <c r="U676" s="4"/>
      <c r="V676" s="4"/>
      <c r="X676" s="4"/>
      <c r="Y676" s="4"/>
    </row>
    <row r="677" spans="20:25" x14ac:dyDescent="0.3">
      <c r="T677" s="12"/>
      <c r="U677" s="4"/>
      <c r="V677" s="4"/>
      <c r="X677" s="4"/>
      <c r="Y677" s="4"/>
    </row>
    <row r="678" spans="20:25" x14ac:dyDescent="0.3">
      <c r="T678" s="12"/>
      <c r="U678" s="4"/>
      <c r="V678" s="4"/>
      <c r="X678" s="4"/>
      <c r="Y678" s="4"/>
    </row>
    <row r="679" spans="20:25" x14ac:dyDescent="0.3">
      <c r="T679" s="12"/>
      <c r="U679" s="4"/>
      <c r="V679" s="4"/>
      <c r="X679" s="4"/>
      <c r="Y679" s="4"/>
    </row>
    <row r="680" spans="20:25" x14ac:dyDescent="0.3">
      <c r="T680" s="12"/>
      <c r="U680" s="4"/>
      <c r="V680" s="4"/>
      <c r="X680" s="4"/>
      <c r="Y680" s="4"/>
    </row>
    <row r="681" spans="20:25" x14ac:dyDescent="0.3">
      <c r="T681" s="12"/>
      <c r="U681" s="4"/>
      <c r="V681" s="4"/>
      <c r="X681" s="4"/>
      <c r="Y681" s="4"/>
    </row>
    <row r="682" spans="20:25" x14ac:dyDescent="0.3">
      <c r="T682" s="12"/>
      <c r="U682" s="4"/>
      <c r="V682" s="4"/>
      <c r="X682" s="4"/>
      <c r="Y682" s="4"/>
    </row>
    <row r="683" spans="20:25" x14ac:dyDescent="0.3">
      <c r="T683" s="12"/>
      <c r="U683" s="4"/>
      <c r="V683" s="4"/>
      <c r="X683" s="4"/>
      <c r="Y683" s="4"/>
    </row>
    <row r="684" spans="20:25" x14ac:dyDescent="0.3">
      <c r="T684" s="12"/>
      <c r="U684" s="4"/>
      <c r="V684" s="4"/>
      <c r="X684" s="4"/>
      <c r="Y684" s="4"/>
    </row>
    <row r="685" spans="20:25" x14ac:dyDescent="0.3">
      <c r="T685" s="12"/>
      <c r="U685" s="4"/>
      <c r="V685" s="4"/>
      <c r="X685" s="4"/>
      <c r="Y685" s="4"/>
    </row>
    <row r="686" spans="20:25" x14ac:dyDescent="0.3">
      <c r="T686" s="12"/>
      <c r="U686" s="4"/>
      <c r="V686" s="4"/>
      <c r="X686" s="4"/>
      <c r="Y686" s="4"/>
    </row>
    <row r="687" spans="20:25" x14ac:dyDescent="0.3">
      <c r="T687" s="12"/>
      <c r="U687" s="4"/>
      <c r="V687" s="4"/>
      <c r="X687" s="4"/>
      <c r="Y687" s="4"/>
    </row>
    <row r="688" spans="20:25" x14ac:dyDescent="0.3">
      <c r="T688" s="12"/>
      <c r="U688" s="4"/>
      <c r="V688" s="4"/>
      <c r="X688" s="4"/>
      <c r="Y688" s="4"/>
    </row>
    <row r="689" spans="20:25" x14ac:dyDescent="0.3">
      <c r="T689" s="12"/>
      <c r="U689" s="4"/>
      <c r="V689" s="4"/>
      <c r="X689" s="4"/>
      <c r="Y689" s="4"/>
    </row>
    <row r="690" spans="20:25" x14ac:dyDescent="0.3">
      <c r="T690" s="12"/>
      <c r="U690" s="4"/>
      <c r="V690" s="4"/>
      <c r="X690" s="4"/>
      <c r="Y690" s="4"/>
    </row>
    <row r="691" spans="20:25" x14ac:dyDescent="0.3">
      <c r="T691" s="12"/>
      <c r="U691" s="4"/>
      <c r="V691" s="4"/>
      <c r="X691" s="4"/>
      <c r="Y691" s="4"/>
    </row>
    <row r="692" spans="20:25" x14ac:dyDescent="0.3">
      <c r="T692" s="12"/>
      <c r="U692" s="4"/>
      <c r="V692" s="4"/>
      <c r="X692" s="4"/>
      <c r="Y692" s="4"/>
    </row>
    <row r="693" spans="20:25" x14ac:dyDescent="0.3">
      <c r="T693" s="12"/>
      <c r="U693" s="4"/>
      <c r="V693" s="4"/>
      <c r="X693" s="4"/>
      <c r="Y693" s="4"/>
    </row>
    <row r="694" spans="20:25" x14ac:dyDescent="0.3">
      <c r="T694" s="12"/>
      <c r="U694" s="4"/>
      <c r="V694" s="4"/>
      <c r="X694" s="4"/>
      <c r="Y694" s="4"/>
    </row>
    <row r="695" spans="20:25" x14ac:dyDescent="0.3">
      <c r="T695" s="12"/>
      <c r="U695" s="4"/>
      <c r="V695" s="4"/>
      <c r="X695" s="4"/>
      <c r="Y695" s="4"/>
    </row>
    <row r="696" spans="20:25" x14ac:dyDescent="0.3">
      <c r="T696" s="12"/>
      <c r="U696" s="4"/>
      <c r="V696" s="4"/>
      <c r="X696" s="4"/>
      <c r="Y696" s="4"/>
    </row>
    <row r="697" spans="20:25" x14ac:dyDescent="0.3">
      <c r="T697" s="12"/>
      <c r="U697" s="4"/>
      <c r="V697" s="4"/>
      <c r="X697" s="4"/>
      <c r="Y697" s="4"/>
    </row>
    <row r="698" spans="20:25" x14ac:dyDescent="0.3">
      <c r="T698" s="12"/>
      <c r="U698" s="4"/>
      <c r="V698" s="4"/>
      <c r="X698" s="4"/>
      <c r="Y698" s="4"/>
    </row>
    <row r="699" spans="20:25" x14ac:dyDescent="0.3">
      <c r="T699" s="12"/>
      <c r="U699" s="4"/>
      <c r="V699" s="4"/>
      <c r="X699" s="4"/>
      <c r="Y699" s="4"/>
    </row>
    <row r="700" spans="20:25" x14ac:dyDescent="0.3">
      <c r="T700" s="12"/>
      <c r="U700" s="4"/>
      <c r="V700" s="4"/>
      <c r="X700" s="4"/>
      <c r="Y700" s="4"/>
    </row>
    <row r="701" spans="20:25" x14ac:dyDescent="0.3">
      <c r="T701" s="12"/>
      <c r="U701" s="4"/>
      <c r="V701" s="4"/>
      <c r="X701" s="4"/>
      <c r="Y701" s="4"/>
    </row>
    <row r="702" spans="20:25" x14ac:dyDescent="0.3">
      <c r="T702" s="12"/>
      <c r="U702" s="4"/>
      <c r="V702" s="4"/>
      <c r="X702" s="4"/>
      <c r="Y702" s="4"/>
    </row>
    <row r="703" spans="20:25" x14ac:dyDescent="0.3">
      <c r="T703" s="12"/>
      <c r="U703" s="4"/>
      <c r="V703" s="4"/>
      <c r="X703" s="4"/>
      <c r="Y703" s="4"/>
    </row>
    <row r="704" spans="20:25" x14ac:dyDescent="0.3">
      <c r="T704" s="12"/>
      <c r="U704" s="4"/>
      <c r="V704" s="4"/>
      <c r="X704" s="4"/>
      <c r="Y704" s="4"/>
    </row>
    <row r="705" spans="20:25" x14ac:dyDescent="0.3">
      <c r="T705" s="12"/>
      <c r="U705" s="4"/>
      <c r="V705" s="4"/>
      <c r="X705" s="4"/>
      <c r="Y705" s="4"/>
    </row>
    <row r="706" spans="20:25" x14ac:dyDescent="0.3">
      <c r="T706" s="12"/>
      <c r="U706" s="4"/>
      <c r="V706" s="4"/>
      <c r="X706" s="4"/>
      <c r="Y706" s="4"/>
    </row>
    <row r="707" spans="20:25" x14ac:dyDescent="0.3">
      <c r="T707" s="12"/>
      <c r="U707" s="4"/>
      <c r="V707" s="4"/>
      <c r="X707" s="4"/>
      <c r="Y707" s="4"/>
    </row>
    <row r="708" spans="20:25" x14ac:dyDescent="0.3">
      <c r="T708" s="12"/>
      <c r="U708" s="4"/>
      <c r="V708" s="4"/>
      <c r="X708" s="4"/>
      <c r="Y708" s="4"/>
    </row>
    <row r="709" spans="20:25" x14ac:dyDescent="0.3">
      <c r="T709" s="12"/>
      <c r="U709" s="4"/>
      <c r="V709" s="4"/>
      <c r="X709" s="4"/>
      <c r="Y709" s="4"/>
    </row>
    <row r="710" spans="20:25" x14ac:dyDescent="0.3">
      <c r="T710" s="12"/>
      <c r="U710" s="4"/>
      <c r="V710" s="4"/>
      <c r="X710" s="4"/>
      <c r="Y710" s="4"/>
    </row>
    <row r="711" spans="20:25" x14ac:dyDescent="0.3">
      <c r="T711" s="12"/>
      <c r="U711" s="4"/>
      <c r="V711" s="4"/>
      <c r="X711" s="4"/>
      <c r="Y711" s="4"/>
    </row>
    <row r="712" spans="20:25" x14ac:dyDescent="0.3">
      <c r="T712" s="12"/>
      <c r="U712" s="4"/>
      <c r="V712" s="4"/>
      <c r="X712" s="4"/>
      <c r="Y712" s="4"/>
    </row>
    <row r="713" spans="20:25" x14ac:dyDescent="0.3">
      <c r="T713" s="12"/>
      <c r="U713" s="4"/>
      <c r="V713" s="4"/>
      <c r="X713" s="4"/>
      <c r="Y713" s="4"/>
    </row>
    <row r="714" spans="20:25" x14ac:dyDescent="0.3">
      <c r="T714" s="12"/>
      <c r="U714" s="4"/>
      <c r="V714" s="4"/>
      <c r="X714" s="4"/>
      <c r="Y714" s="4"/>
    </row>
    <row r="715" spans="20:25" x14ac:dyDescent="0.3">
      <c r="T715" s="12"/>
      <c r="U715" s="4"/>
      <c r="V715" s="4"/>
      <c r="X715" s="4"/>
      <c r="Y715" s="4"/>
    </row>
    <row r="716" spans="20:25" x14ac:dyDescent="0.3">
      <c r="T716" s="12"/>
      <c r="U716" s="4"/>
      <c r="V716" s="4"/>
      <c r="X716" s="4"/>
      <c r="Y716" s="4"/>
    </row>
    <row r="717" spans="20:25" x14ac:dyDescent="0.3">
      <c r="T717" s="12"/>
      <c r="U717" s="4"/>
      <c r="V717" s="4"/>
      <c r="X717" s="4"/>
      <c r="Y717" s="4"/>
    </row>
    <row r="718" spans="20:25" x14ac:dyDescent="0.3">
      <c r="T718" s="12"/>
      <c r="U718" s="4"/>
      <c r="V718" s="4"/>
      <c r="X718" s="4"/>
      <c r="Y718" s="4"/>
    </row>
    <row r="719" spans="20:25" x14ac:dyDescent="0.3">
      <c r="T719" s="12"/>
      <c r="U719" s="4"/>
      <c r="V719" s="4"/>
      <c r="X719" s="4"/>
      <c r="Y719" s="4"/>
    </row>
    <row r="720" spans="20:25" x14ac:dyDescent="0.3">
      <c r="T720" s="12"/>
      <c r="U720" s="4"/>
      <c r="V720" s="4"/>
      <c r="X720" s="4"/>
      <c r="Y720" s="4"/>
    </row>
    <row r="721" spans="20:25" x14ac:dyDescent="0.3">
      <c r="T721" s="12"/>
      <c r="U721" s="4"/>
      <c r="V721" s="4"/>
      <c r="X721" s="4"/>
      <c r="Y721" s="4"/>
    </row>
    <row r="722" spans="20:25" x14ac:dyDescent="0.3">
      <c r="T722" s="12"/>
      <c r="U722" s="4"/>
      <c r="V722" s="4"/>
      <c r="X722" s="4"/>
      <c r="Y722" s="4"/>
    </row>
    <row r="723" spans="20:25" x14ac:dyDescent="0.3">
      <c r="T723" s="12"/>
      <c r="U723" s="4"/>
      <c r="V723" s="4"/>
      <c r="X723" s="4"/>
      <c r="Y723" s="4"/>
    </row>
    <row r="724" spans="20:25" x14ac:dyDescent="0.3">
      <c r="T724" s="12"/>
      <c r="U724" s="4"/>
      <c r="V724" s="4"/>
      <c r="X724" s="4"/>
      <c r="Y724" s="4"/>
    </row>
    <row r="725" spans="20:25" x14ac:dyDescent="0.3">
      <c r="T725" s="12"/>
      <c r="U725" s="4"/>
      <c r="V725" s="4"/>
      <c r="X725" s="4"/>
      <c r="Y725" s="4"/>
    </row>
    <row r="726" spans="20:25" x14ac:dyDescent="0.3">
      <c r="T726" s="12"/>
      <c r="U726" s="4"/>
      <c r="V726" s="4"/>
      <c r="X726" s="4"/>
      <c r="Y726" s="4"/>
    </row>
    <row r="727" spans="20:25" x14ac:dyDescent="0.3">
      <c r="T727" s="12"/>
      <c r="U727" s="4"/>
      <c r="V727" s="4"/>
      <c r="X727" s="4"/>
      <c r="Y727" s="4"/>
    </row>
    <row r="728" spans="20:25" x14ac:dyDescent="0.3">
      <c r="T728" s="12"/>
      <c r="U728" s="4"/>
      <c r="V728" s="4"/>
      <c r="X728" s="4"/>
      <c r="Y728" s="4"/>
    </row>
    <row r="729" spans="20:25" x14ac:dyDescent="0.3">
      <c r="T729" s="12"/>
      <c r="U729" s="4"/>
      <c r="V729" s="4"/>
      <c r="X729" s="4"/>
      <c r="Y729" s="4"/>
    </row>
    <row r="730" spans="20:25" x14ac:dyDescent="0.3">
      <c r="T730" s="12"/>
      <c r="U730" s="4"/>
      <c r="V730" s="4"/>
      <c r="X730" s="4"/>
      <c r="Y730" s="4"/>
    </row>
    <row r="731" spans="20:25" x14ac:dyDescent="0.3">
      <c r="T731" s="12"/>
      <c r="U731" s="4"/>
      <c r="V731" s="4"/>
      <c r="X731" s="4"/>
      <c r="Y731" s="4"/>
    </row>
    <row r="732" spans="20:25" x14ac:dyDescent="0.3">
      <c r="T732" s="12"/>
      <c r="U732" s="4"/>
      <c r="V732" s="4"/>
      <c r="X732" s="4"/>
      <c r="Y732" s="4"/>
    </row>
    <row r="733" spans="20:25" x14ac:dyDescent="0.3">
      <c r="T733" s="12"/>
      <c r="U733" s="4"/>
      <c r="V733" s="4"/>
      <c r="X733" s="4"/>
      <c r="Y733" s="4"/>
    </row>
    <row r="734" spans="20:25" x14ac:dyDescent="0.3">
      <c r="T734" s="12"/>
      <c r="U734" s="4"/>
      <c r="V734" s="4"/>
      <c r="X734" s="4"/>
      <c r="Y734" s="4"/>
    </row>
    <row r="735" spans="20:25" x14ac:dyDescent="0.3">
      <c r="T735" s="12"/>
      <c r="U735" s="4"/>
      <c r="V735" s="4"/>
      <c r="X735" s="4"/>
      <c r="Y735" s="4"/>
    </row>
    <row r="736" spans="20:25" x14ac:dyDescent="0.3">
      <c r="T736" s="12"/>
      <c r="U736" s="4"/>
      <c r="V736" s="4"/>
      <c r="X736" s="4"/>
      <c r="Y736" s="4"/>
    </row>
    <row r="737" spans="20:25" x14ac:dyDescent="0.3">
      <c r="T737" s="12"/>
      <c r="U737" s="4"/>
      <c r="V737" s="4"/>
      <c r="X737" s="4"/>
      <c r="Y737" s="4"/>
    </row>
    <row r="738" spans="20:25" x14ac:dyDescent="0.3">
      <c r="T738" s="12"/>
      <c r="U738" s="4"/>
      <c r="V738" s="4"/>
      <c r="X738" s="4"/>
      <c r="Y738" s="4"/>
    </row>
    <row r="739" spans="20:25" x14ac:dyDescent="0.3">
      <c r="T739" s="12"/>
      <c r="U739" s="4"/>
      <c r="V739" s="4"/>
      <c r="X739" s="4"/>
      <c r="Y739" s="4"/>
    </row>
    <row r="740" spans="20:25" x14ac:dyDescent="0.3">
      <c r="T740" s="12"/>
      <c r="U740" s="4"/>
      <c r="V740" s="4"/>
      <c r="X740" s="4"/>
      <c r="Y740" s="4"/>
    </row>
    <row r="741" spans="20:25" x14ac:dyDescent="0.3">
      <c r="T741" s="12"/>
      <c r="U741" s="4"/>
      <c r="V741" s="4"/>
      <c r="X741" s="4"/>
      <c r="Y741" s="4"/>
    </row>
    <row r="742" spans="20:25" x14ac:dyDescent="0.3">
      <c r="T742" s="12"/>
      <c r="U742" s="4"/>
      <c r="V742" s="4"/>
      <c r="X742" s="4"/>
      <c r="Y742" s="4"/>
    </row>
    <row r="743" spans="20:25" x14ac:dyDescent="0.3">
      <c r="T743" s="12"/>
      <c r="U743" s="4"/>
      <c r="V743" s="4"/>
      <c r="X743" s="4"/>
      <c r="Y743" s="4"/>
    </row>
    <row r="744" spans="20:25" x14ac:dyDescent="0.3">
      <c r="T744" s="12"/>
      <c r="U744" s="4"/>
      <c r="V744" s="4"/>
      <c r="X744" s="4"/>
      <c r="Y744" s="4"/>
    </row>
    <row r="745" spans="20:25" x14ac:dyDescent="0.3">
      <c r="T745" s="12"/>
      <c r="U745" s="4"/>
      <c r="V745" s="4"/>
      <c r="X745" s="4"/>
      <c r="Y745" s="4"/>
    </row>
    <row r="746" spans="20:25" x14ac:dyDescent="0.3">
      <c r="T746" s="12"/>
      <c r="U746" s="4"/>
      <c r="V746" s="4"/>
      <c r="X746" s="4"/>
      <c r="Y746" s="4"/>
    </row>
    <row r="747" spans="20:25" x14ac:dyDescent="0.3">
      <c r="T747" s="12"/>
      <c r="U747" s="4"/>
      <c r="V747" s="4"/>
      <c r="X747" s="4"/>
      <c r="Y747" s="4"/>
    </row>
    <row r="748" spans="20:25" x14ac:dyDescent="0.3">
      <c r="T748" s="12"/>
      <c r="U748" s="4"/>
      <c r="V748" s="4"/>
      <c r="X748" s="4"/>
      <c r="Y748" s="4"/>
    </row>
    <row r="749" spans="20:25" x14ac:dyDescent="0.3">
      <c r="T749" s="12"/>
      <c r="U749" s="4"/>
      <c r="V749" s="4"/>
      <c r="X749" s="4"/>
      <c r="Y749" s="4"/>
    </row>
    <row r="750" spans="20:25" x14ac:dyDescent="0.3">
      <c r="T750" s="12"/>
      <c r="U750" s="4"/>
      <c r="V750" s="4"/>
      <c r="X750" s="4"/>
      <c r="Y750" s="4"/>
    </row>
    <row r="751" spans="20:25" x14ac:dyDescent="0.3">
      <c r="T751" s="12"/>
      <c r="U751" s="4"/>
      <c r="V751" s="4"/>
      <c r="X751" s="4"/>
      <c r="Y751" s="4"/>
    </row>
    <row r="752" spans="20:25" x14ac:dyDescent="0.3">
      <c r="T752" s="12"/>
      <c r="U752" s="4"/>
      <c r="V752" s="4"/>
      <c r="X752" s="4"/>
      <c r="Y752" s="4"/>
    </row>
    <row r="753" spans="20:25" x14ac:dyDescent="0.3">
      <c r="T753" s="12"/>
      <c r="U753" s="4"/>
      <c r="V753" s="4"/>
      <c r="X753" s="4"/>
      <c r="Y753" s="4"/>
    </row>
    <row r="754" spans="20:25" x14ac:dyDescent="0.3">
      <c r="T754" s="12"/>
      <c r="U754" s="4"/>
      <c r="V754" s="4"/>
      <c r="X754" s="4"/>
      <c r="Y754" s="4"/>
    </row>
    <row r="755" spans="20:25" x14ac:dyDescent="0.3">
      <c r="T755" s="12"/>
      <c r="U755" s="4"/>
      <c r="V755" s="4"/>
      <c r="X755" s="4"/>
      <c r="Y755" s="4"/>
    </row>
    <row r="756" spans="20:25" x14ac:dyDescent="0.3">
      <c r="T756" s="12"/>
      <c r="U756" s="4"/>
      <c r="V756" s="4"/>
      <c r="X756" s="4"/>
      <c r="Y756" s="4"/>
    </row>
    <row r="757" spans="20:25" x14ac:dyDescent="0.3">
      <c r="T757" s="12"/>
      <c r="U757" s="4"/>
      <c r="V757" s="4"/>
      <c r="X757" s="4"/>
      <c r="Y757" s="4"/>
    </row>
    <row r="758" spans="20:25" x14ac:dyDescent="0.3">
      <c r="T758" s="12"/>
      <c r="U758" s="4"/>
      <c r="V758" s="4"/>
      <c r="X758" s="4"/>
      <c r="Y758" s="4"/>
    </row>
    <row r="759" spans="20:25" x14ac:dyDescent="0.3">
      <c r="T759" s="12"/>
      <c r="U759" s="4"/>
      <c r="V759" s="4"/>
      <c r="X759" s="4"/>
      <c r="Y759" s="4"/>
    </row>
    <row r="760" spans="20:25" x14ac:dyDescent="0.3">
      <c r="T760" s="12"/>
      <c r="U760" s="4"/>
      <c r="V760" s="4"/>
      <c r="X760" s="4"/>
      <c r="Y760" s="4"/>
    </row>
    <row r="761" spans="20:25" x14ac:dyDescent="0.3">
      <c r="T761" s="12"/>
      <c r="U761" s="4"/>
      <c r="V761" s="4"/>
      <c r="X761" s="4"/>
      <c r="Y761" s="4"/>
    </row>
    <row r="762" spans="20:25" x14ac:dyDescent="0.3">
      <c r="T762" s="12"/>
      <c r="U762" s="4"/>
      <c r="V762" s="4"/>
      <c r="X762" s="4"/>
      <c r="Y762" s="4"/>
    </row>
    <row r="763" spans="20:25" x14ac:dyDescent="0.3">
      <c r="T763" s="12"/>
      <c r="U763" s="4"/>
      <c r="V763" s="4"/>
      <c r="X763" s="4"/>
      <c r="Y763" s="4"/>
    </row>
    <row r="764" spans="20:25" x14ac:dyDescent="0.3">
      <c r="T764" s="12"/>
      <c r="U764" s="4"/>
      <c r="V764" s="4"/>
      <c r="X764" s="4"/>
      <c r="Y764" s="4"/>
    </row>
    <row r="765" spans="20:25" x14ac:dyDescent="0.3">
      <c r="T765" s="12"/>
      <c r="U765" s="4"/>
      <c r="V765" s="4"/>
      <c r="X765" s="4"/>
      <c r="Y765" s="4"/>
    </row>
    <row r="766" spans="20:25" x14ac:dyDescent="0.3">
      <c r="T766" s="12"/>
      <c r="U766" s="4"/>
      <c r="V766" s="4"/>
      <c r="X766" s="4"/>
      <c r="Y766" s="4"/>
    </row>
    <row r="767" spans="20:25" x14ac:dyDescent="0.3">
      <c r="T767" s="12"/>
      <c r="U767" s="4"/>
      <c r="V767" s="4"/>
      <c r="X767" s="4"/>
      <c r="Y767" s="4"/>
    </row>
    <row r="768" spans="20:25" x14ac:dyDescent="0.3">
      <c r="T768" s="12"/>
      <c r="U768" s="4"/>
      <c r="V768" s="4"/>
      <c r="X768" s="4"/>
      <c r="Y768" s="4"/>
    </row>
    <row r="769" spans="20:25" x14ac:dyDescent="0.3">
      <c r="T769" s="12"/>
      <c r="U769" s="4"/>
      <c r="V769" s="4"/>
      <c r="X769" s="4"/>
      <c r="Y769" s="4"/>
    </row>
    <row r="770" spans="20:25" x14ac:dyDescent="0.3">
      <c r="T770" s="12"/>
      <c r="U770" s="4"/>
      <c r="V770" s="4"/>
      <c r="X770" s="4"/>
      <c r="Y770" s="4"/>
    </row>
    <row r="771" spans="20:25" x14ac:dyDescent="0.3">
      <c r="T771" s="12"/>
      <c r="U771" s="4"/>
      <c r="V771" s="4"/>
      <c r="X771" s="4"/>
      <c r="Y771" s="4"/>
    </row>
    <row r="772" spans="20:25" x14ac:dyDescent="0.3">
      <c r="T772" s="12"/>
      <c r="U772" s="4"/>
      <c r="V772" s="4"/>
      <c r="X772" s="4"/>
      <c r="Y772" s="4"/>
    </row>
    <row r="773" spans="20:25" x14ac:dyDescent="0.3">
      <c r="T773" s="12"/>
      <c r="U773" s="4"/>
      <c r="V773" s="4"/>
      <c r="X773" s="4"/>
      <c r="Y773" s="4"/>
    </row>
    <row r="774" spans="20:25" x14ac:dyDescent="0.3">
      <c r="T774" s="12"/>
      <c r="U774" s="4"/>
      <c r="V774" s="4"/>
      <c r="X774" s="4"/>
      <c r="Y774" s="4"/>
    </row>
    <row r="775" spans="20:25" x14ac:dyDescent="0.3">
      <c r="T775" s="12"/>
      <c r="U775" s="4"/>
      <c r="V775" s="4"/>
      <c r="X775" s="4"/>
      <c r="Y775" s="4"/>
    </row>
    <row r="776" spans="20:25" x14ac:dyDescent="0.3">
      <c r="T776" s="12"/>
      <c r="U776" s="4"/>
      <c r="V776" s="4"/>
      <c r="X776" s="4"/>
      <c r="Y776" s="4"/>
    </row>
    <row r="777" spans="20:25" x14ac:dyDescent="0.3">
      <c r="T777" s="12"/>
      <c r="U777" s="4"/>
      <c r="V777" s="4"/>
      <c r="X777" s="4"/>
      <c r="Y777" s="4"/>
    </row>
    <row r="778" spans="20:25" x14ac:dyDescent="0.3">
      <c r="T778" s="12"/>
      <c r="U778" s="4"/>
      <c r="V778" s="4"/>
      <c r="X778" s="4"/>
      <c r="Y778" s="4"/>
    </row>
    <row r="779" spans="20:25" x14ac:dyDescent="0.3">
      <c r="T779" s="12"/>
      <c r="U779" s="4"/>
      <c r="V779" s="4"/>
      <c r="X779" s="4"/>
      <c r="Y779" s="4"/>
    </row>
    <row r="780" spans="20:25" x14ac:dyDescent="0.3">
      <c r="T780" s="12"/>
      <c r="U780" s="4"/>
      <c r="V780" s="4"/>
      <c r="X780" s="4"/>
      <c r="Y780" s="4"/>
    </row>
    <row r="781" spans="20:25" x14ac:dyDescent="0.3">
      <c r="T781" s="12"/>
      <c r="U781" s="4"/>
      <c r="V781" s="4"/>
      <c r="X781" s="4"/>
      <c r="Y781" s="4"/>
    </row>
    <row r="782" spans="20:25" x14ac:dyDescent="0.3">
      <c r="T782" s="12"/>
      <c r="U782" s="4"/>
      <c r="V782" s="4"/>
      <c r="X782" s="4"/>
      <c r="Y782" s="4"/>
    </row>
    <row r="783" spans="20:25" x14ac:dyDescent="0.3">
      <c r="T783" s="12"/>
      <c r="U783" s="4"/>
      <c r="V783" s="4"/>
      <c r="X783" s="4"/>
      <c r="Y783" s="4"/>
    </row>
    <row r="784" spans="20:25" x14ac:dyDescent="0.3">
      <c r="T784" s="12"/>
      <c r="U784" s="4"/>
      <c r="V784" s="4"/>
      <c r="X784" s="4"/>
      <c r="Y784" s="4"/>
    </row>
    <row r="785" spans="20:25" x14ac:dyDescent="0.3">
      <c r="T785" s="12"/>
      <c r="U785" s="4"/>
      <c r="V785" s="4"/>
      <c r="X785" s="4"/>
      <c r="Y785" s="4"/>
    </row>
    <row r="786" spans="20:25" x14ac:dyDescent="0.3">
      <c r="T786" s="12"/>
      <c r="U786" s="4"/>
      <c r="V786" s="4"/>
      <c r="X786" s="4"/>
      <c r="Y786" s="4"/>
    </row>
    <row r="787" spans="20:25" x14ac:dyDescent="0.3">
      <c r="T787" s="12"/>
      <c r="U787" s="4"/>
      <c r="V787" s="4"/>
      <c r="X787" s="4"/>
      <c r="Y787" s="4"/>
    </row>
    <row r="788" spans="20:25" x14ac:dyDescent="0.3">
      <c r="T788" s="12"/>
      <c r="U788" s="4"/>
      <c r="V788" s="4"/>
      <c r="X788" s="4"/>
      <c r="Y788" s="4"/>
    </row>
    <row r="789" spans="20:25" x14ac:dyDescent="0.3">
      <c r="T789" s="12"/>
      <c r="U789" s="4"/>
      <c r="V789" s="4"/>
      <c r="X789" s="4"/>
      <c r="Y789" s="4"/>
    </row>
    <row r="790" spans="20:25" x14ac:dyDescent="0.3">
      <c r="T790" s="12"/>
      <c r="U790" s="4"/>
      <c r="V790" s="4"/>
      <c r="X790" s="4"/>
      <c r="Y790" s="4"/>
    </row>
    <row r="791" spans="20:25" x14ac:dyDescent="0.3">
      <c r="T791" s="12"/>
      <c r="U791" s="4"/>
      <c r="V791" s="4"/>
      <c r="X791" s="4"/>
      <c r="Y791" s="4"/>
    </row>
    <row r="792" spans="20:25" x14ac:dyDescent="0.3">
      <c r="T792" s="12"/>
      <c r="U792" s="4"/>
      <c r="V792" s="4"/>
      <c r="X792" s="4"/>
      <c r="Y792" s="4"/>
    </row>
    <row r="793" spans="20:25" x14ac:dyDescent="0.3">
      <c r="T793" s="12"/>
      <c r="U793" s="4"/>
      <c r="V793" s="4"/>
      <c r="X793" s="4"/>
      <c r="Y793" s="4"/>
    </row>
    <row r="794" spans="20:25" x14ac:dyDescent="0.3">
      <c r="T794" s="12"/>
      <c r="U794" s="4"/>
      <c r="V794" s="4"/>
      <c r="X794" s="4"/>
      <c r="Y794" s="4"/>
    </row>
    <row r="795" spans="20:25" x14ac:dyDescent="0.3">
      <c r="T795" s="12"/>
      <c r="U795" s="4"/>
      <c r="V795" s="4"/>
      <c r="X795" s="4"/>
      <c r="Y795" s="4"/>
    </row>
    <row r="796" spans="20:25" x14ac:dyDescent="0.3">
      <c r="T796" s="12"/>
      <c r="U796" s="4"/>
      <c r="V796" s="4"/>
      <c r="X796" s="4"/>
      <c r="Y796" s="4"/>
    </row>
    <row r="797" spans="20:25" x14ac:dyDescent="0.3">
      <c r="T797" s="12"/>
      <c r="U797" s="4"/>
      <c r="V797" s="4"/>
      <c r="X797" s="4"/>
      <c r="Y797" s="4"/>
    </row>
    <row r="798" spans="20:25" x14ac:dyDescent="0.3">
      <c r="T798" s="12"/>
      <c r="U798" s="4"/>
      <c r="V798" s="4"/>
      <c r="X798" s="4"/>
      <c r="Y798" s="4"/>
    </row>
    <row r="799" spans="20:25" x14ac:dyDescent="0.3">
      <c r="T799" s="12"/>
      <c r="U799" s="4"/>
      <c r="V799" s="4"/>
      <c r="X799" s="4"/>
      <c r="Y799" s="4"/>
    </row>
    <row r="800" spans="20:25" x14ac:dyDescent="0.3">
      <c r="T800" s="12"/>
      <c r="U800" s="4"/>
      <c r="V800" s="4"/>
      <c r="X800" s="4"/>
      <c r="Y800" s="4"/>
    </row>
    <row r="801" spans="20:25" x14ac:dyDescent="0.3">
      <c r="T801" s="12"/>
      <c r="U801" s="4"/>
      <c r="V801" s="4"/>
      <c r="X801" s="4"/>
      <c r="Y801" s="4"/>
    </row>
    <row r="802" spans="20:25" x14ac:dyDescent="0.3">
      <c r="T802" s="12"/>
      <c r="U802" s="4"/>
      <c r="V802" s="4"/>
      <c r="X802" s="4"/>
      <c r="Y802" s="4"/>
    </row>
    <row r="803" spans="20:25" x14ac:dyDescent="0.3">
      <c r="T803" s="12"/>
      <c r="U803" s="4"/>
      <c r="V803" s="4"/>
      <c r="X803" s="4"/>
      <c r="Y803" s="4"/>
    </row>
    <row r="804" spans="20:25" x14ac:dyDescent="0.3">
      <c r="T804" s="12"/>
      <c r="U804" s="4"/>
      <c r="V804" s="4"/>
      <c r="X804" s="4"/>
      <c r="Y804" s="4"/>
    </row>
    <row r="805" spans="20:25" x14ac:dyDescent="0.3">
      <c r="T805" s="12"/>
      <c r="U805" s="4"/>
      <c r="V805" s="4"/>
      <c r="X805" s="4"/>
      <c r="Y805" s="4"/>
    </row>
    <row r="806" spans="20:25" x14ac:dyDescent="0.3">
      <c r="T806" s="12"/>
      <c r="U806" s="4"/>
      <c r="V806" s="4"/>
      <c r="X806" s="4"/>
      <c r="Y806" s="4"/>
    </row>
    <row r="807" spans="20:25" x14ac:dyDescent="0.3">
      <c r="T807" s="12"/>
      <c r="U807" s="4"/>
      <c r="V807" s="4"/>
      <c r="X807" s="4"/>
      <c r="Y807" s="4"/>
    </row>
    <row r="808" spans="20:25" x14ac:dyDescent="0.3">
      <c r="T808" s="12"/>
      <c r="U808" s="4"/>
      <c r="V808" s="4"/>
      <c r="X808" s="4"/>
      <c r="Y808" s="4"/>
    </row>
    <row r="809" spans="20:25" x14ac:dyDescent="0.3">
      <c r="T809" s="12"/>
      <c r="U809" s="4"/>
      <c r="V809" s="4"/>
      <c r="X809" s="4"/>
      <c r="Y809" s="4"/>
    </row>
    <row r="810" spans="20:25" x14ac:dyDescent="0.3">
      <c r="T810" s="12"/>
      <c r="U810" s="4"/>
      <c r="V810" s="4"/>
      <c r="X810" s="4"/>
      <c r="Y810" s="4"/>
    </row>
    <row r="811" spans="20:25" x14ac:dyDescent="0.3">
      <c r="T811" s="12"/>
      <c r="U811" s="4"/>
      <c r="V811" s="4"/>
      <c r="X811" s="4"/>
      <c r="Y811" s="4"/>
    </row>
    <row r="812" spans="20:25" x14ac:dyDescent="0.3">
      <c r="T812" s="12"/>
      <c r="U812" s="4"/>
      <c r="V812" s="4"/>
      <c r="X812" s="4"/>
      <c r="Y812" s="4"/>
    </row>
    <row r="813" spans="20:25" x14ac:dyDescent="0.3">
      <c r="T813" s="12"/>
      <c r="U813" s="4"/>
      <c r="V813" s="4"/>
      <c r="X813" s="4"/>
      <c r="Y813" s="4"/>
    </row>
    <row r="814" spans="20:25" x14ac:dyDescent="0.3">
      <c r="T814" s="12"/>
      <c r="U814" s="4"/>
      <c r="V814" s="4"/>
      <c r="X814" s="4"/>
      <c r="Y814" s="4"/>
    </row>
    <row r="815" spans="20:25" x14ac:dyDescent="0.3">
      <c r="T815" s="12"/>
      <c r="U815" s="4"/>
      <c r="V815" s="4"/>
      <c r="X815" s="4"/>
      <c r="Y815" s="4"/>
    </row>
    <row r="816" spans="20:25" x14ac:dyDescent="0.3">
      <c r="T816" s="12"/>
      <c r="U816" s="4"/>
      <c r="V816" s="4"/>
      <c r="X816" s="4"/>
      <c r="Y816" s="4"/>
    </row>
    <row r="817" spans="20:25" x14ac:dyDescent="0.3">
      <c r="T817" s="12"/>
      <c r="U817" s="4"/>
      <c r="V817" s="4"/>
      <c r="X817" s="4"/>
      <c r="Y817" s="4"/>
    </row>
    <row r="818" spans="20:25" x14ac:dyDescent="0.3">
      <c r="T818" s="12"/>
      <c r="U818" s="4"/>
      <c r="V818" s="4"/>
      <c r="X818" s="4"/>
      <c r="Y818" s="4"/>
    </row>
    <row r="819" spans="20:25" x14ac:dyDescent="0.3">
      <c r="T819" s="12"/>
      <c r="U819" s="4"/>
      <c r="V819" s="4"/>
      <c r="X819" s="4"/>
      <c r="Y819" s="4"/>
    </row>
    <row r="820" spans="20:25" x14ac:dyDescent="0.3">
      <c r="T820" s="12"/>
      <c r="U820" s="4"/>
      <c r="V820" s="4"/>
      <c r="X820" s="4"/>
      <c r="Y820" s="4"/>
    </row>
    <row r="821" spans="20:25" x14ac:dyDescent="0.3">
      <c r="T821" s="12"/>
      <c r="U821" s="4"/>
      <c r="V821" s="4"/>
      <c r="X821" s="4"/>
      <c r="Y821" s="4"/>
    </row>
    <row r="822" spans="20:25" x14ac:dyDescent="0.3">
      <c r="T822" s="12"/>
      <c r="U822" s="4"/>
      <c r="V822" s="4"/>
      <c r="X822" s="4"/>
      <c r="Y822" s="4"/>
    </row>
    <row r="823" spans="20:25" x14ac:dyDescent="0.3">
      <c r="T823" s="12"/>
      <c r="U823" s="4"/>
      <c r="V823" s="4"/>
      <c r="X823" s="4"/>
      <c r="Y823" s="4"/>
    </row>
    <row r="824" spans="20:25" x14ac:dyDescent="0.3">
      <c r="T824" s="12"/>
      <c r="U824" s="4"/>
      <c r="V824" s="4"/>
      <c r="X824" s="4"/>
      <c r="Y824" s="4"/>
    </row>
    <row r="825" spans="20:25" x14ac:dyDescent="0.3">
      <c r="T825" s="12"/>
      <c r="U825" s="4"/>
      <c r="V825" s="4"/>
      <c r="X825" s="4"/>
      <c r="Y825" s="4"/>
    </row>
    <row r="826" spans="20:25" x14ac:dyDescent="0.3">
      <c r="T826" s="12"/>
      <c r="U826" s="4"/>
      <c r="V826" s="4"/>
      <c r="X826" s="4"/>
      <c r="Y826" s="4"/>
    </row>
    <row r="827" spans="20:25" x14ac:dyDescent="0.3">
      <c r="T827" s="12"/>
      <c r="U827" s="4"/>
      <c r="V827" s="4"/>
      <c r="X827" s="4"/>
      <c r="Y827" s="4"/>
    </row>
    <row r="828" spans="20:25" x14ac:dyDescent="0.3">
      <c r="T828" s="12"/>
      <c r="U828" s="4"/>
      <c r="V828" s="4"/>
      <c r="X828" s="4"/>
      <c r="Y828" s="4"/>
    </row>
    <row r="829" spans="20:25" x14ac:dyDescent="0.3">
      <c r="T829" s="12"/>
      <c r="U829" s="4"/>
      <c r="V829" s="4"/>
      <c r="X829" s="4"/>
      <c r="Y829" s="4"/>
    </row>
    <row r="830" spans="20:25" x14ac:dyDescent="0.3">
      <c r="T830" s="12"/>
      <c r="U830" s="4"/>
      <c r="V830" s="4"/>
      <c r="X830" s="4"/>
      <c r="Y830" s="4"/>
    </row>
    <row r="831" spans="20:25" x14ac:dyDescent="0.3">
      <c r="T831" s="12"/>
      <c r="U831" s="4"/>
      <c r="V831" s="4"/>
      <c r="X831" s="4"/>
      <c r="Y831" s="4"/>
    </row>
    <row r="832" spans="20:25" x14ac:dyDescent="0.3">
      <c r="T832" s="12"/>
      <c r="U832" s="4"/>
      <c r="V832" s="4"/>
      <c r="X832" s="4"/>
      <c r="Y832" s="4"/>
    </row>
    <row r="833" spans="20:25" x14ac:dyDescent="0.3">
      <c r="T833" s="12"/>
      <c r="U833" s="4"/>
      <c r="V833" s="4"/>
      <c r="X833" s="4"/>
      <c r="Y833" s="4"/>
    </row>
    <row r="834" spans="20:25" x14ac:dyDescent="0.3">
      <c r="T834" s="12"/>
      <c r="U834" s="4"/>
      <c r="V834" s="4"/>
      <c r="X834" s="4"/>
      <c r="Y834" s="4"/>
    </row>
    <row r="835" spans="20:25" x14ac:dyDescent="0.3">
      <c r="T835" s="12"/>
      <c r="U835" s="4"/>
      <c r="V835" s="4"/>
      <c r="X835" s="4"/>
      <c r="Y835" s="4"/>
    </row>
    <row r="836" spans="20:25" x14ac:dyDescent="0.3">
      <c r="T836" s="12"/>
      <c r="U836" s="4"/>
      <c r="V836" s="4"/>
      <c r="X836" s="4"/>
      <c r="Y836" s="4"/>
    </row>
    <row r="837" spans="20:25" x14ac:dyDescent="0.3">
      <c r="T837" s="12"/>
      <c r="U837" s="4"/>
      <c r="V837" s="4"/>
      <c r="X837" s="4"/>
      <c r="Y837" s="4"/>
    </row>
    <row r="838" spans="20:25" x14ac:dyDescent="0.3">
      <c r="T838" s="12"/>
      <c r="U838" s="4"/>
      <c r="V838" s="4"/>
      <c r="X838" s="4"/>
      <c r="Y838" s="4"/>
    </row>
    <row r="839" spans="20:25" x14ac:dyDescent="0.3">
      <c r="T839" s="12"/>
      <c r="U839" s="4"/>
      <c r="V839" s="4"/>
      <c r="X839" s="4"/>
      <c r="Y839" s="4"/>
    </row>
    <row r="840" spans="20:25" x14ac:dyDescent="0.3">
      <c r="T840" s="12"/>
      <c r="U840" s="4"/>
      <c r="V840" s="4"/>
      <c r="X840" s="4"/>
      <c r="Y840" s="4"/>
    </row>
    <row r="841" spans="20:25" x14ac:dyDescent="0.3">
      <c r="T841" s="12"/>
      <c r="U841" s="4"/>
      <c r="V841" s="4"/>
      <c r="X841" s="4"/>
      <c r="Y841" s="4"/>
    </row>
    <row r="842" spans="20:25" x14ac:dyDescent="0.3">
      <c r="T842" s="12"/>
      <c r="U842" s="4"/>
      <c r="V842" s="4"/>
      <c r="X842" s="4"/>
      <c r="Y842" s="4"/>
    </row>
    <row r="843" spans="20:25" x14ac:dyDescent="0.3">
      <c r="T843" s="12"/>
      <c r="U843" s="4"/>
      <c r="V843" s="4"/>
      <c r="X843" s="4"/>
      <c r="Y843" s="4"/>
    </row>
    <row r="844" spans="20:25" x14ac:dyDescent="0.3">
      <c r="T844" s="12"/>
      <c r="U844" s="4"/>
      <c r="V844" s="4"/>
      <c r="X844" s="4"/>
      <c r="Y844" s="4"/>
    </row>
    <row r="845" spans="20:25" x14ac:dyDescent="0.3">
      <c r="T845" s="12"/>
      <c r="U845" s="4"/>
      <c r="V845" s="4"/>
      <c r="X845" s="4"/>
      <c r="Y845" s="4"/>
    </row>
    <row r="846" spans="20:25" x14ac:dyDescent="0.3">
      <c r="T846" s="12"/>
      <c r="U846" s="4"/>
      <c r="V846" s="4"/>
      <c r="X846" s="4"/>
      <c r="Y846" s="4"/>
    </row>
    <row r="847" spans="20:25" x14ac:dyDescent="0.3">
      <c r="T847" s="12"/>
      <c r="U847" s="4"/>
      <c r="V847" s="4"/>
      <c r="X847" s="4"/>
      <c r="Y847" s="4"/>
    </row>
    <row r="848" spans="20:25" x14ac:dyDescent="0.3">
      <c r="T848" s="12"/>
      <c r="U848" s="4"/>
      <c r="V848" s="4"/>
      <c r="X848" s="4"/>
      <c r="Y848" s="4"/>
    </row>
    <row r="849" spans="20:25" x14ac:dyDescent="0.3">
      <c r="T849" s="12"/>
      <c r="U849" s="4"/>
      <c r="V849" s="4"/>
      <c r="X849" s="4"/>
      <c r="Y849" s="4"/>
    </row>
    <row r="850" spans="20:25" x14ac:dyDescent="0.3">
      <c r="T850" s="12"/>
      <c r="U850" s="4"/>
      <c r="V850" s="4"/>
      <c r="X850" s="4"/>
      <c r="Y850" s="4"/>
    </row>
    <row r="851" spans="20:25" x14ac:dyDescent="0.3">
      <c r="T851" s="12"/>
      <c r="U851" s="4"/>
      <c r="V851" s="4"/>
      <c r="X851" s="4"/>
      <c r="Y851" s="4"/>
    </row>
    <row r="852" spans="20:25" x14ac:dyDescent="0.3">
      <c r="T852" s="12"/>
      <c r="U852" s="4"/>
      <c r="V852" s="4"/>
      <c r="X852" s="4"/>
      <c r="Y852" s="4"/>
    </row>
    <row r="853" spans="20:25" x14ac:dyDescent="0.3">
      <c r="T853" s="12"/>
      <c r="U853" s="4"/>
      <c r="V853" s="4"/>
      <c r="X853" s="4"/>
      <c r="Y853" s="4"/>
    </row>
    <row r="854" spans="20:25" x14ac:dyDescent="0.3">
      <c r="T854" s="12"/>
      <c r="U854" s="4"/>
      <c r="V854" s="4"/>
      <c r="X854" s="4"/>
      <c r="Y854" s="4"/>
    </row>
    <row r="855" spans="20:25" x14ac:dyDescent="0.3">
      <c r="T855" s="12"/>
      <c r="U855" s="4"/>
      <c r="V855" s="4"/>
      <c r="X855" s="4"/>
      <c r="Y855" s="4"/>
    </row>
    <row r="856" spans="20:25" x14ac:dyDescent="0.3">
      <c r="T856" s="12"/>
      <c r="U856" s="4"/>
      <c r="V856" s="4"/>
      <c r="X856" s="4"/>
      <c r="Y856" s="4"/>
    </row>
    <row r="857" spans="20:25" x14ac:dyDescent="0.3">
      <c r="T857" s="12"/>
      <c r="U857" s="4"/>
      <c r="V857" s="4"/>
      <c r="X857" s="4"/>
      <c r="Y857" s="4"/>
    </row>
    <row r="858" spans="20:25" x14ac:dyDescent="0.3">
      <c r="T858" s="12"/>
      <c r="U858" s="4"/>
      <c r="V858" s="4"/>
      <c r="X858" s="4"/>
      <c r="Y858" s="4"/>
    </row>
    <row r="859" spans="20:25" x14ac:dyDescent="0.3">
      <c r="T859" s="12"/>
      <c r="U859" s="4"/>
      <c r="V859" s="4"/>
      <c r="X859" s="4"/>
      <c r="Y859" s="4"/>
    </row>
    <row r="860" spans="20:25" x14ac:dyDescent="0.3">
      <c r="T860" s="12"/>
      <c r="U860" s="4"/>
      <c r="V860" s="4"/>
      <c r="X860" s="4"/>
      <c r="Y860" s="4"/>
    </row>
    <row r="861" spans="20:25" x14ac:dyDescent="0.3">
      <c r="T861" s="12"/>
      <c r="U861" s="4"/>
      <c r="V861" s="4"/>
      <c r="X861" s="4"/>
      <c r="Y861" s="4"/>
    </row>
    <row r="862" spans="20:25" x14ac:dyDescent="0.3">
      <c r="T862" s="12"/>
      <c r="U862" s="4"/>
      <c r="V862" s="4"/>
      <c r="X862" s="4"/>
      <c r="Y862" s="4"/>
    </row>
    <row r="863" spans="20:25" x14ac:dyDescent="0.3">
      <c r="T863" s="12"/>
      <c r="U863" s="4"/>
      <c r="V863" s="4"/>
      <c r="X863" s="4"/>
      <c r="Y863" s="4"/>
    </row>
    <row r="864" spans="20:25" x14ac:dyDescent="0.3">
      <c r="T864" s="12"/>
      <c r="U864" s="4"/>
      <c r="V864" s="4"/>
      <c r="X864" s="4"/>
      <c r="Y864" s="4"/>
    </row>
    <row r="865" spans="20:25" x14ac:dyDescent="0.3">
      <c r="T865" s="12"/>
      <c r="U865" s="4"/>
      <c r="V865" s="4"/>
      <c r="X865" s="4"/>
      <c r="Y865" s="4"/>
    </row>
    <row r="866" spans="20:25" x14ac:dyDescent="0.3">
      <c r="T866" s="12"/>
      <c r="U866" s="4"/>
      <c r="V866" s="4"/>
      <c r="X866" s="4"/>
      <c r="Y866" s="4"/>
    </row>
    <row r="867" spans="20:25" x14ac:dyDescent="0.3">
      <c r="T867" s="12"/>
      <c r="U867" s="4"/>
      <c r="V867" s="4"/>
      <c r="X867" s="4"/>
      <c r="Y867" s="4"/>
    </row>
    <row r="868" spans="20:25" x14ac:dyDescent="0.3">
      <c r="T868" s="12"/>
      <c r="U868" s="4"/>
      <c r="V868" s="4"/>
      <c r="X868" s="4"/>
      <c r="Y868" s="4"/>
    </row>
    <row r="869" spans="20:25" x14ac:dyDescent="0.3">
      <c r="T869" s="12"/>
      <c r="U869" s="4"/>
      <c r="V869" s="4"/>
      <c r="X869" s="4"/>
      <c r="Y869" s="4"/>
    </row>
    <row r="870" spans="20:25" x14ac:dyDescent="0.3">
      <c r="T870" s="12"/>
      <c r="U870" s="4"/>
      <c r="V870" s="4"/>
      <c r="X870" s="4"/>
      <c r="Y870" s="4"/>
    </row>
    <row r="871" spans="20:25" x14ac:dyDescent="0.3">
      <c r="T871" s="12"/>
      <c r="U871" s="4"/>
      <c r="V871" s="4"/>
      <c r="X871" s="4"/>
      <c r="Y871" s="4"/>
    </row>
    <row r="872" spans="20:25" x14ac:dyDescent="0.3">
      <c r="T872" s="12"/>
      <c r="U872" s="4"/>
      <c r="V872" s="4"/>
      <c r="X872" s="4"/>
      <c r="Y872" s="4"/>
    </row>
    <row r="873" spans="20:25" x14ac:dyDescent="0.3">
      <c r="T873" s="12"/>
      <c r="U873" s="4"/>
      <c r="V873" s="4"/>
      <c r="X873" s="4"/>
      <c r="Y873" s="4"/>
    </row>
    <row r="874" spans="20:25" x14ac:dyDescent="0.3">
      <c r="T874" s="12"/>
      <c r="U874" s="4"/>
      <c r="V874" s="4"/>
      <c r="X874" s="4"/>
      <c r="Y874" s="4"/>
    </row>
    <row r="875" spans="20:25" x14ac:dyDescent="0.3">
      <c r="T875" s="12"/>
      <c r="U875" s="4"/>
      <c r="V875" s="4"/>
      <c r="X875" s="4"/>
      <c r="Y875" s="4"/>
    </row>
    <row r="876" spans="20:25" x14ac:dyDescent="0.3">
      <c r="T876" s="12"/>
      <c r="U876" s="4"/>
      <c r="V876" s="4"/>
      <c r="X876" s="4"/>
      <c r="Y876" s="4"/>
    </row>
    <row r="877" spans="20:25" x14ac:dyDescent="0.3">
      <c r="T877" s="12"/>
      <c r="U877" s="4"/>
      <c r="V877" s="4"/>
      <c r="X877" s="4"/>
      <c r="Y877" s="4"/>
    </row>
    <row r="878" spans="20:25" x14ac:dyDescent="0.3">
      <c r="T878" s="12"/>
      <c r="U878" s="4"/>
      <c r="V878" s="4"/>
      <c r="X878" s="4"/>
      <c r="Y878" s="4"/>
    </row>
    <row r="879" spans="20:25" x14ac:dyDescent="0.3">
      <c r="T879" s="12"/>
      <c r="U879" s="4"/>
      <c r="V879" s="4"/>
      <c r="X879" s="4"/>
      <c r="Y879" s="4"/>
    </row>
    <row r="880" spans="20:25" x14ac:dyDescent="0.3">
      <c r="T880" s="12"/>
      <c r="U880" s="4"/>
      <c r="V880" s="4"/>
      <c r="X880" s="4"/>
      <c r="Y880" s="4"/>
    </row>
    <row r="881" spans="20:25" x14ac:dyDescent="0.3">
      <c r="T881" s="12"/>
      <c r="U881" s="4"/>
      <c r="V881" s="4"/>
      <c r="X881" s="4"/>
      <c r="Y881" s="4"/>
    </row>
    <row r="882" spans="20:25" x14ac:dyDescent="0.3">
      <c r="T882" s="12"/>
      <c r="U882" s="4"/>
      <c r="V882" s="4"/>
      <c r="X882" s="4"/>
      <c r="Y882" s="4"/>
    </row>
    <row r="883" spans="20:25" x14ac:dyDescent="0.3">
      <c r="T883" s="12"/>
      <c r="U883" s="4"/>
      <c r="V883" s="4"/>
      <c r="X883" s="4"/>
      <c r="Y883" s="4"/>
    </row>
    <row r="884" spans="20:25" x14ac:dyDescent="0.3">
      <c r="T884" s="12"/>
      <c r="U884" s="4"/>
      <c r="V884" s="4"/>
      <c r="X884" s="4"/>
      <c r="Y884" s="4"/>
    </row>
    <row r="885" spans="20:25" x14ac:dyDescent="0.3">
      <c r="T885" s="12"/>
      <c r="U885" s="4"/>
      <c r="V885" s="4"/>
      <c r="X885" s="4"/>
      <c r="Y885" s="4"/>
    </row>
    <row r="886" spans="20:25" x14ac:dyDescent="0.3">
      <c r="T886" s="12"/>
      <c r="U886" s="4"/>
      <c r="V886" s="4"/>
      <c r="X886" s="4"/>
      <c r="Y886" s="4"/>
    </row>
    <row r="887" spans="20:25" x14ac:dyDescent="0.3">
      <c r="T887" s="12"/>
      <c r="U887" s="4"/>
      <c r="V887" s="4"/>
      <c r="X887" s="4"/>
      <c r="Y887" s="4"/>
    </row>
    <row r="888" spans="20:25" x14ac:dyDescent="0.3">
      <c r="T888" s="12"/>
      <c r="U888" s="4"/>
      <c r="V888" s="4"/>
      <c r="X888" s="4"/>
      <c r="Y888" s="4"/>
    </row>
    <row r="889" spans="20:25" x14ac:dyDescent="0.3">
      <c r="T889" s="12"/>
      <c r="U889" s="4"/>
      <c r="V889" s="4"/>
      <c r="X889" s="4"/>
      <c r="Y889" s="4"/>
    </row>
    <row r="890" spans="20:25" x14ac:dyDescent="0.3">
      <c r="T890" s="12"/>
      <c r="U890" s="4"/>
      <c r="V890" s="4"/>
      <c r="X890" s="4"/>
      <c r="Y890" s="4"/>
    </row>
    <row r="891" spans="20:25" x14ac:dyDescent="0.3">
      <c r="T891" s="12"/>
      <c r="U891" s="4"/>
      <c r="V891" s="4"/>
      <c r="X891" s="4"/>
      <c r="Y891" s="4"/>
    </row>
    <row r="892" spans="20:25" x14ac:dyDescent="0.3">
      <c r="T892" s="12"/>
      <c r="U892" s="4"/>
      <c r="V892" s="4"/>
      <c r="X892" s="4"/>
      <c r="Y892" s="4"/>
    </row>
    <row r="893" spans="20:25" x14ac:dyDescent="0.3">
      <c r="T893" s="12"/>
      <c r="U893" s="4"/>
      <c r="V893" s="4"/>
      <c r="X893" s="4"/>
      <c r="Y893" s="4"/>
    </row>
    <row r="894" spans="20:25" x14ac:dyDescent="0.3">
      <c r="T894" s="12"/>
      <c r="U894" s="4"/>
      <c r="V894" s="4"/>
      <c r="X894" s="4"/>
      <c r="Y894" s="4"/>
    </row>
    <row r="895" spans="20:25" x14ac:dyDescent="0.3">
      <c r="T895" s="12"/>
      <c r="U895" s="4"/>
      <c r="V895" s="4"/>
      <c r="X895" s="4"/>
      <c r="Y895" s="4"/>
    </row>
    <row r="896" spans="20:25" x14ac:dyDescent="0.3">
      <c r="T896" s="12"/>
      <c r="U896" s="4"/>
      <c r="V896" s="4"/>
      <c r="X896" s="4"/>
      <c r="Y896" s="4"/>
    </row>
    <row r="897" spans="20:25" x14ac:dyDescent="0.3">
      <c r="T897" s="12"/>
      <c r="U897" s="4"/>
      <c r="V897" s="4"/>
      <c r="X897" s="4"/>
      <c r="Y897" s="4"/>
    </row>
    <row r="898" spans="20:25" x14ac:dyDescent="0.3">
      <c r="T898" s="12"/>
      <c r="U898" s="4"/>
      <c r="V898" s="4"/>
      <c r="X898" s="4"/>
      <c r="Y898" s="4"/>
    </row>
    <row r="899" spans="20:25" x14ac:dyDescent="0.3">
      <c r="T899" s="12"/>
      <c r="U899" s="4"/>
      <c r="V899" s="4"/>
      <c r="X899" s="4"/>
      <c r="Y899" s="4"/>
    </row>
    <row r="900" spans="20:25" x14ac:dyDescent="0.3">
      <c r="T900" s="12"/>
      <c r="U900" s="4"/>
      <c r="V900" s="4"/>
      <c r="X900" s="4"/>
      <c r="Y900" s="4"/>
    </row>
    <row r="901" spans="20:25" x14ac:dyDescent="0.3">
      <c r="T901" s="12"/>
      <c r="U901" s="4"/>
      <c r="V901" s="4"/>
      <c r="X901" s="4"/>
      <c r="Y901" s="4"/>
    </row>
    <row r="902" spans="20:25" x14ac:dyDescent="0.3">
      <c r="T902" s="12"/>
      <c r="U902" s="4"/>
      <c r="V902" s="4"/>
      <c r="X902" s="4"/>
      <c r="Y902" s="4"/>
    </row>
    <row r="903" spans="20:25" x14ac:dyDescent="0.3">
      <c r="T903" s="12"/>
      <c r="U903" s="4"/>
      <c r="V903" s="4"/>
      <c r="X903" s="4"/>
      <c r="Y903" s="4"/>
    </row>
    <row r="904" spans="20:25" x14ac:dyDescent="0.3">
      <c r="T904" s="12"/>
      <c r="U904" s="4"/>
      <c r="V904" s="4"/>
      <c r="X904" s="4"/>
      <c r="Y904" s="4"/>
    </row>
    <row r="905" spans="20:25" x14ac:dyDescent="0.3">
      <c r="T905" s="12"/>
      <c r="U905" s="4"/>
      <c r="V905" s="4"/>
      <c r="X905" s="4"/>
      <c r="Y905" s="4"/>
    </row>
    <row r="906" spans="20:25" x14ac:dyDescent="0.3">
      <c r="T906" s="12"/>
      <c r="U906" s="4"/>
      <c r="V906" s="4"/>
      <c r="X906" s="4"/>
      <c r="Y906" s="4"/>
    </row>
    <row r="907" spans="20:25" x14ac:dyDescent="0.3">
      <c r="T907" s="12"/>
      <c r="U907" s="4"/>
      <c r="V907" s="4"/>
      <c r="X907" s="4"/>
      <c r="Y907" s="4"/>
    </row>
    <row r="908" spans="20:25" x14ac:dyDescent="0.3">
      <c r="T908" s="12"/>
      <c r="U908" s="4"/>
      <c r="V908" s="4"/>
      <c r="X908" s="4"/>
      <c r="Y908" s="4"/>
    </row>
    <row r="909" spans="20:25" x14ac:dyDescent="0.3">
      <c r="T909" s="12"/>
      <c r="U909" s="4"/>
      <c r="V909" s="4"/>
      <c r="X909" s="4"/>
      <c r="Y909" s="4"/>
    </row>
    <row r="910" spans="20:25" x14ac:dyDescent="0.3">
      <c r="T910" s="12"/>
      <c r="U910" s="4"/>
      <c r="V910" s="4"/>
      <c r="X910" s="4"/>
      <c r="Y910" s="4"/>
    </row>
    <row r="911" spans="20:25" x14ac:dyDescent="0.3">
      <c r="T911" s="12"/>
      <c r="U911" s="4"/>
      <c r="V911" s="4"/>
      <c r="X911" s="4"/>
      <c r="Y911" s="4"/>
    </row>
    <row r="912" spans="20:25" x14ac:dyDescent="0.3">
      <c r="T912" s="12"/>
      <c r="U912" s="4"/>
      <c r="V912" s="4"/>
      <c r="X912" s="4"/>
      <c r="Y912" s="4"/>
    </row>
    <row r="913" spans="20:25" x14ac:dyDescent="0.3">
      <c r="T913" s="12"/>
      <c r="U913" s="4"/>
      <c r="V913" s="4"/>
      <c r="X913" s="4"/>
      <c r="Y913" s="4"/>
    </row>
    <row r="914" spans="20:25" x14ac:dyDescent="0.3">
      <c r="T914" s="12"/>
      <c r="U914" s="4"/>
      <c r="V914" s="4"/>
      <c r="X914" s="4"/>
      <c r="Y914" s="4"/>
    </row>
    <row r="915" spans="20:25" x14ac:dyDescent="0.3">
      <c r="T915" s="12"/>
      <c r="U915" s="4"/>
      <c r="V915" s="4"/>
      <c r="X915" s="4"/>
      <c r="Y915" s="4"/>
    </row>
    <row r="916" spans="20:25" x14ac:dyDescent="0.3">
      <c r="T916" s="12"/>
      <c r="U916" s="4"/>
      <c r="V916" s="4"/>
      <c r="X916" s="4"/>
      <c r="Y916" s="4"/>
    </row>
    <row r="917" spans="20:25" x14ac:dyDescent="0.3">
      <c r="T917" s="12"/>
      <c r="U917" s="4"/>
      <c r="V917" s="4"/>
      <c r="X917" s="4"/>
      <c r="Y917" s="4"/>
    </row>
    <row r="918" spans="20:25" x14ac:dyDescent="0.3">
      <c r="T918" s="12"/>
      <c r="U918" s="4"/>
      <c r="V918" s="4"/>
      <c r="X918" s="4"/>
      <c r="Y918" s="4"/>
    </row>
    <row r="919" spans="20:25" x14ac:dyDescent="0.3">
      <c r="T919" s="12"/>
      <c r="U919" s="4"/>
      <c r="V919" s="4"/>
      <c r="X919" s="4"/>
      <c r="Y919" s="4"/>
    </row>
    <row r="920" spans="20:25" x14ac:dyDescent="0.3">
      <c r="T920" s="12"/>
      <c r="U920" s="4"/>
      <c r="V920" s="4"/>
      <c r="X920" s="4"/>
      <c r="Y920" s="4"/>
    </row>
    <row r="921" spans="20:25" x14ac:dyDescent="0.3">
      <c r="T921" s="12"/>
      <c r="U921" s="4"/>
      <c r="V921" s="4"/>
      <c r="X921" s="4"/>
      <c r="Y921" s="4"/>
    </row>
    <row r="922" spans="20:25" x14ac:dyDescent="0.3">
      <c r="T922" s="12"/>
      <c r="U922" s="4"/>
      <c r="V922" s="4"/>
      <c r="X922" s="4"/>
      <c r="Y922" s="4"/>
    </row>
    <row r="923" spans="20:25" x14ac:dyDescent="0.3">
      <c r="T923" s="12"/>
      <c r="U923" s="4"/>
      <c r="V923" s="4"/>
      <c r="X923" s="4"/>
      <c r="Y923" s="4"/>
    </row>
    <row r="924" spans="20:25" x14ac:dyDescent="0.3">
      <c r="T924" s="12"/>
      <c r="U924" s="4"/>
      <c r="V924" s="4"/>
      <c r="X924" s="4"/>
      <c r="Y924" s="4"/>
    </row>
    <row r="925" spans="20:25" x14ac:dyDescent="0.3">
      <c r="T925" s="12"/>
      <c r="U925" s="4"/>
      <c r="V925" s="4"/>
      <c r="X925" s="4"/>
      <c r="Y925" s="4"/>
    </row>
    <row r="926" spans="20:25" x14ac:dyDescent="0.3">
      <c r="T926" s="12"/>
      <c r="U926" s="4"/>
      <c r="V926" s="4"/>
      <c r="X926" s="4"/>
      <c r="Y926" s="4"/>
    </row>
    <row r="927" spans="20:25" x14ac:dyDescent="0.3">
      <c r="T927" s="12"/>
      <c r="U927" s="4"/>
      <c r="V927" s="4"/>
      <c r="X927" s="4"/>
      <c r="Y927" s="4"/>
    </row>
    <row r="928" spans="20:25" x14ac:dyDescent="0.3">
      <c r="T928" s="12"/>
      <c r="U928" s="4"/>
      <c r="V928" s="4"/>
      <c r="X928" s="4"/>
      <c r="Y928" s="4"/>
    </row>
    <row r="929" spans="20:25" x14ac:dyDescent="0.3">
      <c r="T929" s="12"/>
      <c r="U929" s="4"/>
      <c r="V929" s="4"/>
      <c r="X929" s="4"/>
      <c r="Y929" s="4"/>
    </row>
    <row r="930" spans="20:25" x14ac:dyDescent="0.3">
      <c r="T930" s="12"/>
      <c r="U930" s="4"/>
      <c r="V930" s="4"/>
      <c r="X930" s="4"/>
      <c r="Y930" s="4"/>
    </row>
    <row r="931" spans="20:25" x14ac:dyDescent="0.3">
      <c r="T931" s="12"/>
      <c r="U931" s="4"/>
      <c r="V931" s="4"/>
      <c r="X931" s="4"/>
      <c r="Y931" s="4"/>
    </row>
    <row r="932" spans="20:25" x14ac:dyDescent="0.3">
      <c r="T932" s="12"/>
      <c r="U932" s="4"/>
      <c r="V932" s="4"/>
      <c r="X932" s="4"/>
      <c r="Y932" s="4"/>
    </row>
    <row r="933" spans="20:25" x14ac:dyDescent="0.3">
      <c r="T933" s="12"/>
      <c r="U933" s="4"/>
      <c r="V933" s="4"/>
      <c r="X933" s="4"/>
      <c r="Y933" s="4"/>
    </row>
    <row r="934" spans="20:25" x14ac:dyDescent="0.3">
      <c r="T934" s="12"/>
      <c r="U934" s="4"/>
      <c r="V934" s="4"/>
      <c r="X934" s="4"/>
      <c r="Y934" s="4"/>
    </row>
    <row r="935" spans="20:25" x14ac:dyDescent="0.3">
      <c r="T935" s="12"/>
      <c r="U935" s="4"/>
      <c r="V935" s="4"/>
      <c r="X935" s="4"/>
      <c r="Y935" s="4"/>
    </row>
    <row r="936" spans="20:25" x14ac:dyDescent="0.3">
      <c r="T936" s="12"/>
      <c r="U936" s="4"/>
      <c r="V936" s="4"/>
      <c r="X936" s="4"/>
      <c r="Y936" s="4"/>
    </row>
    <row r="937" spans="20:25" x14ac:dyDescent="0.3">
      <c r="T937" s="12"/>
      <c r="U937" s="4"/>
      <c r="V937" s="4"/>
      <c r="X937" s="4"/>
      <c r="Y937" s="4"/>
    </row>
    <row r="938" spans="20:25" x14ac:dyDescent="0.3">
      <c r="T938" s="12"/>
      <c r="U938" s="4"/>
      <c r="V938" s="4"/>
      <c r="X938" s="4"/>
      <c r="Y938" s="4"/>
    </row>
    <row r="939" spans="20:25" x14ac:dyDescent="0.3">
      <c r="T939" s="12"/>
      <c r="U939" s="4"/>
      <c r="V939" s="4"/>
      <c r="X939" s="4"/>
      <c r="Y939" s="4"/>
    </row>
    <row r="940" spans="20:25" x14ac:dyDescent="0.3">
      <c r="T940" s="12"/>
      <c r="U940" s="4"/>
      <c r="V940" s="4"/>
      <c r="X940" s="4"/>
      <c r="Y940" s="4"/>
    </row>
    <row r="941" spans="20:25" x14ac:dyDescent="0.3">
      <c r="T941" s="12"/>
      <c r="U941" s="4"/>
      <c r="V941" s="4"/>
      <c r="X941" s="4"/>
      <c r="Y941" s="4"/>
    </row>
    <row r="942" spans="20:25" x14ac:dyDescent="0.3">
      <c r="T942" s="12"/>
      <c r="U942" s="4"/>
      <c r="V942" s="4"/>
      <c r="X942" s="4"/>
      <c r="Y942" s="4"/>
    </row>
    <row r="943" spans="20:25" x14ac:dyDescent="0.3">
      <c r="T943" s="12"/>
      <c r="U943" s="4"/>
      <c r="V943" s="4"/>
      <c r="X943" s="4"/>
      <c r="Y943" s="4"/>
    </row>
    <row r="944" spans="20:25" x14ac:dyDescent="0.3">
      <c r="T944" s="12"/>
      <c r="U944" s="4"/>
      <c r="V944" s="4"/>
      <c r="X944" s="4"/>
      <c r="Y944" s="4"/>
    </row>
    <row r="945" spans="20:25" x14ac:dyDescent="0.3">
      <c r="T945" s="12"/>
      <c r="U945" s="4"/>
      <c r="V945" s="4"/>
      <c r="X945" s="4"/>
      <c r="Y945" s="4"/>
    </row>
    <row r="946" spans="20:25" x14ac:dyDescent="0.3">
      <c r="T946" s="12"/>
      <c r="U946" s="4"/>
      <c r="V946" s="4"/>
      <c r="X946" s="4"/>
      <c r="Y946" s="4"/>
    </row>
    <row r="947" spans="20:25" x14ac:dyDescent="0.3">
      <c r="T947" s="12"/>
      <c r="U947" s="4"/>
      <c r="V947" s="4"/>
      <c r="X947" s="4"/>
      <c r="Y947" s="4"/>
    </row>
    <row r="948" spans="20:25" x14ac:dyDescent="0.3">
      <c r="T948" s="12"/>
      <c r="U948" s="4"/>
      <c r="V948" s="4"/>
      <c r="X948" s="4"/>
      <c r="Y948" s="4"/>
    </row>
    <row r="949" spans="20:25" x14ac:dyDescent="0.3">
      <c r="T949" s="12"/>
      <c r="U949" s="4"/>
      <c r="V949" s="4"/>
      <c r="X949" s="4"/>
      <c r="Y949" s="4"/>
    </row>
    <row r="950" spans="20:25" x14ac:dyDescent="0.3">
      <c r="T950" s="12"/>
      <c r="U950" s="4"/>
      <c r="V950" s="4"/>
      <c r="X950" s="4"/>
      <c r="Y950" s="4"/>
    </row>
    <row r="951" spans="20:25" x14ac:dyDescent="0.3">
      <c r="T951" s="12"/>
      <c r="U951" s="4"/>
      <c r="V951" s="4"/>
      <c r="X951" s="4"/>
      <c r="Y951" s="4"/>
    </row>
    <row r="952" spans="20:25" x14ac:dyDescent="0.3">
      <c r="T952" s="12"/>
      <c r="U952" s="4"/>
      <c r="V952" s="4"/>
      <c r="X952" s="4"/>
      <c r="Y952" s="4"/>
    </row>
    <row r="953" spans="20:25" x14ac:dyDescent="0.3">
      <c r="T953" s="12"/>
      <c r="U953" s="4"/>
      <c r="V953" s="4"/>
      <c r="X953" s="4"/>
      <c r="Y953" s="4"/>
    </row>
    <row r="954" spans="20:25" x14ac:dyDescent="0.3">
      <c r="T954" s="12"/>
      <c r="U954" s="4"/>
      <c r="V954" s="4"/>
      <c r="X954" s="4"/>
      <c r="Y954" s="4"/>
    </row>
    <row r="955" spans="20:25" x14ac:dyDescent="0.3">
      <c r="T955" s="12"/>
      <c r="U955" s="4"/>
      <c r="V955" s="4"/>
      <c r="X955" s="4"/>
      <c r="Y955" s="4"/>
    </row>
    <row r="956" spans="20:25" x14ac:dyDescent="0.3">
      <c r="T956" s="12"/>
      <c r="U956" s="4"/>
      <c r="V956" s="4"/>
      <c r="X956" s="4"/>
      <c r="Y956" s="4"/>
    </row>
    <row r="957" spans="20:25" x14ac:dyDescent="0.3">
      <c r="T957" s="12"/>
      <c r="U957" s="4"/>
      <c r="V957" s="4"/>
      <c r="X957" s="4"/>
      <c r="Y957" s="4"/>
    </row>
    <row r="958" spans="20:25" x14ac:dyDescent="0.3">
      <c r="T958" s="12"/>
      <c r="U958" s="4"/>
      <c r="V958" s="4"/>
      <c r="X958" s="4"/>
      <c r="Y958" s="4"/>
    </row>
    <row r="959" spans="20:25" x14ac:dyDescent="0.3">
      <c r="T959" s="12"/>
      <c r="U959" s="4"/>
      <c r="V959" s="4"/>
      <c r="X959" s="4"/>
      <c r="Y959" s="4"/>
    </row>
    <row r="960" spans="20:25" x14ac:dyDescent="0.3">
      <c r="T960" s="12"/>
      <c r="U960" s="4"/>
      <c r="V960" s="4"/>
      <c r="X960" s="4"/>
      <c r="Y960" s="4"/>
    </row>
    <row r="961" spans="20:25" x14ac:dyDescent="0.3">
      <c r="T961" s="12"/>
      <c r="U961" s="4"/>
      <c r="V961" s="4"/>
      <c r="X961" s="4"/>
      <c r="Y961" s="4"/>
    </row>
    <row r="962" spans="20:25" x14ac:dyDescent="0.3">
      <c r="T962" s="12"/>
      <c r="U962" s="4"/>
      <c r="V962" s="4"/>
      <c r="X962" s="4"/>
      <c r="Y962" s="4"/>
    </row>
    <row r="963" spans="20:25" x14ac:dyDescent="0.3">
      <c r="T963" s="12"/>
      <c r="U963" s="4"/>
      <c r="V963" s="4"/>
      <c r="X963" s="4"/>
      <c r="Y963" s="4"/>
    </row>
    <row r="964" spans="20:25" x14ac:dyDescent="0.3">
      <c r="T964" s="12"/>
      <c r="U964" s="4"/>
      <c r="V964" s="4"/>
      <c r="X964" s="4"/>
      <c r="Y964" s="4"/>
    </row>
    <row r="965" spans="20:25" x14ac:dyDescent="0.3">
      <c r="T965" s="12"/>
      <c r="U965" s="4"/>
      <c r="V965" s="4"/>
      <c r="X965" s="4"/>
      <c r="Y965" s="4"/>
    </row>
    <row r="966" spans="20:25" x14ac:dyDescent="0.3">
      <c r="T966" s="12"/>
      <c r="U966" s="4"/>
      <c r="V966" s="4"/>
      <c r="X966" s="4"/>
      <c r="Y966" s="4"/>
    </row>
    <row r="967" spans="20:25" x14ac:dyDescent="0.3">
      <c r="T967" s="12"/>
      <c r="U967" s="4"/>
      <c r="V967" s="4"/>
      <c r="X967" s="4"/>
      <c r="Y967" s="4"/>
    </row>
    <row r="968" spans="20:25" x14ac:dyDescent="0.3">
      <c r="T968" s="12"/>
      <c r="U968" s="4"/>
      <c r="V968" s="4"/>
      <c r="X968" s="4"/>
      <c r="Y968" s="4"/>
    </row>
    <row r="969" spans="20:25" x14ac:dyDescent="0.3">
      <c r="T969" s="12"/>
      <c r="U969" s="4"/>
      <c r="V969" s="4"/>
      <c r="X969" s="4"/>
      <c r="Y969" s="4"/>
    </row>
    <row r="970" spans="20:25" x14ac:dyDescent="0.3">
      <c r="T970" s="12"/>
      <c r="U970" s="4"/>
      <c r="V970" s="4"/>
      <c r="X970" s="4"/>
      <c r="Y970" s="4"/>
    </row>
    <row r="971" spans="20:25" x14ac:dyDescent="0.3">
      <c r="T971" s="12"/>
      <c r="U971" s="4"/>
      <c r="V971" s="4"/>
      <c r="X971" s="4"/>
      <c r="Y971" s="4"/>
    </row>
    <row r="972" spans="20:25" x14ac:dyDescent="0.3">
      <c r="T972" s="12"/>
      <c r="U972" s="4"/>
      <c r="V972" s="4"/>
      <c r="X972" s="4"/>
      <c r="Y972" s="4"/>
    </row>
    <row r="973" spans="20:25" x14ac:dyDescent="0.3">
      <c r="T973" s="12"/>
      <c r="U973" s="4"/>
      <c r="V973" s="4"/>
      <c r="X973" s="4"/>
      <c r="Y973" s="4"/>
    </row>
    <row r="974" spans="20:25" x14ac:dyDescent="0.3">
      <c r="T974" s="12"/>
      <c r="U974" s="4"/>
      <c r="V974" s="4"/>
      <c r="X974" s="4"/>
      <c r="Y974" s="4"/>
    </row>
    <row r="975" spans="20:25" x14ac:dyDescent="0.3">
      <c r="T975" s="12"/>
      <c r="U975" s="4"/>
      <c r="V975" s="4"/>
      <c r="X975" s="4"/>
      <c r="Y975" s="4"/>
    </row>
    <row r="976" spans="20:25" x14ac:dyDescent="0.3">
      <c r="T976" s="12"/>
      <c r="U976" s="4"/>
      <c r="V976" s="4"/>
      <c r="X976" s="4"/>
      <c r="Y976" s="4"/>
    </row>
    <row r="977" spans="20:25" x14ac:dyDescent="0.3">
      <c r="T977" s="12"/>
      <c r="U977" s="4"/>
      <c r="V977" s="4"/>
      <c r="X977" s="4"/>
      <c r="Y977" s="4"/>
    </row>
    <row r="978" spans="20:25" x14ac:dyDescent="0.3">
      <c r="T978" s="12"/>
      <c r="U978" s="4"/>
      <c r="V978" s="4"/>
      <c r="X978" s="4"/>
      <c r="Y978" s="4"/>
    </row>
    <row r="979" spans="20:25" x14ac:dyDescent="0.3">
      <c r="T979" s="12"/>
      <c r="U979" s="4"/>
      <c r="V979" s="4"/>
      <c r="X979" s="4"/>
      <c r="Y979" s="4"/>
    </row>
    <row r="980" spans="20:25" x14ac:dyDescent="0.3">
      <c r="T980" s="12"/>
      <c r="U980" s="4"/>
      <c r="V980" s="4"/>
      <c r="X980" s="4"/>
      <c r="Y980" s="4"/>
    </row>
    <row r="981" spans="20:25" x14ac:dyDescent="0.3">
      <c r="T981" s="12"/>
      <c r="U981" s="4"/>
      <c r="V981" s="4"/>
      <c r="X981" s="4"/>
      <c r="Y981" s="4"/>
    </row>
    <row r="982" spans="20:25" x14ac:dyDescent="0.3">
      <c r="T982" s="12"/>
      <c r="U982" s="4"/>
      <c r="V982" s="4"/>
      <c r="X982" s="4"/>
      <c r="Y982" s="4"/>
    </row>
    <row r="983" spans="20:25" x14ac:dyDescent="0.3">
      <c r="T983" s="12"/>
      <c r="U983" s="4"/>
      <c r="V983" s="4"/>
      <c r="X983" s="4"/>
      <c r="Y983" s="4"/>
    </row>
    <row r="984" spans="20:25" x14ac:dyDescent="0.3">
      <c r="T984" s="12"/>
      <c r="U984" s="4"/>
      <c r="V984" s="4"/>
      <c r="X984" s="4"/>
      <c r="Y984" s="4"/>
    </row>
    <row r="985" spans="20:25" x14ac:dyDescent="0.3">
      <c r="T985" s="12"/>
      <c r="U985" s="4"/>
      <c r="V985" s="4"/>
      <c r="X985" s="4"/>
      <c r="Y985" s="4"/>
    </row>
    <row r="986" spans="20:25" x14ac:dyDescent="0.3">
      <c r="T986" s="12"/>
      <c r="U986" s="4"/>
      <c r="V986" s="4"/>
      <c r="X986" s="4"/>
      <c r="Y986" s="4"/>
    </row>
    <row r="987" spans="20:25" x14ac:dyDescent="0.3">
      <c r="T987" s="12"/>
      <c r="U987" s="4"/>
      <c r="V987" s="4"/>
      <c r="X987" s="4"/>
      <c r="Y987" s="4"/>
    </row>
    <row r="988" spans="20:25" x14ac:dyDescent="0.3">
      <c r="T988" s="12"/>
      <c r="U988" s="4"/>
      <c r="V988" s="4"/>
      <c r="X988" s="4"/>
      <c r="Y988" s="4"/>
    </row>
    <row r="989" spans="20:25" x14ac:dyDescent="0.3">
      <c r="T989" s="12"/>
      <c r="U989" s="4"/>
      <c r="V989" s="4"/>
      <c r="X989" s="4"/>
      <c r="Y989" s="4"/>
    </row>
    <row r="990" spans="20:25" x14ac:dyDescent="0.3">
      <c r="T990" s="12"/>
      <c r="U990" s="4"/>
      <c r="V990" s="4"/>
      <c r="X990" s="4"/>
      <c r="Y990" s="4"/>
    </row>
    <row r="991" spans="20:25" x14ac:dyDescent="0.3">
      <c r="T991" s="12"/>
      <c r="U991" s="4"/>
      <c r="V991" s="4"/>
      <c r="X991" s="4"/>
      <c r="Y991" s="4"/>
    </row>
    <row r="992" spans="20:25" x14ac:dyDescent="0.3">
      <c r="T992" s="12"/>
      <c r="U992" s="4"/>
      <c r="V992" s="4"/>
      <c r="X992" s="4"/>
      <c r="Y992" s="4"/>
    </row>
    <row r="993" spans="20:25" x14ac:dyDescent="0.3">
      <c r="T993" s="12"/>
      <c r="U993" s="4"/>
      <c r="V993" s="4"/>
      <c r="X993" s="4"/>
      <c r="Y993" s="4"/>
    </row>
    <row r="994" spans="20:25" x14ac:dyDescent="0.3">
      <c r="T994" s="12"/>
      <c r="U994" s="4"/>
      <c r="V994" s="4"/>
      <c r="X994" s="4"/>
      <c r="Y994" s="4"/>
    </row>
    <row r="995" spans="20:25" x14ac:dyDescent="0.3">
      <c r="T995" s="12"/>
      <c r="U995" s="4"/>
      <c r="V995" s="4"/>
      <c r="X995" s="4"/>
      <c r="Y995" s="4"/>
    </row>
    <row r="996" spans="20:25" x14ac:dyDescent="0.3">
      <c r="T996" s="12"/>
      <c r="U996" s="4"/>
      <c r="V996" s="4"/>
      <c r="X996" s="4"/>
      <c r="Y996" s="4"/>
    </row>
    <row r="997" spans="20:25" x14ac:dyDescent="0.3">
      <c r="T997" s="12"/>
      <c r="U997" s="4"/>
      <c r="V997" s="4"/>
      <c r="X997" s="4"/>
      <c r="Y997" s="4"/>
    </row>
    <row r="998" spans="20:25" x14ac:dyDescent="0.3">
      <c r="T998" s="12"/>
      <c r="U998" s="4"/>
      <c r="V998" s="4"/>
      <c r="X998" s="4"/>
      <c r="Y998" s="4"/>
    </row>
    <row r="999" spans="20:25" x14ac:dyDescent="0.3">
      <c r="T999" s="12"/>
      <c r="U999" s="4"/>
      <c r="V999" s="4"/>
      <c r="X999" s="4"/>
      <c r="Y999" s="4"/>
    </row>
    <row r="1000" spans="20:25" x14ac:dyDescent="0.3">
      <c r="T1000" s="12"/>
      <c r="U1000" s="4"/>
      <c r="V1000" s="4"/>
      <c r="X1000" s="4"/>
      <c r="Y1000" s="4"/>
    </row>
    <row r="1001" spans="20:25" x14ac:dyDescent="0.3">
      <c r="T1001" s="12"/>
      <c r="U1001" s="4"/>
      <c r="V1001" s="4"/>
      <c r="X1001" s="4"/>
      <c r="Y1001" s="4"/>
    </row>
    <row r="1002" spans="20:25" x14ac:dyDescent="0.3">
      <c r="T1002" s="12"/>
      <c r="U1002" s="4"/>
      <c r="V1002" s="4"/>
      <c r="X1002" s="4"/>
      <c r="Y1002" s="4"/>
    </row>
    <row r="1003" spans="20:25" x14ac:dyDescent="0.3">
      <c r="T1003" s="12"/>
      <c r="U1003" s="4"/>
      <c r="V1003" s="4"/>
      <c r="X1003" s="4"/>
      <c r="Y1003" s="4"/>
    </row>
    <row r="1004" spans="20:25" x14ac:dyDescent="0.3">
      <c r="T1004" s="12"/>
      <c r="U1004" s="4"/>
      <c r="V1004" s="4"/>
      <c r="X1004" s="4"/>
      <c r="Y1004" s="4"/>
    </row>
    <row r="1005" spans="20:25" x14ac:dyDescent="0.3">
      <c r="T1005" s="12"/>
      <c r="U1005" s="4"/>
      <c r="V1005" s="4"/>
      <c r="X1005" s="4"/>
      <c r="Y1005" s="4"/>
    </row>
    <row r="1006" spans="20:25" x14ac:dyDescent="0.3">
      <c r="T1006" s="12"/>
      <c r="U1006" s="4"/>
      <c r="V1006" s="4"/>
      <c r="X1006" s="4"/>
      <c r="Y1006" s="4"/>
    </row>
    <row r="1007" spans="20:25" x14ac:dyDescent="0.3">
      <c r="T1007" s="12"/>
      <c r="U1007" s="4"/>
      <c r="V1007" s="4"/>
      <c r="X1007" s="4"/>
      <c r="Y1007" s="4"/>
    </row>
    <row r="1008" spans="20:25" x14ac:dyDescent="0.3">
      <c r="T1008" s="12"/>
      <c r="U1008" s="4"/>
      <c r="V1008" s="4"/>
      <c r="X1008" s="4"/>
      <c r="Y1008" s="4"/>
    </row>
    <row r="1009" spans="20:25" x14ac:dyDescent="0.3">
      <c r="T1009" s="12"/>
      <c r="U1009" s="4"/>
      <c r="V1009" s="4"/>
      <c r="X1009" s="4"/>
      <c r="Y1009" s="4"/>
    </row>
    <row r="1010" spans="20:25" x14ac:dyDescent="0.3">
      <c r="T1010" s="12"/>
      <c r="U1010" s="4"/>
      <c r="V1010" s="4"/>
      <c r="X1010" s="4"/>
      <c r="Y1010" s="4"/>
    </row>
    <row r="1011" spans="20:25" x14ac:dyDescent="0.3">
      <c r="T1011" s="12"/>
      <c r="U1011" s="4"/>
      <c r="V1011" s="4"/>
      <c r="X1011" s="4"/>
      <c r="Y1011" s="4"/>
    </row>
    <row r="1012" spans="20:25" x14ac:dyDescent="0.3">
      <c r="T1012" s="12"/>
      <c r="U1012" s="4"/>
      <c r="V1012" s="4"/>
      <c r="X1012" s="4"/>
      <c r="Y1012" s="4"/>
    </row>
    <row r="1013" spans="20:25" x14ac:dyDescent="0.3">
      <c r="T1013" s="12"/>
      <c r="U1013" s="4"/>
      <c r="V1013" s="4"/>
      <c r="X1013" s="4"/>
      <c r="Y1013" s="4"/>
    </row>
    <row r="1014" spans="20:25" x14ac:dyDescent="0.3">
      <c r="T1014" s="12"/>
      <c r="U1014" s="4"/>
      <c r="V1014" s="4"/>
      <c r="X1014" s="4"/>
      <c r="Y1014" s="4"/>
    </row>
    <row r="1015" spans="20:25" x14ac:dyDescent="0.3">
      <c r="T1015" s="12"/>
      <c r="U1015" s="4"/>
      <c r="V1015" s="4"/>
      <c r="X1015" s="4"/>
      <c r="Y1015" s="4"/>
    </row>
    <row r="1016" spans="20:25" x14ac:dyDescent="0.3">
      <c r="T1016" s="12"/>
      <c r="U1016" s="4"/>
      <c r="V1016" s="4"/>
      <c r="X1016" s="4"/>
      <c r="Y1016" s="4"/>
    </row>
    <row r="1017" spans="20:25" x14ac:dyDescent="0.3">
      <c r="T1017" s="12"/>
      <c r="U1017" s="4"/>
      <c r="V1017" s="4"/>
      <c r="X1017" s="4"/>
      <c r="Y1017" s="4"/>
    </row>
    <row r="1018" spans="20:25" x14ac:dyDescent="0.3">
      <c r="T1018" s="12"/>
      <c r="U1018" s="4"/>
      <c r="V1018" s="4"/>
      <c r="X1018" s="4"/>
      <c r="Y1018" s="4"/>
    </row>
    <row r="1019" spans="20:25" x14ac:dyDescent="0.3">
      <c r="T1019" s="12"/>
      <c r="U1019" s="4"/>
      <c r="V1019" s="4"/>
      <c r="X1019" s="4"/>
      <c r="Y1019" s="4"/>
    </row>
    <row r="1020" spans="20:25" x14ac:dyDescent="0.3">
      <c r="T1020" s="12"/>
      <c r="U1020" s="4"/>
      <c r="V1020" s="4"/>
      <c r="X1020" s="4"/>
      <c r="Y1020" s="4"/>
    </row>
    <row r="1021" spans="20:25" x14ac:dyDescent="0.3">
      <c r="T1021" s="12"/>
      <c r="U1021" s="4"/>
      <c r="V1021" s="4"/>
      <c r="X1021" s="4"/>
      <c r="Y1021" s="4"/>
    </row>
    <row r="1022" spans="20:25" x14ac:dyDescent="0.3">
      <c r="T1022" s="12"/>
      <c r="U1022" s="4"/>
      <c r="V1022" s="4"/>
      <c r="X1022" s="4"/>
      <c r="Y1022" s="4"/>
    </row>
    <row r="1023" spans="20:25" x14ac:dyDescent="0.3">
      <c r="T1023" s="12"/>
      <c r="U1023" s="4"/>
      <c r="V1023" s="4"/>
      <c r="X1023" s="4"/>
      <c r="Y1023" s="4"/>
    </row>
    <row r="1024" spans="20:25" x14ac:dyDescent="0.3">
      <c r="T1024" s="12"/>
      <c r="U1024" s="4"/>
      <c r="V1024" s="4"/>
      <c r="X1024" s="4"/>
      <c r="Y1024" s="4"/>
    </row>
    <row r="1025" spans="20:25" x14ac:dyDescent="0.3">
      <c r="T1025" s="12"/>
      <c r="U1025" s="4"/>
      <c r="V1025" s="4"/>
      <c r="X1025" s="4"/>
      <c r="Y1025" s="4"/>
    </row>
    <row r="1026" spans="20:25" x14ac:dyDescent="0.3">
      <c r="T1026" s="12"/>
      <c r="U1026" s="4"/>
      <c r="V1026" s="4"/>
      <c r="X1026" s="4"/>
      <c r="Y1026" s="4"/>
    </row>
    <row r="1027" spans="20:25" x14ac:dyDescent="0.3">
      <c r="T1027" s="12"/>
      <c r="U1027" s="4"/>
      <c r="V1027" s="4"/>
      <c r="X1027" s="4"/>
      <c r="Y1027" s="4"/>
    </row>
    <row r="1028" spans="20:25" x14ac:dyDescent="0.3">
      <c r="T1028" s="12"/>
      <c r="U1028" s="4"/>
      <c r="V1028" s="4"/>
      <c r="X1028" s="4"/>
      <c r="Y1028" s="4"/>
    </row>
    <row r="1029" spans="20:25" x14ac:dyDescent="0.3">
      <c r="T1029" s="12"/>
      <c r="U1029" s="4"/>
      <c r="V1029" s="4"/>
      <c r="X1029" s="4"/>
      <c r="Y1029" s="4"/>
    </row>
    <row r="1030" spans="20:25" x14ac:dyDescent="0.3">
      <c r="T1030" s="12"/>
      <c r="U1030" s="4"/>
      <c r="V1030" s="4"/>
      <c r="X1030" s="4"/>
      <c r="Y1030" s="4"/>
    </row>
    <row r="1031" spans="20:25" x14ac:dyDescent="0.3">
      <c r="T1031" s="12"/>
      <c r="U1031" s="4"/>
      <c r="V1031" s="4"/>
      <c r="X1031" s="4"/>
      <c r="Y1031" s="4"/>
    </row>
    <row r="1032" spans="20:25" x14ac:dyDescent="0.3">
      <c r="T1032" s="12"/>
      <c r="U1032" s="4"/>
      <c r="V1032" s="4"/>
      <c r="X1032" s="4"/>
      <c r="Y1032" s="4"/>
    </row>
    <row r="1033" spans="20:25" x14ac:dyDescent="0.3">
      <c r="T1033" s="12"/>
      <c r="U1033" s="4"/>
      <c r="V1033" s="4"/>
      <c r="X1033" s="4"/>
      <c r="Y1033" s="4"/>
    </row>
    <row r="1034" spans="20:25" x14ac:dyDescent="0.3">
      <c r="T1034" s="12"/>
      <c r="U1034" s="4"/>
      <c r="V1034" s="4"/>
      <c r="X1034" s="4"/>
      <c r="Y1034" s="4"/>
    </row>
    <row r="1035" spans="20:25" x14ac:dyDescent="0.3">
      <c r="T1035" s="12"/>
      <c r="U1035" s="4"/>
      <c r="V1035" s="4"/>
      <c r="X1035" s="4"/>
      <c r="Y1035" s="4"/>
    </row>
    <row r="1036" spans="20:25" x14ac:dyDescent="0.3">
      <c r="T1036" s="12"/>
      <c r="U1036" s="4"/>
      <c r="V1036" s="4"/>
      <c r="X1036" s="4"/>
      <c r="Y1036" s="4"/>
    </row>
    <row r="1037" spans="20:25" x14ac:dyDescent="0.3">
      <c r="T1037" s="12"/>
      <c r="U1037" s="4"/>
      <c r="V1037" s="4"/>
      <c r="X1037" s="4"/>
      <c r="Y1037" s="4"/>
    </row>
    <row r="1038" spans="20:25" x14ac:dyDescent="0.3">
      <c r="T1038" s="12"/>
      <c r="U1038" s="4"/>
      <c r="V1038" s="4"/>
      <c r="X1038" s="4"/>
      <c r="Y1038" s="4"/>
    </row>
    <row r="1039" spans="20:25" x14ac:dyDescent="0.3">
      <c r="T1039" s="12"/>
      <c r="U1039" s="4"/>
      <c r="V1039" s="4"/>
      <c r="X1039" s="4"/>
      <c r="Y1039" s="4"/>
    </row>
    <row r="1040" spans="20:25" x14ac:dyDescent="0.3">
      <c r="T1040" s="12"/>
      <c r="U1040" s="4"/>
      <c r="V1040" s="4"/>
      <c r="X1040" s="4"/>
      <c r="Y1040" s="4"/>
    </row>
    <row r="1041" spans="20:25" x14ac:dyDescent="0.3">
      <c r="T1041" s="12"/>
      <c r="U1041" s="4"/>
      <c r="V1041" s="4"/>
      <c r="X1041" s="4"/>
      <c r="Y1041" s="4"/>
    </row>
    <row r="1042" spans="20:25" x14ac:dyDescent="0.3">
      <c r="T1042" s="12"/>
      <c r="U1042" s="4"/>
      <c r="V1042" s="4"/>
      <c r="X1042" s="4"/>
      <c r="Y1042" s="4"/>
    </row>
    <row r="1043" spans="20:25" x14ac:dyDescent="0.3">
      <c r="T1043" s="12"/>
      <c r="U1043" s="4"/>
      <c r="V1043" s="4"/>
      <c r="X1043" s="4"/>
      <c r="Y1043" s="4"/>
    </row>
    <row r="1044" spans="20:25" x14ac:dyDescent="0.3">
      <c r="T1044" s="12"/>
      <c r="U1044" s="4"/>
      <c r="V1044" s="4"/>
      <c r="X1044" s="4"/>
      <c r="Y1044" s="4"/>
    </row>
    <row r="1045" spans="20:25" x14ac:dyDescent="0.3">
      <c r="T1045" s="12"/>
      <c r="U1045" s="4"/>
      <c r="V1045" s="4"/>
      <c r="X1045" s="4"/>
      <c r="Y1045" s="4"/>
    </row>
    <row r="1046" spans="20:25" x14ac:dyDescent="0.3">
      <c r="T1046" s="12"/>
      <c r="U1046" s="4"/>
      <c r="V1046" s="4"/>
      <c r="X1046" s="4"/>
      <c r="Y1046" s="4"/>
    </row>
    <row r="1047" spans="20:25" x14ac:dyDescent="0.3">
      <c r="T1047" s="12"/>
      <c r="U1047" s="4"/>
      <c r="V1047" s="4"/>
      <c r="X1047" s="4"/>
      <c r="Y1047" s="4"/>
    </row>
    <row r="1048" spans="20:25" x14ac:dyDescent="0.3">
      <c r="T1048" s="12"/>
      <c r="U1048" s="4"/>
      <c r="V1048" s="4"/>
      <c r="X1048" s="4"/>
      <c r="Y1048" s="4"/>
    </row>
    <row r="1049" spans="20:25" x14ac:dyDescent="0.3">
      <c r="T1049" s="12"/>
      <c r="U1049" s="4"/>
      <c r="V1049" s="4"/>
      <c r="X1049" s="4"/>
      <c r="Y1049" s="4"/>
    </row>
    <row r="1050" spans="20:25" x14ac:dyDescent="0.3">
      <c r="T1050" s="12"/>
      <c r="U1050" s="4"/>
      <c r="V1050" s="4"/>
      <c r="X1050" s="4"/>
      <c r="Y1050" s="4"/>
    </row>
    <row r="1051" spans="20:25" x14ac:dyDescent="0.3">
      <c r="T1051" s="12"/>
      <c r="U1051" s="4"/>
      <c r="V1051" s="4"/>
      <c r="X1051" s="4"/>
      <c r="Y1051" s="4"/>
    </row>
    <row r="1052" spans="20:25" x14ac:dyDescent="0.3">
      <c r="T1052" s="12"/>
      <c r="U1052" s="4"/>
      <c r="V1052" s="4"/>
      <c r="X1052" s="4"/>
      <c r="Y1052" s="4"/>
    </row>
    <row r="1053" spans="20:25" x14ac:dyDescent="0.3">
      <c r="T1053" s="12"/>
      <c r="U1053" s="4"/>
      <c r="V1053" s="4"/>
      <c r="X1053" s="4"/>
      <c r="Y1053" s="4"/>
    </row>
    <row r="1054" spans="20:25" x14ac:dyDescent="0.3">
      <c r="T1054" s="12"/>
      <c r="U1054" s="4"/>
      <c r="V1054" s="4"/>
      <c r="X1054" s="4"/>
      <c r="Y1054" s="4"/>
    </row>
    <row r="1055" spans="20:25" x14ac:dyDescent="0.3">
      <c r="T1055" s="12"/>
      <c r="U1055" s="4"/>
      <c r="V1055" s="4"/>
      <c r="X1055" s="4"/>
      <c r="Y1055" s="4"/>
    </row>
    <row r="1056" spans="20:25" x14ac:dyDescent="0.3">
      <c r="T1056" s="12"/>
      <c r="U1056" s="4"/>
      <c r="V1056" s="4"/>
      <c r="X1056" s="4"/>
      <c r="Y1056" s="4"/>
    </row>
    <row r="1057" spans="20:25" x14ac:dyDescent="0.3">
      <c r="T1057" s="12"/>
      <c r="U1057" s="4"/>
      <c r="V1057" s="4"/>
      <c r="X1057" s="4"/>
      <c r="Y1057" s="4"/>
    </row>
    <row r="1058" spans="20:25" x14ac:dyDescent="0.3">
      <c r="T1058" s="12"/>
      <c r="U1058" s="4"/>
      <c r="V1058" s="4"/>
      <c r="X1058" s="4"/>
      <c r="Y1058" s="4"/>
    </row>
    <row r="1059" spans="20:25" x14ac:dyDescent="0.3">
      <c r="T1059" s="12"/>
      <c r="U1059" s="4"/>
      <c r="V1059" s="4"/>
      <c r="X1059" s="4"/>
      <c r="Y1059" s="4"/>
    </row>
    <row r="1060" spans="20:25" x14ac:dyDescent="0.3">
      <c r="T1060" s="12"/>
      <c r="U1060" s="4"/>
      <c r="V1060" s="4"/>
      <c r="X1060" s="4"/>
      <c r="Y1060" s="4"/>
    </row>
    <row r="1061" spans="20:25" x14ac:dyDescent="0.3">
      <c r="T1061" s="12"/>
      <c r="U1061" s="4"/>
      <c r="V1061" s="4"/>
      <c r="X1061" s="4"/>
      <c r="Y1061" s="4"/>
    </row>
    <row r="1062" spans="20:25" x14ac:dyDescent="0.3">
      <c r="T1062" s="12"/>
      <c r="U1062" s="4"/>
      <c r="V1062" s="4"/>
      <c r="X1062" s="4"/>
      <c r="Y1062" s="4"/>
    </row>
    <row r="1063" spans="20:25" x14ac:dyDescent="0.3">
      <c r="T1063" s="12"/>
      <c r="U1063" s="4"/>
      <c r="V1063" s="4"/>
      <c r="X1063" s="4"/>
      <c r="Y1063" s="4"/>
    </row>
    <row r="1064" spans="20:25" x14ac:dyDescent="0.3">
      <c r="T1064" s="12"/>
      <c r="U1064" s="4"/>
      <c r="V1064" s="4"/>
      <c r="X1064" s="4"/>
      <c r="Y1064" s="4"/>
    </row>
    <row r="1065" spans="20:25" x14ac:dyDescent="0.3">
      <c r="T1065" s="12"/>
      <c r="U1065" s="4"/>
      <c r="V1065" s="4"/>
      <c r="X1065" s="4"/>
      <c r="Y1065" s="4"/>
    </row>
    <row r="1066" spans="20:25" x14ac:dyDescent="0.3">
      <c r="T1066" s="12"/>
      <c r="U1066" s="4"/>
      <c r="V1066" s="4"/>
      <c r="X1066" s="4"/>
      <c r="Y1066" s="4"/>
    </row>
    <row r="1067" spans="20:25" x14ac:dyDescent="0.3">
      <c r="T1067" s="12"/>
      <c r="U1067" s="4"/>
      <c r="V1067" s="4"/>
      <c r="X1067" s="4"/>
      <c r="Y1067" s="4"/>
    </row>
    <row r="1068" spans="20:25" x14ac:dyDescent="0.3">
      <c r="T1068" s="12"/>
      <c r="U1068" s="4"/>
      <c r="V1068" s="4"/>
      <c r="X1068" s="4"/>
      <c r="Y1068" s="4"/>
    </row>
    <row r="1069" spans="20:25" x14ac:dyDescent="0.3">
      <c r="T1069" s="12"/>
      <c r="U1069" s="4"/>
      <c r="V1069" s="4"/>
      <c r="X1069" s="4"/>
      <c r="Y1069" s="4"/>
    </row>
    <row r="1070" spans="20:25" x14ac:dyDescent="0.3">
      <c r="T1070" s="12"/>
      <c r="U1070" s="4"/>
      <c r="V1070" s="4"/>
      <c r="X1070" s="4"/>
      <c r="Y1070" s="4"/>
    </row>
    <row r="1071" spans="20:25" x14ac:dyDescent="0.3">
      <c r="T1071" s="12"/>
      <c r="U1071" s="4"/>
      <c r="V1071" s="4"/>
      <c r="X1071" s="4"/>
      <c r="Y1071" s="4"/>
    </row>
    <row r="1072" spans="20:25" x14ac:dyDescent="0.3">
      <c r="T1072" s="12"/>
      <c r="U1072" s="4"/>
      <c r="V1072" s="4"/>
      <c r="X1072" s="4"/>
      <c r="Y1072" s="4"/>
    </row>
    <row r="1073" spans="20:25" x14ac:dyDescent="0.3">
      <c r="T1073" s="12"/>
      <c r="U1073" s="4"/>
      <c r="V1073" s="4"/>
      <c r="X1073" s="4"/>
      <c r="Y1073" s="4"/>
    </row>
    <row r="1074" spans="20:25" x14ac:dyDescent="0.3">
      <c r="T1074" s="12"/>
      <c r="U1074" s="4"/>
      <c r="V1074" s="4"/>
      <c r="X1074" s="4"/>
      <c r="Y1074" s="4"/>
    </row>
    <row r="1075" spans="20:25" x14ac:dyDescent="0.3">
      <c r="T1075" s="12"/>
      <c r="U1075" s="4"/>
      <c r="V1075" s="4"/>
      <c r="X1075" s="4"/>
      <c r="Y1075" s="4"/>
    </row>
    <row r="1076" spans="20:25" x14ac:dyDescent="0.3">
      <c r="T1076" s="12"/>
      <c r="U1076" s="4"/>
      <c r="V1076" s="4"/>
      <c r="X1076" s="4"/>
      <c r="Y1076" s="4"/>
    </row>
    <row r="1077" spans="20:25" x14ac:dyDescent="0.3">
      <c r="T1077" s="12"/>
      <c r="U1077" s="4"/>
      <c r="V1077" s="4"/>
      <c r="X1077" s="4"/>
      <c r="Y1077" s="4"/>
    </row>
    <row r="1078" spans="20:25" x14ac:dyDescent="0.3">
      <c r="T1078" s="12"/>
      <c r="U1078" s="4"/>
      <c r="V1078" s="4"/>
      <c r="X1078" s="4"/>
      <c r="Y1078" s="4"/>
    </row>
    <row r="1079" spans="20:25" x14ac:dyDescent="0.3">
      <c r="T1079" s="12"/>
      <c r="U1079" s="4"/>
      <c r="V1079" s="4"/>
      <c r="X1079" s="4"/>
      <c r="Y1079" s="4"/>
    </row>
    <row r="1080" spans="20:25" x14ac:dyDescent="0.3">
      <c r="T1080" s="12"/>
      <c r="U1080" s="4"/>
      <c r="V1080" s="4"/>
      <c r="X1080" s="4"/>
      <c r="Y1080" s="4"/>
    </row>
    <row r="1081" spans="20:25" x14ac:dyDescent="0.3">
      <c r="T1081" s="12"/>
      <c r="U1081" s="4"/>
      <c r="V1081" s="4"/>
      <c r="X1081" s="4"/>
      <c r="Y1081" s="4"/>
    </row>
    <row r="1082" spans="20:25" x14ac:dyDescent="0.3">
      <c r="T1082" s="12"/>
      <c r="U1082" s="4"/>
      <c r="V1082" s="4"/>
      <c r="X1082" s="4"/>
      <c r="Y1082" s="4"/>
    </row>
    <row r="1083" spans="20:25" x14ac:dyDescent="0.3">
      <c r="T1083" s="12"/>
      <c r="U1083" s="4"/>
      <c r="V1083" s="4"/>
      <c r="X1083" s="4"/>
      <c r="Y1083" s="4"/>
    </row>
    <row r="1084" spans="20:25" x14ac:dyDescent="0.3">
      <c r="T1084" s="12"/>
      <c r="U1084" s="4"/>
      <c r="V1084" s="4"/>
      <c r="X1084" s="4"/>
      <c r="Y1084" s="4"/>
    </row>
    <row r="1085" spans="20:25" x14ac:dyDescent="0.3">
      <c r="T1085" s="12"/>
      <c r="U1085" s="4"/>
      <c r="V1085" s="4"/>
      <c r="X1085" s="4"/>
      <c r="Y1085" s="4"/>
    </row>
    <row r="1086" spans="20:25" x14ac:dyDescent="0.3">
      <c r="T1086" s="12"/>
      <c r="U1086" s="4"/>
      <c r="V1086" s="4"/>
      <c r="X1086" s="4"/>
      <c r="Y1086" s="4"/>
    </row>
    <row r="1087" spans="20:25" x14ac:dyDescent="0.3">
      <c r="T1087" s="12"/>
      <c r="U1087" s="4"/>
      <c r="V1087" s="4"/>
      <c r="X1087" s="4"/>
      <c r="Y1087" s="4"/>
    </row>
    <row r="1088" spans="20:25" x14ac:dyDescent="0.3">
      <c r="T1088" s="12"/>
      <c r="U1088" s="4"/>
      <c r="V1088" s="4"/>
      <c r="X1088" s="4"/>
      <c r="Y1088" s="4"/>
    </row>
    <row r="1089" spans="20:25" x14ac:dyDescent="0.3">
      <c r="T1089" s="12"/>
      <c r="U1089" s="4"/>
      <c r="V1089" s="4"/>
      <c r="X1089" s="4"/>
      <c r="Y1089" s="4"/>
    </row>
    <row r="1090" spans="20:25" x14ac:dyDescent="0.3">
      <c r="T1090" s="12"/>
      <c r="U1090" s="4"/>
      <c r="V1090" s="4"/>
      <c r="X1090" s="4"/>
      <c r="Y1090" s="4"/>
    </row>
    <row r="1091" spans="20:25" x14ac:dyDescent="0.3">
      <c r="T1091" s="12"/>
      <c r="U1091" s="4"/>
      <c r="V1091" s="4"/>
      <c r="X1091" s="4"/>
      <c r="Y1091" s="4"/>
    </row>
    <row r="1092" spans="20:25" x14ac:dyDescent="0.3">
      <c r="T1092" s="12"/>
      <c r="U1092" s="4"/>
      <c r="V1092" s="4"/>
      <c r="X1092" s="4"/>
      <c r="Y1092" s="4"/>
    </row>
    <row r="1093" spans="20:25" x14ac:dyDescent="0.3">
      <c r="T1093" s="12"/>
      <c r="U1093" s="4"/>
      <c r="V1093" s="4"/>
      <c r="X1093" s="4"/>
      <c r="Y1093" s="4"/>
    </row>
    <row r="1094" spans="20:25" x14ac:dyDescent="0.3">
      <c r="T1094" s="12"/>
      <c r="U1094" s="4"/>
      <c r="V1094" s="4"/>
      <c r="X1094" s="4"/>
      <c r="Y1094" s="4"/>
    </row>
    <row r="1095" spans="20:25" x14ac:dyDescent="0.3">
      <c r="T1095" s="12"/>
      <c r="U1095" s="4"/>
      <c r="V1095" s="4"/>
      <c r="X1095" s="4"/>
      <c r="Y1095" s="4"/>
    </row>
    <row r="1096" spans="20:25" x14ac:dyDescent="0.3">
      <c r="T1096" s="12"/>
      <c r="U1096" s="4"/>
      <c r="V1096" s="4"/>
      <c r="X1096" s="4"/>
      <c r="Y1096" s="4"/>
    </row>
    <row r="1097" spans="20:25" x14ac:dyDescent="0.3">
      <c r="T1097" s="12"/>
      <c r="U1097" s="4"/>
      <c r="V1097" s="4"/>
      <c r="X1097" s="4"/>
      <c r="Y1097" s="4"/>
    </row>
    <row r="1098" spans="20:25" x14ac:dyDescent="0.3">
      <c r="T1098" s="12"/>
      <c r="U1098" s="4"/>
      <c r="V1098" s="4"/>
      <c r="X1098" s="4"/>
      <c r="Y1098" s="4"/>
    </row>
    <row r="1099" spans="20:25" x14ac:dyDescent="0.3">
      <c r="T1099" s="12"/>
      <c r="U1099" s="4"/>
      <c r="V1099" s="4"/>
      <c r="X1099" s="4"/>
      <c r="Y1099" s="4"/>
    </row>
    <row r="1100" spans="20:25" x14ac:dyDescent="0.3">
      <c r="T1100" s="12"/>
      <c r="U1100" s="4"/>
      <c r="V1100" s="4"/>
      <c r="X1100" s="4"/>
      <c r="Y1100" s="4"/>
    </row>
    <row r="1101" spans="20:25" x14ac:dyDescent="0.3">
      <c r="T1101" s="12"/>
      <c r="U1101" s="4"/>
      <c r="V1101" s="4"/>
      <c r="X1101" s="4"/>
      <c r="Y1101" s="4"/>
    </row>
    <row r="1102" spans="20:25" x14ac:dyDescent="0.3">
      <c r="T1102" s="12"/>
      <c r="U1102" s="4"/>
      <c r="V1102" s="4"/>
      <c r="X1102" s="4"/>
      <c r="Y1102" s="4"/>
    </row>
    <row r="1103" spans="20:25" x14ac:dyDescent="0.3">
      <c r="T1103" s="12"/>
      <c r="U1103" s="4"/>
      <c r="V1103" s="4"/>
      <c r="X1103" s="4"/>
      <c r="Y1103" s="4"/>
    </row>
    <row r="1104" spans="20:25" x14ac:dyDescent="0.3">
      <c r="T1104" s="12"/>
      <c r="U1104" s="4"/>
      <c r="V1104" s="4"/>
      <c r="X1104" s="4"/>
      <c r="Y1104" s="4"/>
    </row>
    <row r="1105" spans="20:25" x14ac:dyDescent="0.3">
      <c r="T1105" s="12"/>
      <c r="U1105" s="4"/>
      <c r="V1105" s="4"/>
      <c r="X1105" s="4"/>
      <c r="Y1105" s="4"/>
    </row>
    <row r="1106" spans="20:25" x14ac:dyDescent="0.3">
      <c r="T1106" s="12"/>
      <c r="U1106" s="4"/>
      <c r="V1106" s="4"/>
      <c r="X1106" s="4"/>
      <c r="Y1106" s="4"/>
    </row>
    <row r="1107" spans="20:25" x14ac:dyDescent="0.3">
      <c r="T1107" s="12"/>
      <c r="U1107" s="4"/>
      <c r="V1107" s="4"/>
      <c r="X1107" s="4"/>
      <c r="Y1107" s="4"/>
    </row>
    <row r="1108" spans="20:25" x14ac:dyDescent="0.3">
      <c r="T1108" s="12"/>
      <c r="U1108" s="4"/>
      <c r="V1108" s="4"/>
      <c r="X1108" s="4"/>
      <c r="Y1108" s="4"/>
    </row>
    <row r="1109" spans="20:25" x14ac:dyDescent="0.3">
      <c r="T1109" s="12"/>
      <c r="U1109" s="4"/>
      <c r="V1109" s="4"/>
      <c r="X1109" s="4"/>
      <c r="Y1109" s="4"/>
    </row>
    <row r="1110" spans="20:25" x14ac:dyDescent="0.3">
      <c r="T1110" s="12"/>
      <c r="U1110" s="4"/>
      <c r="V1110" s="4"/>
      <c r="X1110" s="4"/>
      <c r="Y1110" s="4"/>
    </row>
    <row r="1111" spans="20:25" x14ac:dyDescent="0.3">
      <c r="T1111" s="12"/>
      <c r="U1111" s="4"/>
      <c r="V1111" s="4"/>
      <c r="X1111" s="4"/>
      <c r="Y1111" s="4"/>
    </row>
    <row r="1112" spans="20:25" x14ac:dyDescent="0.3">
      <c r="T1112" s="12"/>
      <c r="U1112" s="4"/>
      <c r="V1112" s="4"/>
      <c r="X1112" s="4"/>
      <c r="Y1112" s="4"/>
    </row>
    <row r="1113" spans="20:25" x14ac:dyDescent="0.3">
      <c r="T1113" s="12"/>
      <c r="U1113" s="4"/>
      <c r="V1113" s="4"/>
      <c r="X1113" s="4"/>
      <c r="Y1113" s="4"/>
    </row>
    <row r="1114" spans="20:25" x14ac:dyDescent="0.3">
      <c r="T1114" s="12"/>
      <c r="U1114" s="4"/>
      <c r="V1114" s="4"/>
      <c r="X1114" s="4"/>
      <c r="Y1114" s="4"/>
    </row>
    <row r="1115" spans="20:25" x14ac:dyDescent="0.3">
      <c r="T1115" s="12"/>
      <c r="U1115" s="4"/>
      <c r="V1115" s="4"/>
      <c r="X1115" s="4"/>
      <c r="Y1115" s="4"/>
    </row>
    <row r="1116" spans="20:25" x14ac:dyDescent="0.3">
      <c r="T1116" s="12"/>
      <c r="U1116" s="4"/>
      <c r="V1116" s="4"/>
      <c r="X1116" s="4"/>
      <c r="Y1116" s="4"/>
    </row>
    <row r="1117" spans="20:25" x14ac:dyDescent="0.3">
      <c r="T1117" s="12"/>
      <c r="U1117" s="4"/>
      <c r="V1117" s="4"/>
      <c r="X1117" s="4"/>
      <c r="Y1117" s="4"/>
    </row>
    <row r="1118" spans="20:25" x14ac:dyDescent="0.3">
      <c r="T1118" s="12"/>
      <c r="U1118" s="4"/>
      <c r="V1118" s="4"/>
      <c r="X1118" s="4"/>
      <c r="Y1118" s="4"/>
    </row>
    <row r="1119" spans="20:25" x14ac:dyDescent="0.3">
      <c r="T1119" s="12"/>
      <c r="U1119" s="4"/>
      <c r="V1119" s="4"/>
      <c r="X1119" s="4"/>
      <c r="Y1119" s="4"/>
    </row>
    <row r="1120" spans="20:25" x14ac:dyDescent="0.3">
      <c r="T1120" s="12"/>
      <c r="U1120" s="4"/>
      <c r="V1120" s="4"/>
      <c r="X1120" s="4"/>
      <c r="Y1120" s="4"/>
    </row>
    <row r="1121" spans="20:25" x14ac:dyDescent="0.3">
      <c r="T1121" s="12"/>
      <c r="U1121" s="4"/>
      <c r="V1121" s="4"/>
      <c r="X1121" s="4"/>
      <c r="Y1121" s="4"/>
    </row>
    <row r="1122" spans="20:25" x14ac:dyDescent="0.3">
      <c r="T1122" s="12"/>
      <c r="U1122" s="4"/>
      <c r="V1122" s="4"/>
      <c r="X1122" s="4"/>
      <c r="Y1122" s="4"/>
    </row>
    <row r="1123" spans="20:25" x14ac:dyDescent="0.3">
      <c r="T1123" s="12"/>
      <c r="U1123" s="4"/>
      <c r="V1123" s="4"/>
      <c r="X1123" s="4"/>
      <c r="Y1123" s="4"/>
    </row>
    <row r="1124" spans="20:25" x14ac:dyDescent="0.3">
      <c r="T1124" s="12"/>
      <c r="U1124" s="4"/>
      <c r="V1124" s="4"/>
      <c r="X1124" s="4"/>
      <c r="Y1124" s="4"/>
    </row>
    <row r="1125" spans="20:25" x14ac:dyDescent="0.3">
      <c r="T1125" s="12"/>
      <c r="U1125" s="4"/>
      <c r="V1125" s="4"/>
      <c r="X1125" s="4"/>
      <c r="Y1125" s="4"/>
    </row>
    <row r="1126" spans="20:25" x14ac:dyDescent="0.3">
      <c r="T1126" s="12"/>
      <c r="U1126" s="4"/>
      <c r="V1126" s="4"/>
      <c r="X1126" s="4"/>
      <c r="Y1126" s="4"/>
    </row>
    <row r="1127" spans="20:25" x14ac:dyDescent="0.3">
      <c r="T1127" s="12"/>
      <c r="U1127" s="4"/>
      <c r="V1127" s="4"/>
      <c r="X1127" s="4"/>
      <c r="Y1127" s="4"/>
    </row>
    <row r="1128" spans="20:25" x14ac:dyDescent="0.3">
      <c r="T1128" s="12"/>
      <c r="U1128" s="4"/>
      <c r="V1128" s="4"/>
      <c r="X1128" s="4"/>
      <c r="Y1128" s="4"/>
    </row>
    <row r="1129" spans="20:25" x14ac:dyDescent="0.3">
      <c r="T1129" s="12"/>
      <c r="U1129" s="4"/>
      <c r="V1129" s="4"/>
      <c r="X1129" s="4"/>
      <c r="Y1129" s="4"/>
    </row>
    <row r="1130" spans="20:25" x14ac:dyDescent="0.3">
      <c r="T1130" s="12"/>
      <c r="U1130" s="4"/>
      <c r="V1130" s="4"/>
      <c r="X1130" s="4"/>
      <c r="Y1130" s="4"/>
    </row>
    <row r="1131" spans="20:25" x14ac:dyDescent="0.3">
      <c r="T1131" s="12"/>
      <c r="U1131" s="4"/>
      <c r="V1131" s="4"/>
      <c r="X1131" s="4"/>
      <c r="Y1131" s="4"/>
    </row>
    <row r="1132" spans="20:25" x14ac:dyDescent="0.3">
      <c r="T1132" s="12"/>
      <c r="U1132" s="4"/>
      <c r="V1132" s="4"/>
      <c r="X1132" s="4"/>
      <c r="Y1132" s="4"/>
    </row>
    <row r="1133" spans="20:25" x14ac:dyDescent="0.3">
      <c r="T1133" s="12"/>
      <c r="U1133" s="4"/>
      <c r="V1133" s="4"/>
      <c r="X1133" s="4"/>
      <c r="Y1133" s="4"/>
    </row>
    <row r="1134" spans="20:25" x14ac:dyDescent="0.3">
      <c r="T1134" s="12"/>
      <c r="U1134" s="4"/>
      <c r="V1134" s="4"/>
      <c r="X1134" s="4"/>
      <c r="Y1134" s="4"/>
    </row>
    <row r="1135" spans="20:25" x14ac:dyDescent="0.3">
      <c r="T1135" s="12"/>
      <c r="U1135" s="4"/>
      <c r="V1135" s="4"/>
      <c r="X1135" s="4"/>
      <c r="Y1135" s="4"/>
    </row>
    <row r="1136" spans="20:25" x14ac:dyDescent="0.3">
      <c r="T1136" s="12"/>
      <c r="U1136" s="4"/>
      <c r="V1136" s="4"/>
      <c r="X1136" s="4"/>
      <c r="Y1136" s="4"/>
    </row>
    <row r="1137" spans="20:25" x14ac:dyDescent="0.3">
      <c r="T1137" s="12"/>
      <c r="U1137" s="4"/>
      <c r="V1137" s="4"/>
      <c r="X1137" s="4"/>
      <c r="Y1137" s="4"/>
    </row>
    <row r="1138" spans="20:25" x14ac:dyDescent="0.3">
      <c r="T1138" s="12"/>
      <c r="U1138" s="4"/>
      <c r="V1138" s="4"/>
      <c r="X1138" s="4"/>
      <c r="Y1138" s="4"/>
    </row>
    <row r="1139" spans="20:25" x14ac:dyDescent="0.3">
      <c r="T1139" s="12"/>
      <c r="U1139" s="4"/>
      <c r="V1139" s="4"/>
      <c r="X1139" s="4"/>
      <c r="Y1139" s="4"/>
    </row>
    <row r="1140" spans="20:25" x14ac:dyDescent="0.3">
      <c r="T1140" s="12"/>
      <c r="U1140" s="4"/>
      <c r="V1140" s="4"/>
      <c r="X1140" s="4"/>
      <c r="Y1140" s="4"/>
    </row>
    <row r="1141" spans="20:25" x14ac:dyDescent="0.3">
      <c r="T1141" s="12"/>
      <c r="U1141" s="4"/>
      <c r="V1141" s="4"/>
      <c r="X1141" s="4"/>
      <c r="Y1141" s="4"/>
    </row>
    <row r="1142" spans="20:25" x14ac:dyDescent="0.3">
      <c r="T1142" s="12"/>
      <c r="U1142" s="4"/>
      <c r="V1142" s="4"/>
      <c r="X1142" s="4"/>
      <c r="Y1142" s="4"/>
    </row>
    <row r="1143" spans="20:25" x14ac:dyDescent="0.3">
      <c r="T1143" s="12"/>
      <c r="U1143" s="4"/>
      <c r="V1143" s="4"/>
      <c r="X1143" s="4"/>
      <c r="Y1143" s="4"/>
    </row>
    <row r="1144" spans="20:25" x14ac:dyDescent="0.3">
      <c r="T1144" s="12"/>
      <c r="U1144" s="4"/>
      <c r="V1144" s="4"/>
      <c r="X1144" s="4"/>
      <c r="Y1144" s="4"/>
    </row>
    <row r="1145" spans="20:25" x14ac:dyDescent="0.3">
      <c r="T1145" s="12"/>
      <c r="U1145" s="4"/>
      <c r="V1145" s="4"/>
      <c r="X1145" s="4"/>
      <c r="Y1145" s="4"/>
    </row>
    <row r="1146" spans="20:25" x14ac:dyDescent="0.3">
      <c r="T1146" s="12"/>
      <c r="U1146" s="4"/>
      <c r="V1146" s="4"/>
      <c r="X1146" s="4"/>
      <c r="Y1146" s="4"/>
    </row>
    <row r="1147" spans="20:25" x14ac:dyDescent="0.3">
      <c r="T1147" s="12"/>
      <c r="U1147" s="4"/>
      <c r="V1147" s="4"/>
      <c r="X1147" s="4"/>
      <c r="Y1147" s="4"/>
    </row>
    <row r="1148" spans="20:25" x14ac:dyDescent="0.3">
      <c r="T1148" s="12"/>
      <c r="U1148" s="4"/>
      <c r="V1148" s="4"/>
      <c r="X1148" s="4"/>
      <c r="Y1148" s="4"/>
    </row>
    <row r="1149" spans="20:25" x14ac:dyDescent="0.3">
      <c r="T1149" s="12"/>
      <c r="U1149" s="4"/>
      <c r="V1149" s="4"/>
      <c r="X1149" s="4"/>
      <c r="Y1149" s="4"/>
    </row>
    <row r="1150" spans="20:25" x14ac:dyDescent="0.3">
      <c r="T1150" s="12"/>
      <c r="U1150" s="4"/>
      <c r="V1150" s="4"/>
      <c r="X1150" s="4"/>
      <c r="Y1150" s="4"/>
    </row>
    <row r="1151" spans="20:25" x14ac:dyDescent="0.3">
      <c r="T1151" s="12"/>
      <c r="U1151" s="4"/>
      <c r="V1151" s="4"/>
      <c r="X1151" s="4"/>
      <c r="Y1151" s="4"/>
    </row>
    <row r="1152" spans="20:25" x14ac:dyDescent="0.3">
      <c r="T1152" s="12"/>
      <c r="U1152" s="4"/>
      <c r="V1152" s="4"/>
      <c r="X1152" s="4"/>
      <c r="Y1152" s="4"/>
    </row>
    <row r="1153" spans="20:25" x14ac:dyDescent="0.3">
      <c r="T1153" s="12"/>
      <c r="U1153" s="4"/>
      <c r="V1153" s="4"/>
      <c r="X1153" s="4"/>
      <c r="Y1153" s="4"/>
    </row>
    <row r="1154" spans="20:25" x14ac:dyDescent="0.3">
      <c r="T1154" s="12"/>
      <c r="U1154" s="4"/>
      <c r="V1154" s="4"/>
      <c r="X1154" s="4"/>
      <c r="Y1154" s="4"/>
    </row>
    <row r="1155" spans="20:25" x14ac:dyDescent="0.3">
      <c r="T1155" s="12"/>
      <c r="U1155" s="4"/>
      <c r="V1155" s="4"/>
      <c r="X1155" s="4"/>
      <c r="Y1155" s="4"/>
    </row>
    <row r="1156" spans="20:25" x14ac:dyDescent="0.3">
      <c r="T1156" s="12"/>
      <c r="U1156" s="4"/>
      <c r="V1156" s="4"/>
      <c r="X1156" s="4"/>
      <c r="Y1156" s="4"/>
    </row>
    <row r="1157" spans="20:25" x14ac:dyDescent="0.3">
      <c r="T1157" s="12"/>
      <c r="U1157" s="4"/>
      <c r="V1157" s="4"/>
      <c r="X1157" s="4"/>
      <c r="Y1157" s="4"/>
    </row>
    <row r="1158" spans="20:25" x14ac:dyDescent="0.3">
      <c r="T1158" s="12"/>
      <c r="U1158" s="4"/>
      <c r="V1158" s="4"/>
      <c r="X1158" s="4"/>
      <c r="Y1158" s="4"/>
    </row>
    <row r="1159" spans="20:25" x14ac:dyDescent="0.3">
      <c r="T1159" s="12"/>
      <c r="U1159" s="4"/>
      <c r="V1159" s="4"/>
      <c r="X1159" s="4"/>
      <c r="Y1159" s="4"/>
    </row>
    <row r="1160" spans="20:25" x14ac:dyDescent="0.3">
      <c r="T1160" s="12"/>
      <c r="U1160" s="4"/>
      <c r="V1160" s="4"/>
      <c r="X1160" s="4"/>
      <c r="Y1160" s="4"/>
    </row>
    <row r="1161" spans="20:25" x14ac:dyDescent="0.3">
      <c r="T1161" s="12"/>
      <c r="U1161" s="4"/>
      <c r="V1161" s="4"/>
      <c r="X1161" s="4"/>
      <c r="Y1161" s="4"/>
    </row>
    <row r="1162" spans="20:25" x14ac:dyDescent="0.3">
      <c r="T1162" s="12"/>
      <c r="U1162" s="4"/>
      <c r="V1162" s="4"/>
      <c r="X1162" s="4"/>
      <c r="Y1162" s="4"/>
    </row>
    <row r="1163" spans="20:25" x14ac:dyDescent="0.3">
      <c r="T1163" s="12"/>
      <c r="U1163" s="4"/>
      <c r="V1163" s="4"/>
      <c r="X1163" s="4"/>
      <c r="Y1163" s="4"/>
    </row>
    <row r="1164" spans="20:25" x14ac:dyDescent="0.3">
      <c r="T1164" s="12"/>
      <c r="U1164" s="4"/>
      <c r="V1164" s="4"/>
      <c r="X1164" s="4"/>
      <c r="Y1164" s="4"/>
    </row>
    <row r="1165" spans="20:25" x14ac:dyDescent="0.3">
      <c r="T1165" s="12"/>
      <c r="U1165" s="4"/>
      <c r="V1165" s="4"/>
      <c r="X1165" s="4"/>
      <c r="Y1165" s="4"/>
    </row>
    <row r="1166" spans="20:25" x14ac:dyDescent="0.3">
      <c r="T1166" s="12"/>
      <c r="U1166" s="4"/>
      <c r="V1166" s="4"/>
      <c r="X1166" s="4"/>
      <c r="Y1166" s="4"/>
    </row>
    <row r="1167" spans="20:25" x14ac:dyDescent="0.3">
      <c r="T1167" s="12"/>
      <c r="U1167" s="4"/>
      <c r="V1167" s="4"/>
      <c r="X1167" s="4"/>
      <c r="Y1167" s="4"/>
    </row>
    <row r="1168" spans="20:25" x14ac:dyDescent="0.3">
      <c r="T1168" s="12"/>
      <c r="U1168" s="4"/>
      <c r="V1168" s="4"/>
      <c r="X1168" s="4"/>
      <c r="Y1168" s="4"/>
    </row>
    <row r="1169" spans="20:25" x14ac:dyDescent="0.3">
      <c r="T1169" s="12"/>
      <c r="U1169" s="4"/>
      <c r="V1169" s="4"/>
      <c r="X1169" s="4"/>
      <c r="Y1169" s="4"/>
    </row>
    <row r="1170" spans="20:25" x14ac:dyDescent="0.3">
      <c r="T1170" s="12"/>
      <c r="U1170" s="4"/>
      <c r="V1170" s="4"/>
      <c r="X1170" s="4"/>
      <c r="Y1170" s="4"/>
    </row>
    <row r="1171" spans="20:25" x14ac:dyDescent="0.3">
      <c r="T1171" s="12"/>
      <c r="U1171" s="4"/>
      <c r="V1171" s="4"/>
      <c r="X1171" s="4"/>
      <c r="Y1171" s="4"/>
    </row>
    <row r="1172" spans="20:25" x14ac:dyDescent="0.3">
      <c r="T1172" s="12"/>
      <c r="U1172" s="4"/>
      <c r="V1172" s="4"/>
      <c r="X1172" s="4"/>
      <c r="Y1172" s="4"/>
    </row>
    <row r="1173" spans="20:25" x14ac:dyDescent="0.3">
      <c r="T1173" s="12"/>
      <c r="U1173" s="4"/>
      <c r="V1173" s="4"/>
      <c r="X1173" s="4"/>
      <c r="Y1173" s="4"/>
    </row>
    <row r="1174" spans="20:25" x14ac:dyDescent="0.3">
      <c r="T1174" s="12"/>
      <c r="U1174" s="4"/>
      <c r="V1174" s="4"/>
      <c r="X1174" s="4"/>
      <c r="Y1174" s="4"/>
    </row>
    <row r="1175" spans="20:25" x14ac:dyDescent="0.3">
      <c r="T1175" s="12"/>
      <c r="U1175" s="4"/>
      <c r="V1175" s="4"/>
      <c r="X1175" s="4"/>
      <c r="Y1175" s="4"/>
    </row>
    <row r="1176" spans="20:25" x14ac:dyDescent="0.3">
      <c r="T1176" s="12"/>
      <c r="U1176" s="4"/>
      <c r="V1176" s="4"/>
      <c r="X1176" s="4"/>
      <c r="Y1176" s="4"/>
    </row>
    <row r="1177" spans="20:25" x14ac:dyDescent="0.3">
      <c r="T1177" s="12"/>
      <c r="U1177" s="4"/>
      <c r="V1177" s="4"/>
      <c r="X1177" s="4"/>
      <c r="Y1177" s="4"/>
    </row>
    <row r="1178" spans="20:25" x14ac:dyDescent="0.3">
      <c r="T1178" s="12"/>
      <c r="U1178" s="4"/>
      <c r="V1178" s="4"/>
      <c r="X1178" s="4"/>
      <c r="Y1178" s="4"/>
    </row>
    <row r="1179" spans="20:25" x14ac:dyDescent="0.3">
      <c r="T1179" s="12"/>
      <c r="U1179" s="4"/>
      <c r="V1179" s="4"/>
      <c r="X1179" s="4"/>
      <c r="Y1179" s="4"/>
    </row>
    <row r="1180" spans="20:25" x14ac:dyDescent="0.3">
      <c r="T1180" s="12"/>
      <c r="U1180" s="4"/>
      <c r="V1180" s="4"/>
      <c r="X1180" s="4"/>
      <c r="Y1180" s="4"/>
    </row>
    <row r="1181" spans="20:25" x14ac:dyDescent="0.3">
      <c r="T1181" s="12"/>
      <c r="U1181" s="4"/>
      <c r="V1181" s="4"/>
      <c r="X1181" s="4"/>
      <c r="Y1181" s="4"/>
    </row>
    <row r="1182" spans="20:25" x14ac:dyDescent="0.3">
      <c r="T1182" s="12"/>
      <c r="U1182" s="4"/>
      <c r="V1182" s="4"/>
      <c r="X1182" s="4"/>
      <c r="Y1182" s="4"/>
    </row>
    <row r="1183" spans="20:25" x14ac:dyDescent="0.3">
      <c r="T1183" s="12"/>
      <c r="U1183" s="4"/>
      <c r="V1183" s="4"/>
      <c r="X1183" s="4"/>
      <c r="Y1183" s="4"/>
    </row>
    <row r="1184" spans="20:25" x14ac:dyDescent="0.3">
      <c r="T1184" s="12"/>
      <c r="U1184" s="4"/>
      <c r="V1184" s="4"/>
      <c r="X1184" s="4"/>
      <c r="Y1184" s="4"/>
    </row>
    <row r="1185" spans="20:25" x14ac:dyDescent="0.3">
      <c r="T1185" s="12"/>
      <c r="U1185" s="4"/>
      <c r="V1185" s="4"/>
      <c r="X1185" s="4"/>
      <c r="Y1185" s="4"/>
    </row>
    <row r="1186" spans="20:25" x14ac:dyDescent="0.3">
      <c r="T1186" s="12"/>
      <c r="U1186" s="4"/>
      <c r="V1186" s="4"/>
      <c r="X1186" s="4"/>
      <c r="Y1186" s="4"/>
    </row>
    <row r="1187" spans="20:25" x14ac:dyDescent="0.3">
      <c r="T1187" s="12"/>
      <c r="U1187" s="4"/>
      <c r="V1187" s="4"/>
      <c r="X1187" s="4"/>
      <c r="Y1187" s="4"/>
    </row>
    <row r="1188" spans="20:25" x14ac:dyDescent="0.3">
      <c r="T1188" s="12"/>
      <c r="U1188" s="4"/>
      <c r="V1188" s="4"/>
      <c r="X1188" s="4"/>
      <c r="Y1188" s="4"/>
    </row>
    <row r="1189" spans="20:25" x14ac:dyDescent="0.3">
      <c r="T1189" s="12"/>
      <c r="U1189" s="4"/>
      <c r="V1189" s="4"/>
      <c r="X1189" s="4"/>
      <c r="Y1189" s="4"/>
    </row>
    <row r="1190" spans="20:25" x14ac:dyDescent="0.3">
      <c r="T1190" s="12"/>
      <c r="U1190" s="4"/>
      <c r="V1190" s="4"/>
      <c r="X1190" s="4"/>
      <c r="Y1190" s="4"/>
    </row>
    <row r="1191" spans="20:25" x14ac:dyDescent="0.3">
      <c r="T1191" s="12"/>
      <c r="U1191" s="4"/>
      <c r="V1191" s="4"/>
      <c r="X1191" s="4"/>
      <c r="Y1191" s="4"/>
    </row>
    <row r="1192" spans="20:25" x14ac:dyDescent="0.3">
      <c r="T1192" s="12"/>
      <c r="U1192" s="4"/>
      <c r="V1192" s="4"/>
      <c r="X1192" s="4"/>
      <c r="Y1192" s="4"/>
    </row>
    <row r="1193" spans="20:25" x14ac:dyDescent="0.3">
      <c r="T1193" s="12"/>
      <c r="U1193" s="4"/>
      <c r="V1193" s="4"/>
      <c r="X1193" s="4"/>
      <c r="Y1193" s="4"/>
    </row>
    <row r="1194" spans="20:25" x14ac:dyDescent="0.3">
      <c r="T1194" s="12"/>
      <c r="U1194" s="4"/>
      <c r="V1194" s="4"/>
      <c r="X1194" s="4"/>
      <c r="Y1194" s="4"/>
    </row>
    <row r="1195" spans="20:25" x14ac:dyDescent="0.3">
      <c r="T1195" s="12"/>
      <c r="U1195" s="4"/>
      <c r="V1195" s="4"/>
      <c r="X1195" s="4"/>
      <c r="Y1195" s="4"/>
    </row>
    <row r="1196" spans="20:25" x14ac:dyDescent="0.3">
      <c r="T1196" s="12"/>
      <c r="U1196" s="4"/>
      <c r="V1196" s="4"/>
      <c r="X1196" s="4"/>
      <c r="Y1196" s="4"/>
    </row>
    <row r="1197" spans="20:25" x14ac:dyDescent="0.3">
      <c r="T1197" s="12"/>
      <c r="U1197" s="4"/>
      <c r="V1197" s="4"/>
      <c r="X1197" s="4"/>
      <c r="Y1197" s="4"/>
    </row>
    <row r="1198" spans="20:25" x14ac:dyDescent="0.3">
      <c r="T1198" s="12"/>
      <c r="U1198" s="4"/>
      <c r="V1198" s="4"/>
      <c r="X1198" s="4"/>
      <c r="Y1198" s="4"/>
    </row>
    <row r="1199" spans="20:25" x14ac:dyDescent="0.3">
      <c r="T1199" s="12"/>
      <c r="U1199" s="4"/>
      <c r="V1199" s="4"/>
      <c r="X1199" s="4"/>
      <c r="Y1199" s="4"/>
    </row>
    <row r="1200" spans="20:25" x14ac:dyDescent="0.3">
      <c r="T1200" s="12"/>
      <c r="U1200" s="4"/>
      <c r="V1200" s="4"/>
      <c r="X1200" s="4"/>
      <c r="Y1200" s="4"/>
    </row>
    <row r="1201" spans="20:25" x14ac:dyDescent="0.3">
      <c r="T1201" s="12"/>
      <c r="U1201" s="4"/>
      <c r="V1201" s="4"/>
      <c r="X1201" s="4"/>
      <c r="Y1201" s="4"/>
    </row>
    <row r="1202" spans="20:25" x14ac:dyDescent="0.3">
      <c r="T1202" s="12"/>
      <c r="U1202" s="4"/>
      <c r="V1202" s="4"/>
      <c r="X1202" s="4"/>
      <c r="Y1202" s="4"/>
    </row>
    <row r="1203" spans="20:25" x14ac:dyDescent="0.3">
      <c r="T1203" s="12"/>
      <c r="U1203" s="4"/>
      <c r="V1203" s="4"/>
      <c r="X1203" s="4"/>
      <c r="Y1203" s="4"/>
    </row>
    <row r="1204" spans="20:25" x14ac:dyDescent="0.3">
      <c r="T1204" s="12"/>
      <c r="U1204" s="4"/>
      <c r="V1204" s="4"/>
      <c r="X1204" s="4"/>
      <c r="Y1204" s="4"/>
    </row>
    <row r="1205" spans="20:25" x14ac:dyDescent="0.3">
      <c r="T1205" s="12"/>
      <c r="U1205" s="4"/>
      <c r="V1205" s="4"/>
      <c r="X1205" s="4"/>
      <c r="Y1205" s="4"/>
    </row>
    <row r="1206" spans="20:25" x14ac:dyDescent="0.3">
      <c r="T1206" s="12"/>
      <c r="U1206" s="4"/>
      <c r="V1206" s="4"/>
      <c r="X1206" s="4"/>
      <c r="Y1206" s="4"/>
    </row>
    <row r="1207" spans="20:25" x14ac:dyDescent="0.3">
      <c r="T1207" s="12"/>
      <c r="U1207" s="4"/>
      <c r="V1207" s="4"/>
      <c r="X1207" s="4"/>
      <c r="Y1207" s="4"/>
    </row>
    <row r="1208" spans="20:25" x14ac:dyDescent="0.3">
      <c r="T1208" s="12"/>
      <c r="U1208" s="4"/>
      <c r="V1208" s="4"/>
      <c r="X1208" s="4"/>
      <c r="Y1208" s="4"/>
    </row>
    <row r="1209" spans="20:25" x14ac:dyDescent="0.3">
      <c r="T1209" s="12"/>
      <c r="U1209" s="4"/>
      <c r="V1209" s="4"/>
      <c r="X1209" s="4"/>
      <c r="Y1209" s="4"/>
    </row>
    <row r="1210" spans="20:25" x14ac:dyDescent="0.3">
      <c r="T1210" s="12"/>
      <c r="U1210" s="4"/>
      <c r="V1210" s="4"/>
      <c r="X1210" s="4"/>
      <c r="Y1210" s="4"/>
    </row>
    <row r="1211" spans="20:25" x14ac:dyDescent="0.3">
      <c r="T1211" s="12"/>
      <c r="U1211" s="4"/>
      <c r="V1211" s="4"/>
      <c r="X1211" s="4"/>
      <c r="Y1211" s="4"/>
    </row>
    <row r="1212" spans="20:25" x14ac:dyDescent="0.3">
      <c r="T1212" s="12"/>
      <c r="U1212" s="4"/>
      <c r="V1212" s="4"/>
      <c r="X1212" s="4"/>
      <c r="Y1212" s="4"/>
    </row>
    <row r="1213" spans="20:25" x14ac:dyDescent="0.3">
      <c r="T1213" s="12"/>
      <c r="U1213" s="4"/>
      <c r="V1213" s="4"/>
      <c r="X1213" s="4"/>
      <c r="Y1213" s="4"/>
    </row>
    <row r="1214" spans="20:25" x14ac:dyDescent="0.3">
      <c r="T1214" s="12"/>
      <c r="U1214" s="4"/>
      <c r="V1214" s="4"/>
      <c r="X1214" s="4"/>
      <c r="Y1214" s="4"/>
    </row>
    <row r="1215" spans="20:25" x14ac:dyDescent="0.3">
      <c r="T1215" s="12"/>
      <c r="U1215" s="4"/>
      <c r="V1215" s="4"/>
      <c r="X1215" s="4"/>
      <c r="Y1215" s="4"/>
    </row>
    <row r="1216" spans="20:25" x14ac:dyDescent="0.3">
      <c r="T1216" s="12"/>
      <c r="U1216" s="4"/>
      <c r="V1216" s="4"/>
      <c r="X1216" s="4"/>
      <c r="Y1216" s="4"/>
    </row>
    <row r="1217" spans="20:25" x14ac:dyDescent="0.3">
      <c r="T1217" s="12"/>
      <c r="U1217" s="4"/>
      <c r="V1217" s="4"/>
      <c r="X1217" s="4"/>
      <c r="Y1217" s="4"/>
    </row>
    <row r="1218" spans="20:25" x14ac:dyDescent="0.3">
      <c r="T1218" s="12"/>
      <c r="U1218" s="4"/>
      <c r="V1218" s="4"/>
      <c r="X1218" s="4"/>
      <c r="Y1218" s="4"/>
    </row>
    <row r="1219" spans="20:25" x14ac:dyDescent="0.3">
      <c r="T1219" s="12"/>
      <c r="U1219" s="4"/>
      <c r="V1219" s="4"/>
      <c r="X1219" s="4"/>
      <c r="Y1219" s="4"/>
    </row>
    <row r="1220" spans="20:25" x14ac:dyDescent="0.3">
      <c r="T1220" s="12"/>
      <c r="U1220" s="4"/>
      <c r="V1220" s="4"/>
      <c r="X1220" s="4"/>
      <c r="Y1220" s="4"/>
    </row>
    <row r="1221" spans="20:25" x14ac:dyDescent="0.3">
      <c r="T1221" s="12"/>
      <c r="U1221" s="4"/>
      <c r="V1221" s="4"/>
      <c r="X1221" s="4"/>
      <c r="Y1221" s="4"/>
    </row>
    <row r="1222" spans="20:25" x14ac:dyDescent="0.3">
      <c r="T1222" s="12"/>
      <c r="U1222" s="4"/>
      <c r="V1222" s="4"/>
      <c r="X1222" s="4"/>
      <c r="Y1222" s="4"/>
    </row>
    <row r="1223" spans="20:25" x14ac:dyDescent="0.3">
      <c r="T1223" s="12"/>
      <c r="U1223" s="4"/>
      <c r="V1223" s="4"/>
      <c r="X1223" s="4"/>
      <c r="Y1223" s="4"/>
    </row>
    <row r="1224" spans="20:25" x14ac:dyDescent="0.3">
      <c r="T1224" s="12"/>
      <c r="U1224" s="4"/>
      <c r="V1224" s="4"/>
      <c r="X1224" s="4"/>
      <c r="Y1224" s="4"/>
    </row>
    <row r="1225" spans="20:25" x14ac:dyDescent="0.3">
      <c r="T1225" s="12"/>
      <c r="U1225" s="4"/>
      <c r="V1225" s="4"/>
      <c r="X1225" s="4"/>
      <c r="Y1225" s="4"/>
    </row>
    <row r="1226" spans="20:25" x14ac:dyDescent="0.3">
      <c r="T1226" s="12"/>
      <c r="U1226" s="4"/>
      <c r="V1226" s="4"/>
      <c r="X1226" s="4"/>
      <c r="Y1226" s="4"/>
    </row>
    <row r="1227" spans="20:25" x14ac:dyDescent="0.3">
      <c r="T1227" s="12"/>
      <c r="U1227" s="4"/>
      <c r="V1227" s="4"/>
      <c r="X1227" s="4"/>
      <c r="Y1227" s="4"/>
    </row>
    <row r="1228" spans="20:25" x14ac:dyDescent="0.3">
      <c r="T1228" s="12"/>
      <c r="U1228" s="4"/>
      <c r="V1228" s="4"/>
      <c r="X1228" s="4"/>
      <c r="Y1228" s="4"/>
    </row>
    <row r="1229" spans="20:25" x14ac:dyDescent="0.3">
      <c r="T1229" s="12"/>
      <c r="U1229" s="4"/>
      <c r="V1229" s="4"/>
      <c r="X1229" s="4"/>
      <c r="Y1229" s="4"/>
    </row>
    <row r="1230" spans="20:25" x14ac:dyDescent="0.3">
      <c r="T1230" s="12"/>
      <c r="U1230" s="4"/>
      <c r="V1230" s="4"/>
      <c r="X1230" s="4"/>
      <c r="Y1230" s="4"/>
    </row>
    <row r="1231" spans="20:25" x14ac:dyDescent="0.3">
      <c r="T1231" s="12"/>
      <c r="U1231" s="4"/>
      <c r="V1231" s="4"/>
      <c r="X1231" s="4"/>
      <c r="Y1231" s="4"/>
    </row>
    <row r="1232" spans="20:25" x14ac:dyDescent="0.3">
      <c r="T1232" s="12"/>
      <c r="U1232" s="4"/>
      <c r="V1232" s="4"/>
      <c r="X1232" s="4"/>
      <c r="Y1232" s="4"/>
    </row>
    <row r="1233" spans="20:25" x14ac:dyDescent="0.3">
      <c r="T1233" s="12"/>
      <c r="U1233" s="4"/>
      <c r="V1233" s="4"/>
      <c r="X1233" s="4"/>
      <c r="Y1233" s="4"/>
    </row>
    <row r="1234" spans="20:25" x14ac:dyDescent="0.3">
      <c r="T1234" s="12"/>
      <c r="U1234" s="4"/>
      <c r="V1234" s="4"/>
      <c r="X1234" s="4"/>
      <c r="Y1234" s="4"/>
    </row>
    <row r="1235" spans="20:25" x14ac:dyDescent="0.3">
      <c r="T1235" s="12"/>
      <c r="U1235" s="4"/>
      <c r="V1235" s="4"/>
      <c r="X1235" s="4"/>
      <c r="Y1235" s="4"/>
    </row>
    <row r="1236" spans="20:25" x14ac:dyDescent="0.3">
      <c r="T1236" s="12"/>
      <c r="U1236" s="4"/>
      <c r="V1236" s="4"/>
      <c r="X1236" s="4"/>
      <c r="Y1236" s="4"/>
    </row>
    <row r="1237" spans="20:25" x14ac:dyDescent="0.3">
      <c r="T1237" s="12"/>
      <c r="U1237" s="4"/>
      <c r="V1237" s="4"/>
      <c r="X1237" s="4"/>
      <c r="Y1237" s="4"/>
    </row>
    <row r="1238" spans="20:25" x14ac:dyDescent="0.3">
      <c r="T1238" s="12"/>
      <c r="U1238" s="4"/>
      <c r="V1238" s="4"/>
      <c r="X1238" s="4"/>
      <c r="Y1238" s="4"/>
    </row>
    <row r="1239" spans="20:25" x14ac:dyDescent="0.3">
      <c r="T1239" s="12"/>
      <c r="U1239" s="4"/>
      <c r="V1239" s="4"/>
      <c r="X1239" s="4"/>
      <c r="Y1239" s="4"/>
    </row>
    <row r="1240" spans="20:25" x14ac:dyDescent="0.3">
      <c r="T1240" s="12"/>
      <c r="U1240" s="4"/>
      <c r="V1240" s="4"/>
      <c r="X1240" s="4"/>
      <c r="Y1240" s="4"/>
    </row>
    <row r="1241" spans="20:25" x14ac:dyDescent="0.3">
      <c r="T1241" s="12"/>
      <c r="U1241" s="4"/>
      <c r="V1241" s="4"/>
      <c r="X1241" s="4"/>
      <c r="Y1241" s="4"/>
    </row>
    <row r="1242" spans="20:25" x14ac:dyDescent="0.3">
      <c r="T1242" s="12"/>
      <c r="U1242" s="4"/>
      <c r="V1242" s="4"/>
      <c r="X1242" s="4"/>
      <c r="Y1242" s="4"/>
    </row>
    <row r="1243" spans="20:25" x14ac:dyDescent="0.3">
      <c r="T1243" s="12"/>
      <c r="U1243" s="4"/>
      <c r="V1243" s="4"/>
      <c r="X1243" s="4"/>
      <c r="Y1243" s="4"/>
    </row>
    <row r="1244" spans="20:25" x14ac:dyDescent="0.3">
      <c r="T1244" s="12"/>
      <c r="U1244" s="4"/>
      <c r="V1244" s="4"/>
      <c r="X1244" s="4"/>
      <c r="Y1244" s="4"/>
    </row>
    <row r="1245" spans="20:25" x14ac:dyDescent="0.3">
      <c r="T1245" s="12"/>
      <c r="U1245" s="4"/>
      <c r="V1245" s="4"/>
      <c r="X1245" s="4"/>
      <c r="Y1245" s="4"/>
    </row>
    <row r="1246" spans="20:25" x14ac:dyDescent="0.3">
      <c r="T1246" s="12"/>
      <c r="U1246" s="4"/>
      <c r="V1246" s="4"/>
      <c r="X1246" s="4"/>
      <c r="Y1246" s="4"/>
    </row>
    <row r="1247" spans="20:25" x14ac:dyDescent="0.3">
      <c r="T1247" s="12"/>
      <c r="U1247" s="4"/>
      <c r="V1247" s="4"/>
      <c r="X1247" s="4"/>
      <c r="Y1247" s="4"/>
    </row>
    <row r="1248" spans="20:25" x14ac:dyDescent="0.3">
      <c r="T1248" s="12"/>
      <c r="U1248" s="4"/>
      <c r="V1248" s="4"/>
      <c r="X1248" s="4"/>
      <c r="Y1248" s="4"/>
    </row>
    <row r="1249" spans="20:25" x14ac:dyDescent="0.3">
      <c r="T1249" s="12"/>
      <c r="U1249" s="4"/>
      <c r="V1249" s="4"/>
      <c r="X1249" s="4"/>
      <c r="Y1249" s="4"/>
    </row>
    <row r="1250" spans="20:25" x14ac:dyDescent="0.3">
      <c r="T1250" s="12"/>
      <c r="U1250" s="4"/>
      <c r="V1250" s="4"/>
      <c r="X1250" s="4"/>
      <c r="Y1250" s="4"/>
    </row>
    <row r="1251" spans="20:25" x14ac:dyDescent="0.3">
      <c r="T1251" s="12"/>
      <c r="U1251" s="4"/>
      <c r="V1251" s="4"/>
      <c r="X1251" s="4"/>
      <c r="Y1251" s="4"/>
    </row>
    <row r="1252" spans="20:25" x14ac:dyDescent="0.3">
      <c r="T1252" s="12"/>
      <c r="U1252" s="4"/>
      <c r="V1252" s="4"/>
      <c r="X1252" s="4"/>
      <c r="Y1252" s="4"/>
    </row>
    <row r="1253" spans="20:25" x14ac:dyDescent="0.3">
      <c r="T1253" s="12"/>
      <c r="U1253" s="4"/>
      <c r="V1253" s="4"/>
      <c r="X1253" s="4"/>
      <c r="Y1253" s="4"/>
    </row>
    <row r="1254" spans="20:25" x14ac:dyDescent="0.3">
      <c r="T1254" s="12"/>
      <c r="U1254" s="4"/>
      <c r="V1254" s="4"/>
      <c r="X1254" s="4"/>
      <c r="Y1254" s="4"/>
    </row>
    <row r="1255" spans="20:25" x14ac:dyDescent="0.3">
      <c r="T1255" s="12"/>
      <c r="U1255" s="4"/>
      <c r="V1255" s="4"/>
      <c r="X1255" s="4"/>
      <c r="Y1255" s="4"/>
    </row>
    <row r="1256" spans="20:25" x14ac:dyDescent="0.3">
      <c r="T1256" s="12"/>
      <c r="U1256" s="4"/>
      <c r="V1256" s="4"/>
      <c r="X1256" s="4"/>
      <c r="Y1256" s="4"/>
    </row>
    <row r="1257" spans="20:25" x14ac:dyDescent="0.3">
      <c r="T1257" s="12"/>
      <c r="U1257" s="4"/>
      <c r="V1257" s="4"/>
      <c r="X1257" s="4"/>
      <c r="Y1257" s="4"/>
    </row>
    <row r="1258" spans="20:25" x14ac:dyDescent="0.3">
      <c r="T1258" s="12"/>
      <c r="U1258" s="4"/>
      <c r="V1258" s="4"/>
      <c r="X1258" s="4"/>
      <c r="Y1258" s="4"/>
    </row>
    <row r="1259" spans="20:25" x14ac:dyDescent="0.3">
      <c r="T1259" s="12"/>
      <c r="U1259" s="4"/>
      <c r="V1259" s="4"/>
      <c r="X1259" s="4"/>
      <c r="Y1259" s="4"/>
    </row>
    <row r="1260" spans="20:25" x14ac:dyDescent="0.3">
      <c r="T1260" s="12"/>
      <c r="U1260" s="4"/>
      <c r="V1260" s="4"/>
      <c r="X1260" s="4"/>
      <c r="Y1260" s="4"/>
    </row>
    <row r="1261" spans="20:25" x14ac:dyDescent="0.3">
      <c r="T1261" s="12"/>
      <c r="U1261" s="4"/>
      <c r="V1261" s="4"/>
      <c r="X1261" s="4"/>
      <c r="Y1261" s="4"/>
    </row>
    <row r="1262" spans="20:25" x14ac:dyDescent="0.3">
      <c r="T1262" s="12"/>
      <c r="U1262" s="4"/>
      <c r="V1262" s="4"/>
      <c r="X1262" s="4"/>
      <c r="Y1262" s="4"/>
    </row>
    <row r="1263" spans="20:25" x14ac:dyDescent="0.3">
      <c r="T1263" s="12"/>
      <c r="U1263" s="4"/>
      <c r="V1263" s="4"/>
      <c r="X1263" s="4"/>
      <c r="Y1263" s="4"/>
    </row>
    <row r="1264" spans="20:25" x14ac:dyDescent="0.3">
      <c r="T1264" s="12"/>
      <c r="U1264" s="4"/>
      <c r="V1264" s="4"/>
      <c r="X1264" s="4"/>
      <c r="Y1264" s="4"/>
    </row>
    <row r="1265" spans="20:25" x14ac:dyDescent="0.3">
      <c r="T1265" s="12"/>
      <c r="U1265" s="4"/>
      <c r="V1265" s="4"/>
      <c r="X1265" s="4"/>
      <c r="Y1265" s="4"/>
    </row>
    <row r="1266" spans="20:25" x14ac:dyDescent="0.3">
      <c r="T1266" s="12"/>
      <c r="U1266" s="4"/>
      <c r="V1266" s="4"/>
      <c r="X1266" s="4"/>
      <c r="Y1266" s="4"/>
    </row>
    <row r="1267" spans="20:25" x14ac:dyDescent="0.3">
      <c r="T1267" s="12"/>
      <c r="U1267" s="4"/>
      <c r="V1267" s="4"/>
      <c r="X1267" s="4"/>
      <c r="Y1267" s="4"/>
    </row>
    <row r="1268" spans="20:25" x14ac:dyDescent="0.3">
      <c r="T1268" s="12"/>
      <c r="U1268" s="4"/>
      <c r="V1268" s="4"/>
      <c r="X1268" s="4"/>
      <c r="Y1268" s="4"/>
    </row>
    <row r="1269" spans="20:25" x14ac:dyDescent="0.3">
      <c r="T1269" s="12"/>
      <c r="U1269" s="4"/>
      <c r="V1269" s="4"/>
      <c r="X1269" s="4"/>
      <c r="Y1269" s="4"/>
    </row>
    <row r="1270" spans="20:25" x14ac:dyDescent="0.3">
      <c r="T1270" s="12"/>
      <c r="U1270" s="4"/>
      <c r="V1270" s="4"/>
      <c r="X1270" s="4"/>
      <c r="Y1270" s="4"/>
    </row>
    <row r="1271" spans="20:25" x14ac:dyDescent="0.3">
      <c r="T1271" s="12"/>
      <c r="U1271" s="4"/>
      <c r="V1271" s="4"/>
      <c r="X1271" s="4"/>
      <c r="Y1271" s="4"/>
    </row>
    <row r="1272" spans="20:25" x14ac:dyDescent="0.3">
      <c r="T1272" s="12"/>
      <c r="U1272" s="4"/>
      <c r="V1272" s="4"/>
      <c r="X1272" s="4"/>
      <c r="Y1272" s="4"/>
    </row>
    <row r="1273" spans="20:25" x14ac:dyDescent="0.3">
      <c r="T1273" s="12"/>
      <c r="U1273" s="4"/>
      <c r="V1273" s="4"/>
      <c r="X1273" s="4"/>
      <c r="Y1273" s="4"/>
    </row>
    <row r="1274" spans="20:25" x14ac:dyDescent="0.3">
      <c r="T1274" s="12"/>
      <c r="U1274" s="4"/>
      <c r="V1274" s="4"/>
      <c r="X1274" s="4"/>
      <c r="Y1274" s="4"/>
    </row>
    <row r="1275" spans="20:25" x14ac:dyDescent="0.3">
      <c r="T1275" s="12"/>
      <c r="U1275" s="4"/>
      <c r="V1275" s="4"/>
      <c r="X1275" s="4"/>
      <c r="Y1275" s="4"/>
    </row>
    <row r="1276" spans="20:25" x14ac:dyDescent="0.3">
      <c r="T1276" s="12"/>
      <c r="U1276" s="4"/>
      <c r="V1276" s="4"/>
      <c r="X1276" s="4"/>
      <c r="Y1276" s="4"/>
    </row>
    <row r="1277" spans="20:25" x14ac:dyDescent="0.3">
      <c r="T1277" s="12"/>
      <c r="U1277" s="4"/>
      <c r="V1277" s="4"/>
      <c r="X1277" s="4"/>
      <c r="Y1277" s="4"/>
    </row>
    <row r="1278" spans="20:25" x14ac:dyDescent="0.3">
      <c r="T1278" s="12"/>
      <c r="U1278" s="4"/>
      <c r="V1278" s="4"/>
      <c r="X1278" s="4"/>
      <c r="Y1278" s="4"/>
    </row>
    <row r="1279" spans="20:25" x14ac:dyDescent="0.3">
      <c r="T1279" s="12"/>
      <c r="U1279" s="4"/>
      <c r="V1279" s="4"/>
      <c r="X1279" s="4"/>
      <c r="Y1279" s="4"/>
    </row>
    <row r="1280" spans="20:25" x14ac:dyDescent="0.3">
      <c r="T1280" s="12"/>
      <c r="U1280" s="4"/>
      <c r="V1280" s="4"/>
      <c r="X1280" s="4"/>
      <c r="Y1280" s="4"/>
    </row>
    <row r="1281" spans="20:25" x14ac:dyDescent="0.3">
      <c r="T1281" s="12"/>
      <c r="U1281" s="4"/>
      <c r="V1281" s="4"/>
      <c r="X1281" s="4"/>
      <c r="Y1281" s="4"/>
    </row>
    <row r="1282" spans="20:25" x14ac:dyDescent="0.3">
      <c r="T1282" s="12"/>
      <c r="U1282" s="4"/>
      <c r="V1282" s="4"/>
      <c r="X1282" s="4"/>
      <c r="Y1282" s="4"/>
    </row>
    <row r="1283" spans="20:25" x14ac:dyDescent="0.3">
      <c r="T1283" s="12"/>
      <c r="U1283" s="4"/>
      <c r="V1283" s="4"/>
      <c r="X1283" s="4"/>
      <c r="Y1283" s="4"/>
    </row>
    <row r="1284" spans="20:25" x14ac:dyDescent="0.3">
      <c r="T1284" s="12"/>
      <c r="U1284" s="4"/>
      <c r="V1284" s="4"/>
      <c r="X1284" s="4"/>
      <c r="Y1284" s="4"/>
    </row>
    <row r="1285" spans="20:25" x14ac:dyDescent="0.3">
      <c r="T1285" s="12"/>
      <c r="U1285" s="4"/>
      <c r="V1285" s="4"/>
      <c r="X1285" s="4"/>
      <c r="Y1285" s="4"/>
    </row>
    <row r="1286" spans="20:25" x14ac:dyDescent="0.3">
      <c r="T1286" s="12"/>
      <c r="U1286" s="4"/>
      <c r="V1286" s="4"/>
      <c r="X1286" s="4"/>
      <c r="Y1286" s="4"/>
    </row>
    <row r="1287" spans="20:25" x14ac:dyDescent="0.3">
      <c r="T1287" s="12"/>
      <c r="U1287" s="4"/>
      <c r="V1287" s="4"/>
      <c r="X1287" s="4"/>
      <c r="Y1287" s="4"/>
    </row>
    <row r="1288" spans="20:25" x14ac:dyDescent="0.3">
      <c r="T1288" s="12"/>
      <c r="U1288" s="4"/>
      <c r="V1288" s="4"/>
      <c r="X1288" s="4"/>
      <c r="Y1288" s="4"/>
    </row>
    <row r="1289" spans="20:25" x14ac:dyDescent="0.3">
      <c r="T1289" s="12"/>
      <c r="U1289" s="4"/>
      <c r="V1289" s="4"/>
      <c r="X1289" s="4"/>
      <c r="Y1289" s="4"/>
    </row>
    <row r="1290" spans="20:25" x14ac:dyDescent="0.3">
      <c r="T1290" s="12"/>
      <c r="U1290" s="4"/>
      <c r="V1290" s="4"/>
      <c r="X1290" s="4"/>
      <c r="Y1290" s="4"/>
    </row>
    <row r="1291" spans="20:25" x14ac:dyDescent="0.3">
      <c r="T1291" s="12"/>
      <c r="U1291" s="4"/>
      <c r="V1291" s="4"/>
      <c r="X1291" s="4"/>
      <c r="Y1291" s="4"/>
    </row>
    <row r="1292" spans="20:25" x14ac:dyDescent="0.3">
      <c r="T1292" s="12"/>
      <c r="U1292" s="4"/>
      <c r="V1292" s="4"/>
      <c r="X1292" s="4"/>
      <c r="Y1292" s="4"/>
    </row>
    <row r="1293" spans="20:25" x14ac:dyDescent="0.3">
      <c r="T1293" s="12"/>
      <c r="U1293" s="4"/>
      <c r="V1293" s="4"/>
      <c r="X1293" s="4"/>
      <c r="Y1293" s="4"/>
    </row>
    <row r="1294" spans="20:25" x14ac:dyDescent="0.3">
      <c r="T1294" s="12"/>
      <c r="U1294" s="4"/>
      <c r="V1294" s="4"/>
      <c r="X1294" s="4"/>
      <c r="Y1294" s="4"/>
    </row>
    <row r="1295" spans="20:25" x14ac:dyDescent="0.3">
      <c r="T1295" s="12"/>
      <c r="U1295" s="4"/>
      <c r="V1295" s="4"/>
      <c r="X1295" s="4"/>
      <c r="Y1295" s="4"/>
    </row>
    <row r="1296" spans="20:25" x14ac:dyDescent="0.3">
      <c r="T1296" s="12"/>
      <c r="U1296" s="4"/>
      <c r="V1296" s="4"/>
      <c r="X1296" s="4"/>
      <c r="Y1296" s="4"/>
    </row>
    <row r="1297" spans="20:25" x14ac:dyDescent="0.3">
      <c r="T1297" s="12"/>
      <c r="U1297" s="4"/>
      <c r="V1297" s="4"/>
      <c r="X1297" s="4"/>
      <c r="Y1297" s="4"/>
    </row>
    <row r="1298" spans="20:25" x14ac:dyDescent="0.3">
      <c r="T1298" s="12"/>
      <c r="U1298" s="4"/>
      <c r="V1298" s="4"/>
      <c r="X1298" s="4"/>
      <c r="Y1298" s="4"/>
    </row>
    <row r="1299" spans="20:25" x14ac:dyDescent="0.3">
      <c r="T1299" s="12"/>
      <c r="U1299" s="4"/>
      <c r="V1299" s="4"/>
      <c r="X1299" s="4"/>
      <c r="Y1299" s="4"/>
    </row>
    <row r="1300" spans="20:25" x14ac:dyDescent="0.3">
      <c r="T1300" s="12"/>
      <c r="U1300" s="4"/>
      <c r="V1300" s="4"/>
      <c r="X1300" s="4"/>
      <c r="Y1300" s="4"/>
    </row>
    <row r="1301" spans="20:25" x14ac:dyDescent="0.3">
      <c r="T1301" s="12"/>
      <c r="U1301" s="4"/>
      <c r="V1301" s="4"/>
      <c r="X1301" s="4"/>
      <c r="Y1301" s="4"/>
    </row>
    <row r="1302" spans="20:25" x14ac:dyDescent="0.3">
      <c r="T1302" s="12"/>
      <c r="U1302" s="4"/>
      <c r="V1302" s="4"/>
      <c r="X1302" s="4"/>
      <c r="Y1302" s="4"/>
    </row>
    <row r="1303" spans="20:25" x14ac:dyDescent="0.3">
      <c r="T1303" s="12"/>
      <c r="U1303" s="4"/>
      <c r="V1303" s="4"/>
      <c r="X1303" s="4"/>
      <c r="Y1303" s="4"/>
    </row>
    <row r="1304" spans="20:25" x14ac:dyDescent="0.3">
      <c r="T1304" s="12"/>
      <c r="U1304" s="4"/>
      <c r="V1304" s="4"/>
      <c r="X1304" s="4"/>
      <c r="Y1304" s="4"/>
    </row>
    <row r="1305" spans="20:25" x14ac:dyDescent="0.3">
      <c r="T1305" s="12"/>
      <c r="U1305" s="4"/>
      <c r="V1305" s="4"/>
      <c r="X1305" s="4"/>
      <c r="Y1305" s="4"/>
    </row>
    <row r="1306" spans="20:25" x14ac:dyDescent="0.3">
      <c r="T1306" s="12"/>
      <c r="U1306" s="4"/>
      <c r="V1306" s="4"/>
      <c r="X1306" s="4"/>
      <c r="Y1306" s="4"/>
    </row>
    <row r="1307" spans="20:25" x14ac:dyDescent="0.3">
      <c r="T1307" s="12"/>
      <c r="U1307" s="4"/>
      <c r="V1307" s="4"/>
      <c r="X1307" s="4"/>
      <c r="Y1307" s="4"/>
    </row>
    <row r="1308" spans="20:25" x14ac:dyDescent="0.3">
      <c r="T1308" s="12"/>
      <c r="U1308" s="4"/>
      <c r="V1308" s="4"/>
      <c r="X1308" s="4"/>
      <c r="Y1308" s="4"/>
    </row>
    <row r="1309" spans="20:25" x14ac:dyDescent="0.3">
      <c r="T1309" s="12"/>
      <c r="U1309" s="4"/>
      <c r="V1309" s="4"/>
      <c r="X1309" s="4"/>
      <c r="Y1309" s="4"/>
    </row>
    <row r="1310" spans="20:25" x14ac:dyDescent="0.3">
      <c r="T1310" s="12"/>
      <c r="U1310" s="4"/>
      <c r="V1310" s="4"/>
      <c r="X1310" s="4"/>
      <c r="Y1310" s="4"/>
    </row>
    <row r="1311" spans="20:25" x14ac:dyDescent="0.3">
      <c r="T1311" s="12"/>
      <c r="U1311" s="4"/>
      <c r="V1311" s="4"/>
      <c r="X1311" s="4"/>
      <c r="Y1311" s="4"/>
    </row>
    <row r="1312" spans="20:25" x14ac:dyDescent="0.3">
      <c r="T1312" s="12"/>
      <c r="U1312" s="4"/>
      <c r="V1312" s="4"/>
      <c r="X1312" s="4"/>
      <c r="Y1312" s="4"/>
    </row>
    <row r="1313" spans="20:25" x14ac:dyDescent="0.3">
      <c r="T1313" s="12"/>
      <c r="U1313" s="4"/>
      <c r="V1313" s="4"/>
      <c r="X1313" s="4"/>
      <c r="Y1313" s="4"/>
    </row>
    <row r="1314" spans="20:25" x14ac:dyDescent="0.3">
      <c r="T1314" s="12"/>
      <c r="U1314" s="4"/>
      <c r="V1314" s="4"/>
      <c r="X1314" s="4"/>
      <c r="Y1314" s="4"/>
    </row>
    <row r="1315" spans="20:25" x14ac:dyDescent="0.3">
      <c r="T1315" s="12"/>
      <c r="U1315" s="4"/>
      <c r="V1315" s="4"/>
      <c r="X1315" s="4"/>
      <c r="Y1315" s="4"/>
    </row>
    <row r="1316" spans="20:25" x14ac:dyDescent="0.3">
      <c r="T1316" s="12"/>
      <c r="U1316" s="4"/>
      <c r="V1316" s="4"/>
      <c r="X1316" s="4"/>
      <c r="Y1316" s="4"/>
    </row>
    <row r="1317" spans="20:25" x14ac:dyDescent="0.3">
      <c r="T1317" s="12"/>
      <c r="U1317" s="4"/>
      <c r="V1317" s="4"/>
      <c r="X1317" s="4"/>
      <c r="Y1317" s="4"/>
    </row>
    <row r="1318" spans="20:25" x14ac:dyDescent="0.3">
      <c r="T1318" s="12"/>
      <c r="U1318" s="4"/>
      <c r="V1318" s="4"/>
      <c r="X1318" s="4"/>
      <c r="Y1318" s="4"/>
    </row>
    <row r="1319" spans="20:25" x14ac:dyDescent="0.3">
      <c r="T1319" s="12"/>
      <c r="U1319" s="4"/>
      <c r="V1319" s="4"/>
      <c r="X1319" s="4"/>
      <c r="Y1319" s="4"/>
    </row>
    <row r="1320" spans="20:25" x14ac:dyDescent="0.3">
      <c r="T1320" s="12"/>
      <c r="U1320" s="4"/>
      <c r="V1320" s="4"/>
      <c r="X1320" s="4"/>
      <c r="Y1320" s="4"/>
    </row>
    <row r="1321" spans="20:25" x14ac:dyDescent="0.3">
      <c r="T1321" s="12"/>
      <c r="U1321" s="4"/>
      <c r="V1321" s="4"/>
      <c r="X1321" s="4"/>
      <c r="Y1321" s="4"/>
    </row>
    <row r="1322" spans="20:25" x14ac:dyDescent="0.3">
      <c r="T1322" s="12"/>
      <c r="U1322" s="4"/>
      <c r="V1322" s="4"/>
      <c r="X1322" s="4"/>
      <c r="Y1322" s="4"/>
    </row>
    <row r="1323" spans="20:25" x14ac:dyDescent="0.3">
      <c r="T1323" s="12"/>
      <c r="U1323" s="4"/>
      <c r="V1323" s="4"/>
      <c r="X1323" s="4"/>
      <c r="Y1323" s="4"/>
    </row>
    <row r="1324" spans="20:25" x14ac:dyDescent="0.3">
      <c r="T1324" s="12"/>
      <c r="U1324" s="4"/>
      <c r="V1324" s="4"/>
      <c r="X1324" s="4"/>
      <c r="Y1324" s="4"/>
    </row>
    <row r="1325" spans="20:25" x14ac:dyDescent="0.3">
      <c r="T1325" s="12"/>
      <c r="U1325" s="4"/>
      <c r="V1325" s="4"/>
      <c r="X1325" s="4"/>
      <c r="Y1325" s="4"/>
    </row>
    <row r="1326" spans="20:25" x14ac:dyDescent="0.3">
      <c r="T1326" s="12"/>
      <c r="U1326" s="4"/>
      <c r="V1326" s="4"/>
      <c r="X1326" s="4"/>
      <c r="Y1326" s="4"/>
    </row>
    <row r="1327" spans="20:25" x14ac:dyDescent="0.3">
      <c r="T1327" s="12"/>
      <c r="U1327" s="4"/>
      <c r="V1327" s="4"/>
      <c r="X1327" s="4"/>
      <c r="Y1327" s="4"/>
    </row>
    <row r="1328" spans="20:25" x14ac:dyDescent="0.3">
      <c r="T1328" s="12"/>
      <c r="U1328" s="4"/>
      <c r="V1328" s="4"/>
      <c r="X1328" s="4"/>
      <c r="Y1328" s="4"/>
    </row>
    <row r="1329" spans="20:25" x14ac:dyDescent="0.3">
      <c r="T1329" s="12"/>
      <c r="U1329" s="4"/>
      <c r="V1329" s="4"/>
      <c r="X1329" s="4"/>
      <c r="Y1329" s="4"/>
    </row>
    <row r="1330" spans="20:25" x14ac:dyDescent="0.3">
      <c r="T1330" s="12"/>
      <c r="U1330" s="4"/>
      <c r="V1330" s="4"/>
      <c r="X1330" s="4"/>
      <c r="Y1330" s="4"/>
    </row>
    <row r="1331" spans="20:25" x14ac:dyDescent="0.3">
      <c r="T1331" s="12"/>
      <c r="U1331" s="4"/>
      <c r="V1331" s="4"/>
      <c r="X1331" s="4"/>
      <c r="Y1331" s="4"/>
    </row>
    <row r="1332" spans="20:25" x14ac:dyDescent="0.3">
      <c r="T1332" s="12"/>
      <c r="U1332" s="4"/>
      <c r="V1332" s="4"/>
      <c r="X1332" s="4"/>
      <c r="Y1332" s="4"/>
    </row>
    <row r="1333" spans="20:25" x14ac:dyDescent="0.3">
      <c r="T1333" s="12"/>
      <c r="U1333" s="4"/>
      <c r="V1333" s="4"/>
      <c r="X1333" s="4"/>
      <c r="Y1333" s="4"/>
    </row>
    <row r="1334" spans="20:25" x14ac:dyDescent="0.3">
      <c r="T1334" s="12"/>
      <c r="U1334" s="4"/>
      <c r="V1334" s="4"/>
      <c r="X1334" s="4"/>
      <c r="Y1334" s="4"/>
    </row>
    <row r="1335" spans="20:25" x14ac:dyDescent="0.3">
      <c r="T1335" s="12"/>
      <c r="U1335" s="4"/>
      <c r="V1335" s="4"/>
      <c r="X1335" s="4"/>
      <c r="Y1335" s="4"/>
    </row>
    <row r="1336" spans="20:25" x14ac:dyDescent="0.3">
      <c r="T1336" s="12"/>
      <c r="U1336" s="4"/>
      <c r="V1336" s="4"/>
      <c r="X1336" s="4"/>
      <c r="Y1336" s="4"/>
    </row>
    <row r="1337" spans="20:25" x14ac:dyDescent="0.3">
      <c r="T1337" s="12"/>
      <c r="U1337" s="4"/>
      <c r="V1337" s="4"/>
      <c r="X1337" s="4"/>
      <c r="Y1337" s="4"/>
    </row>
    <row r="1338" spans="20:25" x14ac:dyDescent="0.3">
      <c r="T1338" s="12"/>
      <c r="U1338" s="4"/>
      <c r="V1338" s="4"/>
      <c r="X1338" s="4"/>
      <c r="Y1338" s="4"/>
    </row>
    <row r="1339" spans="20:25" x14ac:dyDescent="0.3">
      <c r="T1339" s="12"/>
      <c r="U1339" s="4"/>
      <c r="V1339" s="4"/>
      <c r="X1339" s="4"/>
      <c r="Y1339" s="4"/>
    </row>
    <row r="1340" spans="20:25" x14ac:dyDescent="0.3">
      <c r="T1340" s="12"/>
      <c r="U1340" s="4"/>
      <c r="V1340" s="4"/>
      <c r="X1340" s="4"/>
      <c r="Y1340" s="4"/>
    </row>
    <row r="1341" spans="20:25" x14ac:dyDescent="0.3">
      <c r="T1341" s="12"/>
      <c r="U1341" s="4"/>
      <c r="V1341" s="4"/>
      <c r="X1341" s="4"/>
      <c r="Y1341" s="4"/>
    </row>
    <row r="1342" spans="20:25" x14ac:dyDescent="0.3">
      <c r="T1342" s="12"/>
      <c r="U1342" s="4"/>
      <c r="V1342" s="4"/>
      <c r="X1342" s="4"/>
      <c r="Y1342" s="4"/>
    </row>
    <row r="1343" spans="20:25" x14ac:dyDescent="0.3">
      <c r="T1343" s="12"/>
      <c r="U1343" s="4"/>
      <c r="V1343" s="4"/>
      <c r="X1343" s="4"/>
      <c r="Y1343" s="4"/>
    </row>
    <row r="1344" spans="20:25" x14ac:dyDescent="0.3">
      <c r="T1344" s="12"/>
      <c r="U1344" s="4"/>
      <c r="V1344" s="4"/>
      <c r="X1344" s="4"/>
      <c r="Y1344" s="4"/>
    </row>
    <row r="1345" spans="20:25" x14ac:dyDescent="0.3">
      <c r="T1345" s="12"/>
      <c r="U1345" s="4"/>
      <c r="V1345" s="4"/>
      <c r="X1345" s="4"/>
      <c r="Y1345" s="4"/>
    </row>
    <row r="1346" spans="20:25" x14ac:dyDescent="0.3">
      <c r="T1346" s="12"/>
      <c r="U1346" s="4"/>
      <c r="V1346" s="4"/>
      <c r="X1346" s="4"/>
      <c r="Y1346" s="4"/>
    </row>
    <row r="1347" spans="20:25" x14ac:dyDescent="0.3">
      <c r="T1347" s="12"/>
      <c r="U1347" s="4"/>
      <c r="V1347" s="4"/>
      <c r="X1347" s="4"/>
      <c r="Y1347" s="4"/>
    </row>
    <row r="1348" spans="20:25" x14ac:dyDescent="0.3">
      <c r="T1348" s="12"/>
      <c r="U1348" s="4"/>
      <c r="V1348" s="4"/>
      <c r="X1348" s="4"/>
      <c r="Y1348" s="4"/>
    </row>
    <row r="1349" spans="20:25" x14ac:dyDescent="0.3">
      <c r="T1349" s="12"/>
      <c r="U1349" s="4"/>
      <c r="V1349" s="4"/>
      <c r="X1349" s="4"/>
      <c r="Y1349" s="4"/>
    </row>
    <row r="1350" spans="20:25" x14ac:dyDescent="0.3">
      <c r="T1350" s="12"/>
      <c r="U1350" s="4"/>
      <c r="V1350" s="4"/>
      <c r="X1350" s="4"/>
      <c r="Y1350" s="4"/>
    </row>
    <row r="1351" spans="20:25" x14ac:dyDescent="0.3">
      <c r="T1351" s="12"/>
      <c r="U1351" s="4"/>
      <c r="V1351" s="4"/>
      <c r="X1351" s="4"/>
      <c r="Y1351" s="4"/>
    </row>
    <row r="1352" spans="20:25" x14ac:dyDescent="0.3">
      <c r="T1352" s="12"/>
      <c r="U1352" s="4"/>
      <c r="V1352" s="4"/>
      <c r="X1352" s="4"/>
      <c r="Y1352" s="4"/>
    </row>
    <row r="1353" spans="20:25" x14ac:dyDescent="0.3">
      <c r="T1353" s="12"/>
      <c r="U1353" s="4"/>
      <c r="V1353" s="4"/>
      <c r="X1353" s="4"/>
      <c r="Y1353" s="4"/>
    </row>
    <row r="1354" spans="20:25" x14ac:dyDescent="0.3">
      <c r="T1354" s="12"/>
      <c r="U1354" s="4"/>
      <c r="V1354" s="4"/>
      <c r="X1354" s="4"/>
      <c r="Y1354" s="4"/>
    </row>
    <row r="1355" spans="20:25" x14ac:dyDescent="0.3">
      <c r="T1355" s="12"/>
      <c r="U1355" s="4"/>
      <c r="V1355" s="4"/>
      <c r="X1355" s="4"/>
      <c r="Y1355" s="4"/>
    </row>
    <row r="1356" spans="20:25" x14ac:dyDescent="0.3">
      <c r="T1356" s="12"/>
      <c r="U1356" s="4"/>
      <c r="V1356" s="4"/>
      <c r="X1356" s="4"/>
      <c r="Y1356" s="4"/>
    </row>
    <row r="1357" spans="20:25" x14ac:dyDescent="0.3">
      <c r="T1357" s="12"/>
      <c r="U1357" s="4"/>
      <c r="V1357" s="4"/>
      <c r="X1357" s="4"/>
      <c r="Y1357" s="4"/>
    </row>
    <row r="1358" spans="20:25" x14ac:dyDescent="0.3">
      <c r="T1358" s="12"/>
      <c r="U1358" s="4"/>
      <c r="V1358" s="4"/>
      <c r="X1358" s="4"/>
      <c r="Y1358" s="4"/>
    </row>
    <row r="1359" spans="20:25" x14ac:dyDescent="0.3">
      <c r="T1359" s="12"/>
      <c r="U1359" s="4"/>
      <c r="V1359" s="4"/>
      <c r="X1359" s="4"/>
      <c r="Y1359" s="4"/>
    </row>
    <row r="1360" spans="20:25" x14ac:dyDescent="0.3">
      <c r="T1360" s="12"/>
      <c r="U1360" s="4"/>
      <c r="V1360" s="4"/>
      <c r="X1360" s="4"/>
      <c r="Y1360" s="4"/>
    </row>
    <row r="1361" spans="20:25" x14ac:dyDescent="0.3">
      <c r="T1361" s="12"/>
      <c r="U1361" s="4"/>
      <c r="V1361" s="4"/>
      <c r="X1361" s="4"/>
      <c r="Y1361" s="4"/>
    </row>
    <row r="1362" spans="20:25" x14ac:dyDescent="0.3">
      <c r="T1362" s="12"/>
      <c r="U1362" s="4"/>
      <c r="V1362" s="4"/>
      <c r="X1362" s="4"/>
      <c r="Y1362" s="4"/>
    </row>
    <row r="1363" spans="20:25" x14ac:dyDescent="0.3">
      <c r="T1363" s="12"/>
      <c r="U1363" s="4"/>
      <c r="V1363" s="4"/>
      <c r="X1363" s="4"/>
      <c r="Y1363" s="4"/>
    </row>
    <row r="1364" spans="20:25" x14ac:dyDescent="0.3">
      <c r="T1364" s="12"/>
      <c r="U1364" s="4"/>
      <c r="V1364" s="4"/>
      <c r="X1364" s="4"/>
      <c r="Y1364" s="4"/>
    </row>
    <row r="1365" spans="20:25" x14ac:dyDescent="0.3">
      <c r="T1365" s="12"/>
      <c r="U1365" s="4"/>
      <c r="V1365" s="4"/>
      <c r="X1365" s="4"/>
      <c r="Y1365" s="4"/>
    </row>
    <row r="1366" spans="20:25" x14ac:dyDescent="0.3">
      <c r="T1366" s="12"/>
      <c r="U1366" s="4"/>
      <c r="V1366" s="4"/>
      <c r="X1366" s="4"/>
      <c r="Y1366" s="4"/>
    </row>
    <row r="1367" spans="20:25" x14ac:dyDescent="0.3">
      <c r="T1367" s="12"/>
      <c r="U1367" s="4"/>
      <c r="V1367" s="4"/>
      <c r="X1367" s="4"/>
      <c r="Y1367" s="4"/>
    </row>
    <row r="1368" spans="20:25" x14ac:dyDescent="0.3">
      <c r="T1368" s="12"/>
      <c r="U1368" s="4"/>
      <c r="V1368" s="4"/>
      <c r="X1368" s="4"/>
      <c r="Y1368" s="4"/>
    </row>
    <row r="1369" spans="20:25" x14ac:dyDescent="0.3">
      <c r="T1369" s="12"/>
      <c r="U1369" s="4"/>
      <c r="V1369" s="4"/>
      <c r="X1369" s="4"/>
      <c r="Y1369" s="4"/>
    </row>
    <row r="1370" spans="20:25" x14ac:dyDescent="0.3">
      <c r="T1370" s="12"/>
      <c r="U1370" s="4"/>
      <c r="V1370" s="4"/>
      <c r="X1370" s="4"/>
      <c r="Y1370" s="4"/>
    </row>
    <row r="1371" spans="20:25" x14ac:dyDescent="0.3">
      <c r="T1371" s="12"/>
      <c r="U1371" s="4"/>
      <c r="V1371" s="4"/>
      <c r="X1371" s="4"/>
      <c r="Y1371" s="4"/>
    </row>
    <row r="1372" spans="20:25" x14ac:dyDescent="0.3">
      <c r="T1372" s="12"/>
      <c r="U1372" s="4"/>
      <c r="V1372" s="4"/>
      <c r="X1372" s="4"/>
      <c r="Y1372" s="4"/>
    </row>
    <row r="1373" spans="20:25" x14ac:dyDescent="0.3">
      <c r="T1373" s="12"/>
      <c r="U1373" s="4"/>
      <c r="V1373" s="4"/>
      <c r="X1373" s="4"/>
      <c r="Y1373" s="4"/>
    </row>
    <row r="1374" spans="20:25" x14ac:dyDescent="0.3">
      <c r="T1374" s="12"/>
      <c r="U1374" s="4"/>
      <c r="V1374" s="4"/>
      <c r="X1374" s="4"/>
      <c r="Y1374" s="4"/>
    </row>
    <row r="1375" spans="20:25" x14ac:dyDescent="0.3">
      <c r="T1375" s="12"/>
      <c r="U1375" s="4"/>
      <c r="V1375" s="4"/>
      <c r="X1375" s="4"/>
      <c r="Y1375" s="4"/>
    </row>
    <row r="1376" spans="20:25" x14ac:dyDescent="0.3">
      <c r="T1376" s="12"/>
      <c r="U1376" s="4"/>
      <c r="V1376" s="4"/>
      <c r="X1376" s="4"/>
      <c r="Y1376" s="4"/>
    </row>
    <row r="1377" spans="20:25" x14ac:dyDescent="0.3">
      <c r="T1377" s="12"/>
      <c r="U1377" s="4"/>
      <c r="V1377" s="4"/>
      <c r="X1377" s="4"/>
      <c r="Y1377" s="4"/>
    </row>
    <row r="1378" spans="20:25" x14ac:dyDescent="0.3">
      <c r="T1378" s="12"/>
      <c r="U1378" s="4"/>
      <c r="V1378" s="4"/>
      <c r="X1378" s="4"/>
      <c r="Y1378" s="4"/>
    </row>
    <row r="1379" spans="20:25" x14ac:dyDescent="0.3">
      <c r="T1379" s="12"/>
      <c r="U1379" s="4"/>
      <c r="V1379" s="4"/>
      <c r="X1379" s="4"/>
      <c r="Y1379" s="4"/>
    </row>
    <row r="1380" spans="20:25" x14ac:dyDescent="0.3">
      <c r="T1380" s="12"/>
      <c r="U1380" s="4"/>
      <c r="V1380" s="4"/>
      <c r="X1380" s="4"/>
      <c r="Y1380" s="4"/>
    </row>
    <row r="1381" spans="20:25" x14ac:dyDescent="0.3">
      <c r="T1381" s="12"/>
      <c r="U1381" s="4"/>
      <c r="V1381" s="4"/>
      <c r="X1381" s="4"/>
      <c r="Y1381" s="4"/>
    </row>
    <row r="1382" spans="20:25" x14ac:dyDescent="0.3">
      <c r="T1382" s="12"/>
      <c r="U1382" s="4"/>
      <c r="V1382" s="4"/>
      <c r="X1382" s="4"/>
      <c r="Y1382" s="4"/>
    </row>
    <row r="1383" spans="20:25" x14ac:dyDescent="0.3">
      <c r="T1383" s="12"/>
      <c r="U1383" s="4"/>
      <c r="V1383" s="4"/>
      <c r="X1383" s="4"/>
      <c r="Y1383" s="4"/>
    </row>
    <row r="1384" spans="20:25" x14ac:dyDescent="0.3">
      <c r="T1384" s="12"/>
      <c r="U1384" s="4"/>
      <c r="V1384" s="4"/>
      <c r="X1384" s="4"/>
      <c r="Y1384" s="4"/>
    </row>
    <row r="1385" spans="20:25" x14ac:dyDescent="0.3">
      <c r="T1385" s="12"/>
      <c r="U1385" s="4"/>
      <c r="V1385" s="4"/>
      <c r="X1385" s="4"/>
      <c r="Y1385" s="4"/>
    </row>
    <row r="1386" spans="20:25" x14ac:dyDescent="0.3">
      <c r="T1386" s="12"/>
      <c r="U1386" s="4"/>
      <c r="V1386" s="4"/>
      <c r="X1386" s="4"/>
      <c r="Y1386" s="4"/>
    </row>
    <row r="1387" spans="20:25" x14ac:dyDescent="0.3">
      <c r="T1387" s="12"/>
      <c r="U1387" s="4"/>
      <c r="V1387" s="4"/>
      <c r="X1387" s="4"/>
      <c r="Y1387" s="4"/>
    </row>
    <row r="1388" spans="20:25" x14ac:dyDescent="0.3">
      <c r="T1388" s="12"/>
      <c r="U1388" s="4"/>
      <c r="V1388" s="4"/>
      <c r="X1388" s="4"/>
      <c r="Y1388" s="4"/>
    </row>
    <row r="1389" spans="20:25" x14ac:dyDescent="0.3">
      <c r="T1389" s="12"/>
      <c r="U1389" s="4"/>
      <c r="V1389" s="4"/>
      <c r="X1389" s="4"/>
      <c r="Y1389" s="4"/>
    </row>
    <row r="1390" spans="20:25" x14ac:dyDescent="0.3">
      <c r="T1390" s="12"/>
      <c r="U1390" s="4"/>
      <c r="V1390" s="4"/>
      <c r="X1390" s="4"/>
      <c r="Y1390" s="4"/>
    </row>
    <row r="1391" spans="20:25" x14ac:dyDescent="0.3">
      <c r="T1391" s="12"/>
      <c r="U1391" s="4"/>
      <c r="V1391" s="4"/>
      <c r="X1391" s="4"/>
      <c r="Y1391" s="4"/>
    </row>
    <row r="1392" spans="20:25" x14ac:dyDescent="0.3">
      <c r="T1392" s="12"/>
      <c r="U1392" s="4"/>
      <c r="V1392" s="4"/>
      <c r="X1392" s="4"/>
      <c r="Y1392" s="4"/>
    </row>
    <row r="1393" spans="20:25" x14ac:dyDescent="0.3">
      <c r="T1393" s="12"/>
      <c r="U1393" s="4"/>
      <c r="V1393" s="4"/>
      <c r="X1393" s="4"/>
      <c r="Y1393" s="4"/>
    </row>
    <row r="1394" spans="20:25" x14ac:dyDescent="0.3">
      <c r="T1394" s="12"/>
      <c r="U1394" s="4"/>
      <c r="V1394" s="4"/>
      <c r="X1394" s="4"/>
      <c r="Y1394" s="4"/>
    </row>
    <row r="1395" spans="20:25" x14ac:dyDescent="0.3">
      <c r="T1395" s="12"/>
      <c r="U1395" s="4"/>
      <c r="V1395" s="4"/>
      <c r="X1395" s="4"/>
      <c r="Y1395" s="4"/>
    </row>
    <row r="1396" spans="20:25" x14ac:dyDescent="0.3">
      <c r="T1396" s="12"/>
      <c r="U1396" s="4"/>
      <c r="V1396" s="4"/>
      <c r="X1396" s="4"/>
      <c r="Y1396" s="4"/>
    </row>
    <row r="1397" spans="20:25" x14ac:dyDescent="0.3">
      <c r="T1397" s="12"/>
      <c r="U1397" s="4"/>
      <c r="V1397" s="4"/>
      <c r="X1397" s="4"/>
      <c r="Y1397" s="4"/>
    </row>
    <row r="1398" spans="20:25" x14ac:dyDescent="0.3">
      <c r="T1398" s="12"/>
      <c r="U1398" s="4"/>
      <c r="V1398" s="4"/>
      <c r="X1398" s="4"/>
      <c r="Y1398" s="4"/>
    </row>
    <row r="1399" spans="20:25" x14ac:dyDescent="0.3">
      <c r="T1399" s="12"/>
      <c r="U1399" s="4"/>
      <c r="V1399" s="4"/>
      <c r="X1399" s="4"/>
      <c r="Y1399" s="4"/>
    </row>
    <row r="1400" spans="20:25" x14ac:dyDescent="0.3">
      <c r="T1400" s="12"/>
      <c r="U1400" s="4"/>
      <c r="V1400" s="4"/>
      <c r="X1400" s="4"/>
      <c r="Y1400" s="4"/>
    </row>
    <row r="1401" spans="20:25" x14ac:dyDescent="0.3">
      <c r="T1401" s="12"/>
      <c r="U1401" s="4"/>
      <c r="V1401" s="4"/>
      <c r="X1401" s="4"/>
      <c r="Y1401" s="4"/>
    </row>
    <row r="1402" spans="20:25" x14ac:dyDescent="0.3">
      <c r="T1402" s="12"/>
      <c r="U1402" s="4"/>
      <c r="V1402" s="4"/>
      <c r="X1402" s="4"/>
      <c r="Y1402" s="4"/>
    </row>
    <row r="1403" spans="20:25" x14ac:dyDescent="0.3">
      <c r="T1403" s="12"/>
      <c r="U1403" s="4"/>
      <c r="V1403" s="4"/>
      <c r="X1403" s="4"/>
      <c r="Y1403" s="4"/>
    </row>
    <row r="1404" spans="20:25" x14ac:dyDescent="0.3">
      <c r="T1404" s="12"/>
      <c r="U1404" s="4"/>
      <c r="V1404" s="4"/>
      <c r="X1404" s="4"/>
      <c r="Y1404" s="4"/>
    </row>
    <row r="1405" spans="20:25" x14ac:dyDescent="0.3">
      <c r="T1405" s="12"/>
      <c r="U1405" s="4"/>
      <c r="V1405" s="4"/>
      <c r="X1405" s="4"/>
      <c r="Y1405" s="4"/>
    </row>
    <row r="1406" spans="20:25" x14ac:dyDescent="0.3">
      <c r="T1406" s="12"/>
      <c r="U1406" s="4"/>
      <c r="V1406" s="4"/>
      <c r="X1406" s="4"/>
      <c r="Y1406" s="4"/>
    </row>
    <row r="1407" spans="20:25" x14ac:dyDescent="0.3">
      <c r="T1407" s="12"/>
      <c r="U1407" s="4"/>
      <c r="V1407" s="4"/>
      <c r="X1407" s="4"/>
      <c r="Y1407" s="4"/>
    </row>
    <row r="1408" spans="20:25" x14ac:dyDescent="0.3">
      <c r="T1408" s="12"/>
      <c r="U1408" s="4"/>
      <c r="V1408" s="4"/>
      <c r="X1408" s="4"/>
      <c r="Y1408" s="4"/>
    </row>
    <row r="1409" spans="20:25" x14ac:dyDescent="0.3">
      <c r="T1409" s="12"/>
      <c r="U1409" s="4"/>
      <c r="V1409" s="4"/>
      <c r="X1409" s="4"/>
      <c r="Y1409" s="4"/>
    </row>
    <row r="1410" spans="20:25" x14ac:dyDescent="0.3">
      <c r="T1410" s="12"/>
      <c r="U1410" s="4"/>
      <c r="V1410" s="4"/>
      <c r="X1410" s="4"/>
      <c r="Y1410" s="4"/>
    </row>
    <row r="1411" spans="20:25" x14ac:dyDescent="0.3">
      <c r="T1411" s="12"/>
      <c r="U1411" s="4"/>
      <c r="V1411" s="4"/>
      <c r="X1411" s="4"/>
      <c r="Y1411" s="4"/>
    </row>
    <row r="1412" spans="20:25" x14ac:dyDescent="0.3">
      <c r="T1412" s="12"/>
      <c r="U1412" s="4"/>
      <c r="V1412" s="4"/>
      <c r="X1412" s="4"/>
      <c r="Y1412" s="4"/>
    </row>
    <row r="1413" spans="20:25" x14ac:dyDescent="0.3">
      <c r="T1413" s="12"/>
      <c r="U1413" s="4"/>
      <c r="V1413" s="4"/>
      <c r="X1413" s="4"/>
      <c r="Y1413" s="4"/>
    </row>
    <row r="1414" spans="20:25" x14ac:dyDescent="0.3">
      <c r="T1414" s="12"/>
      <c r="U1414" s="4"/>
      <c r="V1414" s="4"/>
      <c r="X1414" s="4"/>
      <c r="Y1414" s="4"/>
    </row>
    <row r="1415" spans="20:25" x14ac:dyDescent="0.3">
      <c r="T1415" s="12"/>
      <c r="U1415" s="4"/>
      <c r="V1415" s="4"/>
      <c r="X1415" s="4"/>
      <c r="Y1415" s="4"/>
    </row>
    <row r="1416" spans="20:25" x14ac:dyDescent="0.3">
      <c r="T1416" s="12"/>
      <c r="U1416" s="4"/>
      <c r="V1416" s="4"/>
      <c r="X1416" s="4"/>
      <c r="Y1416" s="4"/>
    </row>
    <row r="1417" spans="20:25" x14ac:dyDescent="0.3">
      <c r="T1417" s="12"/>
      <c r="U1417" s="4"/>
      <c r="V1417" s="4"/>
      <c r="X1417" s="4"/>
      <c r="Y1417" s="4"/>
    </row>
    <row r="1418" spans="20:25" x14ac:dyDescent="0.3">
      <c r="T1418" s="12"/>
      <c r="U1418" s="4"/>
      <c r="V1418" s="4"/>
      <c r="X1418" s="4"/>
      <c r="Y1418" s="4"/>
    </row>
    <row r="1419" spans="20:25" x14ac:dyDescent="0.3">
      <c r="T1419" s="12"/>
      <c r="U1419" s="4"/>
      <c r="V1419" s="4"/>
      <c r="X1419" s="4"/>
      <c r="Y1419" s="4"/>
    </row>
    <row r="1420" spans="20:25" x14ac:dyDescent="0.3">
      <c r="T1420" s="12"/>
      <c r="U1420" s="4"/>
      <c r="V1420" s="4"/>
      <c r="X1420" s="4"/>
      <c r="Y1420" s="4"/>
    </row>
    <row r="1421" spans="20:25" x14ac:dyDescent="0.3">
      <c r="T1421" s="12"/>
      <c r="U1421" s="4"/>
      <c r="V1421" s="4"/>
      <c r="X1421" s="4"/>
      <c r="Y1421" s="4"/>
    </row>
    <row r="1422" spans="20:25" x14ac:dyDescent="0.3">
      <c r="T1422" s="12"/>
      <c r="U1422" s="4"/>
      <c r="V1422" s="4"/>
      <c r="X1422" s="4"/>
      <c r="Y1422" s="4"/>
    </row>
    <row r="1423" spans="20:25" x14ac:dyDescent="0.3">
      <c r="T1423" s="12"/>
      <c r="U1423" s="4"/>
      <c r="V1423" s="4"/>
      <c r="X1423" s="4"/>
      <c r="Y1423" s="4"/>
    </row>
    <row r="1424" spans="20:25" x14ac:dyDescent="0.3">
      <c r="T1424" s="12"/>
      <c r="U1424" s="4"/>
      <c r="V1424" s="4"/>
      <c r="X1424" s="4"/>
      <c r="Y1424" s="4"/>
    </row>
    <row r="1425" spans="20:25" x14ac:dyDescent="0.3">
      <c r="T1425" s="12"/>
      <c r="U1425" s="4"/>
      <c r="V1425" s="4"/>
      <c r="X1425" s="4"/>
      <c r="Y1425" s="4"/>
    </row>
    <row r="1426" spans="20:25" x14ac:dyDescent="0.3">
      <c r="T1426" s="12"/>
      <c r="U1426" s="4"/>
      <c r="V1426" s="4"/>
      <c r="X1426" s="4"/>
      <c r="Y1426" s="4"/>
    </row>
    <row r="1427" spans="20:25" x14ac:dyDescent="0.3">
      <c r="T1427" s="12"/>
      <c r="U1427" s="4"/>
      <c r="V1427" s="4"/>
      <c r="X1427" s="4"/>
      <c r="Y1427" s="4"/>
    </row>
    <row r="1428" spans="20:25" x14ac:dyDescent="0.3">
      <c r="T1428" s="12"/>
      <c r="U1428" s="4"/>
      <c r="V1428" s="4"/>
      <c r="X1428" s="4"/>
      <c r="Y1428" s="4"/>
    </row>
    <row r="1429" spans="20:25" x14ac:dyDescent="0.3">
      <c r="T1429" s="12"/>
      <c r="U1429" s="4"/>
      <c r="V1429" s="4"/>
      <c r="X1429" s="4"/>
      <c r="Y1429" s="4"/>
    </row>
    <row r="1430" spans="20:25" x14ac:dyDescent="0.3">
      <c r="T1430" s="12"/>
      <c r="U1430" s="4"/>
      <c r="V1430" s="4"/>
      <c r="X1430" s="4"/>
      <c r="Y1430" s="4"/>
    </row>
    <row r="1431" spans="20:25" x14ac:dyDescent="0.3">
      <c r="T1431" s="12"/>
      <c r="U1431" s="4"/>
      <c r="V1431" s="4"/>
      <c r="X1431" s="4"/>
      <c r="Y1431" s="4"/>
    </row>
    <row r="1432" spans="20:25" x14ac:dyDescent="0.3">
      <c r="T1432" s="12"/>
      <c r="U1432" s="4"/>
      <c r="V1432" s="4"/>
      <c r="X1432" s="4"/>
      <c r="Y1432" s="4"/>
    </row>
    <row r="1433" spans="20:25" x14ac:dyDescent="0.3">
      <c r="T1433" s="12"/>
      <c r="U1433" s="4"/>
      <c r="V1433" s="4"/>
      <c r="X1433" s="4"/>
      <c r="Y1433" s="4"/>
    </row>
    <row r="1434" spans="20:25" x14ac:dyDescent="0.3">
      <c r="T1434" s="12"/>
      <c r="U1434" s="4"/>
      <c r="V1434" s="4"/>
      <c r="X1434" s="4"/>
      <c r="Y1434" s="4"/>
    </row>
    <row r="1435" spans="20:25" x14ac:dyDescent="0.3">
      <c r="T1435" s="12"/>
      <c r="U1435" s="4"/>
      <c r="V1435" s="4"/>
      <c r="X1435" s="4"/>
      <c r="Y1435" s="4"/>
    </row>
    <row r="1436" spans="20:25" x14ac:dyDescent="0.3">
      <c r="T1436" s="12"/>
      <c r="U1436" s="4"/>
      <c r="V1436" s="4"/>
      <c r="X1436" s="4"/>
      <c r="Y1436" s="4"/>
    </row>
    <row r="1437" spans="20:25" x14ac:dyDescent="0.3">
      <c r="T1437" s="12"/>
      <c r="U1437" s="4"/>
      <c r="V1437" s="4"/>
      <c r="X1437" s="4"/>
      <c r="Y1437" s="4"/>
    </row>
    <row r="1438" spans="20:25" x14ac:dyDescent="0.3">
      <c r="T1438" s="12"/>
      <c r="U1438" s="4"/>
      <c r="V1438" s="4"/>
      <c r="X1438" s="4"/>
      <c r="Y1438" s="4"/>
    </row>
    <row r="1439" spans="20:25" x14ac:dyDescent="0.3">
      <c r="T1439" s="12"/>
      <c r="U1439" s="4"/>
      <c r="V1439" s="4"/>
      <c r="X1439" s="4"/>
      <c r="Y1439" s="4"/>
    </row>
    <row r="1440" spans="20:25" x14ac:dyDescent="0.3">
      <c r="T1440" s="12"/>
      <c r="U1440" s="4"/>
      <c r="V1440" s="4"/>
      <c r="X1440" s="4"/>
      <c r="Y1440" s="4"/>
    </row>
    <row r="1441" spans="20:25" x14ac:dyDescent="0.3">
      <c r="T1441" s="12"/>
      <c r="U1441" s="4"/>
      <c r="V1441" s="4"/>
      <c r="X1441" s="4"/>
      <c r="Y1441" s="4"/>
    </row>
    <row r="1442" spans="20:25" x14ac:dyDescent="0.3">
      <c r="T1442" s="12"/>
      <c r="U1442" s="4"/>
      <c r="V1442" s="4"/>
      <c r="X1442" s="4"/>
      <c r="Y1442" s="4"/>
    </row>
    <row r="1443" spans="20:25" x14ac:dyDescent="0.3">
      <c r="T1443" s="12"/>
      <c r="U1443" s="4"/>
      <c r="V1443" s="4"/>
      <c r="X1443" s="4"/>
      <c r="Y1443" s="4"/>
    </row>
    <row r="1444" spans="20:25" x14ac:dyDescent="0.3">
      <c r="T1444" s="12"/>
      <c r="U1444" s="4"/>
      <c r="V1444" s="4"/>
      <c r="X1444" s="4"/>
      <c r="Y1444" s="4"/>
    </row>
    <row r="1445" spans="20:25" x14ac:dyDescent="0.3">
      <c r="T1445" s="12"/>
      <c r="U1445" s="4"/>
      <c r="V1445" s="4"/>
      <c r="X1445" s="4"/>
      <c r="Y1445" s="4"/>
    </row>
    <row r="1446" spans="20:25" x14ac:dyDescent="0.3">
      <c r="T1446" s="12"/>
      <c r="U1446" s="4"/>
      <c r="V1446" s="4"/>
      <c r="X1446" s="4"/>
      <c r="Y1446" s="4"/>
    </row>
    <row r="1447" spans="20:25" x14ac:dyDescent="0.3">
      <c r="T1447" s="12"/>
      <c r="U1447" s="4"/>
      <c r="V1447" s="4"/>
      <c r="X1447" s="4"/>
      <c r="Y1447" s="4"/>
    </row>
    <row r="1448" spans="20:25" x14ac:dyDescent="0.3">
      <c r="T1448" s="12"/>
      <c r="U1448" s="4"/>
      <c r="V1448" s="4"/>
      <c r="X1448" s="4"/>
      <c r="Y1448" s="4"/>
    </row>
    <row r="1449" spans="20:25" x14ac:dyDescent="0.3">
      <c r="T1449" s="12"/>
      <c r="U1449" s="4"/>
      <c r="V1449" s="4"/>
      <c r="X1449" s="4"/>
      <c r="Y1449" s="4"/>
    </row>
    <row r="1450" spans="20:25" x14ac:dyDescent="0.3">
      <c r="T1450" s="12"/>
      <c r="U1450" s="4"/>
      <c r="V1450" s="4"/>
      <c r="X1450" s="4"/>
      <c r="Y1450" s="4"/>
    </row>
    <row r="1451" spans="20:25" x14ac:dyDescent="0.3">
      <c r="T1451" s="12"/>
      <c r="U1451" s="4"/>
      <c r="V1451" s="4"/>
      <c r="X1451" s="4"/>
      <c r="Y1451" s="4"/>
    </row>
    <row r="1452" spans="20:25" x14ac:dyDescent="0.3">
      <c r="T1452" s="12"/>
      <c r="U1452" s="4"/>
      <c r="V1452" s="4"/>
      <c r="X1452" s="4"/>
      <c r="Y1452" s="4"/>
    </row>
    <row r="1453" spans="20:25" x14ac:dyDescent="0.3">
      <c r="T1453" s="12"/>
      <c r="U1453" s="4"/>
      <c r="V1453" s="4"/>
      <c r="X1453" s="4"/>
      <c r="Y1453" s="4"/>
    </row>
    <row r="1454" spans="20:25" x14ac:dyDescent="0.3">
      <c r="T1454" s="12"/>
      <c r="U1454" s="4"/>
      <c r="V1454" s="4"/>
      <c r="X1454" s="4"/>
      <c r="Y1454" s="4"/>
    </row>
    <row r="1455" spans="20:25" x14ac:dyDescent="0.3">
      <c r="T1455" s="12"/>
      <c r="U1455" s="4"/>
      <c r="V1455" s="4"/>
      <c r="X1455" s="4"/>
      <c r="Y1455" s="4"/>
    </row>
    <row r="1456" spans="20:25" x14ac:dyDescent="0.3">
      <c r="T1456" s="12"/>
      <c r="U1456" s="4"/>
      <c r="V1456" s="4"/>
      <c r="X1456" s="4"/>
      <c r="Y1456" s="4"/>
    </row>
    <row r="1457" spans="20:25" x14ac:dyDescent="0.3">
      <c r="T1457" s="12"/>
      <c r="U1457" s="4"/>
      <c r="V1457" s="4"/>
      <c r="X1457" s="4"/>
      <c r="Y1457" s="4"/>
    </row>
    <row r="1458" spans="20:25" x14ac:dyDescent="0.3">
      <c r="T1458" s="12"/>
      <c r="U1458" s="4"/>
      <c r="V1458" s="4"/>
      <c r="X1458" s="4"/>
      <c r="Y1458" s="4"/>
    </row>
    <row r="1459" spans="20:25" x14ac:dyDescent="0.3">
      <c r="T1459" s="12"/>
      <c r="U1459" s="4"/>
      <c r="V1459" s="4"/>
      <c r="X1459" s="4"/>
      <c r="Y1459" s="4"/>
    </row>
    <row r="1460" spans="20:25" x14ac:dyDescent="0.3">
      <c r="T1460" s="12"/>
      <c r="U1460" s="4"/>
      <c r="V1460" s="4"/>
      <c r="X1460" s="4"/>
      <c r="Y1460" s="4"/>
    </row>
    <row r="1461" spans="20:25" x14ac:dyDescent="0.3">
      <c r="T1461" s="12"/>
      <c r="U1461" s="4"/>
      <c r="V1461" s="4"/>
      <c r="X1461" s="4"/>
      <c r="Y1461" s="4"/>
    </row>
    <row r="1462" spans="20:25" x14ac:dyDescent="0.3">
      <c r="T1462" s="12"/>
      <c r="U1462" s="4"/>
      <c r="V1462" s="4"/>
      <c r="X1462" s="4"/>
      <c r="Y1462" s="4"/>
    </row>
    <row r="1463" spans="20:25" x14ac:dyDescent="0.3">
      <c r="T1463" s="12"/>
      <c r="U1463" s="4"/>
      <c r="V1463" s="4"/>
      <c r="X1463" s="4"/>
      <c r="Y1463" s="4"/>
    </row>
    <row r="1464" spans="20:25" x14ac:dyDescent="0.3">
      <c r="T1464" s="12"/>
      <c r="U1464" s="4"/>
      <c r="V1464" s="4"/>
      <c r="X1464" s="4"/>
      <c r="Y1464" s="4"/>
    </row>
    <row r="1465" spans="20:25" x14ac:dyDescent="0.3">
      <c r="T1465" s="12"/>
      <c r="U1465" s="4"/>
      <c r="V1465" s="4"/>
      <c r="X1465" s="4"/>
      <c r="Y1465" s="4"/>
    </row>
    <row r="1466" spans="20:25" x14ac:dyDescent="0.3">
      <c r="T1466" s="12"/>
      <c r="U1466" s="4"/>
      <c r="V1466" s="4"/>
      <c r="X1466" s="4"/>
      <c r="Y1466" s="4"/>
    </row>
    <row r="1467" spans="20:25" x14ac:dyDescent="0.3">
      <c r="T1467" s="12"/>
      <c r="U1467" s="4"/>
      <c r="V1467" s="4"/>
      <c r="X1467" s="4"/>
      <c r="Y1467" s="4"/>
    </row>
    <row r="1468" spans="20:25" x14ac:dyDescent="0.3">
      <c r="T1468" s="12"/>
      <c r="U1468" s="4"/>
      <c r="V1468" s="4"/>
      <c r="X1468" s="4"/>
      <c r="Y1468" s="4"/>
    </row>
    <row r="1469" spans="20:25" x14ac:dyDescent="0.3">
      <c r="T1469" s="12"/>
      <c r="U1469" s="4"/>
      <c r="V1469" s="4"/>
      <c r="X1469" s="4"/>
      <c r="Y1469" s="4"/>
    </row>
    <row r="1470" spans="20:25" x14ac:dyDescent="0.3">
      <c r="T1470" s="12"/>
      <c r="U1470" s="4"/>
      <c r="V1470" s="4"/>
      <c r="X1470" s="4"/>
      <c r="Y1470" s="4"/>
    </row>
    <row r="1471" spans="20:25" x14ac:dyDescent="0.3">
      <c r="T1471" s="12"/>
      <c r="U1471" s="4"/>
      <c r="V1471" s="4"/>
      <c r="X1471" s="4"/>
      <c r="Y1471" s="4"/>
    </row>
    <row r="1472" spans="20:25" x14ac:dyDescent="0.3">
      <c r="T1472" s="12"/>
      <c r="U1472" s="4"/>
      <c r="V1472" s="4"/>
      <c r="X1472" s="4"/>
      <c r="Y1472" s="4"/>
    </row>
    <row r="1473" spans="20:25" x14ac:dyDescent="0.3">
      <c r="T1473" s="12"/>
      <c r="U1473" s="4"/>
      <c r="V1473" s="4"/>
      <c r="X1473" s="4"/>
      <c r="Y1473" s="4"/>
    </row>
    <row r="1474" spans="20:25" x14ac:dyDescent="0.3">
      <c r="T1474" s="12"/>
      <c r="U1474" s="4"/>
      <c r="V1474" s="4"/>
      <c r="X1474" s="4"/>
      <c r="Y1474" s="4"/>
    </row>
    <row r="1475" spans="20:25" x14ac:dyDescent="0.3">
      <c r="T1475" s="12"/>
      <c r="U1475" s="4"/>
      <c r="V1475" s="4"/>
      <c r="X1475" s="4"/>
      <c r="Y1475" s="4"/>
    </row>
    <row r="1476" spans="20:25" x14ac:dyDescent="0.3">
      <c r="T1476" s="12"/>
      <c r="U1476" s="4"/>
      <c r="V1476" s="4"/>
      <c r="X1476" s="4"/>
      <c r="Y1476" s="4"/>
    </row>
    <row r="1477" spans="20:25" x14ac:dyDescent="0.3">
      <c r="T1477" s="12"/>
      <c r="U1477" s="4"/>
      <c r="V1477" s="4"/>
      <c r="X1477" s="4"/>
      <c r="Y1477" s="4"/>
    </row>
    <row r="1478" spans="20:25" x14ac:dyDescent="0.3">
      <c r="T1478" s="12"/>
      <c r="U1478" s="4"/>
      <c r="V1478" s="4"/>
      <c r="X1478" s="4"/>
      <c r="Y1478" s="4"/>
    </row>
    <row r="1479" spans="20:25" x14ac:dyDescent="0.3">
      <c r="T1479" s="12"/>
      <c r="U1479" s="4"/>
      <c r="V1479" s="4"/>
      <c r="X1479" s="4"/>
      <c r="Y1479" s="4"/>
    </row>
    <row r="1480" spans="20:25" x14ac:dyDescent="0.3">
      <c r="T1480" s="12"/>
      <c r="U1480" s="4"/>
      <c r="V1480" s="4"/>
      <c r="X1480" s="4"/>
      <c r="Y1480" s="4"/>
    </row>
    <row r="1481" spans="20:25" x14ac:dyDescent="0.3">
      <c r="T1481" s="12"/>
      <c r="U1481" s="4"/>
      <c r="V1481" s="4"/>
      <c r="X1481" s="4"/>
      <c r="Y1481" s="4"/>
    </row>
    <row r="1482" spans="20:25" x14ac:dyDescent="0.3">
      <c r="T1482" s="12"/>
      <c r="U1482" s="4"/>
      <c r="V1482" s="4"/>
      <c r="X1482" s="4"/>
      <c r="Y1482" s="4"/>
    </row>
    <row r="1483" spans="20:25" x14ac:dyDescent="0.3">
      <c r="T1483" s="12"/>
      <c r="U1483" s="4"/>
      <c r="V1483" s="4"/>
      <c r="X1483" s="4"/>
      <c r="Y1483" s="4"/>
    </row>
    <row r="1484" spans="20:25" x14ac:dyDescent="0.3">
      <c r="T1484" s="12"/>
      <c r="U1484" s="4"/>
      <c r="V1484" s="4"/>
      <c r="X1484" s="4"/>
      <c r="Y1484" s="4"/>
    </row>
    <row r="1485" spans="20:25" x14ac:dyDescent="0.3">
      <c r="T1485" s="12"/>
      <c r="U1485" s="4"/>
      <c r="V1485" s="4"/>
      <c r="X1485" s="4"/>
      <c r="Y1485" s="4"/>
    </row>
    <row r="1486" spans="20:25" x14ac:dyDescent="0.3">
      <c r="T1486" s="12"/>
      <c r="U1486" s="4"/>
      <c r="V1486" s="4"/>
      <c r="X1486" s="4"/>
      <c r="Y1486" s="4"/>
    </row>
    <row r="1487" spans="20:25" x14ac:dyDescent="0.3">
      <c r="T1487" s="12"/>
      <c r="U1487" s="4"/>
      <c r="V1487" s="4"/>
      <c r="X1487" s="4"/>
      <c r="Y1487" s="4"/>
    </row>
    <row r="1488" spans="20:25" x14ac:dyDescent="0.3">
      <c r="T1488" s="12"/>
      <c r="U1488" s="4"/>
      <c r="V1488" s="4"/>
      <c r="X1488" s="4"/>
      <c r="Y1488" s="4"/>
    </row>
    <row r="1489" spans="20:25" x14ac:dyDescent="0.3">
      <c r="T1489" s="12"/>
      <c r="U1489" s="4"/>
      <c r="V1489" s="4"/>
      <c r="X1489" s="4"/>
      <c r="Y1489" s="4"/>
    </row>
    <row r="1490" spans="20:25" x14ac:dyDescent="0.3">
      <c r="T1490" s="12"/>
      <c r="U1490" s="4"/>
      <c r="V1490" s="4"/>
      <c r="X1490" s="4"/>
      <c r="Y1490" s="4"/>
    </row>
    <row r="1491" spans="20:25" x14ac:dyDescent="0.3">
      <c r="T1491" s="12"/>
      <c r="U1491" s="4"/>
      <c r="V1491" s="4"/>
      <c r="X1491" s="4"/>
      <c r="Y1491" s="4"/>
    </row>
    <row r="1492" spans="20:25" x14ac:dyDescent="0.3">
      <c r="T1492" s="12"/>
      <c r="U1492" s="4"/>
      <c r="V1492" s="4"/>
      <c r="X1492" s="4"/>
      <c r="Y1492" s="4"/>
    </row>
    <row r="1493" spans="20:25" x14ac:dyDescent="0.3">
      <c r="T1493" s="12"/>
      <c r="U1493" s="4"/>
      <c r="V1493" s="4"/>
      <c r="X1493" s="4"/>
      <c r="Y1493" s="4"/>
    </row>
    <row r="1494" spans="20:25" x14ac:dyDescent="0.3">
      <c r="T1494" s="12"/>
      <c r="U1494" s="4"/>
      <c r="V1494" s="4"/>
      <c r="X1494" s="4"/>
      <c r="Y1494" s="4"/>
    </row>
    <row r="1495" spans="20:25" x14ac:dyDescent="0.3">
      <c r="T1495" s="12"/>
      <c r="U1495" s="4"/>
      <c r="V1495" s="4"/>
      <c r="X1495" s="4"/>
      <c r="Y1495" s="4"/>
    </row>
    <row r="1496" spans="20:25" x14ac:dyDescent="0.3">
      <c r="T1496" s="12"/>
      <c r="U1496" s="4"/>
      <c r="V1496" s="4"/>
      <c r="X1496" s="4"/>
      <c r="Y1496" s="4"/>
    </row>
    <row r="1497" spans="20:25" x14ac:dyDescent="0.3">
      <c r="T1497" s="12"/>
      <c r="U1497" s="4"/>
      <c r="V1497" s="4"/>
      <c r="X1497" s="4"/>
      <c r="Y1497" s="4"/>
    </row>
    <row r="1498" spans="20:25" x14ac:dyDescent="0.3">
      <c r="T1498" s="12"/>
      <c r="U1498" s="4"/>
      <c r="V1498" s="4"/>
      <c r="X1498" s="4"/>
      <c r="Y1498" s="4"/>
    </row>
    <row r="1499" spans="20:25" x14ac:dyDescent="0.3">
      <c r="T1499" s="12"/>
      <c r="U1499" s="4"/>
      <c r="V1499" s="4"/>
      <c r="X1499" s="4"/>
      <c r="Y1499" s="4"/>
    </row>
    <row r="1500" spans="20:25" x14ac:dyDescent="0.3">
      <c r="T1500" s="12"/>
      <c r="U1500" s="4"/>
      <c r="V1500" s="4"/>
      <c r="X1500" s="4"/>
      <c r="Y1500" s="4"/>
    </row>
    <row r="1501" spans="20:25" x14ac:dyDescent="0.3">
      <c r="T1501" s="12"/>
      <c r="U1501" s="4"/>
      <c r="V1501" s="4"/>
      <c r="X1501" s="4"/>
      <c r="Y1501" s="4"/>
    </row>
    <row r="1502" spans="20:25" x14ac:dyDescent="0.3">
      <c r="T1502" s="12"/>
      <c r="U1502" s="4"/>
      <c r="V1502" s="4"/>
      <c r="X1502" s="4"/>
      <c r="Y1502" s="4"/>
    </row>
    <row r="1503" spans="20:25" x14ac:dyDescent="0.3">
      <c r="T1503" s="12"/>
      <c r="U1503" s="4"/>
      <c r="V1503" s="4"/>
      <c r="X1503" s="4"/>
      <c r="Y1503" s="4"/>
    </row>
    <row r="1504" spans="20:25" x14ac:dyDescent="0.3">
      <c r="T1504" s="12"/>
      <c r="U1504" s="4"/>
      <c r="V1504" s="4"/>
      <c r="X1504" s="4"/>
      <c r="Y1504" s="4"/>
    </row>
    <row r="1505" spans="20:25" x14ac:dyDescent="0.3">
      <c r="T1505" s="12"/>
      <c r="U1505" s="4"/>
      <c r="V1505" s="4"/>
      <c r="X1505" s="4"/>
      <c r="Y1505" s="4"/>
    </row>
    <row r="1506" spans="20:25" x14ac:dyDescent="0.3">
      <c r="T1506" s="12"/>
      <c r="U1506" s="4"/>
      <c r="V1506" s="4"/>
      <c r="X1506" s="4"/>
      <c r="Y1506" s="4"/>
    </row>
    <row r="1507" spans="20:25" x14ac:dyDescent="0.3">
      <c r="T1507" s="12"/>
      <c r="U1507" s="4"/>
      <c r="V1507" s="4"/>
      <c r="X1507" s="4"/>
      <c r="Y1507" s="4"/>
    </row>
    <row r="1508" spans="20:25" x14ac:dyDescent="0.3">
      <c r="T1508" s="12"/>
      <c r="U1508" s="4"/>
      <c r="V1508" s="4"/>
      <c r="X1508" s="4"/>
      <c r="Y1508" s="4"/>
    </row>
    <row r="1509" spans="20:25" x14ac:dyDescent="0.3">
      <c r="T1509" s="12"/>
      <c r="U1509" s="4"/>
      <c r="V1509" s="4"/>
      <c r="X1509" s="4"/>
      <c r="Y1509" s="4"/>
    </row>
    <row r="1510" spans="20:25" x14ac:dyDescent="0.3">
      <c r="T1510" s="12"/>
      <c r="U1510" s="4"/>
      <c r="V1510" s="4"/>
      <c r="X1510" s="4"/>
      <c r="Y1510" s="4"/>
    </row>
    <row r="1511" spans="20:25" x14ac:dyDescent="0.3">
      <c r="T1511" s="12"/>
      <c r="U1511" s="4"/>
      <c r="V1511" s="4"/>
      <c r="X1511" s="4"/>
      <c r="Y1511" s="4"/>
    </row>
    <row r="1512" spans="20:25" x14ac:dyDescent="0.3">
      <c r="T1512" s="12"/>
      <c r="U1512" s="4"/>
      <c r="V1512" s="4"/>
      <c r="X1512" s="4"/>
      <c r="Y1512" s="4"/>
    </row>
    <row r="1513" spans="20:25" x14ac:dyDescent="0.3">
      <c r="T1513" s="12"/>
      <c r="U1513" s="4"/>
      <c r="V1513" s="4"/>
      <c r="X1513" s="4"/>
      <c r="Y1513" s="4"/>
    </row>
    <row r="1514" spans="20:25" x14ac:dyDescent="0.3">
      <c r="T1514" s="12"/>
      <c r="U1514" s="4"/>
      <c r="V1514" s="4"/>
      <c r="X1514" s="4"/>
      <c r="Y1514" s="4"/>
    </row>
    <row r="1515" spans="20:25" x14ac:dyDescent="0.3">
      <c r="T1515" s="12"/>
      <c r="U1515" s="4"/>
      <c r="V1515" s="4"/>
      <c r="X1515" s="4"/>
      <c r="Y1515" s="4"/>
    </row>
    <row r="1516" spans="20:25" x14ac:dyDescent="0.3">
      <c r="T1516" s="12"/>
      <c r="U1516" s="4"/>
      <c r="V1516" s="4"/>
      <c r="X1516" s="4"/>
      <c r="Y1516" s="4"/>
    </row>
    <row r="1517" spans="20:25" x14ac:dyDescent="0.3">
      <c r="T1517" s="12"/>
      <c r="U1517" s="4"/>
      <c r="V1517" s="4"/>
      <c r="X1517" s="4"/>
      <c r="Y1517" s="4"/>
    </row>
    <row r="1518" spans="20:25" x14ac:dyDescent="0.3">
      <c r="T1518" s="12"/>
      <c r="U1518" s="4"/>
      <c r="V1518" s="4"/>
      <c r="X1518" s="4"/>
      <c r="Y1518" s="4"/>
    </row>
    <row r="1519" spans="20:25" x14ac:dyDescent="0.3">
      <c r="T1519" s="12"/>
      <c r="U1519" s="4"/>
      <c r="V1519" s="4"/>
      <c r="X1519" s="4"/>
      <c r="Y1519" s="4"/>
    </row>
    <row r="1520" spans="20:25" x14ac:dyDescent="0.3">
      <c r="T1520" s="12"/>
      <c r="U1520" s="4"/>
      <c r="V1520" s="4"/>
      <c r="X1520" s="4"/>
      <c r="Y1520" s="4"/>
    </row>
    <row r="1521" spans="20:25" x14ac:dyDescent="0.3">
      <c r="T1521" s="12"/>
      <c r="U1521" s="4"/>
      <c r="V1521" s="4"/>
      <c r="X1521" s="4"/>
      <c r="Y1521" s="4"/>
    </row>
    <row r="1522" spans="20:25" x14ac:dyDescent="0.3">
      <c r="T1522" s="12"/>
      <c r="U1522" s="4"/>
      <c r="V1522" s="4"/>
      <c r="X1522" s="4"/>
      <c r="Y1522" s="4"/>
    </row>
    <row r="1523" spans="20:25" x14ac:dyDescent="0.3">
      <c r="T1523" s="12"/>
      <c r="U1523" s="4"/>
      <c r="V1523" s="4"/>
      <c r="X1523" s="4"/>
      <c r="Y1523" s="4"/>
    </row>
    <row r="1524" spans="20:25" x14ac:dyDescent="0.3">
      <c r="T1524" s="12"/>
      <c r="U1524" s="4"/>
      <c r="V1524" s="4"/>
      <c r="X1524" s="4"/>
      <c r="Y1524" s="4"/>
    </row>
    <row r="1525" spans="20:25" x14ac:dyDescent="0.3">
      <c r="T1525" s="12"/>
      <c r="U1525" s="4"/>
      <c r="V1525" s="4"/>
      <c r="X1525" s="4"/>
      <c r="Y1525" s="4"/>
    </row>
    <row r="1526" spans="20:25" x14ac:dyDescent="0.3">
      <c r="T1526" s="12"/>
      <c r="U1526" s="4"/>
      <c r="V1526" s="4"/>
      <c r="X1526" s="4"/>
      <c r="Y1526" s="4"/>
    </row>
    <row r="1527" spans="20:25" x14ac:dyDescent="0.3">
      <c r="T1527" s="12"/>
      <c r="U1527" s="4"/>
      <c r="V1527" s="4"/>
      <c r="X1527" s="4"/>
      <c r="Y1527" s="4"/>
    </row>
    <row r="1528" spans="20:25" x14ac:dyDescent="0.3">
      <c r="T1528" s="12"/>
      <c r="U1528" s="4"/>
      <c r="V1528" s="4"/>
      <c r="X1528" s="4"/>
      <c r="Y1528" s="4"/>
    </row>
    <row r="1529" spans="20:25" x14ac:dyDescent="0.3">
      <c r="T1529" s="12"/>
      <c r="U1529" s="4"/>
      <c r="V1529" s="4"/>
      <c r="X1529" s="4"/>
      <c r="Y1529" s="4"/>
    </row>
    <row r="1530" spans="20:25" x14ac:dyDescent="0.3">
      <c r="T1530" s="12"/>
      <c r="U1530" s="4"/>
      <c r="V1530" s="4"/>
      <c r="X1530" s="4"/>
      <c r="Y1530" s="4"/>
    </row>
    <row r="1531" spans="20:25" x14ac:dyDescent="0.3">
      <c r="T1531" s="12"/>
      <c r="U1531" s="4"/>
      <c r="V1531" s="4"/>
      <c r="X1531" s="4"/>
      <c r="Y1531" s="4"/>
    </row>
    <row r="1532" spans="20:25" x14ac:dyDescent="0.3">
      <c r="T1532" s="12"/>
      <c r="U1532" s="4"/>
      <c r="V1532" s="4"/>
      <c r="X1532" s="4"/>
      <c r="Y1532" s="4"/>
    </row>
    <row r="1533" spans="20:25" x14ac:dyDescent="0.3">
      <c r="T1533" s="12"/>
      <c r="U1533" s="4"/>
      <c r="V1533" s="4"/>
      <c r="X1533" s="4"/>
      <c r="Y1533" s="4"/>
    </row>
    <row r="1534" spans="20:25" x14ac:dyDescent="0.3">
      <c r="T1534" s="12"/>
      <c r="U1534" s="4"/>
      <c r="V1534" s="4"/>
      <c r="X1534" s="4"/>
      <c r="Y1534" s="4"/>
    </row>
    <row r="1535" spans="20:25" x14ac:dyDescent="0.3">
      <c r="T1535" s="12"/>
      <c r="U1535" s="4"/>
      <c r="V1535" s="4"/>
      <c r="X1535" s="4"/>
      <c r="Y1535" s="4"/>
    </row>
    <row r="1536" spans="20:25" x14ac:dyDescent="0.3">
      <c r="T1536" s="12"/>
      <c r="U1536" s="4"/>
      <c r="V1536" s="4"/>
      <c r="X1536" s="4"/>
      <c r="Y1536" s="4"/>
    </row>
    <row r="1537" spans="20:25" x14ac:dyDescent="0.3">
      <c r="T1537" s="12"/>
      <c r="U1537" s="4"/>
      <c r="V1537" s="4"/>
      <c r="X1537" s="4"/>
      <c r="Y1537" s="4"/>
    </row>
    <row r="1538" spans="20:25" x14ac:dyDescent="0.3">
      <c r="T1538" s="12"/>
      <c r="U1538" s="4"/>
      <c r="V1538" s="4"/>
      <c r="X1538" s="4"/>
      <c r="Y1538" s="4"/>
    </row>
    <row r="1539" spans="20:25" x14ac:dyDescent="0.3">
      <c r="T1539" s="12"/>
      <c r="U1539" s="4"/>
      <c r="V1539" s="4"/>
      <c r="X1539" s="4"/>
      <c r="Y1539" s="4"/>
    </row>
    <row r="1540" spans="20:25" x14ac:dyDescent="0.3">
      <c r="T1540" s="12"/>
      <c r="U1540" s="4"/>
      <c r="V1540" s="4"/>
      <c r="X1540" s="4"/>
      <c r="Y1540" s="4"/>
    </row>
    <row r="1541" spans="20:25" x14ac:dyDescent="0.3">
      <c r="T1541" s="12"/>
      <c r="U1541" s="4"/>
      <c r="V1541" s="4"/>
      <c r="X1541" s="4"/>
      <c r="Y1541" s="4"/>
    </row>
    <row r="1542" spans="20:25" x14ac:dyDescent="0.3">
      <c r="T1542" s="12"/>
      <c r="U1542" s="4"/>
      <c r="V1542" s="4"/>
      <c r="X1542" s="4"/>
      <c r="Y1542" s="4"/>
    </row>
    <row r="1543" spans="20:25" x14ac:dyDescent="0.3">
      <c r="T1543" s="12"/>
      <c r="U1543" s="4"/>
      <c r="V1543" s="4"/>
      <c r="X1543" s="4"/>
      <c r="Y1543" s="4"/>
    </row>
    <row r="1544" spans="20:25" x14ac:dyDescent="0.3">
      <c r="T1544" s="12"/>
      <c r="U1544" s="4"/>
      <c r="V1544" s="4"/>
      <c r="X1544" s="4"/>
      <c r="Y1544" s="4"/>
    </row>
    <row r="1545" spans="20:25" x14ac:dyDescent="0.3">
      <c r="T1545" s="12"/>
      <c r="U1545" s="4"/>
      <c r="V1545" s="4"/>
      <c r="X1545" s="4"/>
      <c r="Y1545" s="4"/>
    </row>
    <row r="1546" spans="20:25" x14ac:dyDescent="0.3">
      <c r="T1546" s="12"/>
      <c r="U1546" s="4"/>
      <c r="V1546" s="4"/>
      <c r="X1546" s="4"/>
      <c r="Y1546" s="4"/>
    </row>
    <row r="1547" spans="20:25" x14ac:dyDescent="0.3">
      <c r="T1547" s="12"/>
      <c r="U1547" s="4"/>
      <c r="V1547" s="4"/>
      <c r="X1547" s="4"/>
      <c r="Y1547" s="4"/>
    </row>
    <row r="1548" spans="20:25" x14ac:dyDescent="0.3">
      <c r="T1548" s="12"/>
      <c r="U1548" s="4"/>
      <c r="V1548" s="4"/>
      <c r="X1548" s="4"/>
      <c r="Y1548" s="4"/>
    </row>
    <row r="1549" spans="20:25" x14ac:dyDescent="0.3">
      <c r="T1549" s="12"/>
      <c r="U1549" s="4"/>
      <c r="V1549" s="4"/>
      <c r="X1549" s="4"/>
      <c r="Y1549" s="4"/>
    </row>
    <row r="1550" spans="20:25" x14ac:dyDescent="0.3">
      <c r="T1550" s="12"/>
      <c r="U1550" s="4"/>
      <c r="V1550" s="4"/>
      <c r="X1550" s="4"/>
      <c r="Y1550" s="4"/>
    </row>
    <row r="1551" spans="20:25" x14ac:dyDescent="0.3">
      <c r="T1551" s="12"/>
      <c r="U1551" s="4"/>
      <c r="V1551" s="4"/>
      <c r="X1551" s="4"/>
      <c r="Y1551" s="4"/>
    </row>
    <row r="1552" spans="20:25" x14ac:dyDescent="0.3">
      <c r="T1552" s="12"/>
      <c r="U1552" s="4"/>
      <c r="V1552" s="4"/>
      <c r="X1552" s="4"/>
      <c r="Y1552" s="4"/>
    </row>
    <row r="1553" spans="20:25" x14ac:dyDescent="0.3">
      <c r="T1553" s="12"/>
      <c r="U1553" s="4"/>
      <c r="V1553" s="4"/>
      <c r="X1553" s="4"/>
      <c r="Y1553" s="4"/>
    </row>
    <row r="1554" spans="20:25" x14ac:dyDescent="0.3">
      <c r="T1554" s="12"/>
      <c r="U1554" s="4"/>
      <c r="V1554" s="4"/>
      <c r="X1554" s="4"/>
      <c r="Y1554" s="4"/>
    </row>
    <row r="1555" spans="20:25" x14ac:dyDescent="0.3">
      <c r="T1555" s="12"/>
      <c r="U1555" s="4"/>
      <c r="V1555" s="4"/>
      <c r="X1555" s="4"/>
      <c r="Y1555" s="4"/>
    </row>
    <row r="1556" spans="20:25" x14ac:dyDescent="0.3">
      <c r="T1556" s="12"/>
      <c r="U1556" s="4"/>
      <c r="V1556" s="4"/>
      <c r="X1556" s="4"/>
      <c r="Y1556" s="4"/>
    </row>
    <row r="1557" spans="20:25" x14ac:dyDescent="0.3">
      <c r="T1557" s="12"/>
      <c r="U1557" s="4"/>
      <c r="V1557" s="4"/>
      <c r="X1557" s="4"/>
      <c r="Y1557" s="4"/>
    </row>
    <row r="1558" spans="20:25" x14ac:dyDescent="0.3">
      <c r="T1558" s="12"/>
      <c r="U1558" s="4"/>
      <c r="V1558" s="4"/>
      <c r="X1558" s="4"/>
      <c r="Y1558" s="4"/>
    </row>
    <row r="1559" spans="20:25" x14ac:dyDescent="0.3">
      <c r="T1559" s="12"/>
      <c r="U1559" s="4"/>
      <c r="V1559" s="4"/>
      <c r="X1559" s="4"/>
      <c r="Y1559" s="4"/>
    </row>
    <row r="1560" spans="20:25" x14ac:dyDescent="0.3">
      <c r="T1560" s="12"/>
      <c r="U1560" s="4"/>
      <c r="V1560" s="4"/>
      <c r="X1560" s="4"/>
      <c r="Y1560" s="4"/>
    </row>
    <row r="1561" spans="20:25" x14ac:dyDescent="0.3">
      <c r="T1561" s="12"/>
      <c r="U1561" s="4"/>
      <c r="V1561" s="4"/>
      <c r="X1561" s="4"/>
      <c r="Y1561" s="4"/>
    </row>
    <row r="1562" spans="20:25" x14ac:dyDescent="0.3">
      <c r="T1562" s="12"/>
      <c r="U1562" s="4"/>
      <c r="V1562" s="4"/>
      <c r="X1562" s="4"/>
      <c r="Y1562" s="4"/>
    </row>
    <row r="1563" spans="20:25" x14ac:dyDescent="0.3">
      <c r="T1563" s="12"/>
      <c r="U1563" s="4"/>
      <c r="V1563" s="4"/>
      <c r="X1563" s="4"/>
      <c r="Y1563" s="4"/>
    </row>
    <row r="1564" spans="20:25" x14ac:dyDescent="0.3">
      <c r="T1564" s="12"/>
      <c r="U1564" s="4"/>
      <c r="V1564" s="4"/>
      <c r="X1564" s="4"/>
      <c r="Y1564" s="4"/>
    </row>
    <row r="1565" spans="20:25" x14ac:dyDescent="0.3">
      <c r="T1565" s="12"/>
      <c r="U1565" s="4"/>
      <c r="V1565" s="4"/>
      <c r="X1565" s="4"/>
      <c r="Y1565" s="4"/>
    </row>
    <row r="1566" spans="20:25" x14ac:dyDescent="0.3">
      <c r="T1566" s="12"/>
      <c r="U1566" s="4"/>
      <c r="V1566" s="4"/>
      <c r="X1566" s="4"/>
      <c r="Y1566" s="4"/>
    </row>
    <row r="1567" spans="20:25" x14ac:dyDescent="0.3">
      <c r="T1567" s="12"/>
      <c r="U1567" s="4"/>
      <c r="V1567" s="4"/>
      <c r="X1567" s="4"/>
      <c r="Y1567" s="4"/>
    </row>
    <row r="1568" spans="20:25" x14ac:dyDescent="0.3">
      <c r="T1568" s="12"/>
      <c r="U1568" s="4"/>
      <c r="V1568" s="4"/>
      <c r="X1568" s="4"/>
      <c r="Y1568" s="4"/>
    </row>
    <row r="1569" spans="20:25" x14ac:dyDescent="0.3">
      <c r="T1569" s="12"/>
      <c r="U1569" s="4"/>
      <c r="V1569" s="4"/>
      <c r="X1569" s="4"/>
      <c r="Y1569" s="4"/>
    </row>
    <row r="1570" spans="20:25" x14ac:dyDescent="0.3">
      <c r="T1570" s="12"/>
      <c r="U1570" s="4"/>
      <c r="V1570" s="4"/>
      <c r="X1570" s="4"/>
      <c r="Y1570" s="4"/>
    </row>
    <row r="1571" spans="20:25" x14ac:dyDescent="0.3">
      <c r="T1571" s="12"/>
      <c r="U1571" s="4"/>
      <c r="V1571" s="4"/>
      <c r="X1571" s="4"/>
      <c r="Y1571" s="4"/>
    </row>
    <row r="1572" spans="20:25" x14ac:dyDescent="0.3">
      <c r="T1572" s="12"/>
      <c r="U1572" s="4"/>
      <c r="V1572" s="4"/>
      <c r="X1572" s="4"/>
      <c r="Y1572" s="4"/>
    </row>
    <row r="1573" spans="20:25" x14ac:dyDescent="0.3">
      <c r="T1573" s="12"/>
      <c r="U1573" s="4"/>
      <c r="V1573" s="4"/>
      <c r="X1573" s="4"/>
      <c r="Y1573" s="4"/>
    </row>
    <row r="1574" spans="20:25" x14ac:dyDescent="0.3">
      <c r="T1574" s="12"/>
      <c r="U1574" s="4"/>
      <c r="V1574" s="4"/>
      <c r="X1574" s="4"/>
      <c r="Y1574" s="4"/>
    </row>
    <row r="1575" spans="20:25" x14ac:dyDescent="0.3">
      <c r="T1575" s="12"/>
      <c r="U1575" s="4"/>
      <c r="V1575" s="4"/>
      <c r="X1575" s="4"/>
      <c r="Y1575" s="4"/>
    </row>
    <row r="1576" spans="20:25" x14ac:dyDescent="0.3">
      <c r="T1576" s="12"/>
      <c r="U1576" s="4"/>
      <c r="V1576" s="4"/>
      <c r="X1576" s="4"/>
      <c r="Y1576" s="4"/>
    </row>
    <row r="1577" spans="20:25" x14ac:dyDescent="0.3">
      <c r="T1577" s="12"/>
      <c r="U1577" s="4"/>
      <c r="V1577" s="4"/>
      <c r="X1577" s="4"/>
      <c r="Y1577" s="4"/>
    </row>
    <row r="1578" spans="20:25" x14ac:dyDescent="0.3">
      <c r="T1578" s="12"/>
      <c r="U1578" s="4"/>
      <c r="V1578" s="4"/>
      <c r="X1578" s="4"/>
      <c r="Y1578" s="4"/>
    </row>
    <row r="1579" spans="20:25" x14ac:dyDescent="0.3">
      <c r="T1579" s="12"/>
      <c r="U1579" s="4"/>
      <c r="V1579" s="4"/>
      <c r="X1579" s="4"/>
      <c r="Y1579" s="4"/>
    </row>
    <row r="1580" spans="20:25" x14ac:dyDescent="0.3">
      <c r="T1580" s="12"/>
      <c r="U1580" s="4"/>
      <c r="V1580" s="4"/>
      <c r="X1580" s="4"/>
      <c r="Y1580" s="4"/>
    </row>
    <row r="1581" spans="20:25" x14ac:dyDescent="0.3">
      <c r="T1581" s="12"/>
      <c r="U1581" s="4"/>
      <c r="V1581" s="4"/>
      <c r="X1581" s="4"/>
      <c r="Y1581" s="4"/>
    </row>
    <row r="1582" spans="20:25" x14ac:dyDescent="0.3">
      <c r="T1582" s="12"/>
      <c r="U1582" s="4"/>
      <c r="V1582" s="4"/>
      <c r="X1582" s="4"/>
      <c r="Y1582" s="4"/>
    </row>
    <row r="1583" spans="20:25" x14ac:dyDescent="0.3">
      <c r="T1583" s="12"/>
      <c r="U1583" s="4"/>
      <c r="V1583" s="4"/>
      <c r="X1583" s="4"/>
      <c r="Y1583" s="4"/>
    </row>
    <row r="1584" spans="20:25" x14ac:dyDescent="0.3">
      <c r="T1584" s="12"/>
      <c r="U1584" s="4"/>
      <c r="V1584" s="4"/>
      <c r="X1584" s="4"/>
      <c r="Y1584" s="4"/>
    </row>
    <row r="1585" spans="20:25" x14ac:dyDescent="0.3">
      <c r="T1585" s="12"/>
      <c r="U1585" s="4"/>
      <c r="V1585" s="4"/>
      <c r="X1585" s="4"/>
      <c r="Y1585" s="4"/>
    </row>
    <row r="1586" spans="20:25" x14ac:dyDescent="0.3">
      <c r="T1586" s="12"/>
      <c r="U1586" s="4"/>
      <c r="V1586" s="4"/>
      <c r="X1586" s="4"/>
      <c r="Y1586" s="4"/>
    </row>
    <row r="1587" spans="20:25" x14ac:dyDescent="0.3">
      <c r="T1587" s="12"/>
      <c r="U1587" s="4"/>
      <c r="V1587" s="4"/>
      <c r="X1587" s="4"/>
      <c r="Y1587" s="4"/>
    </row>
    <row r="1588" spans="20:25" x14ac:dyDescent="0.3">
      <c r="T1588" s="12"/>
      <c r="U1588" s="4"/>
      <c r="V1588" s="4"/>
      <c r="X1588" s="4"/>
      <c r="Y1588" s="4"/>
    </row>
    <row r="1589" spans="20:25" x14ac:dyDescent="0.3">
      <c r="T1589" s="12"/>
      <c r="U1589" s="4"/>
      <c r="V1589" s="4"/>
      <c r="X1589" s="4"/>
      <c r="Y1589" s="4"/>
    </row>
    <row r="1590" spans="20:25" x14ac:dyDescent="0.3">
      <c r="T1590" s="12"/>
      <c r="U1590" s="4"/>
      <c r="V1590" s="4"/>
      <c r="X1590" s="4"/>
      <c r="Y1590" s="4"/>
    </row>
    <row r="1591" spans="20:25" x14ac:dyDescent="0.3">
      <c r="T1591" s="12"/>
      <c r="U1591" s="4"/>
      <c r="V1591" s="4"/>
      <c r="X1591" s="4"/>
      <c r="Y1591" s="4"/>
    </row>
    <row r="1592" spans="20:25" x14ac:dyDescent="0.3">
      <c r="T1592" s="12"/>
      <c r="U1592" s="4"/>
      <c r="V1592" s="4"/>
      <c r="X1592" s="4"/>
      <c r="Y1592" s="4"/>
    </row>
    <row r="1593" spans="20:25" x14ac:dyDescent="0.3">
      <c r="T1593" s="12"/>
      <c r="U1593" s="4"/>
      <c r="V1593" s="4"/>
      <c r="X1593" s="4"/>
      <c r="Y1593" s="4"/>
    </row>
    <row r="1594" spans="20:25" x14ac:dyDescent="0.3">
      <c r="T1594" s="12"/>
      <c r="U1594" s="4"/>
      <c r="V1594" s="4"/>
      <c r="X1594" s="4"/>
      <c r="Y1594" s="4"/>
    </row>
    <row r="1595" spans="20:25" x14ac:dyDescent="0.3">
      <c r="T1595" s="12"/>
      <c r="U1595" s="4"/>
      <c r="V1595" s="4"/>
      <c r="X1595" s="4"/>
      <c r="Y1595" s="4"/>
    </row>
    <row r="1596" spans="20:25" x14ac:dyDescent="0.3">
      <c r="T1596" s="12"/>
      <c r="U1596" s="4"/>
      <c r="V1596" s="4"/>
      <c r="X1596" s="4"/>
      <c r="Y1596" s="4"/>
    </row>
    <row r="1597" spans="20:25" x14ac:dyDescent="0.3">
      <c r="T1597" s="12"/>
      <c r="U1597" s="4"/>
      <c r="V1597" s="4"/>
      <c r="X1597" s="4"/>
      <c r="Y1597" s="4"/>
    </row>
    <row r="1598" spans="20:25" x14ac:dyDescent="0.3">
      <c r="T1598" s="12"/>
      <c r="U1598" s="4"/>
      <c r="V1598" s="4"/>
      <c r="X1598" s="4"/>
      <c r="Y1598" s="4"/>
    </row>
    <row r="1599" spans="20:25" x14ac:dyDescent="0.3">
      <c r="T1599" s="12"/>
      <c r="U1599" s="4"/>
      <c r="V1599" s="4"/>
      <c r="X1599" s="4"/>
      <c r="Y1599" s="4"/>
    </row>
    <row r="1600" spans="20:25" x14ac:dyDescent="0.3">
      <c r="T1600" s="12"/>
      <c r="U1600" s="4"/>
      <c r="V1600" s="4"/>
      <c r="X1600" s="4"/>
      <c r="Y1600" s="4"/>
    </row>
    <row r="1601" spans="20:25" x14ac:dyDescent="0.3">
      <c r="T1601" s="12"/>
      <c r="U1601" s="4"/>
      <c r="V1601" s="4"/>
      <c r="X1601" s="4"/>
      <c r="Y1601" s="4"/>
    </row>
    <row r="1602" spans="20:25" x14ac:dyDescent="0.3">
      <c r="T1602" s="12"/>
      <c r="U1602" s="4"/>
      <c r="V1602" s="4"/>
      <c r="X1602" s="4"/>
      <c r="Y1602" s="4"/>
    </row>
    <row r="1603" spans="20:25" x14ac:dyDescent="0.3">
      <c r="T1603" s="12"/>
      <c r="U1603" s="4"/>
      <c r="V1603" s="4"/>
      <c r="X1603" s="4"/>
      <c r="Y1603" s="4"/>
    </row>
    <row r="1604" spans="20:25" x14ac:dyDescent="0.3">
      <c r="T1604" s="12"/>
      <c r="U1604" s="4"/>
      <c r="V1604" s="4"/>
      <c r="X1604" s="4"/>
      <c r="Y1604" s="4"/>
    </row>
    <row r="1605" spans="20:25" x14ac:dyDescent="0.3">
      <c r="T1605" s="12"/>
      <c r="U1605" s="4"/>
      <c r="V1605" s="4"/>
      <c r="X1605" s="4"/>
      <c r="Y1605" s="4"/>
    </row>
    <row r="1606" spans="20:25" x14ac:dyDescent="0.3">
      <c r="T1606" s="12"/>
      <c r="U1606" s="4"/>
      <c r="V1606" s="4"/>
      <c r="X1606" s="4"/>
      <c r="Y1606" s="4"/>
    </row>
    <row r="1607" spans="20:25" x14ac:dyDescent="0.3">
      <c r="T1607" s="12"/>
      <c r="U1607" s="4"/>
      <c r="V1607" s="4"/>
      <c r="X1607" s="4"/>
      <c r="Y1607" s="4"/>
    </row>
    <row r="1608" spans="20:25" x14ac:dyDescent="0.3">
      <c r="T1608" s="12"/>
      <c r="U1608" s="4"/>
      <c r="V1608" s="4"/>
      <c r="X1608" s="4"/>
      <c r="Y1608" s="4"/>
    </row>
    <row r="1609" spans="20:25" x14ac:dyDescent="0.3">
      <c r="T1609" s="12"/>
      <c r="U1609" s="4"/>
      <c r="V1609" s="4"/>
      <c r="X1609" s="4"/>
      <c r="Y1609" s="4"/>
    </row>
    <row r="1610" spans="20:25" x14ac:dyDescent="0.3">
      <c r="T1610" s="12"/>
      <c r="U1610" s="4"/>
      <c r="V1610" s="4"/>
      <c r="X1610" s="4"/>
      <c r="Y1610" s="4"/>
    </row>
    <row r="1611" spans="20:25" x14ac:dyDescent="0.3">
      <c r="T1611" s="12"/>
      <c r="U1611" s="4"/>
      <c r="V1611" s="4"/>
      <c r="X1611" s="4"/>
      <c r="Y1611" s="4"/>
    </row>
    <row r="1612" spans="20:25" x14ac:dyDescent="0.3">
      <c r="T1612" s="12"/>
      <c r="U1612" s="4"/>
      <c r="V1612" s="4"/>
      <c r="X1612" s="4"/>
      <c r="Y1612" s="4"/>
    </row>
    <row r="1613" spans="20:25" x14ac:dyDescent="0.3">
      <c r="T1613" s="12"/>
      <c r="U1613" s="4"/>
      <c r="V1613" s="4"/>
      <c r="X1613" s="4"/>
      <c r="Y1613" s="4"/>
    </row>
    <row r="1614" spans="20:25" x14ac:dyDescent="0.3">
      <c r="T1614" s="12"/>
      <c r="U1614" s="4"/>
      <c r="V1614" s="4"/>
      <c r="X1614" s="4"/>
      <c r="Y1614" s="4"/>
    </row>
    <row r="1615" spans="20:25" x14ac:dyDescent="0.3">
      <c r="T1615" s="12"/>
      <c r="U1615" s="4"/>
      <c r="V1615" s="4"/>
      <c r="X1615" s="4"/>
      <c r="Y1615" s="4"/>
    </row>
    <row r="1616" spans="20:25" x14ac:dyDescent="0.3">
      <c r="T1616" s="12"/>
      <c r="U1616" s="4"/>
      <c r="V1616" s="4"/>
      <c r="X1616" s="4"/>
      <c r="Y1616" s="4"/>
    </row>
    <row r="1617" spans="20:25" x14ac:dyDescent="0.3">
      <c r="T1617" s="12"/>
      <c r="U1617" s="4"/>
      <c r="V1617" s="4"/>
      <c r="X1617" s="4"/>
      <c r="Y1617" s="4"/>
    </row>
    <row r="1618" spans="20:25" x14ac:dyDescent="0.3">
      <c r="T1618" s="12"/>
      <c r="U1618" s="4"/>
      <c r="V1618" s="4"/>
      <c r="X1618" s="4"/>
      <c r="Y1618" s="4"/>
    </row>
    <row r="1619" spans="20:25" x14ac:dyDescent="0.3">
      <c r="T1619" s="12"/>
      <c r="U1619" s="4"/>
      <c r="V1619" s="4"/>
      <c r="X1619" s="4"/>
      <c r="Y1619" s="4"/>
    </row>
    <row r="1620" spans="20:25" x14ac:dyDescent="0.3">
      <c r="T1620" s="12"/>
      <c r="U1620" s="4"/>
      <c r="V1620" s="4"/>
      <c r="X1620" s="4"/>
      <c r="Y1620" s="4"/>
    </row>
    <row r="1621" spans="20:25" x14ac:dyDescent="0.3">
      <c r="T1621" s="12"/>
      <c r="U1621" s="4"/>
      <c r="V1621" s="4"/>
      <c r="X1621" s="4"/>
      <c r="Y1621" s="4"/>
    </row>
    <row r="1622" spans="20:25" x14ac:dyDescent="0.3">
      <c r="T1622" s="12"/>
      <c r="U1622" s="4"/>
      <c r="V1622" s="4"/>
      <c r="X1622" s="4"/>
      <c r="Y1622" s="4"/>
    </row>
    <row r="1623" spans="20:25" x14ac:dyDescent="0.3">
      <c r="T1623" s="12"/>
      <c r="U1623" s="4"/>
      <c r="V1623" s="4"/>
      <c r="X1623" s="4"/>
      <c r="Y1623" s="4"/>
    </row>
    <row r="1624" spans="20:25" x14ac:dyDescent="0.3">
      <c r="T1624" s="12"/>
      <c r="U1624" s="4"/>
      <c r="V1624" s="4"/>
      <c r="X1624" s="4"/>
      <c r="Y1624" s="4"/>
    </row>
    <row r="1625" spans="20:25" x14ac:dyDescent="0.3">
      <c r="T1625" s="12"/>
      <c r="U1625" s="4"/>
      <c r="V1625" s="4"/>
      <c r="X1625" s="4"/>
      <c r="Y1625" s="4"/>
    </row>
    <row r="1626" spans="20:25" x14ac:dyDescent="0.3">
      <c r="T1626" s="12"/>
      <c r="U1626" s="4"/>
      <c r="V1626" s="4"/>
      <c r="X1626" s="4"/>
      <c r="Y1626" s="4"/>
    </row>
    <row r="1627" spans="20:25" x14ac:dyDescent="0.3">
      <c r="T1627" s="12"/>
      <c r="U1627" s="4"/>
      <c r="V1627" s="4"/>
      <c r="X1627" s="4"/>
      <c r="Y1627" s="4"/>
    </row>
    <row r="1628" spans="20:25" x14ac:dyDescent="0.3">
      <c r="T1628" s="12"/>
      <c r="U1628" s="4"/>
      <c r="V1628" s="4"/>
      <c r="X1628" s="4"/>
      <c r="Y1628" s="4"/>
    </row>
    <row r="1629" spans="20:25" x14ac:dyDescent="0.3">
      <c r="T1629" s="12"/>
      <c r="U1629" s="4"/>
      <c r="V1629" s="4"/>
      <c r="X1629" s="4"/>
      <c r="Y1629" s="4"/>
    </row>
    <row r="1630" spans="20:25" x14ac:dyDescent="0.3">
      <c r="T1630" s="12"/>
      <c r="U1630" s="4"/>
      <c r="V1630" s="4"/>
      <c r="X1630" s="4"/>
      <c r="Y1630" s="4"/>
    </row>
    <row r="1631" spans="20:25" x14ac:dyDescent="0.3">
      <c r="T1631" s="12"/>
      <c r="U1631" s="4"/>
      <c r="V1631" s="4"/>
      <c r="X1631" s="4"/>
      <c r="Y1631" s="4"/>
    </row>
    <row r="1632" spans="20:25" x14ac:dyDescent="0.3">
      <c r="T1632" s="12"/>
      <c r="U1632" s="4"/>
      <c r="V1632" s="4"/>
      <c r="X1632" s="4"/>
      <c r="Y1632" s="4"/>
    </row>
    <row r="1633" spans="20:25" x14ac:dyDescent="0.3">
      <c r="T1633" s="12"/>
      <c r="U1633" s="4"/>
      <c r="V1633" s="4"/>
      <c r="X1633" s="4"/>
      <c r="Y1633" s="4"/>
    </row>
    <row r="1634" spans="20:25" x14ac:dyDescent="0.3">
      <c r="T1634" s="12"/>
      <c r="U1634" s="4"/>
      <c r="V1634" s="4"/>
      <c r="X1634" s="4"/>
      <c r="Y1634" s="4"/>
    </row>
    <row r="1635" spans="20:25" x14ac:dyDescent="0.3">
      <c r="T1635" s="12"/>
      <c r="U1635" s="4"/>
      <c r="V1635" s="4"/>
      <c r="X1635" s="4"/>
      <c r="Y1635" s="4"/>
    </row>
    <row r="1636" spans="20:25" x14ac:dyDescent="0.3">
      <c r="T1636" s="12"/>
      <c r="U1636" s="4"/>
      <c r="V1636" s="4"/>
      <c r="X1636" s="4"/>
      <c r="Y1636" s="4"/>
    </row>
    <row r="1637" spans="20:25" x14ac:dyDescent="0.3">
      <c r="T1637" s="12"/>
      <c r="U1637" s="4"/>
      <c r="V1637" s="4"/>
      <c r="X1637" s="4"/>
      <c r="Y1637" s="4"/>
    </row>
    <row r="1638" spans="20:25" x14ac:dyDescent="0.3">
      <c r="T1638" s="12"/>
      <c r="U1638" s="4"/>
      <c r="V1638" s="4"/>
      <c r="X1638" s="4"/>
      <c r="Y1638" s="4"/>
    </row>
    <row r="1639" spans="20:25" x14ac:dyDescent="0.3">
      <c r="T1639" s="12"/>
      <c r="U1639" s="4"/>
      <c r="V1639" s="4"/>
      <c r="X1639" s="4"/>
      <c r="Y1639" s="4"/>
    </row>
    <row r="1640" spans="20:25" x14ac:dyDescent="0.3">
      <c r="T1640" s="12"/>
      <c r="U1640" s="4"/>
      <c r="V1640" s="4"/>
      <c r="X1640" s="4"/>
      <c r="Y1640" s="4"/>
    </row>
    <row r="1641" spans="20:25" x14ac:dyDescent="0.3">
      <c r="T1641" s="12"/>
      <c r="U1641" s="4"/>
      <c r="V1641" s="4"/>
      <c r="X1641" s="4"/>
      <c r="Y1641" s="4"/>
    </row>
    <row r="1642" spans="20:25" x14ac:dyDescent="0.3">
      <c r="T1642" s="12"/>
      <c r="U1642" s="4"/>
      <c r="V1642" s="4"/>
      <c r="X1642" s="4"/>
      <c r="Y1642" s="4"/>
    </row>
    <row r="1643" spans="20:25" x14ac:dyDescent="0.3">
      <c r="T1643" s="12"/>
      <c r="U1643" s="4"/>
      <c r="V1643" s="4"/>
      <c r="X1643" s="4"/>
      <c r="Y1643" s="4"/>
    </row>
    <row r="1644" spans="20:25" x14ac:dyDescent="0.3">
      <c r="T1644" s="12"/>
      <c r="U1644" s="4"/>
      <c r="V1644" s="4"/>
      <c r="X1644" s="4"/>
      <c r="Y1644" s="4"/>
    </row>
    <row r="1645" spans="20:25" x14ac:dyDescent="0.3">
      <c r="T1645" s="12"/>
      <c r="U1645" s="4"/>
      <c r="V1645" s="4"/>
      <c r="X1645" s="4"/>
      <c r="Y1645" s="4"/>
    </row>
    <row r="1646" spans="20:25" x14ac:dyDescent="0.3">
      <c r="T1646" s="12"/>
      <c r="U1646" s="4"/>
      <c r="V1646" s="4"/>
      <c r="X1646" s="4"/>
      <c r="Y1646" s="4"/>
    </row>
    <row r="1647" spans="20:25" x14ac:dyDescent="0.3">
      <c r="T1647" s="12"/>
      <c r="U1647" s="4"/>
      <c r="V1647" s="4"/>
      <c r="X1647" s="4"/>
      <c r="Y1647" s="4"/>
    </row>
    <row r="1648" spans="20:25" x14ac:dyDescent="0.3">
      <c r="T1648" s="12"/>
      <c r="U1648" s="4"/>
      <c r="V1648" s="4"/>
      <c r="X1648" s="4"/>
      <c r="Y1648" s="4"/>
    </row>
    <row r="1649" spans="20:25" x14ac:dyDescent="0.3">
      <c r="T1649" s="12"/>
      <c r="U1649" s="4"/>
      <c r="V1649" s="4"/>
      <c r="X1649" s="4"/>
      <c r="Y1649" s="4"/>
    </row>
    <row r="1650" spans="20:25" x14ac:dyDescent="0.3">
      <c r="T1650" s="12"/>
      <c r="U1650" s="4"/>
      <c r="V1650" s="4"/>
      <c r="X1650" s="4"/>
      <c r="Y1650" s="4"/>
    </row>
    <row r="1651" spans="20:25" x14ac:dyDescent="0.3">
      <c r="T1651" s="12"/>
      <c r="U1651" s="4"/>
      <c r="V1651" s="4"/>
      <c r="X1651" s="4"/>
      <c r="Y1651" s="4"/>
    </row>
    <row r="1652" spans="20:25" x14ac:dyDescent="0.3">
      <c r="T1652" s="12"/>
      <c r="U1652" s="4"/>
      <c r="V1652" s="4"/>
      <c r="X1652" s="4"/>
      <c r="Y1652" s="4"/>
    </row>
    <row r="1653" spans="20:25" x14ac:dyDescent="0.3">
      <c r="T1653" s="12"/>
      <c r="U1653" s="4"/>
      <c r="V1653" s="4"/>
      <c r="X1653" s="4"/>
      <c r="Y1653" s="4"/>
    </row>
    <row r="1654" spans="20:25" x14ac:dyDescent="0.3">
      <c r="T1654" s="12"/>
      <c r="U1654" s="4"/>
      <c r="V1654" s="4"/>
      <c r="X1654" s="4"/>
      <c r="Y1654" s="4"/>
    </row>
    <row r="1655" spans="20:25" x14ac:dyDescent="0.3">
      <c r="T1655" s="12"/>
      <c r="U1655" s="4"/>
      <c r="V1655" s="4"/>
      <c r="X1655" s="4"/>
      <c r="Y1655" s="4"/>
    </row>
    <row r="1656" spans="20:25" x14ac:dyDescent="0.3">
      <c r="T1656" s="12"/>
      <c r="U1656" s="4"/>
      <c r="V1656" s="4"/>
      <c r="X1656" s="4"/>
      <c r="Y1656" s="4"/>
    </row>
    <row r="1657" spans="20:25" x14ac:dyDescent="0.3">
      <c r="T1657" s="12"/>
      <c r="U1657" s="4"/>
      <c r="V1657" s="4"/>
      <c r="X1657" s="4"/>
      <c r="Y1657" s="4"/>
    </row>
    <row r="1658" spans="20:25" x14ac:dyDescent="0.3">
      <c r="T1658" s="12"/>
      <c r="U1658" s="4"/>
      <c r="V1658" s="4"/>
      <c r="X1658" s="4"/>
      <c r="Y1658" s="4"/>
    </row>
    <row r="1659" spans="20:25" x14ac:dyDescent="0.3">
      <c r="T1659" s="12"/>
      <c r="U1659" s="4"/>
      <c r="V1659" s="4"/>
      <c r="X1659" s="4"/>
      <c r="Y1659" s="4"/>
    </row>
    <row r="1660" spans="20:25" x14ac:dyDescent="0.3">
      <c r="T1660" s="12"/>
      <c r="U1660" s="4"/>
      <c r="V1660" s="4"/>
      <c r="X1660" s="4"/>
      <c r="Y1660" s="4"/>
    </row>
    <row r="1661" spans="20:25" x14ac:dyDescent="0.3">
      <c r="T1661" s="12"/>
      <c r="U1661" s="4"/>
      <c r="V1661" s="4"/>
      <c r="X1661" s="4"/>
      <c r="Y1661" s="4"/>
    </row>
    <row r="1662" spans="20:25" x14ac:dyDescent="0.3">
      <c r="T1662" s="12"/>
      <c r="U1662" s="4"/>
      <c r="V1662" s="4"/>
      <c r="X1662" s="4"/>
      <c r="Y1662" s="4"/>
    </row>
    <row r="1663" spans="20:25" x14ac:dyDescent="0.3">
      <c r="T1663" s="12"/>
      <c r="U1663" s="4"/>
      <c r="V1663" s="4"/>
      <c r="X1663" s="4"/>
      <c r="Y1663" s="4"/>
    </row>
    <row r="1664" spans="20:25" x14ac:dyDescent="0.3">
      <c r="T1664" s="12"/>
      <c r="U1664" s="4"/>
      <c r="V1664" s="4"/>
      <c r="X1664" s="4"/>
      <c r="Y1664" s="4"/>
    </row>
    <row r="1665" spans="20:25" x14ac:dyDescent="0.3">
      <c r="T1665" s="12"/>
      <c r="U1665" s="4"/>
      <c r="V1665" s="4"/>
      <c r="X1665" s="4"/>
      <c r="Y1665" s="4"/>
    </row>
    <row r="1666" spans="20:25" x14ac:dyDescent="0.3">
      <c r="T1666" s="12"/>
      <c r="U1666" s="4"/>
      <c r="V1666" s="4"/>
      <c r="X1666" s="4"/>
      <c r="Y1666" s="4"/>
    </row>
    <row r="1667" spans="20:25" x14ac:dyDescent="0.3">
      <c r="T1667" s="12"/>
      <c r="U1667" s="4"/>
      <c r="V1667" s="4"/>
      <c r="X1667" s="4"/>
      <c r="Y1667" s="4"/>
    </row>
    <row r="1668" spans="20:25" x14ac:dyDescent="0.3">
      <c r="T1668" s="12"/>
      <c r="U1668" s="4"/>
      <c r="V1668" s="4"/>
      <c r="X1668" s="4"/>
      <c r="Y1668" s="4"/>
    </row>
    <row r="1669" spans="20:25" x14ac:dyDescent="0.3">
      <c r="T1669" s="12"/>
      <c r="U1669" s="4"/>
      <c r="V1669" s="4"/>
      <c r="X1669" s="4"/>
      <c r="Y1669" s="4"/>
    </row>
    <row r="1670" spans="20:25" x14ac:dyDescent="0.3">
      <c r="T1670" s="12"/>
      <c r="U1670" s="4"/>
      <c r="V1670" s="4"/>
      <c r="X1670" s="4"/>
      <c r="Y1670" s="4"/>
    </row>
    <row r="1671" spans="20:25" x14ac:dyDescent="0.3">
      <c r="T1671" s="12"/>
      <c r="U1671" s="4"/>
      <c r="V1671" s="4"/>
      <c r="X1671" s="4"/>
      <c r="Y1671" s="4"/>
    </row>
    <row r="1672" spans="20:25" x14ac:dyDescent="0.3">
      <c r="T1672" s="12"/>
      <c r="U1672" s="4"/>
      <c r="V1672" s="4"/>
      <c r="X1672" s="4"/>
      <c r="Y1672" s="4"/>
    </row>
    <row r="1673" spans="20:25" x14ac:dyDescent="0.3">
      <c r="T1673" s="12"/>
      <c r="U1673" s="4"/>
      <c r="V1673" s="4"/>
      <c r="X1673" s="4"/>
      <c r="Y1673" s="4"/>
    </row>
    <row r="1674" spans="20:25" x14ac:dyDescent="0.3">
      <c r="T1674" s="12"/>
      <c r="U1674" s="4"/>
      <c r="V1674" s="4"/>
      <c r="X1674" s="4"/>
      <c r="Y1674" s="4"/>
    </row>
    <row r="1675" spans="20:25" x14ac:dyDescent="0.3">
      <c r="T1675" s="12"/>
      <c r="U1675" s="4"/>
      <c r="V1675" s="4"/>
      <c r="X1675" s="4"/>
      <c r="Y1675" s="4"/>
    </row>
    <row r="1676" spans="20:25" x14ac:dyDescent="0.3">
      <c r="T1676" s="12"/>
      <c r="U1676" s="4"/>
      <c r="V1676" s="4"/>
      <c r="X1676" s="4"/>
      <c r="Y1676" s="4"/>
    </row>
    <row r="1677" spans="20:25" x14ac:dyDescent="0.3">
      <c r="T1677" s="12"/>
      <c r="U1677" s="4"/>
      <c r="V1677" s="4"/>
      <c r="X1677" s="4"/>
      <c r="Y1677" s="4"/>
    </row>
    <row r="1678" spans="20:25" x14ac:dyDescent="0.3">
      <c r="T1678" s="12"/>
      <c r="U1678" s="4"/>
      <c r="V1678" s="4"/>
      <c r="X1678" s="4"/>
      <c r="Y1678" s="4"/>
    </row>
    <row r="1679" spans="20:25" x14ac:dyDescent="0.3">
      <c r="T1679" s="12"/>
      <c r="U1679" s="4"/>
      <c r="V1679" s="4"/>
      <c r="X1679" s="4"/>
      <c r="Y1679" s="4"/>
    </row>
    <row r="1680" spans="20:25" x14ac:dyDescent="0.3">
      <c r="T1680" s="12"/>
      <c r="U1680" s="4"/>
      <c r="V1680" s="4"/>
      <c r="X1680" s="4"/>
      <c r="Y1680" s="4"/>
    </row>
    <row r="1681" spans="20:25" x14ac:dyDescent="0.3">
      <c r="T1681" s="12"/>
      <c r="U1681" s="4"/>
      <c r="V1681" s="4"/>
      <c r="X1681" s="4"/>
      <c r="Y1681" s="4"/>
    </row>
    <row r="1682" spans="20:25" x14ac:dyDescent="0.3">
      <c r="T1682" s="12"/>
      <c r="U1682" s="4"/>
      <c r="V1682" s="4"/>
      <c r="X1682" s="4"/>
      <c r="Y1682" s="4"/>
    </row>
    <row r="1683" spans="20:25" x14ac:dyDescent="0.3">
      <c r="T1683" s="12"/>
      <c r="U1683" s="4"/>
      <c r="V1683" s="4"/>
      <c r="X1683" s="4"/>
      <c r="Y1683" s="4"/>
    </row>
    <row r="1684" spans="20:25" x14ac:dyDescent="0.3">
      <c r="T1684" s="12"/>
      <c r="U1684" s="4"/>
      <c r="V1684" s="4"/>
      <c r="X1684" s="4"/>
      <c r="Y1684" s="4"/>
    </row>
    <row r="1685" spans="20:25" x14ac:dyDescent="0.3">
      <c r="T1685" s="12"/>
      <c r="U1685" s="4"/>
      <c r="V1685" s="4"/>
      <c r="X1685" s="4"/>
      <c r="Y1685" s="4"/>
    </row>
    <row r="1686" spans="20:25" x14ac:dyDescent="0.3">
      <c r="T1686" s="12"/>
      <c r="U1686" s="4"/>
      <c r="V1686" s="4"/>
      <c r="X1686" s="4"/>
      <c r="Y1686" s="4"/>
    </row>
    <row r="1687" spans="20:25" x14ac:dyDescent="0.3">
      <c r="T1687" s="12"/>
      <c r="U1687" s="4"/>
      <c r="V1687" s="4"/>
      <c r="X1687" s="4"/>
      <c r="Y1687" s="4"/>
    </row>
    <row r="1688" spans="20:25" x14ac:dyDescent="0.3">
      <c r="T1688" s="12"/>
      <c r="U1688" s="4"/>
      <c r="V1688" s="4"/>
      <c r="X1688" s="4"/>
      <c r="Y1688" s="4"/>
    </row>
    <row r="1689" spans="20:25" x14ac:dyDescent="0.3">
      <c r="T1689" s="12"/>
      <c r="U1689" s="4"/>
      <c r="V1689" s="4"/>
      <c r="X1689" s="4"/>
      <c r="Y1689" s="4"/>
    </row>
    <row r="1690" spans="20:25" x14ac:dyDescent="0.3">
      <c r="T1690" s="12"/>
      <c r="U1690" s="4"/>
      <c r="V1690" s="4"/>
      <c r="X1690" s="4"/>
      <c r="Y1690" s="4"/>
    </row>
    <row r="1691" spans="20:25" x14ac:dyDescent="0.3">
      <c r="T1691" s="12"/>
      <c r="U1691" s="4"/>
      <c r="V1691" s="4"/>
      <c r="X1691" s="4"/>
      <c r="Y1691" s="4"/>
    </row>
    <row r="1692" spans="20:25" x14ac:dyDescent="0.3">
      <c r="T1692" s="12"/>
      <c r="U1692" s="4"/>
      <c r="V1692" s="4"/>
      <c r="X1692" s="4"/>
      <c r="Y1692" s="4"/>
    </row>
    <row r="1693" spans="20:25" x14ac:dyDescent="0.3">
      <c r="T1693" s="12"/>
      <c r="U1693" s="4"/>
      <c r="V1693" s="4"/>
      <c r="X1693" s="4"/>
      <c r="Y1693" s="4"/>
    </row>
    <row r="1694" spans="20:25" x14ac:dyDescent="0.3">
      <c r="T1694" s="12"/>
      <c r="U1694" s="4"/>
      <c r="V1694" s="4"/>
      <c r="X1694" s="4"/>
      <c r="Y1694" s="4"/>
    </row>
    <row r="1695" spans="20:25" x14ac:dyDescent="0.3">
      <c r="T1695" s="12"/>
      <c r="U1695" s="4"/>
      <c r="V1695" s="4"/>
      <c r="X1695" s="4"/>
      <c r="Y1695" s="4"/>
    </row>
    <row r="1696" spans="20:25" x14ac:dyDescent="0.3">
      <c r="T1696" s="12"/>
      <c r="U1696" s="4"/>
      <c r="V1696" s="4"/>
      <c r="X1696" s="4"/>
      <c r="Y1696" s="4"/>
    </row>
    <row r="1697" spans="20:25" x14ac:dyDescent="0.3">
      <c r="T1697" s="12"/>
      <c r="U1697" s="4"/>
      <c r="V1697" s="4"/>
      <c r="X1697" s="4"/>
      <c r="Y1697" s="4"/>
    </row>
    <row r="1698" spans="20:25" x14ac:dyDescent="0.3">
      <c r="T1698" s="12"/>
      <c r="U1698" s="4"/>
      <c r="V1698" s="4"/>
      <c r="X1698" s="4"/>
      <c r="Y1698" s="4"/>
    </row>
    <row r="1699" spans="20:25" x14ac:dyDescent="0.3">
      <c r="T1699" s="12"/>
      <c r="U1699" s="4"/>
      <c r="V1699" s="4"/>
      <c r="X1699" s="4"/>
      <c r="Y1699" s="4"/>
    </row>
    <row r="1700" spans="20:25" x14ac:dyDescent="0.3">
      <c r="T1700" s="12"/>
      <c r="U1700" s="4"/>
      <c r="V1700" s="4"/>
      <c r="X1700" s="4"/>
      <c r="Y1700" s="4"/>
    </row>
    <row r="1701" spans="20:25" x14ac:dyDescent="0.3">
      <c r="T1701" s="12"/>
      <c r="U1701" s="4"/>
      <c r="V1701" s="4"/>
      <c r="X1701" s="4"/>
      <c r="Y1701" s="4"/>
    </row>
    <row r="1702" spans="20:25" x14ac:dyDescent="0.3">
      <c r="T1702" s="12"/>
      <c r="U1702" s="4"/>
      <c r="V1702" s="4"/>
      <c r="X1702" s="4"/>
      <c r="Y1702" s="4"/>
    </row>
    <row r="1703" spans="20:25" x14ac:dyDescent="0.3">
      <c r="T1703" s="12"/>
      <c r="U1703" s="4"/>
      <c r="V1703" s="4"/>
      <c r="X1703" s="4"/>
      <c r="Y1703" s="4"/>
    </row>
    <row r="1704" spans="20:25" x14ac:dyDescent="0.3">
      <c r="T1704" s="12"/>
      <c r="U1704" s="4"/>
      <c r="V1704" s="4"/>
      <c r="X1704" s="4"/>
      <c r="Y1704" s="4"/>
    </row>
    <row r="1705" spans="20:25" x14ac:dyDescent="0.3">
      <c r="T1705" s="12"/>
      <c r="U1705" s="4"/>
      <c r="V1705" s="4"/>
      <c r="X1705" s="4"/>
      <c r="Y1705" s="4"/>
    </row>
    <row r="1706" spans="20:25" x14ac:dyDescent="0.3">
      <c r="T1706" s="12"/>
      <c r="U1706" s="4"/>
      <c r="V1706" s="4"/>
      <c r="X1706" s="4"/>
      <c r="Y1706" s="4"/>
    </row>
    <row r="1707" spans="20:25" x14ac:dyDescent="0.3">
      <c r="T1707" s="12"/>
      <c r="U1707" s="4"/>
      <c r="V1707" s="4"/>
      <c r="X1707" s="4"/>
      <c r="Y1707" s="4"/>
    </row>
    <row r="1708" spans="20:25" x14ac:dyDescent="0.3">
      <c r="T1708" s="12"/>
      <c r="U1708" s="4"/>
      <c r="V1708" s="4"/>
      <c r="X1708" s="4"/>
      <c r="Y1708" s="4"/>
    </row>
    <row r="1709" spans="20:25" x14ac:dyDescent="0.3">
      <c r="T1709" s="12"/>
      <c r="U1709" s="4"/>
      <c r="V1709" s="4"/>
      <c r="X1709" s="4"/>
      <c r="Y1709" s="4"/>
    </row>
    <row r="1710" spans="20:25" x14ac:dyDescent="0.3">
      <c r="T1710" s="12"/>
      <c r="U1710" s="4"/>
      <c r="V1710" s="4"/>
      <c r="X1710" s="4"/>
      <c r="Y1710" s="4"/>
    </row>
    <row r="1711" spans="20:25" x14ac:dyDescent="0.3">
      <c r="T1711" s="12"/>
      <c r="U1711" s="4"/>
      <c r="V1711" s="4"/>
      <c r="X1711" s="4"/>
      <c r="Y1711" s="4"/>
    </row>
    <row r="1712" spans="20:25" x14ac:dyDescent="0.3">
      <c r="T1712" s="12"/>
      <c r="U1712" s="4"/>
      <c r="V1712" s="4"/>
      <c r="X1712" s="4"/>
      <c r="Y1712" s="4"/>
    </row>
    <row r="1713" spans="20:25" x14ac:dyDescent="0.3">
      <c r="T1713" s="12"/>
      <c r="U1713" s="4"/>
      <c r="V1713" s="4"/>
      <c r="X1713" s="4"/>
      <c r="Y1713" s="4"/>
    </row>
    <row r="1714" spans="20:25" x14ac:dyDescent="0.3">
      <c r="T1714" s="12"/>
      <c r="U1714" s="4"/>
      <c r="V1714" s="4"/>
      <c r="X1714" s="4"/>
      <c r="Y1714" s="4"/>
    </row>
    <row r="1715" spans="20:25" x14ac:dyDescent="0.3">
      <c r="T1715" s="12"/>
      <c r="U1715" s="4"/>
      <c r="V1715" s="4"/>
      <c r="X1715" s="4"/>
      <c r="Y1715" s="4"/>
    </row>
    <row r="1716" spans="20:25" x14ac:dyDescent="0.3">
      <c r="T1716" s="12"/>
      <c r="U1716" s="4"/>
      <c r="V1716" s="4"/>
      <c r="X1716" s="4"/>
      <c r="Y1716" s="4"/>
    </row>
    <row r="1717" spans="20:25" x14ac:dyDescent="0.3">
      <c r="T1717" s="12"/>
      <c r="U1717" s="4"/>
      <c r="V1717" s="4"/>
      <c r="X1717" s="4"/>
      <c r="Y1717" s="4"/>
    </row>
    <row r="1718" spans="20:25" x14ac:dyDescent="0.3">
      <c r="T1718" s="12"/>
      <c r="U1718" s="4"/>
      <c r="V1718" s="4"/>
      <c r="X1718" s="4"/>
      <c r="Y1718" s="4"/>
    </row>
    <row r="1719" spans="20:25" x14ac:dyDescent="0.3">
      <c r="T1719" s="12"/>
      <c r="U1719" s="4"/>
      <c r="V1719" s="4"/>
      <c r="X1719" s="4"/>
      <c r="Y1719" s="4"/>
    </row>
    <row r="1720" spans="20:25" x14ac:dyDescent="0.3">
      <c r="T1720" s="12"/>
      <c r="U1720" s="4"/>
      <c r="V1720" s="4"/>
      <c r="X1720" s="4"/>
      <c r="Y1720" s="4"/>
    </row>
    <row r="1721" spans="20:25" x14ac:dyDescent="0.3">
      <c r="T1721" s="12"/>
      <c r="U1721" s="4"/>
      <c r="V1721" s="4"/>
      <c r="X1721" s="4"/>
      <c r="Y1721" s="4"/>
    </row>
    <row r="1722" spans="20:25" x14ac:dyDescent="0.3">
      <c r="T1722" s="12"/>
      <c r="U1722" s="4"/>
      <c r="V1722" s="4"/>
      <c r="X1722" s="4"/>
      <c r="Y1722" s="4"/>
    </row>
    <row r="1723" spans="20:25" x14ac:dyDescent="0.3">
      <c r="T1723" s="12"/>
      <c r="U1723" s="4"/>
      <c r="V1723" s="4"/>
      <c r="X1723" s="4"/>
      <c r="Y1723" s="4"/>
    </row>
    <row r="1724" spans="20:25" x14ac:dyDescent="0.3">
      <c r="T1724" s="12"/>
      <c r="U1724" s="4"/>
      <c r="V1724" s="4"/>
      <c r="X1724" s="4"/>
      <c r="Y1724" s="4"/>
    </row>
    <row r="1725" spans="20:25" x14ac:dyDescent="0.3">
      <c r="T1725" s="12"/>
      <c r="U1725" s="4"/>
      <c r="V1725" s="4"/>
      <c r="X1725" s="4"/>
      <c r="Y1725" s="4"/>
    </row>
    <row r="1726" spans="20:25" x14ac:dyDescent="0.3">
      <c r="T1726" s="12"/>
      <c r="U1726" s="4"/>
      <c r="V1726" s="4"/>
      <c r="X1726" s="4"/>
      <c r="Y1726" s="4"/>
    </row>
    <row r="1727" spans="20:25" x14ac:dyDescent="0.3">
      <c r="T1727" s="12"/>
      <c r="U1727" s="4"/>
      <c r="V1727" s="4"/>
      <c r="X1727" s="4"/>
      <c r="Y1727" s="4"/>
    </row>
    <row r="1728" spans="20:25" x14ac:dyDescent="0.3">
      <c r="T1728" s="12"/>
      <c r="U1728" s="4"/>
      <c r="V1728" s="4"/>
      <c r="X1728" s="4"/>
      <c r="Y1728" s="4"/>
    </row>
    <row r="1729" spans="20:25" x14ac:dyDescent="0.3">
      <c r="T1729" s="12"/>
      <c r="U1729" s="4"/>
      <c r="V1729" s="4"/>
      <c r="X1729" s="4"/>
      <c r="Y1729" s="4"/>
    </row>
    <row r="1730" spans="20:25" x14ac:dyDescent="0.3">
      <c r="T1730" s="12"/>
      <c r="U1730" s="4"/>
      <c r="V1730" s="4"/>
      <c r="X1730" s="4"/>
      <c r="Y1730" s="4"/>
    </row>
    <row r="1731" spans="20:25" x14ac:dyDescent="0.3">
      <c r="T1731" s="12"/>
      <c r="U1731" s="4"/>
      <c r="V1731" s="4"/>
      <c r="X1731" s="4"/>
      <c r="Y1731" s="4"/>
    </row>
    <row r="1732" spans="20:25" x14ac:dyDescent="0.3">
      <c r="T1732" s="12"/>
      <c r="U1732" s="4"/>
      <c r="V1732" s="4"/>
      <c r="X1732" s="4"/>
      <c r="Y1732" s="4"/>
    </row>
    <row r="1733" spans="20:25" x14ac:dyDescent="0.3">
      <c r="T1733" s="12"/>
      <c r="U1733" s="4"/>
      <c r="V1733" s="4"/>
      <c r="X1733" s="4"/>
      <c r="Y1733" s="4"/>
    </row>
    <row r="1734" spans="20:25" x14ac:dyDescent="0.3">
      <c r="T1734" s="12"/>
      <c r="U1734" s="4"/>
      <c r="V1734" s="4"/>
      <c r="X1734" s="4"/>
      <c r="Y1734" s="4"/>
    </row>
    <row r="1735" spans="20:25" x14ac:dyDescent="0.3">
      <c r="T1735" s="12"/>
      <c r="U1735" s="4"/>
      <c r="V1735" s="4"/>
      <c r="X1735" s="4"/>
      <c r="Y1735" s="4"/>
    </row>
    <row r="1736" spans="20:25" x14ac:dyDescent="0.3">
      <c r="T1736" s="12"/>
      <c r="U1736" s="4"/>
      <c r="V1736" s="4"/>
      <c r="X1736" s="4"/>
      <c r="Y1736" s="4"/>
    </row>
    <row r="1737" spans="20:25" x14ac:dyDescent="0.3">
      <c r="T1737" s="12"/>
      <c r="U1737" s="4"/>
      <c r="V1737" s="4"/>
      <c r="X1737" s="4"/>
      <c r="Y1737" s="4"/>
    </row>
    <row r="1738" spans="20:25" x14ac:dyDescent="0.3">
      <c r="T1738" s="12"/>
      <c r="U1738" s="4"/>
      <c r="V1738" s="4"/>
      <c r="X1738" s="4"/>
      <c r="Y1738" s="4"/>
    </row>
    <row r="1739" spans="20:25" x14ac:dyDescent="0.3">
      <c r="T1739" s="12"/>
      <c r="U1739" s="4"/>
      <c r="V1739" s="4"/>
      <c r="X1739" s="4"/>
      <c r="Y1739" s="4"/>
    </row>
    <row r="1740" spans="20:25" x14ac:dyDescent="0.3">
      <c r="T1740" s="12"/>
      <c r="U1740" s="4"/>
      <c r="V1740" s="4"/>
      <c r="X1740" s="4"/>
      <c r="Y1740" s="4"/>
    </row>
    <row r="1741" spans="20:25" x14ac:dyDescent="0.3">
      <c r="T1741" s="12"/>
      <c r="U1741" s="4"/>
      <c r="V1741" s="4"/>
      <c r="X1741" s="4"/>
      <c r="Y1741" s="4"/>
    </row>
    <row r="1742" spans="20:25" x14ac:dyDescent="0.3">
      <c r="T1742" s="12"/>
      <c r="U1742" s="4"/>
      <c r="V1742" s="4"/>
      <c r="X1742" s="4"/>
      <c r="Y1742" s="4"/>
    </row>
    <row r="1743" spans="20:25" x14ac:dyDescent="0.3">
      <c r="T1743" s="12"/>
      <c r="U1743" s="4"/>
      <c r="V1743" s="4"/>
      <c r="X1743" s="4"/>
      <c r="Y1743" s="4"/>
    </row>
    <row r="1744" spans="20:25" x14ac:dyDescent="0.3">
      <c r="T1744" s="12"/>
      <c r="U1744" s="4"/>
      <c r="V1744" s="4"/>
      <c r="X1744" s="4"/>
      <c r="Y1744" s="4"/>
    </row>
    <row r="1745" spans="20:25" x14ac:dyDescent="0.3">
      <c r="T1745" s="12"/>
      <c r="U1745" s="4"/>
      <c r="V1745" s="4"/>
      <c r="X1745" s="4"/>
      <c r="Y1745" s="4"/>
    </row>
    <row r="1746" spans="20:25" x14ac:dyDescent="0.3">
      <c r="T1746" s="12"/>
      <c r="U1746" s="4"/>
      <c r="V1746" s="4"/>
      <c r="X1746" s="4"/>
      <c r="Y1746" s="4"/>
    </row>
    <row r="1747" spans="20:25" x14ac:dyDescent="0.3">
      <c r="T1747" s="12"/>
      <c r="U1747" s="4"/>
      <c r="V1747" s="4"/>
      <c r="X1747" s="4"/>
      <c r="Y1747" s="4"/>
    </row>
    <row r="1748" spans="20:25" x14ac:dyDescent="0.3">
      <c r="T1748" s="12"/>
      <c r="U1748" s="4"/>
      <c r="V1748" s="4"/>
      <c r="X1748" s="4"/>
      <c r="Y1748" s="4"/>
    </row>
    <row r="1749" spans="20:25" x14ac:dyDescent="0.3">
      <c r="T1749" s="12"/>
      <c r="U1749" s="4"/>
      <c r="V1749" s="4"/>
      <c r="X1749" s="4"/>
      <c r="Y1749" s="4"/>
    </row>
    <row r="1750" spans="20:25" x14ac:dyDescent="0.3">
      <c r="T1750" s="12"/>
      <c r="U1750" s="4"/>
      <c r="V1750" s="4"/>
      <c r="X1750" s="4"/>
      <c r="Y1750" s="4"/>
    </row>
    <row r="1751" spans="20:25" x14ac:dyDescent="0.3">
      <c r="T1751" s="12"/>
      <c r="U1751" s="4"/>
      <c r="V1751" s="4"/>
      <c r="X1751" s="4"/>
      <c r="Y1751" s="4"/>
    </row>
    <row r="1752" spans="20:25" x14ac:dyDescent="0.3">
      <c r="T1752" s="12"/>
      <c r="U1752" s="4"/>
      <c r="V1752" s="4"/>
      <c r="X1752" s="4"/>
      <c r="Y1752" s="4"/>
    </row>
    <row r="1753" spans="20:25" x14ac:dyDescent="0.3">
      <c r="T1753" s="12"/>
      <c r="U1753" s="4"/>
      <c r="V1753" s="4"/>
      <c r="X1753" s="4"/>
      <c r="Y1753" s="4"/>
    </row>
    <row r="1754" spans="20:25" x14ac:dyDescent="0.3">
      <c r="T1754" s="12"/>
      <c r="U1754" s="4"/>
      <c r="V1754" s="4"/>
      <c r="X1754" s="4"/>
      <c r="Y1754" s="4"/>
    </row>
    <row r="1755" spans="20:25" x14ac:dyDescent="0.3">
      <c r="T1755" s="12"/>
      <c r="U1755" s="4"/>
      <c r="V1755" s="4"/>
      <c r="X1755" s="4"/>
      <c r="Y1755" s="4"/>
    </row>
    <row r="1756" spans="20:25" x14ac:dyDescent="0.3">
      <c r="T1756" s="12"/>
      <c r="U1756" s="4"/>
      <c r="V1756" s="4"/>
      <c r="X1756" s="4"/>
      <c r="Y1756" s="4"/>
    </row>
    <row r="1757" spans="20:25" x14ac:dyDescent="0.3">
      <c r="T1757" s="12"/>
      <c r="U1757" s="4"/>
      <c r="V1757" s="4"/>
      <c r="X1757" s="4"/>
      <c r="Y1757" s="4"/>
    </row>
    <row r="1758" spans="20:25" x14ac:dyDescent="0.3">
      <c r="T1758" s="12"/>
      <c r="U1758" s="4"/>
      <c r="V1758" s="4"/>
      <c r="X1758" s="4"/>
      <c r="Y1758" s="4"/>
    </row>
    <row r="1759" spans="20:25" x14ac:dyDescent="0.3">
      <c r="T1759" s="12"/>
      <c r="U1759" s="4"/>
      <c r="V1759" s="4"/>
      <c r="X1759" s="4"/>
      <c r="Y1759" s="4"/>
    </row>
    <row r="1760" spans="20:25" x14ac:dyDescent="0.3">
      <c r="T1760" s="12"/>
      <c r="U1760" s="4"/>
      <c r="V1760" s="4"/>
      <c r="X1760" s="4"/>
      <c r="Y1760" s="4"/>
    </row>
    <row r="1761" spans="20:25" x14ac:dyDescent="0.3">
      <c r="T1761" s="12"/>
      <c r="U1761" s="4"/>
      <c r="V1761" s="4"/>
      <c r="X1761" s="4"/>
      <c r="Y1761" s="4"/>
    </row>
    <row r="1762" spans="20:25" x14ac:dyDescent="0.3">
      <c r="T1762" s="12"/>
      <c r="U1762" s="4"/>
      <c r="V1762" s="4"/>
      <c r="X1762" s="4"/>
      <c r="Y1762" s="4"/>
    </row>
    <row r="1763" spans="20:25" x14ac:dyDescent="0.3">
      <c r="T1763" s="12"/>
      <c r="U1763" s="4"/>
      <c r="V1763" s="4"/>
      <c r="X1763" s="4"/>
      <c r="Y1763" s="4"/>
    </row>
    <row r="1764" spans="20:25" x14ac:dyDescent="0.3">
      <c r="T1764" s="12"/>
      <c r="U1764" s="4"/>
      <c r="V1764" s="4"/>
      <c r="X1764" s="4"/>
      <c r="Y1764" s="4"/>
    </row>
    <row r="1765" spans="20:25" x14ac:dyDescent="0.3">
      <c r="T1765" s="12"/>
      <c r="U1765" s="4"/>
      <c r="V1765" s="4"/>
      <c r="X1765" s="4"/>
      <c r="Y1765" s="4"/>
    </row>
    <row r="1766" spans="20:25" x14ac:dyDescent="0.3">
      <c r="T1766" s="12"/>
      <c r="U1766" s="4"/>
      <c r="V1766" s="4"/>
      <c r="X1766" s="4"/>
      <c r="Y1766" s="4"/>
    </row>
    <row r="1767" spans="20:25" x14ac:dyDescent="0.3">
      <c r="T1767" s="12"/>
      <c r="U1767" s="4"/>
      <c r="V1767" s="4"/>
      <c r="X1767" s="4"/>
      <c r="Y1767" s="4"/>
    </row>
    <row r="1768" spans="20:25" x14ac:dyDescent="0.3">
      <c r="T1768" s="12"/>
      <c r="U1768" s="4"/>
      <c r="V1768" s="4"/>
      <c r="X1768" s="4"/>
      <c r="Y1768" s="4"/>
    </row>
    <row r="1769" spans="20:25" x14ac:dyDescent="0.3">
      <c r="T1769" s="12"/>
      <c r="U1769" s="4"/>
      <c r="V1769" s="4"/>
      <c r="X1769" s="4"/>
      <c r="Y1769" s="4"/>
    </row>
    <row r="1770" spans="20:25" x14ac:dyDescent="0.3">
      <c r="T1770" s="12"/>
      <c r="U1770" s="4"/>
      <c r="V1770" s="4"/>
      <c r="X1770" s="4"/>
      <c r="Y1770" s="4"/>
    </row>
    <row r="1771" spans="20:25" x14ac:dyDescent="0.3">
      <c r="T1771" s="12"/>
      <c r="U1771" s="4"/>
      <c r="V1771" s="4"/>
      <c r="X1771" s="4"/>
      <c r="Y1771" s="4"/>
    </row>
    <row r="1772" spans="20:25" x14ac:dyDescent="0.3">
      <c r="T1772" s="12"/>
      <c r="U1772" s="4"/>
      <c r="V1772" s="4"/>
      <c r="X1772" s="4"/>
      <c r="Y1772" s="4"/>
    </row>
    <row r="1773" spans="20:25" x14ac:dyDescent="0.3">
      <c r="T1773" s="12"/>
      <c r="U1773" s="4"/>
      <c r="V1773" s="4"/>
      <c r="X1773" s="4"/>
      <c r="Y1773" s="4"/>
    </row>
    <row r="1774" spans="20:25" x14ac:dyDescent="0.3">
      <c r="T1774" s="12"/>
      <c r="U1774" s="4"/>
      <c r="V1774" s="4"/>
      <c r="X1774" s="4"/>
      <c r="Y1774" s="4"/>
    </row>
    <row r="1775" spans="20:25" x14ac:dyDescent="0.3">
      <c r="T1775" s="12"/>
      <c r="U1775" s="4"/>
      <c r="V1775" s="4"/>
      <c r="X1775" s="4"/>
      <c r="Y1775" s="4"/>
    </row>
    <row r="1776" spans="20:25" x14ac:dyDescent="0.3">
      <c r="T1776" s="12"/>
      <c r="U1776" s="4"/>
      <c r="V1776" s="4"/>
      <c r="X1776" s="4"/>
      <c r="Y1776" s="4"/>
    </row>
    <row r="1777" spans="20:25" x14ac:dyDescent="0.3">
      <c r="T1777" s="12"/>
      <c r="U1777" s="4"/>
      <c r="V1777" s="4"/>
      <c r="X1777" s="4"/>
      <c r="Y1777" s="4"/>
    </row>
    <row r="1778" spans="20:25" x14ac:dyDescent="0.3">
      <c r="T1778" s="12"/>
      <c r="U1778" s="4"/>
      <c r="V1778" s="4"/>
      <c r="X1778" s="4"/>
      <c r="Y1778" s="4"/>
    </row>
    <row r="1779" spans="20:25" x14ac:dyDescent="0.3">
      <c r="T1779" s="12"/>
      <c r="U1779" s="4"/>
      <c r="V1779" s="4"/>
      <c r="X1779" s="4"/>
      <c r="Y1779" s="4"/>
    </row>
    <row r="1780" spans="20:25" x14ac:dyDescent="0.3">
      <c r="T1780" s="12"/>
      <c r="U1780" s="4"/>
      <c r="V1780" s="4"/>
      <c r="X1780" s="4"/>
      <c r="Y1780" s="4"/>
    </row>
    <row r="1781" spans="20:25" x14ac:dyDescent="0.3">
      <c r="T1781" s="12"/>
      <c r="U1781" s="4"/>
      <c r="V1781" s="4"/>
      <c r="X1781" s="4"/>
      <c r="Y1781" s="4"/>
    </row>
    <row r="1782" spans="20:25" x14ac:dyDescent="0.3">
      <c r="T1782" s="12"/>
      <c r="U1782" s="4"/>
      <c r="V1782" s="4"/>
      <c r="X1782" s="4"/>
      <c r="Y1782" s="4"/>
    </row>
    <row r="1783" spans="20:25" x14ac:dyDescent="0.3">
      <c r="T1783" s="12"/>
      <c r="U1783" s="4"/>
      <c r="V1783" s="4"/>
      <c r="X1783" s="4"/>
      <c r="Y1783" s="4"/>
    </row>
    <row r="1784" spans="20:25" x14ac:dyDescent="0.3">
      <c r="T1784" s="12"/>
      <c r="U1784" s="4"/>
      <c r="V1784" s="4"/>
      <c r="X1784" s="4"/>
      <c r="Y1784" s="4"/>
    </row>
    <row r="1785" spans="20:25" x14ac:dyDescent="0.3">
      <c r="T1785" s="12"/>
      <c r="U1785" s="4"/>
      <c r="V1785" s="4"/>
      <c r="X1785" s="4"/>
      <c r="Y1785" s="4"/>
    </row>
    <row r="1786" spans="20:25" x14ac:dyDescent="0.3">
      <c r="T1786" s="12"/>
      <c r="U1786" s="4"/>
      <c r="V1786" s="4"/>
      <c r="X1786" s="4"/>
      <c r="Y1786" s="4"/>
    </row>
    <row r="1787" spans="20:25" x14ac:dyDescent="0.3">
      <c r="T1787" s="12"/>
      <c r="U1787" s="4"/>
      <c r="V1787" s="4"/>
      <c r="X1787" s="4"/>
      <c r="Y1787" s="4"/>
    </row>
    <row r="1788" spans="20:25" x14ac:dyDescent="0.3">
      <c r="T1788" s="12"/>
      <c r="U1788" s="4"/>
      <c r="V1788" s="4"/>
      <c r="X1788" s="4"/>
      <c r="Y1788" s="4"/>
    </row>
    <row r="1789" spans="20:25" x14ac:dyDescent="0.3">
      <c r="T1789" s="12"/>
      <c r="U1789" s="4"/>
      <c r="V1789" s="4"/>
      <c r="X1789" s="4"/>
      <c r="Y1789" s="4"/>
    </row>
    <row r="1790" spans="20:25" x14ac:dyDescent="0.3">
      <c r="T1790" s="12"/>
      <c r="U1790" s="4"/>
      <c r="V1790" s="4"/>
      <c r="X1790" s="4"/>
      <c r="Y1790" s="4"/>
    </row>
    <row r="1791" spans="20:25" x14ac:dyDescent="0.3">
      <c r="T1791" s="12"/>
      <c r="U1791" s="4"/>
      <c r="V1791" s="4"/>
      <c r="X1791" s="4"/>
      <c r="Y1791" s="4"/>
    </row>
    <row r="1792" spans="20:25" x14ac:dyDescent="0.3">
      <c r="T1792" s="12"/>
      <c r="U1792" s="4"/>
      <c r="V1792" s="4"/>
      <c r="X1792" s="4"/>
      <c r="Y1792" s="4"/>
    </row>
    <row r="1793" spans="20:25" x14ac:dyDescent="0.3">
      <c r="T1793" s="12"/>
      <c r="U1793" s="4"/>
      <c r="V1793" s="4"/>
      <c r="X1793" s="4"/>
      <c r="Y1793" s="4"/>
    </row>
    <row r="1794" spans="20:25" x14ac:dyDescent="0.3">
      <c r="T1794" s="12"/>
      <c r="U1794" s="4"/>
      <c r="V1794" s="4"/>
      <c r="X1794" s="4"/>
      <c r="Y1794" s="4"/>
    </row>
    <row r="1795" spans="20:25" x14ac:dyDescent="0.3">
      <c r="T1795" s="12"/>
      <c r="U1795" s="4"/>
      <c r="V1795" s="4"/>
      <c r="X1795" s="4"/>
      <c r="Y1795" s="4"/>
    </row>
    <row r="1796" spans="20:25" x14ac:dyDescent="0.3">
      <c r="T1796" s="12"/>
      <c r="U1796" s="4"/>
      <c r="V1796" s="4"/>
      <c r="X1796" s="4"/>
      <c r="Y1796" s="4"/>
    </row>
    <row r="1797" spans="20:25" x14ac:dyDescent="0.3">
      <c r="T1797" s="12"/>
      <c r="U1797" s="4"/>
      <c r="V1797" s="4"/>
      <c r="X1797" s="4"/>
      <c r="Y1797" s="4"/>
    </row>
    <row r="1798" spans="20:25" x14ac:dyDescent="0.3">
      <c r="T1798" s="12"/>
      <c r="U1798" s="4"/>
      <c r="V1798" s="4"/>
      <c r="X1798" s="4"/>
      <c r="Y1798" s="4"/>
    </row>
    <row r="1799" spans="20:25" x14ac:dyDescent="0.3">
      <c r="T1799" s="12"/>
      <c r="U1799" s="4"/>
      <c r="V1799" s="4"/>
      <c r="X1799" s="4"/>
      <c r="Y1799" s="4"/>
    </row>
    <row r="1800" spans="20:25" x14ac:dyDescent="0.3">
      <c r="T1800" s="12"/>
      <c r="U1800" s="4"/>
      <c r="V1800" s="4"/>
      <c r="X1800" s="4"/>
      <c r="Y1800" s="4"/>
    </row>
    <row r="1801" spans="20:25" x14ac:dyDescent="0.3">
      <c r="T1801" s="12"/>
      <c r="U1801" s="4"/>
      <c r="V1801" s="4"/>
      <c r="X1801" s="4"/>
      <c r="Y1801" s="4"/>
    </row>
    <row r="1802" spans="20:25" x14ac:dyDescent="0.3">
      <c r="T1802" s="12"/>
      <c r="U1802" s="4"/>
      <c r="V1802" s="4"/>
      <c r="X1802" s="4"/>
      <c r="Y1802" s="4"/>
    </row>
    <row r="1803" spans="20:25" x14ac:dyDescent="0.3">
      <c r="T1803" s="12"/>
      <c r="U1803" s="4"/>
      <c r="V1803" s="4"/>
      <c r="X1803" s="4"/>
      <c r="Y1803" s="4"/>
    </row>
    <row r="1804" spans="20:25" x14ac:dyDescent="0.3">
      <c r="T1804" s="12"/>
      <c r="U1804" s="4"/>
      <c r="V1804" s="4"/>
      <c r="X1804" s="4"/>
      <c r="Y1804" s="4"/>
    </row>
    <row r="1805" spans="20:25" x14ac:dyDescent="0.3">
      <c r="T1805" s="12"/>
      <c r="U1805" s="4"/>
      <c r="V1805" s="4"/>
      <c r="X1805" s="4"/>
      <c r="Y1805" s="4"/>
    </row>
    <row r="1806" spans="20:25" x14ac:dyDescent="0.3">
      <c r="T1806" s="12"/>
      <c r="U1806" s="4"/>
      <c r="V1806" s="4"/>
      <c r="X1806" s="4"/>
      <c r="Y1806" s="4"/>
    </row>
    <row r="1807" spans="20:25" x14ac:dyDescent="0.3">
      <c r="T1807" s="12"/>
      <c r="U1807" s="4"/>
      <c r="V1807" s="4"/>
      <c r="X1807" s="4"/>
      <c r="Y1807" s="4"/>
    </row>
    <row r="1808" spans="20:25" x14ac:dyDescent="0.3">
      <c r="T1808" s="12"/>
      <c r="U1808" s="4"/>
      <c r="V1808" s="4"/>
      <c r="X1808" s="4"/>
      <c r="Y1808" s="4"/>
    </row>
    <row r="1809" spans="20:25" x14ac:dyDescent="0.3">
      <c r="T1809" s="12"/>
      <c r="U1809" s="4"/>
      <c r="V1809" s="4"/>
      <c r="X1809" s="4"/>
      <c r="Y1809" s="4"/>
    </row>
    <row r="1810" spans="20:25" x14ac:dyDescent="0.3">
      <c r="T1810" s="12"/>
      <c r="U1810" s="4"/>
      <c r="V1810" s="4"/>
      <c r="X1810" s="4"/>
      <c r="Y1810" s="4"/>
    </row>
    <row r="1811" spans="20:25" x14ac:dyDescent="0.3">
      <c r="T1811" s="12"/>
      <c r="U1811" s="4"/>
      <c r="V1811" s="4"/>
      <c r="X1811" s="4"/>
      <c r="Y1811" s="4"/>
    </row>
    <row r="1812" spans="20:25" x14ac:dyDescent="0.3">
      <c r="T1812" s="12"/>
      <c r="U1812" s="4"/>
      <c r="V1812" s="4"/>
      <c r="X1812" s="4"/>
      <c r="Y1812" s="4"/>
    </row>
    <row r="1813" spans="20:25" x14ac:dyDescent="0.3">
      <c r="T1813" s="12"/>
      <c r="U1813" s="4"/>
      <c r="V1813" s="4"/>
      <c r="X1813" s="4"/>
      <c r="Y1813" s="4"/>
    </row>
    <row r="1814" spans="20:25" x14ac:dyDescent="0.3">
      <c r="T1814" s="12"/>
      <c r="U1814" s="4"/>
      <c r="V1814" s="4"/>
      <c r="X1814" s="4"/>
      <c r="Y1814" s="4"/>
    </row>
    <row r="1815" spans="20:25" x14ac:dyDescent="0.3">
      <c r="T1815" s="12"/>
      <c r="U1815" s="4"/>
      <c r="V1815" s="4"/>
      <c r="X1815" s="4"/>
      <c r="Y1815" s="4"/>
    </row>
    <row r="1816" spans="20:25" x14ac:dyDescent="0.3">
      <c r="T1816" s="12"/>
      <c r="U1816" s="4"/>
      <c r="V1816" s="4"/>
      <c r="X1816" s="4"/>
      <c r="Y1816" s="4"/>
    </row>
    <row r="1817" spans="20:25" x14ac:dyDescent="0.3">
      <c r="T1817" s="12"/>
      <c r="U1817" s="4"/>
      <c r="V1817" s="4"/>
      <c r="X1817" s="4"/>
      <c r="Y1817" s="4"/>
    </row>
    <row r="1818" spans="20:25" x14ac:dyDescent="0.3">
      <c r="T1818" s="12"/>
      <c r="U1818" s="4"/>
      <c r="V1818" s="4"/>
      <c r="X1818" s="4"/>
      <c r="Y1818" s="4"/>
    </row>
    <row r="1819" spans="20:25" x14ac:dyDescent="0.3">
      <c r="T1819" s="12"/>
      <c r="U1819" s="4"/>
      <c r="V1819" s="4"/>
      <c r="X1819" s="4"/>
      <c r="Y1819" s="4"/>
    </row>
    <row r="1820" spans="20:25" x14ac:dyDescent="0.3">
      <c r="T1820" s="12"/>
      <c r="U1820" s="4"/>
      <c r="V1820" s="4"/>
      <c r="X1820" s="4"/>
      <c r="Y1820" s="4"/>
    </row>
    <row r="1821" spans="20:25" x14ac:dyDescent="0.3">
      <c r="T1821" s="12"/>
      <c r="U1821" s="4"/>
      <c r="V1821" s="4"/>
      <c r="X1821" s="4"/>
      <c r="Y1821" s="4"/>
    </row>
    <row r="1822" spans="20:25" x14ac:dyDescent="0.3">
      <c r="T1822" s="12"/>
      <c r="U1822" s="4"/>
      <c r="V1822" s="4"/>
      <c r="X1822" s="4"/>
      <c r="Y1822" s="4"/>
    </row>
    <row r="1823" spans="20:25" x14ac:dyDescent="0.3">
      <c r="T1823" s="12"/>
      <c r="U1823" s="4"/>
      <c r="V1823" s="4"/>
      <c r="X1823" s="4"/>
      <c r="Y1823" s="4"/>
    </row>
    <row r="1824" spans="20:25" x14ac:dyDescent="0.3">
      <c r="T1824" s="12"/>
      <c r="U1824" s="4"/>
      <c r="V1824" s="4"/>
      <c r="X1824" s="4"/>
      <c r="Y1824" s="4"/>
    </row>
    <row r="1825" spans="20:25" x14ac:dyDescent="0.3">
      <c r="T1825" s="12"/>
      <c r="U1825" s="4"/>
      <c r="V1825" s="4"/>
      <c r="X1825" s="4"/>
      <c r="Y1825" s="4"/>
    </row>
    <row r="1826" spans="20:25" x14ac:dyDescent="0.3">
      <c r="T1826" s="12"/>
      <c r="U1826" s="4"/>
      <c r="V1826" s="4"/>
      <c r="X1826" s="4"/>
      <c r="Y1826" s="4"/>
    </row>
    <row r="1827" spans="20:25" x14ac:dyDescent="0.3">
      <c r="T1827" s="12"/>
      <c r="U1827" s="4"/>
      <c r="V1827" s="4"/>
      <c r="X1827" s="4"/>
      <c r="Y1827" s="4"/>
    </row>
    <row r="1828" spans="20:25" x14ac:dyDescent="0.3">
      <c r="T1828" s="12"/>
      <c r="U1828" s="4"/>
      <c r="V1828" s="4"/>
      <c r="X1828" s="4"/>
      <c r="Y1828" s="4"/>
    </row>
    <row r="1829" spans="20:25" x14ac:dyDescent="0.3">
      <c r="T1829" s="12"/>
      <c r="U1829" s="4"/>
      <c r="V1829" s="4"/>
      <c r="X1829" s="4"/>
      <c r="Y1829" s="4"/>
    </row>
    <row r="1830" spans="20:25" x14ac:dyDescent="0.3">
      <c r="T1830" s="12"/>
      <c r="U1830" s="4"/>
      <c r="V1830" s="4"/>
      <c r="X1830" s="4"/>
      <c r="Y1830" s="4"/>
    </row>
    <row r="1831" spans="20:25" x14ac:dyDescent="0.3">
      <c r="T1831" s="12"/>
      <c r="U1831" s="4"/>
      <c r="V1831" s="4"/>
      <c r="X1831" s="4"/>
      <c r="Y1831" s="4"/>
    </row>
    <row r="1832" spans="20:25" x14ac:dyDescent="0.3">
      <c r="T1832" s="12"/>
      <c r="U1832" s="4"/>
      <c r="V1832" s="4"/>
      <c r="X1832" s="4"/>
      <c r="Y1832" s="4"/>
    </row>
    <row r="1833" spans="20:25" x14ac:dyDescent="0.3">
      <c r="T1833" s="12"/>
      <c r="U1833" s="4"/>
      <c r="V1833" s="4"/>
      <c r="X1833" s="4"/>
      <c r="Y1833" s="4"/>
    </row>
    <row r="1834" spans="20:25" x14ac:dyDescent="0.3">
      <c r="T1834" s="12"/>
      <c r="U1834" s="4"/>
      <c r="V1834" s="4"/>
      <c r="X1834" s="4"/>
      <c r="Y1834" s="4"/>
    </row>
    <row r="1835" spans="20:25" x14ac:dyDescent="0.3">
      <c r="T1835" s="12"/>
      <c r="U1835" s="4"/>
      <c r="V1835" s="4"/>
      <c r="X1835" s="4"/>
      <c r="Y1835" s="4"/>
    </row>
    <row r="1836" spans="20:25" x14ac:dyDescent="0.3">
      <c r="T1836" s="12"/>
      <c r="U1836" s="4"/>
      <c r="V1836" s="4"/>
      <c r="X1836" s="4"/>
      <c r="Y1836" s="4"/>
    </row>
    <row r="1837" spans="20:25" x14ac:dyDescent="0.3">
      <c r="T1837" s="12"/>
      <c r="U1837" s="4"/>
      <c r="V1837" s="4"/>
      <c r="X1837" s="4"/>
      <c r="Y1837" s="4"/>
    </row>
    <row r="1838" spans="20:25" x14ac:dyDescent="0.3">
      <c r="T1838" s="12"/>
      <c r="U1838" s="4"/>
      <c r="V1838" s="4"/>
      <c r="X1838" s="4"/>
      <c r="Y1838" s="4"/>
    </row>
    <row r="1839" spans="20:25" x14ac:dyDescent="0.3">
      <c r="T1839" s="12"/>
      <c r="U1839" s="4"/>
      <c r="V1839" s="4"/>
      <c r="X1839" s="4"/>
      <c r="Y1839" s="4"/>
    </row>
    <row r="1840" spans="20:25" x14ac:dyDescent="0.3">
      <c r="T1840" s="12"/>
      <c r="U1840" s="4"/>
      <c r="V1840" s="4"/>
      <c r="X1840" s="4"/>
      <c r="Y1840" s="4"/>
    </row>
    <row r="1841" spans="20:25" x14ac:dyDescent="0.3">
      <c r="T1841" s="12"/>
      <c r="U1841" s="4"/>
      <c r="V1841" s="4"/>
      <c r="X1841" s="4"/>
      <c r="Y1841" s="4"/>
    </row>
    <row r="1842" spans="20:25" x14ac:dyDescent="0.3">
      <c r="T1842" s="12"/>
      <c r="U1842" s="4"/>
      <c r="V1842" s="4"/>
      <c r="X1842" s="4"/>
      <c r="Y1842" s="4"/>
    </row>
    <row r="1843" spans="20:25" x14ac:dyDescent="0.3">
      <c r="T1843" s="12"/>
      <c r="U1843" s="4"/>
      <c r="V1843" s="4"/>
      <c r="X1843" s="4"/>
      <c r="Y1843" s="4"/>
    </row>
    <row r="1844" spans="20:25" x14ac:dyDescent="0.3">
      <c r="T1844" s="12"/>
      <c r="U1844" s="4"/>
      <c r="V1844" s="4"/>
      <c r="X1844" s="4"/>
      <c r="Y1844" s="4"/>
    </row>
    <row r="1845" spans="20:25" x14ac:dyDescent="0.3">
      <c r="T1845" s="12"/>
      <c r="U1845" s="4"/>
      <c r="V1845" s="4"/>
      <c r="X1845" s="4"/>
      <c r="Y1845" s="4"/>
    </row>
    <row r="1846" spans="20:25" x14ac:dyDescent="0.3">
      <c r="T1846" s="12"/>
      <c r="U1846" s="4"/>
      <c r="V1846" s="4"/>
      <c r="X1846" s="4"/>
      <c r="Y1846" s="4"/>
    </row>
    <row r="1847" spans="20:25" x14ac:dyDescent="0.3">
      <c r="T1847" s="12"/>
      <c r="U1847" s="4"/>
      <c r="V1847" s="4"/>
      <c r="X1847" s="4"/>
      <c r="Y1847" s="4"/>
    </row>
    <row r="1848" spans="20:25" x14ac:dyDescent="0.3">
      <c r="T1848" s="12"/>
      <c r="U1848" s="4"/>
      <c r="V1848" s="4"/>
      <c r="X1848" s="4"/>
      <c r="Y1848" s="4"/>
    </row>
    <row r="1849" spans="20:25" x14ac:dyDescent="0.3">
      <c r="T1849" s="12"/>
      <c r="U1849" s="4"/>
      <c r="V1849" s="4"/>
      <c r="X1849" s="4"/>
      <c r="Y1849" s="4"/>
    </row>
    <row r="1850" spans="20:25" x14ac:dyDescent="0.3">
      <c r="T1850" s="12"/>
      <c r="U1850" s="4"/>
      <c r="V1850" s="4"/>
      <c r="X1850" s="4"/>
      <c r="Y1850" s="4"/>
    </row>
    <row r="1851" spans="20:25" x14ac:dyDescent="0.3">
      <c r="T1851" s="12"/>
      <c r="U1851" s="4"/>
      <c r="V1851" s="4"/>
      <c r="X1851" s="4"/>
      <c r="Y1851" s="4"/>
    </row>
    <row r="1852" spans="20:25" x14ac:dyDescent="0.3">
      <c r="T1852" s="12"/>
      <c r="U1852" s="4"/>
      <c r="V1852" s="4"/>
      <c r="X1852" s="4"/>
      <c r="Y1852" s="4"/>
    </row>
    <row r="1853" spans="20:25" x14ac:dyDescent="0.3">
      <c r="T1853" s="12"/>
      <c r="U1853" s="4"/>
      <c r="V1853" s="4"/>
      <c r="X1853" s="4"/>
      <c r="Y1853" s="4"/>
    </row>
    <row r="1854" spans="20:25" x14ac:dyDescent="0.3">
      <c r="T1854" s="12"/>
      <c r="U1854" s="4"/>
      <c r="V1854" s="4"/>
      <c r="X1854" s="4"/>
      <c r="Y1854" s="4"/>
    </row>
    <row r="1855" spans="20:25" x14ac:dyDescent="0.3">
      <c r="T1855" s="12"/>
      <c r="U1855" s="4"/>
      <c r="V1855" s="4"/>
      <c r="X1855" s="4"/>
      <c r="Y1855" s="4"/>
    </row>
    <row r="1856" spans="20:25" x14ac:dyDescent="0.3">
      <c r="T1856" s="12"/>
      <c r="U1856" s="4"/>
      <c r="V1856" s="4"/>
      <c r="X1856" s="4"/>
      <c r="Y1856" s="4"/>
    </row>
    <row r="1857" spans="20:25" x14ac:dyDescent="0.3">
      <c r="T1857" s="12"/>
      <c r="U1857" s="4"/>
      <c r="V1857" s="4"/>
      <c r="X1857" s="4"/>
      <c r="Y1857" s="4"/>
    </row>
    <row r="1858" spans="20:25" x14ac:dyDescent="0.3">
      <c r="T1858" s="12"/>
      <c r="U1858" s="4"/>
      <c r="V1858" s="4"/>
      <c r="X1858" s="4"/>
      <c r="Y1858" s="4"/>
    </row>
    <row r="1859" spans="20:25" x14ac:dyDescent="0.3">
      <c r="T1859" s="12"/>
      <c r="U1859" s="4"/>
      <c r="V1859" s="4"/>
      <c r="X1859" s="4"/>
      <c r="Y1859" s="4"/>
    </row>
    <row r="1860" spans="20:25" x14ac:dyDescent="0.3">
      <c r="T1860" s="12"/>
      <c r="U1860" s="4"/>
      <c r="V1860" s="4"/>
      <c r="X1860" s="4"/>
      <c r="Y1860" s="4"/>
    </row>
    <row r="1861" spans="20:25" x14ac:dyDescent="0.3">
      <c r="T1861" s="12"/>
      <c r="U1861" s="4"/>
      <c r="V1861" s="4"/>
      <c r="X1861" s="4"/>
      <c r="Y1861" s="4"/>
    </row>
    <row r="1862" spans="20:25" x14ac:dyDescent="0.3">
      <c r="T1862" s="12"/>
      <c r="U1862" s="4"/>
      <c r="V1862" s="4"/>
      <c r="X1862" s="4"/>
      <c r="Y1862" s="4"/>
    </row>
    <row r="1863" spans="20:25" x14ac:dyDescent="0.3">
      <c r="T1863" s="12"/>
      <c r="U1863" s="4"/>
      <c r="V1863" s="4"/>
      <c r="X1863" s="4"/>
      <c r="Y1863" s="4"/>
    </row>
    <row r="1864" spans="20:25" x14ac:dyDescent="0.3">
      <c r="T1864" s="12"/>
      <c r="U1864" s="4"/>
      <c r="V1864" s="4"/>
      <c r="X1864" s="4"/>
      <c r="Y1864" s="4"/>
    </row>
    <row r="1865" spans="20:25" x14ac:dyDescent="0.3">
      <c r="T1865" s="12"/>
      <c r="U1865" s="4"/>
      <c r="V1865" s="4"/>
      <c r="X1865" s="4"/>
      <c r="Y1865" s="4"/>
    </row>
    <row r="1866" spans="20:25" x14ac:dyDescent="0.3">
      <c r="T1866" s="12"/>
      <c r="U1866" s="4"/>
      <c r="V1866" s="4"/>
      <c r="X1866" s="4"/>
      <c r="Y1866" s="4"/>
    </row>
    <row r="1867" spans="20:25" x14ac:dyDescent="0.3">
      <c r="T1867" s="12"/>
      <c r="U1867" s="4"/>
      <c r="V1867" s="4"/>
      <c r="X1867" s="4"/>
      <c r="Y1867" s="4"/>
    </row>
    <row r="1868" spans="20:25" x14ac:dyDescent="0.3">
      <c r="T1868" s="12"/>
      <c r="U1868" s="4"/>
      <c r="V1868" s="4"/>
      <c r="X1868" s="4"/>
      <c r="Y1868" s="4"/>
    </row>
    <row r="1869" spans="20:25" x14ac:dyDescent="0.3">
      <c r="T1869" s="12"/>
      <c r="U1869" s="4"/>
      <c r="V1869" s="4"/>
      <c r="X1869" s="4"/>
      <c r="Y1869" s="4"/>
    </row>
    <row r="1870" spans="20:25" x14ac:dyDescent="0.3">
      <c r="T1870" s="12"/>
      <c r="U1870" s="4"/>
      <c r="V1870" s="4"/>
      <c r="X1870" s="4"/>
      <c r="Y1870" s="4"/>
    </row>
    <row r="1871" spans="20:25" x14ac:dyDescent="0.3">
      <c r="T1871" s="12"/>
      <c r="U1871" s="4"/>
      <c r="V1871" s="4"/>
      <c r="X1871" s="4"/>
      <c r="Y1871" s="4"/>
    </row>
    <row r="1872" spans="20:25" x14ac:dyDescent="0.3">
      <c r="T1872" s="12"/>
      <c r="U1872" s="4"/>
      <c r="V1872" s="4"/>
      <c r="X1872" s="4"/>
      <c r="Y1872" s="4"/>
    </row>
    <row r="1873" spans="20:25" x14ac:dyDescent="0.3">
      <c r="T1873" s="12"/>
      <c r="U1873" s="4"/>
      <c r="V1873" s="4"/>
      <c r="X1873" s="4"/>
      <c r="Y1873" s="4"/>
    </row>
    <row r="1874" spans="20:25" x14ac:dyDescent="0.3">
      <c r="T1874" s="12"/>
      <c r="U1874" s="4"/>
      <c r="V1874" s="4"/>
      <c r="X1874" s="4"/>
      <c r="Y1874" s="4"/>
    </row>
    <row r="1875" spans="20:25" x14ac:dyDescent="0.3">
      <c r="T1875" s="12"/>
      <c r="U1875" s="4"/>
      <c r="V1875" s="4"/>
      <c r="X1875" s="4"/>
      <c r="Y1875" s="4"/>
    </row>
    <row r="1876" spans="20:25" x14ac:dyDescent="0.3">
      <c r="T1876" s="12"/>
      <c r="U1876" s="4"/>
      <c r="V1876" s="4"/>
      <c r="X1876" s="4"/>
      <c r="Y1876" s="4"/>
    </row>
    <row r="1877" spans="20:25" x14ac:dyDescent="0.3">
      <c r="T1877" s="12"/>
      <c r="U1877" s="4"/>
      <c r="V1877" s="4"/>
      <c r="X1877" s="4"/>
      <c r="Y1877" s="4"/>
    </row>
    <row r="1878" spans="20:25" x14ac:dyDescent="0.3">
      <c r="T1878" s="12"/>
      <c r="U1878" s="4"/>
      <c r="V1878" s="4"/>
      <c r="X1878" s="4"/>
      <c r="Y1878" s="4"/>
    </row>
    <row r="1879" spans="20:25" x14ac:dyDescent="0.3">
      <c r="T1879" s="12"/>
      <c r="U1879" s="4"/>
      <c r="V1879" s="4"/>
      <c r="X1879" s="4"/>
      <c r="Y1879" s="4"/>
    </row>
    <row r="1880" spans="20:25" x14ac:dyDescent="0.3">
      <c r="T1880" s="12"/>
      <c r="U1880" s="4"/>
      <c r="V1880" s="4"/>
      <c r="X1880" s="4"/>
      <c r="Y1880" s="4"/>
    </row>
    <row r="1881" spans="20:25" x14ac:dyDescent="0.3">
      <c r="T1881" s="12"/>
      <c r="U1881" s="4"/>
      <c r="V1881" s="4"/>
      <c r="X1881" s="4"/>
      <c r="Y1881" s="4"/>
    </row>
    <row r="1882" spans="20:25" x14ac:dyDescent="0.3">
      <c r="T1882" s="12"/>
      <c r="U1882" s="4"/>
      <c r="V1882" s="4"/>
      <c r="X1882" s="4"/>
      <c r="Y1882" s="4"/>
    </row>
    <row r="1883" spans="20:25" x14ac:dyDescent="0.3">
      <c r="T1883" s="12"/>
      <c r="U1883" s="4"/>
      <c r="V1883" s="4"/>
      <c r="X1883" s="4"/>
      <c r="Y1883" s="4"/>
    </row>
    <row r="1884" spans="20:25" x14ac:dyDescent="0.3">
      <c r="T1884" s="12"/>
      <c r="U1884" s="4"/>
      <c r="V1884" s="4"/>
      <c r="X1884" s="4"/>
      <c r="Y1884" s="4"/>
    </row>
    <row r="1885" spans="20:25" x14ac:dyDescent="0.3">
      <c r="T1885" s="12"/>
      <c r="U1885" s="4"/>
      <c r="V1885" s="4"/>
      <c r="X1885" s="4"/>
      <c r="Y1885" s="4"/>
    </row>
    <row r="1886" spans="20:25" x14ac:dyDescent="0.3">
      <c r="T1886" s="12"/>
      <c r="U1886" s="4"/>
      <c r="V1886" s="4"/>
      <c r="X1886" s="4"/>
      <c r="Y1886" s="4"/>
    </row>
    <row r="1887" spans="20:25" x14ac:dyDescent="0.3">
      <c r="T1887" s="12"/>
      <c r="U1887" s="4"/>
      <c r="V1887" s="4"/>
      <c r="X1887" s="4"/>
      <c r="Y1887" s="4"/>
    </row>
    <row r="1888" spans="20:25" x14ac:dyDescent="0.3">
      <c r="T1888" s="12"/>
      <c r="U1888" s="4"/>
      <c r="V1888" s="4"/>
      <c r="X1888" s="4"/>
      <c r="Y1888" s="4"/>
    </row>
    <row r="1889" spans="20:25" x14ac:dyDescent="0.3">
      <c r="T1889" s="12"/>
      <c r="U1889" s="4"/>
      <c r="V1889" s="4"/>
      <c r="X1889" s="4"/>
      <c r="Y1889" s="4"/>
    </row>
    <row r="1890" spans="20:25" x14ac:dyDescent="0.3">
      <c r="T1890" s="12"/>
      <c r="U1890" s="4"/>
      <c r="V1890" s="4"/>
      <c r="X1890" s="4"/>
      <c r="Y1890" s="4"/>
    </row>
    <row r="1891" spans="20:25" x14ac:dyDescent="0.3">
      <c r="T1891" s="12"/>
      <c r="U1891" s="4"/>
      <c r="V1891" s="4"/>
      <c r="X1891" s="4"/>
      <c r="Y1891" s="4"/>
    </row>
    <row r="1892" spans="20:25" x14ac:dyDescent="0.3">
      <c r="T1892" s="12"/>
      <c r="U1892" s="4"/>
      <c r="V1892" s="4"/>
      <c r="X1892" s="4"/>
      <c r="Y1892" s="4"/>
    </row>
    <row r="1893" spans="20:25" x14ac:dyDescent="0.3">
      <c r="T1893" s="12"/>
      <c r="U1893" s="4"/>
      <c r="V1893" s="4"/>
      <c r="X1893" s="4"/>
      <c r="Y1893" s="4"/>
    </row>
    <row r="1894" spans="20:25" x14ac:dyDescent="0.3">
      <c r="T1894" s="12"/>
      <c r="U1894" s="4"/>
      <c r="V1894" s="4"/>
      <c r="X1894" s="4"/>
      <c r="Y1894" s="4"/>
    </row>
    <row r="1895" spans="20:25" x14ac:dyDescent="0.3">
      <c r="T1895" s="12"/>
      <c r="U1895" s="4"/>
      <c r="V1895" s="4"/>
      <c r="X1895" s="4"/>
      <c r="Y1895" s="4"/>
    </row>
    <row r="1896" spans="20:25" x14ac:dyDescent="0.3">
      <c r="T1896" s="12"/>
      <c r="U1896" s="4"/>
      <c r="V1896" s="4"/>
      <c r="X1896" s="4"/>
      <c r="Y1896" s="4"/>
    </row>
    <row r="1897" spans="20:25" x14ac:dyDescent="0.3">
      <c r="T1897" s="12"/>
      <c r="U1897" s="4"/>
      <c r="V1897" s="4"/>
      <c r="X1897" s="4"/>
      <c r="Y1897" s="4"/>
    </row>
    <row r="1898" spans="20:25" x14ac:dyDescent="0.3">
      <c r="T1898" s="12"/>
      <c r="U1898" s="4"/>
      <c r="V1898" s="4"/>
      <c r="X1898" s="4"/>
      <c r="Y1898" s="4"/>
    </row>
    <row r="1899" spans="20:25" x14ac:dyDescent="0.3">
      <c r="T1899" s="12"/>
      <c r="U1899" s="4"/>
      <c r="V1899" s="4"/>
      <c r="X1899" s="4"/>
      <c r="Y1899" s="4"/>
    </row>
    <row r="1900" spans="20:25" x14ac:dyDescent="0.3">
      <c r="T1900" s="12"/>
      <c r="U1900" s="4"/>
      <c r="V1900" s="4"/>
      <c r="X1900" s="4"/>
      <c r="Y1900" s="4"/>
    </row>
    <row r="1901" spans="20:25" x14ac:dyDescent="0.3">
      <c r="T1901" s="12"/>
      <c r="U1901" s="4"/>
      <c r="V1901" s="4"/>
      <c r="X1901" s="4"/>
      <c r="Y1901" s="4"/>
    </row>
    <row r="1902" spans="20:25" x14ac:dyDescent="0.3">
      <c r="T1902" s="12"/>
      <c r="U1902" s="4"/>
      <c r="V1902" s="4"/>
      <c r="X1902" s="4"/>
      <c r="Y1902" s="4"/>
    </row>
    <row r="1903" spans="20:25" x14ac:dyDescent="0.3">
      <c r="T1903" s="12"/>
      <c r="U1903" s="4"/>
      <c r="V1903" s="4"/>
      <c r="X1903" s="4"/>
      <c r="Y1903" s="4"/>
    </row>
    <row r="1904" spans="20:25" x14ac:dyDescent="0.3">
      <c r="T1904" s="12"/>
      <c r="U1904" s="4"/>
      <c r="V1904" s="4"/>
      <c r="X1904" s="4"/>
      <c r="Y1904" s="4"/>
    </row>
    <row r="1905" spans="20:25" x14ac:dyDescent="0.3">
      <c r="T1905" s="12"/>
      <c r="U1905" s="4"/>
      <c r="V1905" s="4"/>
      <c r="X1905" s="4"/>
      <c r="Y1905" s="4"/>
    </row>
    <row r="1906" spans="20:25" x14ac:dyDescent="0.3">
      <c r="T1906" s="12"/>
      <c r="U1906" s="4"/>
      <c r="V1906" s="4"/>
      <c r="X1906" s="4"/>
      <c r="Y1906" s="4"/>
    </row>
    <row r="1907" spans="20:25" x14ac:dyDescent="0.3">
      <c r="T1907" s="12"/>
      <c r="U1907" s="4"/>
      <c r="V1907" s="4"/>
      <c r="X1907" s="4"/>
      <c r="Y1907" s="4"/>
    </row>
    <row r="1908" spans="20:25" x14ac:dyDescent="0.3">
      <c r="T1908" s="12"/>
      <c r="U1908" s="4"/>
      <c r="V1908" s="4"/>
      <c r="X1908" s="4"/>
      <c r="Y1908" s="4"/>
    </row>
    <row r="1909" spans="20:25" x14ac:dyDescent="0.3">
      <c r="T1909" s="12"/>
      <c r="U1909" s="4"/>
      <c r="V1909" s="4"/>
      <c r="X1909" s="4"/>
      <c r="Y1909" s="4"/>
    </row>
    <row r="1910" spans="20:25" x14ac:dyDescent="0.3">
      <c r="T1910" s="12"/>
      <c r="U1910" s="4"/>
      <c r="V1910" s="4"/>
      <c r="X1910" s="4"/>
      <c r="Y1910" s="4"/>
    </row>
    <row r="1911" spans="20:25" x14ac:dyDescent="0.3">
      <c r="T1911" s="12"/>
      <c r="U1911" s="4"/>
      <c r="V1911" s="4"/>
      <c r="X1911" s="4"/>
      <c r="Y1911" s="4"/>
    </row>
    <row r="1912" spans="20:25" x14ac:dyDescent="0.3">
      <c r="T1912" s="12"/>
      <c r="U1912" s="4"/>
      <c r="V1912" s="4"/>
      <c r="X1912" s="4"/>
      <c r="Y1912" s="4"/>
    </row>
    <row r="1913" spans="20:25" x14ac:dyDescent="0.3">
      <c r="T1913" s="12"/>
      <c r="U1913" s="4"/>
      <c r="V1913" s="4"/>
      <c r="X1913" s="4"/>
      <c r="Y1913" s="4"/>
    </row>
    <row r="1914" spans="20:25" x14ac:dyDescent="0.3">
      <c r="T1914" s="12"/>
      <c r="U1914" s="4"/>
      <c r="V1914" s="4"/>
      <c r="X1914" s="4"/>
      <c r="Y1914" s="4"/>
    </row>
    <row r="1915" spans="20:25" x14ac:dyDescent="0.3">
      <c r="T1915" s="12"/>
      <c r="U1915" s="4"/>
      <c r="V1915" s="4"/>
      <c r="X1915" s="4"/>
      <c r="Y1915" s="4"/>
    </row>
    <row r="1916" spans="20:25" x14ac:dyDescent="0.3">
      <c r="T1916" s="12"/>
      <c r="U1916" s="4"/>
      <c r="V1916" s="4"/>
      <c r="X1916" s="4"/>
      <c r="Y1916" s="4"/>
    </row>
    <row r="1917" spans="20:25" x14ac:dyDescent="0.3">
      <c r="T1917" s="12"/>
      <c r="U1917" s="4"/>
      <c r="V1917" s="4"/>
      <c r="X1917" s="4"/>
      <c r="Y1917" s="4"/>
    </row>
    <row r="1918" spans="20:25" x14ac:dyDescent="0.3">
      <c r="T1918" s="12"/>
      <c r="U1918" s="4"/>
      <c r="V1918" s="4"/>
      <c r="X1918" s="4"/>
      <c r="Y1918" s="4"/>
    </row>
    <row r="1919" spans="20:25" x14ac:dyDescent="0.3">
      <c r="T1919" s="12"/>
      <c r="U1919" s="4"/>
      <c r="V1919" s="4"/>
      <c r="X1919" s="4"/>
      <c r="Y1919" s="4"/>
    </row>
    <row r="1920" spans="20:25" x14ac:dyDescent="0.3">
      <c r="T1920" s="12"/>
      <c r="U1920" s="4"/>
      <c r="V1920" s="4"/>
      <c r="X1920" s="4"/>
      <c r="Y1920" s="4"/>
    </row>
    <row r="1921" spans="20:25" x14ac:dyDescent="0.3">
      <c r="T1921" s="12"/>
      <c r="U1921" s="4"/>
      <c r="V1921" s="4"/>
      <c r="X1921" s="4"/>
      <c r="Y1921" s="4"/>
    </row>
    <row r="1922" spans="20:25" x14ac:dyDescent="0.3">
      <c r="T1922" s="12"/>
      <c r="U1922" s="4"/>
      <c r="V1922" s="4"/>
      <c r="X1922" s="4"/>
      <c r="Y1922" s="4"/>
    </row>
    <row r="1923" spans="20:25" x14ac:dyDescent="0.3">
      <c r="T1923" s="12"/>
      <c r="U1923" s="4"/>
      <c r="V1923" s="4"/>
      <c r="X1923" s="4"/>
      <c r="Y1923" s="4"/>
    </row>
    <row r="1924" spans="20:25" x14ac:dyDescent="0.3">
      <c r="T1924" s="12"/>
      <c r="U1924" s="4"/>
      <c r="V1924" s="4"/>
      <c r="X1924" s="4"/>
      <c r="Y1924" s="4"/>
    </row>
    <row r="1925" spans="20:25" x14ac:dyDescent="0.3">
      <c r="T1925" s="12"/>
      <c r="U1925" s="4"/>
      <c r="V1925" s="4"/>
      <c r="X1925" s="4"/>
      <c r="Y1925" s="4"/>
    </row>
    <row r="1926" spans="20:25" x14ac:dyDescent="0.3">
      <c r="T1926" s="12"/>
      <c r="U1926" s="4"/>
      <c r="V1926" s="4"/>
      <c r="X1926" s="4"/>
      <c r="Y1926" s="4"/>
    </row>
    <row r="1927" spans="20:25" x14ac:dyDescent="0.3">
      <c r="T1927" s="12"/>
      <c r="U1927" s="4"/>
      <c r="V1927" s="4"/>
      <c r="X1927" s="4"/>
      <c r="Y1927" s="4"/>
    </row>
    <row r="1928" spans="20:25" x14ac:dyDescent="0.3">
      <c r="T1928" s="12"/>
      <c r="U1928" s="4"/>
      <c r="V1928" s="4"/>
      <c r="X1928" s="4"/>
      <c r="Y1928" s="4"/>
    </row>
    <row r="1929" spans="20:25" x14ac:dyDescent="0.3">
      <c r="T1929" s="12"/>
      <c r="U1929" s="4"/>
      <c r="V1929" s="4"/>
      <c r="X1929" s="4"/>
      <c r="Y1929" s="4"/>
    </row>
    <row r="1930" spans="20:25" x14ac:dyDescent="0.3">
      <c r="T1930" s="12"/>
      <c r="U1930" s="4"/>
      <c r="V1930" s="4"/>
      <c r="X1930" s="4"/>
      <c r="Y1930" s="4"/>
    </row>
    <row r="1931" spans="20:25" x14ac:dyDescent="0.3">
      <c r="T1931" s="12"/>
      <c r="U1931" s="4"/>
      <c r="V1931" s="4"/>
      <c r="X1931" s="4"/>
      <c r="Y1931" s="4"/>
    </row>
    <row r="1932" spans="20:25" x14ac:dyDescent="0.3">
      <c r="T1932" s="12"/>
      <c r="U1932" s="4"/>
      <c r="V1932" s="4"/>
      <c r="X1932" s="4"/>
      <c r="Y1932" s="4"/>
    </row>
    <row r="1933" spans="20:25" x14ac:dyDescent="0.3">
      <c r="T1933" s="12"/>
      <c r="U1933" s="4"/>
      <c r="V1933" s="4"/>
      <c r="X1933" s="4"/>
      <c r="Y1933" s="4"/>
    </row>
    <row r="1934" spans="20:25" x14ac:dyDescent="0.3">
      <c r="T1934" s="12"/>
      <c r="U1934" s="4"/>
      <c r="V1934" s="4"/>
      <c r="X1934" s="4"/>
      <c r="Y1934" s="4"/>
    </row>
    <row r="1935" spans="20:25" x14ac:dyDescent="0.3">
      <c r="T1935" s="12"/>
      <c r="U1935" s="4"/>
      <c r="V1935" s="4"/>
      <c r="X1935" s="4"/>
      <c r="Y1935" s="4"/>
    </row>
    <row r="1936" spans="20:25" x14ac:dyDescent="0.3">
      <c r="T1936" s="12"/>
      <c r="U1936" s="4"/>
      <c r="V1936" s="4"/>
      <c r="X1936" s="4"/>
      <c r="Y1936" s="4"/>
    </row>
    <row r="1937" spans="20:25" x14ac:dyDescent="0.3">
      <c r="T1937" s="12"/>
      <c r="U1937" s="4"/>
      <c r="V1937" s="4"/>
      <c r="X1937" s="4"/>
      <c r="Y1937" s="4"/>
    </row>
    <row r="1938" spans="20:25" x14ac:dyDescent="0.3">
      <c r="T1938" s="12"/>
      <c r="U1938" s="4"/>
      <c r="V1938" s="4"/>
      <c r="X1938" s="4"/>
      <c r="Y1938" s="4"/>
    </row>
    <row r="1939" spans="20:25" x14ac:dyDescent="0.3">
      <c r="T1939" s="12"/>
      <c r="U1939" s="4"/>
      <c r="V1939" s="4"/>
      <c r="X1939" s="4"/>
      <c r="Y1939" s="4"/>
    </row>
    <row r="1940" spans="20:25" x14ac:dyDescent="0.3">
      <c r="T1940" s="12"/>
      <c r="U1940" s="4"/>
      <c r="V1940" s="4"/>
      <c r="X1940" s="4"/>
      <c r="Y1940" s="4"/>
    </row>
    <row r="1941" spans="20:25" x14ac:dyDescent="0.3">
      <c r="T1941" s="12"/>
      <c r="U1941" s="4"/>
      <c r="V1941" s="4"/>
      <c r="X1941" s="4"/>
      <c r="Y1941" s="4"/>
    </row>
    <row r="1942" spans="20:25" x14ac:dyDescent="0.3">
      <c r="T1942" s="12"/>
      <c r="U1942" s="4"/>
      <c r="V1942" s="4"/>
      <c r="X1942" s="4"/>
      <c r="Y1942" s="4"/>
    </row>
    <row r="1943" spans="20:25" x14ac:dyDescent="0.3">
      <c r="T1943" s="12"/>
      <c r="U1943" s="4"/>
      <c r="V1943" s="4"/>
      <c r="X1943" s="4"/>
      <c r="Y1943" s="4"/>
    </row>
    <row r="1944" spans="20:25" x14ac:dyDescent="0.3">
      <c r="T1944" s="12"/>
      <c r="U1944" s="4"/>
      <c r="V1944" s="4"/>
      <c r="X1944" s="4"/>
      <c r="Y1944" s="4"/>
    </row>
    <row r="1945" spans="20:25" x14ac:dyDescent="0.3">
      <c r="T1945" s="12"/>
      <c r="U1945" s="4"/>
      <c r="V1945" s="4"/>
      <c r="X1945" s="4"/>
      <c r="Y1945" s="4"/>
    </row>
    <row r="1946" spans="20:25" x14ac:dyDescent="0.3">
      <c r="T1946" s="12"/>
      <c r="U1946" s="4"/>
      <c r="V1946" s="4"/>
      <c r="X1946" s="4"/>
      <c r="Y1946" s="4"/>
    </row>
    <row r="1947" spans="20:25" x14ac:dyDescent="0.3">
      <c r="T1947" s="12"/>
      <c r="U1947" s="4"/>
      <c r="V1947" s="4"/>
      <c r="X1947" s="4"/>
      <c r="Y1947" s="4"/>
    </row>
    <row r="1948" spans="20:25" x14ac:dyDescent="0.3">
      <c r="T1948" s="12"/>
      <c r="U1948" s="4"/>
      <c r="V1948" s="4"/>
      <c r="X1948" s="4"/>
      <c r="Y1948" s="4"/>
    </row>
    <row r="1949" spans="20:25" x14ac:dyDescent="0.3">
      <c r="T1949" s="12"/>
      <c r="U1949" s="4"/>
      <c r="V1949" s="4"/>
      <c r="X1949" s="4"/>
      <c r="Y1949" s="4"/>
    </row>
    <row r="1950" spans="20:25" x14ac:dyDescent="0.3">
      <c r="T1950" s="12"/>
      <c r="U1950" s="4"/>
      <c r="V1950" s="4"/>
      <c r="X1950" s="4"/>
      <c r="Y1950" s="4"/>
    </row>
    <row r="1951" spans="20:25" x14ac:dyDescent="0.3">
      <c r="T1951" s="12"/>
      <c r="U1951" s="4"/>
      <c r="V1951" s="4"/>
      <c r="X1951" s="4"/>
      <c r="Y1951" s="4"/>
    </row>
    <row r="1952" spans="20:25" x14ac:dyDescent="0.3">
      <c r="T1952" s="12"/>
      <c r="U1952" s="4"/>
      <c r="V1952" s="4"/>
      <c r="X1952" s="4"/>
      <c r="Y1952" s="4"/>
    </row>
    <row r="1953" spans="20:25" x14ac:dyDescent="0.3">
      <c r="T1953" s="12"/>
      <c r="U1953" s="4"/>
      <c r="V1953" s="4"/>
      <c r="X1953" s="4"/>
      <c r="Y1953" s="4"/>
    </row>
    <row r="1954" spans="20:25" x14ac:dyDescent="0.3">
      <c r="T1954" s="12"/>
      <c r="U1954" s="4"/>
      <c r="V1954" s="4"/>
      <c r="X1954" s="4"/>
      <c r="Y1954" s="4"/>
    </row>
    <row r="1955" spans="20:25" x14ac:dyDescent="0.3">
      <c r="T1955" s="12"/>
      <c r="U1955" s="4"/>
      <c r="V1955" s="4"/>
      <c r="X1955" s="4"/>
      <c r="Y1955" s="4"/>
    </row>
    <row r="1956" spans="20:25" x14ac:dyDescent="0.3">
      <c r="T1956" s="12"/>
      <c r="U1956" s="4"/>
      <c r="V1956" s="4"/>
      <c r="X1956" s="4"/>
      <c r="Y1956" s="4"/>
    </row>
    <row r="1957" spans="20:25" x14ac:dyDescent="0.3">
      <c r="T1957" s="12"/>
      <c r="U1957" s="4"/>
      <c r="V1957" s="4"/>
      <c r="X1957" s="4"/>
      <c r="Y1957" s="4"/>
    </row>
    <row r="1958" spans="20:25" x14ac:dyDescent="0.3">
      <c r="T1958" s="12"/>
      <c r="U1958" s="4"/>
      <c r="V1958" s="4"/>
      <c r="X1958" s="4"/>
      <c r="Y1958" s="4"/>
    </row>
    <row r="1959" spans="20:25" x14ac:dyDescent="0.3">
      <c r="T1959" s="12"/>
      <c r="U1959" s="4"/>
      <c r="V1959" s="4"/>
      <c r="X1959" s="4"/>
      <c r="Y1959" s="4"/>
    </row>
    <row r="1960" spans="20:25" x14ac:dyDescent="0.3">
      <c r="T1960" s="12"/>
      <c r="U1960" s="4"/>
      <c r="V1960" s="4"/>
      <c r="X1960" s="4"/>
      <c r="Y1960" s="4"/>
    </row>
    <row r="1961" spans="20:25" x14ac:dyDescent="0.3">
      <c r="T1961" s="12"/>
      <c r="U1961" s="4"/>
      <c r="V1961" s="4"/>
      <c r="X1961" s="4"/>
      <c r="Y1961" s="4"/>
    </row>
    <row r="1962" spans="20:25" x14ac:dyDescent="0.3">
      <c r="T1962" s="12"/>
      <c r="U1962" s="4"/>
      <c r="V1962" s="4"/>
      <c r="X1962" s="4"/>
      <c r="Y1962" s="4"/>
    </row>
    <row r="1963" spans="20:25" x14ac:dyDescent="0.3">
      <c r="T1963" s="12"/>
      <c r="U1963" s="4"/>
      <c r="V1963" s="4"/>
      <c r="X1963" s="4"/>
      <c r="Y1963" s="4"/>
    </row>
    <row r="1964" spans="20:25" x14ac:dyDescent="0.3">
      <c r="T1964" s="12"/>
      <c r="U1964" s="4"/>
      <c r="V1964" s="4"/>
      <c r="X1964" s="4"/>
      <c r="Y1964" s="4"/>
    </row>
    <row r="1965" spans="20:25" x14ac:dyDescent="0.3">
      <c r="T1965" s="12"/>
      <c r="U1965" s="4"/>
      <c r="V1965" s="4"/>
      <c r="X1965" s="4"/>
      <c r="Y1965" s="4"/>
    </row>
    <row r="1966" spans="20:25" x14ac:dyDescent="0.3">
      <c r="T1966" s="12"/>
      <c r="U1966" s="4"/>
      <c r="V1966" s="4"/>
      <c r="X1966" s="4"/>
      <c r="Y1966" s="4"/>
    </row>
    <row r="1967" spans="20:25" x14ac:dyDescent="0.3">
      <c r="T1967" s="12"/>
      <c r="U1967" s="4"/>
      <c r="V1967" s="4"/>
      <c r="X1967" s="4"/>
      <c r="Y1967" s="4"/>
    </row>
    <row r="1968" spans="20:25" x14ac:dyDescent="0.3">
      <c r="T1968" s="12"/>
      <c r="U1968" s="4"/>
      <c r="V1968" s="4"/>
      <c r="X1968" s="4"/>
      <c r="Y1968" s="4"/>
    </row>
    <row r="1969" spans="20:25" x14ac:dyDescent="0.3">
      <c r="T1969" s="12"/>
      <c r="U1969" s="4"/>
      <c r="V1969" s="4"/>
      <c r="X1969" s="4"/>
      <c r="Y1969" s="4"/>
    </row>
    <row r="1970" spans="20:25" x14ac:dyDescent="0.3">
      <c r="T1970" s="12"/>
      <c r="U1970" s="4"/>
      <c r="V1970" s="4"/>
      <c r="X1970" s="4"/>
      <c r="Y1970" s="4"/>
    </row>
    <row r="1971" spans="20:25" x14ac:dyDescent="0.3">
      <c r="T1971" s="12"/>
      <c r="U1971" s="4"/>
      <c r="V1971" s="4"/>
      <c r="X1971" s="4"/>
      <c r="Y1971" s="4"/>
    </row>
    <row r="1972" spans="20:25" x14ac:dyDescent="0.3">
      <c r="T1972" s="12"/>
      <c r="U1972" s="4"/>
      <c r="V1972" s="4"/>
      <c r="X1972" s="4"/>
      <c r="Y1972" s="4"/>
    </row>
    <row r="1973" spans="20:25" x14ac:dyDescent="0.3">
      <c r="T1973" s="12"/>
      <c r="U1973" s="4"/>
      <c r="V1973" s="4"/>
      <c r="X1973" s="4"/>
      <c r="Y1973" s="4"/>
    </row>
    <row r="1974" spans="20:25" x14ac:dyDescent="0.3">
      <c r="T1974" s="12"/>
      <c r="U1974" s="4"/>
      <c r="V1974" s="4"/>
      <c r="X1974" s="4"/>
      <c r="Y1974" s="4"/>
    </row>
    <row r="1975" spans="20:25" x14ac:dyDescent="0.3">
      <c r="T1975" s="12"/>
      <c r="U1975" s="4"/>
      <c r="V1975" s="4"/>
      <c r="X1975" s="4"/>
      <c r="Y1975" s="4"/>
    </row>
    <row r="1976" spans="20:25" x14ac:dyDescent="0.3">
      <c r="T1976" s="12"/>
      <c r="U1976" s="4"/>
      <c r="V1976" s="4"/>
      <c r="X1976" s="4"/>
      <c r="Y1976" s="4"/>
    </row>
    <row r="1977" spans="20:25" x14ac:dyDescent="0.3">
      <c r="T1977" s="12"/>
      <c r="U1977" s="4"/>
      <c r="V1977" s="4"/>
      <c r="X1977" s="4"/>
      <c r="Y1977" s="4"/>
    </row>
    <row r="1978" spans="20:25" x14ac:dyDescent="0.3">
      <c r="T1978" s="12"/>
      <c r="U1978" s="4"/>
      <c r="V1978" s="4"/>
      <c r="X1978" s="4"/>
      <c r="Y1978" s="4"/>
    </row>
    <row r="1979" spans="20:25" x14ac:dyDescent="0.3">
      <c r="T1979" s="12"/>
      <c r="U1979" s="4"/>
      <c r="V1979" s="4"/>
      <c r="X1979" s="4"/>
      <c r="Y1979" s="4"/>
    </row>
    <row r="1980" spans="20:25" x14ac:dyDescent="0.3">
      <c r="T1980" s="12"/>
      <c r="U1980" s="4"/>
      <c r="V1980" s="4"/>
      <c r="X1980" s="4"/>
      <c r="Y1980" s="4"/>
    </row>
    <row r="1981" spans="20:25" x14ac:dyDescent="0.3">
      <c r="T1981" s="12"/>
      <c r="U1981" s="4"/>
      <c r="V1981" s="4"/>
      <c r="X1981" s="4"/>
      <c r="Y1981" s="4"/>
    </row>
    <row r="1982" spans="20:25" x14ac:dyDescent="0.3">
      <c r="T1982" s="12"/>
      <c r="U1982" s="4"/>
      <c r="V1982" s="4"/>
      <c r="X1982" s="4"/>
      <c r="Y1982" s="4"/>
    </row>
    <row r="1983" spans="20:25" x14ac:dyDescent="0.3">
      <c r="T1983" s="12"/>
      <c r="U1983" s="4"/>
      <c r="V1983" s="4"/>
      <c r="X1983" s="4"/>
      <c r="Y1983" s="4"/>
    </row>
    <row r="1984" spans="20:25" x14ac:dyDescent="0.3">
      <c r="T1984" s="12"/>
      <c r="U1984" s="4"/>
      <c r="V1984" s="4"/>
      <c r="X1984" s="4"/>
      <c r="Y1984" s="4"/>
    </row>
    <row r="1985" spans="20:25" x14ac:dyDescent="0.3">
      <c r="T1985" s="12"/>
      <c r="U1985" s="4"/>
      <c r="V1985" s="4"/>
      <c r="X1985" s="4"/>
      <c r="Y1985" s="4"/>
    </row>
    <row r="1986" spans="20:25" x14ac:dyDescent="0.3">
      <c r="T1986" s="12"/>
      <c r="U1986" s="4"/>
      <c r="V1986" s="4"/>
      <c r="X1986" s="4"/>
      <c r="Y1986" s="4"/>
    </row>
    <row r="1987" spans="20:25" x14ac:dyDescent="0.3">
      <c r="T1987" s="12"/>
      <c r="U1987" s="4"/>
      <c r="V1987" s="4"/>
      <c r="X1987" s="4"/>
      <c r="Y1987" s="4"/>
    </row>
    <row r="1988" spans="20:25" x14ac:dyDescent="0.3">
      <c r="T1988" s="12"/>
      <c r="U1988" s="4"/>
      <c r="V1988" s="4"/>
      <c r="X1988" s="4"/>
      <c r="Y1988" s="4"/>
    </row>
    <row r="1989" spans="20:25" x14ac:dyDescent="0.3">
      <c r="T1989" s="12"/>
      <c r="U1989" s="4"/>
      <c r="V1989" s="4"/>
      <c r="X1989" s="4"/>
      <c r="Y1989" s="4"/>
    </row>
    <row r="1990" spans="20:25" x14ac:dyDescent="0.3">
      <c r="T1990" s="12"/>
      <c r="U1990" s="4"/>
      <c r="V1990" s="4"/>
      <c r="X1990" s="4"/>
      <c r="Y1990" s="4"/>
    </row>
    <row r="1991" spans="20:25" x14ac:dyDescent="0.3">
      <c r="T1991" s="12"/>
      <c r="U1991" s="4"/>
      <c r="V1991" s="4"/>
      <c r="X1991" s="4"/>
      <c r="Y1991" s="4"/>
    </row>
    <row r="1992" spans="20:25" x14ac:dyDescent="0.3">
      <c r="T1992" s="12"/>
      <c r="U1992" s="4"/>
      <c r="V1992" s="4"/>
      <c r="X1992" s="4"/>
      <c r="Y1992" s="4"/>
    </row>
    <row r="1993" spans="20:25" x14ac:dyDescent="0.3">
      <c r="T1993" s="12"/>
      <c r="U1993" s="4"/>
      <c r="V1993" s="4"/>
      <c r="X1993" s="4"/>
      <c r="Y1993" s="4"/>
    </row>
    <row r="1994" spans="20:25" x14ac:dyDescent="0.3">
      <c r="T1994" s="12"/>
      <c r="U1994" s="4"/>
      <c r="V1994" s="4"/>
      <c r="X1994" s="4"/>
      <c r="Y1994" s="4"/>
    </row>
    <row r="1995" spans="20:25" x14ac:dyDescent="0.3">
      <c r="T1995" s="12"/>
      <c r="U1995" s="4"/>
      <c r="V1995" s="4"/>
      <c r="X1995" s="4"/>
      <c r="Y1995" s="4"/>
    </row>
    <row r="1996" spans="20:25" x14ac:dyDescent="0.3">
      <c r="T1996" s="12"/>
      <c r="U1996" s="4"/>
      <c r="V1996" s="4"/>
      <c r="X1996" s="4"/>
      <c r="Y1996" s="4"/>
    </row>
    <row r="1997" spans="20:25" x14ac:dyDescent="0.3">
      <c r="T1997" s="12"/>
      <c r="U1997" s="4"/>
      <c r="V1997" s="4"/>
      <c r="X1997" s="4"/>
      <c r="Y1997" s="4"/>
    </row>
    <row r="1998" spans="20:25" x14ac:dyDescent="0.3">
      <c r="T1998" s="12"/>
      <c r="U1998" s="4"/>
      <c r="V1998" s="4"/>
      <c r="X1998" s="4"/>
      <c r="Y1998" s="4"/>
    </row>
    <row r="1999" spans="20:25" x14ac:dyDescent="0.3">
      <c r="T1999" s="12"/>
      <c r="U1999" s="4"/>
      <c r="V1999" s="4"/>
      <c r="X1999" s="4"/>
      <c r="Y1999" s="4"/>
    </row>
    <row r="2000" spans="20:25" x14ac:dyDescent="0.3">
      <c r="T2000" s="12"/>
      <c r="U2000" s="4"/>
      <c r="V2000" s="4"/>
      <c r="X2000" s="4"/>
      <c r="Y2000" s="4"/>
    </row>
    <row r="2001" spans="20:25" x14ac:dyDescent="0.3">
      <c r="T2001" s="12"/>
      <c r="U2001" s="4"/>
      <c r="V2001" s="4"/>
      <c r="X2001" s="4"/>
      <c r="Y2001" s="4"/>
    </row>
    <row r="2002" spans="20:25" x14ac:dyDescent="0.3">
      <c r="T2002" s="12"/>
      <c r="U2002" s="4"/>
      <c r="V2002" s="4"/>
      <c r="X2002" s="4"/>
      <c r="Y2002" s="4"/>
    </row>
    <row r="2003" spans="20:25" x14ac:dyDescent="0.3">
      <c r="T2003" s="12"/>
      <c r="U2003" s="4"/>
      <c r="V2003" s="4"/>
      <c r="X2003" s="4"/>
      <c r="Y2003" s="4"/>
    </row>
    <row r="2004" spans="20:25" x14ac:dyDescent="0.3">
      <c r="T2004" s="12"/>
      <c r="U2004" s="4"/>
      <c r="V2004" s="4"/>
      <c r="X2004" s="4"/>
      <c r="Y2004" s="4"/>
    </row>
    <row r="2005" spans="20:25" x14ac:dyDescent="0.3">
      <c r="T2005" s="12"/>
      <c r="U2005" s="4"/>
      <c r="V2005" s="4"/>
      <c r="X2005" s="4"/>
      <c r="Y2005" s="4"/>
    </row>
    <row r="2006" spans="20:25" x14ac:dyDescent="0.3">
      <c r="T2006" s="12"/>
      <c r="U2006" s="4"/>
      <c r="V2006" s="4"/>
      <c r="X2006" s="4"/>
      <c r="Y2006" s="4"/>
    </row>
    <row r="2007" spans="20:25" x14ac:dyDescent="0.3">
      <c r="T2007" s="12"/>
      <c r="U2007" s="4"/>
      <c r="V2007" s="4"/>
      <c r="X2007" s="4"/>
      <c r="Y2007" s="4"/>
    </row>
    <row r="2008" spans="20:25" x14ac:dyDescent="0.3">
      <c r="T2008" s="12"/>
      <c r="U2008" s="4"/>
      <c r="V2008" s="4"/>
      <c r="X2008" s="4"/>
      <c r="Y2008" s="4"/>
    </row>
    <row r="2009" spans="20:25" x14ac:dyDescent="0.3">
      <c r="T2009" s="12"/>
      <c r="U2009" s="4"/>
      <c r="V2009" s="4"/>
      <c r="X2009" s="4"/>
      <c r="Y2009" s="4"/>
    </row>
    <row r="2010" spans="20:25" x14ac:dyDescent="0.3">
      <c r="T2010" s="12"/>
      <c r="U2010" s="4"/>
      <c r="V2010" s="4"/>
      <c r="X2010" s="4"/>
      <c r="Y2010" s="4"/>
    </row>
    <row r="2011" spans="20:25" x14ac:dyDescent="0.3">
      <c r="T2011" s="12"/>
      <c r="U2011" s="4"/>
      <c r="V2011" s="4"/>
      <c r="X2011" s="4"/>
      <c r="Y2011" s="4"/>
    </row>
    <row r="2012" spans="20:25" x14ac:dyDescent="0.3">
      <c r="T2012" s="12"/>
      <c r="U2012" s="4"/>
      <c r="V2012" s="4"/>
      <c r="X2012" s="4"/>
      <c r="Y2012" s="4"/>
    </row>
    <row r="2013" spans="20:25" x14ac:dyDescent="0.3">
      <c r="T2013" s="12"/>
      <c r="U2013" s="4"/>
      <c r="V2013" s="4"/>
      <c r="X2013" s="4"/>
      <c r="Y2013" s="4"/>
    </row>
    <row r="2014" spans="20:25" x14ac:dyDescent="0.3">
      <c r="T2014" s="12"/>
      <c r="U2014" s="4"/>
      <c r="V2014" s="4"/>
      <c r="X2014" s="4"/>
      <c r="Y2014" s="4"/>
    </row>
    <row r="2015" spans="20:25" x14ac:dyDescent="0.3">
      <c r="T2015" s="12"/>
      <c r="U2015" s="4"/>
      <c r="V2015" s="4"/>
      <c r="X2015" s="4"/>
      <c r="Y2015" s="4"/>
    </row>
    <row r="2016" spans="20:25" x14ac:dyDescent="0.3">
      <c r="T2016" s="12"/>
      <c r="U2016" s="4"/>
      <c r="V2016" s="4"/>
      <c r="X2016" s="4"/>
      <c r="Y2016" s="4"/>
    </row>
    <row r="2017" spans="20:25" x14ac:dyDescent="0.3">
      <c r="T2017" s="12"/>
      <c r="U2017" s="4"/>
      <c r="V2017" s="4"/>
      <c r="X2017" s="4"/>
      <c r="Y2017" s="4"/>
    </row>
    <row r="2018" spans="20:25" x14ac:dyDescent="0.3">
      <c r="T2018" s="12"/>
      <c r="U2018" s="4"/>
      <c r="V2018" s="4"/>
      <c r="X2018" s="4"/>
      <c r="Y2018" s="4"/>
    </row>
    <row r="2019" spans="20:25" x14ac:dyDescent="0.3">
      <c r="T2019" s="12"/>
      <c r="U2019" s="4"/>
      <c r="V2019" s="4"/>
      <c r="X2019" s="4"/>
      <c r="Y2019" s="4"/>
    </row>
    <row r="2020" spans="20:25" x14ac:dyDescent="0.3">
      <c r="T2020" s="12"/>
      <c r="U2020" s="4"/>
      <c r="V2020" s="4"/>
      <c r="X2020" s="4"/>
      <c r="Y2020" s="4"/>
    </row>
    <row r="2021" spans="20:25" x14ac:dyDescent="0.3">
      <c r="T2021" s="12"/>
      <c r="U2021" s="4"/>
      <c r="V2021" s="4"/>
      <c r="X2021" s="4"/>
      <c r="Y2021" s="4"/>
    </row>
    <row r="2022" spans="20:25" x14ac:dyDescent="0.3">
      <c r="T2022" s="12"/>
      <c r="U2022" s="4"/>
      <c r="V2022" s="4"/>
      <c r="X2022" s="4"/>
      <c r="Y2022" s="4"/>
    </row>
    <row r="2023" spans="20:25" x14ac:dyDescent="0.3">
      <c r="T2023" s="12"/>
      <c r="U2023" s="4"/>
      <c r="V2023" s="4"/>
      <c r="X2023" s="4"/>
      <c r="Y2023" s="4"/>
    </row>
    <row r="2024" spans="20:25" x14ac:dyDescent="0.3">
      <c r="T2024" s="12"/>
      <c r="U2024" s="4"/>
      <c r="V2024" s="4"/>
      <c r="X2024" s="4"/>
      <c r="Y2024" s="4"/>
    </row>
    <row r="2025" spans="20:25" x14ac:dyDescent="0.3">
      <c r="T2025" s="12"/>
      <c r="U2025" s="4"/>
      <c r="V2025" s="4"/>
      <c r="X2025" s="4"/>
      <c r="Y2025" s="4"/>
    </row>
    <row r="2026" spans="20:25" x14ac:dyDescent="0.3">
      <c r="T2026" s="12"/>
      <c r="U2026" s="4"/>
      <c r="V2026" s="4"/>
      <c r="X2026" s="4"/>
      <c r="Y2026" s="4"/>
    </row>
    <row r="2027" spans="20:25" x14ac:dyDescent="0.3">
      <c r="T2027" s="12"/>
      <c r="U2027" s="4"/>
      <c r="V2027" s="4"/>
      <c r="X2027" s="4"/>
      <c r="Y2027" s="4"/>
    </row>
    <row r="2028" spans="20:25" x14ac:dyDescent="0.3">
      <c r="T2028" s="12"/>
      <c r="U2028" s="4"/>
      <c r="V2028" s="4"/>
      <c r="X2028" s="4"/>
      <c r="Y2028" s="4"/>
    </row>
    <row r="2029" spans="20:25" x14ac:dyDescent="0.3">
      <c r="T2029" s="12"/>
      <c r="U2029" s="4"/>
      <c r="V2029" s="4"/>
      <c r="X2029" s="4"/>
      <c r="Y2029" s="4"/>
    </row>
    <row r="2030" spans="20:25" x14ac:dyDescent="0.3">
      <c r="T2030" s="12"/>
      <c r="U2030" s="4"/>
      <c r="V2030" s="4"/>
      <c r="X2030" s="4"/>
      <c r="Y2030" s="4"/>
    </row>
    <row r="2031" spans="20:25" x14ac:dyDescent="0.3">
      <c r="T2031" s="12"/>
      <c r="U2031" s="4"/>
      <c r="V2031" s="4"/>
      <c r="X2031" s="4"/>
      <c r="Y2031" s="4"/>
    </row>
    <row r="2032" spans="20:25" x14ac:dyDescent="0.3">
      <c r="T2032" s="12"/>
      <c r="U2032" s="4"/>
      <c r="V2032" s="4"/>
      <c r="X2032" s="4"/>
      <c r="Y2032" s="4"/>
    </row>
    <row r="2033" spans="20:25" x14ac:dyDescent="0.3">
      <c r="T2033" s="12"/>
      <c r="U2033" s="4"/>
      <c r="V2033" s="4"/>
      <c r="X2033" s="4"/>
      <c r="Y2033" s="4"/>
    </row>
    <row r="2034" spans="20:25" x14ac:dyDescent="0.3">
      <c r="T2034" s="12"/>
      <c r="U2034" s="4"/>
      <c r="V2034" s="4"/>
      <c r="X2034" s="4"/>
      <c r="Y2034" s="4"/>
    </row>
    <row r="2035" spans="20:25" x14ac:dyDescent="0.3">
      <c r="T2035" s="12"/>
      <c r="U2035" s="4"/>
      <c r="V2035" s="4"/>
      <c r="X2035" s="4"/>
      <c r="Y2035" s="4"/>
    </row>
    <row r="2036" spans="20:25" x14ac:dyDescent="0.3">
      <c r="T2036" s="12"/>
      <c r="U2036" s="4"/>
      <c r="V2036" s="4"/>
      <c r="X2036" s="4"/>
      <c r="Y2036" s="4"/>
    </row>
    <row r="2037" spans="20:25" x14ac:dyDescent="0.3">
      <c r="T2037" s="12"/>
      <c r="U2037" s="4"/>
      <c r="V2037" s="4"/>
      <c r="X2037" s="4"/>
      <c r="Y2037" s="4"/>
    </row>
    <row r="2038" spans="20:25" x14ac:dyDescent="0.3">
      <c r="T2038" s="12"/>
      <c r="U2038" s="4"/>
      <c r="V2038" s="4"/>
      <c r="X2038" s="4"/>
      <c r="Y2038" s="4"/>
    </row>
    <row r="2039" spans="20:25" x14ac:dyDescent="0.3">
      <c r="T2039" s="12"/>
      <c r="U2039" s="4"/>
      <c r="V2039" s="4"/>
      <c r="X2039" s="4"/>
      <c r="Y2039" s="4"/>
    </row>
    <row r="2040" spans="20:25" x14ac:dyDescent="0.3">
      <c r="T2040" s="12"/>
      <c r="U2040" s="4"/>
      <c r="V2040" s="4"/>
      <c r="X2040" s="4"/>
      <c r="Y2040" s="4"/>
    </row>
    <row r="2041" spans="20:25" x14ac:dyDescent="0.3">
      <c r="T2041" s="12"/>
      <c r="U2041" s="4"/>
      <c r="V2041" s="4"/>
      <c r="X2041" s="4"/>
      <c r="Y2041" s="4"/>
    </row>
    <row r="2042" spans="20:25" x14ac:dyDescent="0.3">
      <c r="T2042" s="12"/>
      <c r="U2042" s="4"/>
      <c r="V2042" s="4"/>
      <c r="X2042" s="4"/>
      <c r="Y2042" s="4"/>
    </row>
    <row r="2043" spans="20:25" x14ac:dyDescent="0.3">
      <c r="T2043" s="12"/>
      <c r="U2043" s="4"/>
      <c r="V2043" s="4"/>
      <c r="X2043" s="4"/>
      <c r="Y2043" s="4"/>
    </row>
    <row r="2044" spans="20:25" x14ac:dyDescent="0.3">
      <c r="T2044" s="12"/>
      <c r="U2044" s="4"/>
      <c r="V2044" s="4"/>
      <c r="X2044" s="4"/>
      <c r="Y2044" s="4"/>
    </row>
    <row r="2045" spans="20:25" x14ac:dyDescent="0.3">
      <c r="T2045" s="12"/>
      <c r="U2045" s="4"/>
      <c r="V2045" s="4"/>
      <c r="X2045" s="4"/>
      <c r="Y2045" s="4"/>
    </row>
    <row r="2046" spans="20:25" x14ac:dyDescent="0.3">
      <c r="T2046" s="12"/>
      <c r="U2046" s="4"/>
      <c r="V2046" s="4"/>
      <c r="X2046" s="4"/>
      <c r="Y2046" s="4"/>
    </row>
    <row r="2047" spans="20:25" x14ac:dyDescent="0.3">
      <c r="T2047" s="12"/>
      <c r="U2047" s="4"/>
      <c r="V2047" s="4"/>
      <c r="X2047" s="4"/>
      <c r="Y2047" s="4"/>
    </row>
    <row r="2048" spans="20:25" x14ac:dyDescent="0.3">
      <c r="T2048" s="12"/>
      <c r="U2048" s="4"/>
      <c r="V2048" s="4"/>
      <c r="X2048" s="4"/>
      <c r="Y2048" s="4"/>
    </row>
    <row r="2049" spans="20:25" x14ac:dyDescent="0.3">
      <c r="T2049" s="12"/>
      <c r="U2049" s="4"/>
      <c r="V2049" s="4"/>
      <c r="X2049" s="4"/>
      <c r="Y2049" s="4"/>
    </row>
    <row r="2050" spans="20:25" x14ac:dyDescent="0.3">
      <c r="T2050" s="12"/>
      <c r="U2050" s="4"/>
      <c r="V2050" s="4"/>
      <c r="X2050" s="4"/>
      <c r="Y2050" s="4"/>
    </row>
    <row r="2051" spans="20:25" x14ac:dyDescent="0.3">
      <c r="T2051" s="12"/>
      <c r="U2051" s="4"/>
      <c r="V2051" s="4"/>
      <c r="X2051" s="4"/>
      <c r="Y2051" s="4"/>
    </row>
    <row r="2052" spans="20:25" x14ac:dyDescent="0.3">
      <c r="T2052" s="12"/>
      <c r="U2052" s="4"/>
      <c r="V2052" s="4"/>
      <c r="X2052" s="4"/>
      <c r="Y2052" s="4"/>
    </row>
    <row r="2053" spans="20:25" x14ac:dyDescent="0.3">
      <c r="T2053" s="12"/>
      <c r="U2053" s="4"/>
      <c r="V2053" s="4"/>
      <c r="X2053" s="4"/>
      <c r="Y2053" s="4"/>
    </row>
    <row r="2054" spans="20:25" x14ac:dyDescent="0.3">
      <c r="T2054" s="12"/>
      <c r="U2054" s="4"/>
      <c r="V2054" s="4"/>
      <c r="X2054" s="4"/>
      <c r="Y2054" s="4"/>
    </row>
    <row r="2055" spans="20:25" x14ac:dyDescent="0.3">
      <c r="T2055" s="12"/>
      <c r="U2055" s="4"/>
      <c r="V2055" s="4"/>
      <c r="X2055" s="4"/>
      <c r="Y2055" s="4"/>
    </row>
    <row r="2056" spans="20:25" x14ac:dyDescent="0.3">
      <c r="T2056" s="12"/>
      <c r="U2056" s="4"/>
      <c r="V2056" s="4"/>
      <c r="X2056" s="4"/>
      <c r="Y2056" s="4"/>
    </row>
    <row r="2057" spans="20:25" x14ac:dyDescent="0.3">
      <c r="T2057" s="12"/>
      <c r="U2057" s="4"/>
      <c r="V2057" s="4"/>
      <c r="X2057" s="4"/>
      <c r="Y2057" s="4"/>
    </row>
    <row r="2058" spans="20:25" x14ac:dyDescent="0.3">
      <c r="T2058" s="12"/>
      <c r="U2058" s="4"/>
      <c r="V2058" s="4"/>
      <c r="X2058" s="4"/>
      <c r="Y2058" s="4"/>
    </row>
    <row r="2059" spans="20:25" x14ac:dyDescent="0.3">
      <c r="T2059" s="12"/>
      <c r="U2059" s="4"/>
      <c r="V2059" s="4"/>
      <c r="X2059" s="4"/>
      <c r="Y2059" s="4"/>
    </row>
    <row r="2060" spans="20:25" x14ac:dyDescent="0.3">
      <c r="T2060" s="12"/>
      <c r="U2060" s="4"/>
      <c r="V2060" s="4"/>
      <c r="X2060" s="4"/>
      <c r="Y2060" s="4"/>
    </row>
    <row r="2061" spans="20:25" x14ac:dyDescent="0.3">
      <c r="T2061" s="12"/>
      <c r="U2061" s="4"/>
      <c r="V2061" s="4"/>
      <c r="X2061" s="4"/>
      <c r="Y2061" s="4"/>
    </row>
    <row r="2062" spans="20:25" x14ac:dyDescent="0.3">
      <c r="T2062" s="12"/>
      <c r="U2062" s="4"/>
      <c r="V2062" s="4"/>
      <c r="X2062" s="4"/>
      <c r="Y2062" s="4"/>
    </row>
    <row r="2063" spans="20:25" x14ac:dyDescent="0.3">
      <c r="T2063" s="12"/>
      <c r="U2063" s="4"/>
      <c r="V2063" s="4"/>
      <c r="X2063" s="4"/>
      <c r="Y2063" s="4"/>
    </row>
    <row r="2064" spans="20:25" x14ac:dyDescent="0.3">
      <c r="T2064" s="12"/>
      <c r="U2064" s="4"/>
      <c r="V2064" s="4"/>
      <c r="X2064" s="4"/>
      <c r="Y2064" s="4"/>
    </row>
    <row r="2065" spans="20:25" x14ac:dyDescent="0.3">
      <c r="T2065" s="12"/>
      <c r="U2065" s="4"/>
      <c r="V2065" s="4"/>
      <c r="X2065" s="4"/>
      <c r="Y2065" s="4"/>
    </row>
    <row r="2066" spans="20:25" x14ac:dyDescent="0.3">
      <c r="T2066" s="12"/>
      <c r="U2066" s="4"/>
      <c r="V2066" s="4"/>
      <c r="X2066" s="4"/>
      <c r="Y2066" s="4"/>
    </row>
    <row r="2067" spans="20:25" x14ac:dyDescent="0.3">
      <c r="T2067" s="12"/>
      <c r="U2067" s="4"/>
      <c r="V2067" s="4"/>
      <c r="X2067" s="4"/>
      <c r="Y2067" s="4"/>
    </row>
    <row r="2068" spans="20:25" x14ac:dyDescent="0.3">
      <c r="T2068" s="12"/>
      <c r="U2068" s="4"/>
      <c r="V2068" s="4"/>
      <c r="X2068" s="4"/>
      <c r="Y2068" s="4"/>
    </row>
    <row r="2069" spans="20:25" x14ac:dyDescent="0.3">
      <c r="T2069" s="12"/>
      <c r="U2069" s="4"/>
      <c r="V2069" s="4"/>
      <c r="X2069" s="4"/>
      <c r="Y2069" s="4"/>
    </row>
    <row r="2070" spans="20:25" x14ac:dyDescent="0.3">
      <c r="T2070" s="12"/>
      <c r="U2070" s="4"/>
      <c r="V2070" s="4"/>
      <c r="X2070" s="4"/>
      <c r="Y2070" s="4"/>
    </row>
    <row r="2071" spans="20:25" x14ac:dyDescent="0.3">
      <c r="T2071" s="12"/>
      <c r="U2071" s="4"/>
      <c r="V2071" s="4"/>
      <c r="X2071" s="4"/>
      <c r="Y2071" s="4"/>
    </row>
    <row r="2072" spans="20:25" x14ac:dyDescent="0.3">
      <c r="T2072" s="12"/>
      <c r="U2072" s="4"/>
      <c r="V2072" s="4"/>
      <c r="X2072" s="4"/>
      <c r="Y2072" s="4"/>
    </row>
    <row r="2073" spans="20:25" x14ac:dyDescent="0.3">
      <c r="T2073" s="12"/>
      <c r="U2073" s="4"/>
      <c r="V2073" s="4"/>
      <c r="X2073" s="4"/>
      <c r="Y2073" s="4"/>
    </row>
    <row r="2074" spans="20:25" x14ac:dyDescent="0.3">
      <c r="T2074" s="12"/>
      <c r="U2074" s="4"/>
      <c r="V2074" s="4"/>
      <c r="X2074" s="4"/>
      <c r="Y2074" s="4"/>
    </row>
    <row r="2075" spans="20:25" x14ac:dyDescent="0.3">
      <c r="T2075" s="12"/>
      <c r="U2075" s="4"/>
      <c r="V2075" s="4"/>
      <c r="X2075" s="4"/>
      <c r="Y2075" s="4"/>
    </row>
    <row r="2076" spans="20:25" x14ac:dyDescent="0.3">
      <c r="T2076" s="12"/>
      <c r="U2076" s="4"/>
      <c r="V2076" s="4"/>
      <c r="X2076" s="4"/>
      <c r="Y2076" s="4"/>
    </row>
    <row r="2077" spans="20:25" x14ac:dyDescent="0.3">
      <c r="T2077" s="12"/>
      <c r="U2077" s="4"/>
      <c r="V2077" s="4"/>
      <c r="X2077" s="4"/>
      <c r="Y2077" s="4"/>
    </row>
    <row r="2078" spans="20:25" x14ac:dyDescent="0.3">
      <c r="T2078" s="12"/>
      <c r="U2078" s="4"/>
      <c r="V2078" s="4"/>
      <c r="X2078" s="4"/>
      <c r="Y2078" s="4"/>
    </row>
    <row r="2079" spans="20:25" x14ac:dyDescent="0.3">
      <c r="T2079" s="12"/>
      <c r="U2079" s="4"/>
      <c r="V2079" s="4"/>
      <c r="X2079" s="4"/>
      <c r="Y2079" s="4"/>
    </row>
    <row r="2080" spans="20:25" x14ac:dyDescent="0.3">
      <c r="T2080" s="12"/>
      <c r="U2080" s="4"/>
      <c r="V2080" s="4"/>
      <c r="X2080" s="4"/>
      <c r="Y2080" s="4"/>
    </row>
    <row r="2081" spans="20:25" x14ac:dyDescent="0.3">
      <c r="T2081" s="12"/>
      <c r="U2081" s="4"/>
      <c r="V2081" s="4"/>
      <c r="X2081" s="4"/>
      <c r="Y2081" s="4"/>
    </row>
    <row r="2082" spans="20:25" x14ac:dyDescent="0.3">
      <c r="T2082" s="12"/>
      <c r="U2082" s="4"/>
      <c r="V2082" s="4"/>
      <c r="X2082" s="4"/>
      <c r="Y2082" s="4"/>
    </row>
    <row r="2083" spans="20:25" x14ac:dyDescent="0.3">
      <c r="T2083" s="12"/>
      <c r="U2083" s="4"/>
      <c r="V2083" s="4"/>
      <c r="X2083" s="4"/>
      <c r="Y2083" s="4"/>
    </row>
    <row r="2084" spans="20:25" x14ac:dyDescent="0.3">
      <c r="T2084" s="12"/>
      <c r="U2084" s="4"/>
      <c r="V2084" s="4"/>
      <c r="X2084" s="4"/>
      <c r="Y2084" s="4"/>
    </row>
    <row r="2085" spans="20:25" x14ac:dyDescent="0.3">
      <c r="T2085" s="12"/>
      <c r="U2085" s="4"/>
      <c r="V2085" s="4"/>
      <c r="X2085" s="4"/>
      <c r="Y2085" s="4"/>
    </row>
    <row r="2086" spans="20:25" x14ac:dyDescent="0.3">
      <c r="T2086" s="12"/>
      <c r="U2086" s="4"/>
      <c r="V2086" s="4"/>
      <c r="X2086" s="4"/>
      <c r="Y2086" s="4"/>
    </row>
    <row r="2087" spans="20:25" x14ac:dyDescent="0.3">
      <c r="T2087" s="12"/>
      <c r="U2087" s="4"/>
      <c r="V2087" s="4"/>
      <c r="X2087" s="4"/>
      <c r="Y2087" s="4"/>
    </row>
    <row r="2088" spans="20:25" x14ac:dyDescent="0.3">
      <c r="T2088" s="12"/>
      <c r="U2088" s="4"/>
      <c r="V2088" s="4"/>
      <c r="X2088" s="4"/>
      <c r="Y2088" s="4"/>
    </row>
    <row r="2089" spans="20:25" x14ac:dyDescent="0.3">
      <c r="T2089" s="12"/>
      <c r="U2089" s="4"/>
      <c r="V2089" s="4"/>
      <c r="X2089" s="4"/>
      <c r="Y2089" s="4"/>
    </row>
    <row r="2090" spans="20:25" x14ac:dyDescent="0.3">
      <c r="T2090" s="12"/>
      <c r="U2090" s="4"/>
      <c r="V2090" s="4"/>
      <c r="X2090" s="4"/>
      <c r="Y2090" s="4"/>
    </row>
    <row r="2091" spans="20:25" x14ac:dyDescent="0.3">
      <c r="T2091" s="12"/>
      <c r="U2091" s="4"/>
      <c r="V2091" s="4"/>
      <c r="X2091" s="4"/>
      <c r="Y2091" s="4"/>
    </row>
    <row r="2092" spans="20:25" x14ac:dyDescent="0.3">
      <c r="T2092" s="12"/>
      <c r="U2092" s="4"/>
      <c r="V2092" s="4"/>
      <c r="X2092" s="4"/>
      <c r="Y2092" s="4"/>
    </row>
    <row r="2093" spans="20:25" x14ac:dyDescent="0.3">
      <c r="T2093" s="12"/>
      <c r="U2093" s="4"/>
      <c r="V2093" s="4"/>
      <c r="X2093" s="4"/>
      <c r="Y2093" s="4"/>
    </row>
    <row r="2094" spans="20:25" x14ac:dyDescent="0.3">
      <c r="T2094" s="12"/>
      <c r="U2094" s="4"/>
      <c r="V2094" s="4"/>
      <c r="X2094" s="4"/>
      <c r="Y2094" s="4"/>
    </row>
    <row r="2095" spans="20:25" x14ac:dyDescent="0.3">
      <c r="T2095" s="12"/>
      <c r="U2095" s="4"/>
      <c r="V2095" s="4"/>
      <c r="X2095" s="4"/>
      <c r="Y2095" s="4"/>
    </row>
    <row r="2096" spans="20:25" x14ac:dyDescent="0.3">
      <c r="T2096" s="12"/>
      <c r="U2096" s="4"/>
      <c r="V2096" s="4"/>
      <c r="X2096" s="4"/>
      <c r="Y2096" s="4"/>
    </row>
    <row r="2097" spans="20:25" x14ac:dyDescent="0.3">
      <c r="T2097" s="12"/>
      <c r="U2097" s="4"/>
      <c r="V2097" s="4"/>
      <c r="X2097" s="4"/>
      <c r="Y2097" s="4"/>
    </row>
    <row r="2098" spans="20:25" x14ac:dyDescent="0.3">
      <c r="T2098" s="12"/>
      <c r="U2098" s="4"/>
      <c r="V2098" s="4"/>
      <c r="X2098" s="4"/>
      <c r="Y2098" s="4"/>
    </row>
    <row r="2099" spans="20:25" x14ac:dyDescent="0.3">
      <c r="T2099" s="12"/>
      <c r="U2099" s="4"/>
      <c r="V2099" s="4"/>
      <c r="X2099" s="4"/>
      <c r="Y2099" s="4"/>
    </row>
    <row r="2100" spans="20:25" x14ac:dyDescent="0.3">
      <c r="T2100" s="12"/>
      <c r="U2100" s="4"/>
      <c r="V2100" s="4"/>
      <c r="X2100" s="4"/>
      <c r="Y2100" s="4"/>
    </row>
    <row r="2101" spans="20:25" x14ac:dyDescent="0.3">
      <c r="T2101" s="12"/>
      <c r="U2101" s="4"/>
      <c r="V2101" s="4"/>
      <c r="X2101" s="4"/>
      <c r="Y2101" s="4"/>
    </row>
    <row r="2102" spans="20:25" x14ac:dyDescent="0.3">
      <c r="T2102" s="12"/>
      <c r="U2102" s="4"/>
      <c r="V2102" s="4"/>
      <c r="X2102" s="4"/>
      <c r="Y2102" s="4"/>
    </row>
    <row r="2103" spans="20:25" x14ac:dyDescent="0.3">
      <c r="T2103" s="12"/>
      <c r="U2103" s="4"/>
      <c r="V2103" s="4"/>
      <c r="X2103" s="4"/>
      <c r="Y2103" s="4"/>
    </row>
    <row r="2104" spans="20:25" x14ac:dyDescent="0.3">
      <c r="T2104" s="12"/>
      <c r="U2104" s="4"/>
      <c r="V2104" s="4"/>
      <c r="X2104" s="4"/>
      <c r="Y2104" s="4"/>
    </row>
    <row r="2105" spans="20:25" x14ac:dyDescent="0.3">
      <c r="T2105" s="12"/>
      <c r="U2105" s="4"/>
      <c r="V2105" s="4"/>
      <c r="X2105" s="4"/>
      <c r="Y2105" s="4"/>
    </row>
    <row r="2106" spans="20:25" x14ac:dyDescent="0.3">
      <c r="T2106" s="12"/>
      <c r="U2106" s="4"/>
      <c r="V2106" s="4"/>
      <c r="X2106" s="4"/>
      <c r="Y2106" s="4"/>
    </row>
    <row r="2107" spans="20:25" x14ac:dyDescent="0.3">
      <c r="T2107" s="12"/>
      <c r="U2107" s="4"/>
      <c r="V2107" s="4"/>
      <c r="X2107" s="4"/>
      <c r="Y2107" s="4"/>
    </row>
    <row r="2108" spans="20:25" x14ac:dyDescent="0.3">
      <c r="T2108" s="12"/>
      <c r="U2108" s="4"/>
      <c r="V2108" s="4"/>
      <c r="X2108" s="4"/>
      <c r="Y2108" s="4"/>
    </row>
    <row r="2109" spans="20:25" x14ac:dyDescent="0.3">
      <c r="T2109" s="12"/>
      <c r="U2109" s="4"/>
      <c r="V2109" s="4"/>
      <c r="X2109" s="4"/>
      <c r="Y2109" s="4"/>
    </row>
    <row r="2110" spans="20:25" x14ac:dyDescent="0.3">
      <c r="T2110" s="12"/>
      <c r="U2110" s="4"/>
      <c r="V2110" s="4"/>
      <c r="X2110" s="4"/>
      <c r="Y2110" s="4"/>
    </row>
    <row r="2111" spans="20:25" x14ac:dyDescent="0.3">
      <c r="T2111" s="12"/>
      <c r="U2111" s="4"/>
      <c r="V2111" s="4"/>
      <c r="X2111" s="4"/>
      <c r="Y2111" s="4"/>
    </row>
    <row r="2112" spans="20:25" x14ac:dyDescent="0.3">
      <c r="T2112" s="12"/>
      <c r="U2112" s="4"/>
      <c r="V2112" s="4"/>
      <c r="X2112" s="4"/>
      <c r="Y2112" s="4"/>
    </row>
    <row r="2113" spans="20:25" x14ac:dyDescent="0.3">
      <c r="T2113" s="12"/>
      <c r="U2113" s="4"/>
      <c r="V2113" s="4"/>
      <c r="X2113" s="4"/>
      <c r="Y2113" s="4"/>
    </row>
    <row r="2114" spans="20:25" x14ac:dyDescent="0.3">
      <c r="T2114" s="12"/>
      <c r="U2114" s="4"/>
      <c r="V2114" s="4"/>
      <c r="X2114" s="4"/>
      <c r="Y2114" s="4"/>
    </row>
    <row r="2115" spans="20:25" x14ac:dyDescent="0.3">
      <c r="T2115" s="12"/>
      <c r="U2115" s="4"/>
      <c r="V2115" s="4"/>
      <c r="X2115" s="4"/>
      <c r="Y2115" s="4"/>
    </row>
    <row r="2116" spans="20:25" x14ac:dyDescent="0.3">
      <c r="T2116" s="12"/>
      <c r="U2116" s="4"/>
      <c r="V2116" s="4"/>
      <c r="X2116" s="4"/>
      <c r="Y2116" s="4"/>
    </row>
    <row r="2117" spans="20:25" x14ac:dyDescent="0.3">
      <c r="T2117" s="12"/>
      <c r="U2117" s="4"/>
      <c r="V2117" s="4"/>
      <c r="X2117" s="4"/>
      <c r="Y2117" s="4"/>
    </row>
    <row r="2118" spans="20:25" x14ac:dyDescent="0.3">
      <c r="T2118" s="12"/>
      <c r="U2118" s="4"/>
      <c r="V2118" s="4"/>
      <c r="X2118" s="4"/>
      <c r="Y2118" s="4"/>
    </row>
    <row r="2119" spans="20:25" x14ac:dyDescent="0.3">
      <c r="T2119" s="12"/>
      <c r="U2119" s="4"/>
      <c r="V2119" s="4"/>
      <c r="X2119" s="4"/>
      <c r="Y2119" s="4"/>
    </row>
    <row r="2120" spans="20:25" x14ac:dyDescent="0.3">
      <c r="T2120" s="12"/>
      <c r="U2120" s="4"/>
      <c r="V2120" s="4"/>
      <c r="X2120" s="4"/>
      <c r="Y2120" s="4"/>
    </row>
    <row r="2121" spans="20:25" x14ac:dyDescent="0.3">
      <c r="T2121" s="12"/>
      <c r="U2121" s="4"/>
      <c r="V2121" s="4"/>
      <c r="X2121" s="4"/>
      <c r="Y2121" s="4"/>
    </row>
    <row r="2122" spans="20:25" x14ac:dyDescent="0.3">
      <c r="T2122" s="12"/>
      <c r="U2122" s="4"/>
      <c r="V2122" s="4"/>
      <c r="X2122" s="4"/>
      <c r="Y2122" s="4"/>
    </row>
    <row r="2123" spans="20:25" x14ac:dyDescent="0.3">
      <c r="T2123" s="12"/>
      <c r="U2123" s="4"/>
      <c r="V2123" s="4"/>
      <c r="X2123" s="4"/>
      <c r="Y2123" s="4"/>
    </row>
    <row r="2124" spans="20:25" x14ac:dyDescent="0.3">
      <c r="T2124" s="12"/>
      <c r="U2124" s="4"/>
      <c r="V2124" s="4"/>
      <c r="X2124" s="4"/>
      <c r="Y2124" s="4"/>
    </row>
    <row r="2125" spans="20:25" x14ac:dyDescent="0.3">
      <c r="T2125" s="12"/>
      <c r="U2125" s="4"/>
      <c r="V2125" s="4"/>
      <c r="X2125" s="4"/>
      <c r="Y2125" s="4"/>
    </row>
    <row r="2126" spans="20:25" x14ac:dyDescent="0.3">
      <c r="T2126" s="12"/>
      <c r="U2126" s="4"/>
      <c r="V2126" s="4"/>
      <c r="X2126" s="4"/>
      <c r="Y2126" s="4"/>
    </row>
    <row r="2127" spans="20:25" x14ac:dyDescent="0.3">
      <c r="T2127" s="12"/>
      <c r="U2127" s="4"/>
      <c r="V2127" s="4"/>
      <c r="X2127" s="4"/>
      <c r="Y2127" s="4"/>
    </row>
    <row r="2128" spans="20:25" x14ac:dyDescent="0.3">
      <c r="T2128" s="12"/>
      <c r="U2128" s="4"/>
      <c r="V2128" s="4"/>
      <c r="X2128" s="4"/>
      <c r="Y2128" s="4"/>
    </row>
    <row r="2129" spans="20:25" x14ac:dyDescent="0.3">
      <c r="T2129" s="12"/>
      <c r="U2129" s="4"/>
      <c r="V2129" s="4"/>
      <c r="X2129" s="4"/>
      <c r="Y2129" s="4"/>
    </row>
    <row r="2130" spans="20:25" x14ac:dyDescent="0.3">
      <c r="T2130" s="12"/>
      <c r="U2130" s="4"/>
      <c r="V2130" s="4"/>
      <c r="X2130" s="4"/>
      <c r="Y2130" s="4"/>
    </row>
    <row r="2131" spans="20:25" x14ac:dyDescent="0.3">
      <c r="T2131" s="12"/>
      <c r="U2131" s="4"/>
      <c r="V2131" s="4"/>
      <c r="X2131" s="4"/>
      <c r="Y2131" s="4"/>
    </row>
    <row r="2132" spans="20:25" x14ac:dyDescent="0.3">
      <c r="T2132" s="12"/>
      <c r="U2132" s="4"/>
      <c r="V2132" s="4"/>
      <c r="X2132" s="4"/>
      <c r="Y2132" s="4"/>
    </row>
    <row r="2133" spans="20:25" x14ac:dyDescent="0.3">
      <c r="T2133" s="12"/>
      <c r="U2133" s="4"/>
      <c r="V2133" s="4"/>
      <c r="X2133" s="4"/>
      <c r="Y2133" s="4"/>
    </row>
    <row r="2134" spans="20:25" x14ac:dyDescent="0.3">
      <c r="T2134" s="12"/>
      <c r="U2134" s="4"/>
      <c r="V2134" s="4"/>
      <c r="X2134" s="4"/>
      <c r="Y2134" s="4"/>
    </row>
    <row r="2135" spans="20:25" x14ac:dyDescent="0.3">
      <c r="T2135" s="12"/>
      <c r="U2135" s="4"/>
      <c r="V2135" s="4"/>
      <c r="X2135" s="4"/>
      <c r="Y2135" s="4"/>
    </row>
    <row r="2136" spans="20:25" x14ac:dyDescent="0.3">
      <c r="T2136" s="12"/>
      <c r="U2136" s="4"/>
      <c r="V2136" s="4"/>
      <c r="X2136" s="4"/>
      <c r="Y2136" s="4"/>
    </row>
    <row r="2137" spans="20:25" x14ac:dyDescent="0.3">
      <c r="T2137" s="12"/>
      <c r="U2137" s="4"/>
      <c r="V2137" s="4"/>
      <c r="X2137" s="4"/>
      <c r="Y2137" s="4"/>
    </row>
    <row r="2138" spans="20:25" x14ac:dyDescent="0.3">
      <c r="T2138" s="12"/>
      <c r="U2138" s="4"/>
      <c r="V2138" s="4"/>
      <c r="X2138" s="4"/>
      <c r="Y2138" s="4"/>
    </row>
    <row r="2139" spans="20:25" x14ac:dyDescent="0.3">
      <c r="T2139" s="12"/>
      <c r="U2139" s="4"/>
      <c r="V2139" s="4"/>
      <c r="X2139" s="4"/>
      <c r="Y2139" s="4"/>
    </row>
    <row r="2140" spans="20:25" x14ac:dyDescent="0.3">
      <c r="T2140" s="12"/>
      <c r="U2140" s="4"/>
      <c r="V2140" s="4"/>
      <c r="X2140" s="4"/>
      <c r="Y2140" s="4"/>
    </row>
    <row r="2141" spans="20:25" x14ac:dyDescent="0.3">
      <c r="T2141" s="12"/>
      <c r="U2141" s="4"/>
      <c r="V2141" s="4"/>
      <c r="X2141" s="4"/>
      <c r="Y2141" s="4"/>
    </row>
    <row r="2142" spans="20:25" x14ac:dyDescent="0.3">
      <c r="T2142" s="12"/>
      <c r="U2142" s="4"/>
      <c r="V2142" s="4"/>
      <c r="X2142" s="4"/>
      <c r="Y2142" s="4"/>
    </row>
    <row r="2143" spans="20:25" x14ac:dyDescent="0.3">
      <c r="T2143" s="12"/>
      <c r="U2143" s="4"/>
      <c r="V2143" s="4"/>
      <c r="X2143" s="4"/>
      <c r="Y2143" s="4"/>
    </row>
    <row r="2144" spans="20:25" x14ac:dyDescent="0.3">
      <c r="T2144" s="12"/>
      <c r="U2144" s="4"/>
      <c r="V2144" s="4"/>
      <c r="X2144" s="4"/>
      <c r="Y2144" s="4"/>
    </row>
    <row r="2145" spans="20:25" x14ac:dyDescent="0.3">
      <c r="T2145" s="12"/>
      <c r="U2145" s="4"/>
      <c r="V2145" s="4"/>
      <c r="X2145" s="4"/>
      <c r="Y2145" s="4"/>
    </row>
    <row r="2146" spans="20:25" x14ac:dyDescent="0.3">
      <c r="T2146" s="12"/>
      <c r="U2146" s="4"/>
      <c r="V2146" s="4"/>
      <c r="X2146" s="4"/>
      <c r="Y2146" s="4"/>
    </row>
    <row r="2147" spans="20:25" x14ac:dyDescent="0.3">
      <c r="T2147" s="12"/>
      <c r="U2147" s="4"/>
      <c r="V2147" s="4"/>
      <c r="X2147" s="4"/>
      <c r="Y2147" s="4"/>
    </row>
    <row r="2148" spans="20:25" x14ac:dyDescent="0.3">
      <c r="T2148" s="12"/>
      <c r="U2148" s="4"/>
      <c r="V2148" s="4"/>
      <c r="X2148" s="4"/>
      <c r="Y2148" s="4"/>
    </row>
    <row r="2149" spans="20:25" x14ac:dyDescent="0.3">
      <c r="T2149" s="12"/>
      <c r="U2149" s="4"/>
      <c r="V2149" s="4"/>
      <c r="X2149" s="4"/>
      <c r="Y2149" s="4"/>
    </row>
    <row r="2150" spans="20:25" x14ac:dyDescent="0.3">
      <c r="T2150" s="12"/>
      <c r="U2150" s="4"/>
      <c r="V2150" s="4"/>
      <c r="X2150" s="4"/>
      <c r="Y2150" s="4"/>
    </row>
    <row r="2151" spans="20:25" x14ac:dyDescent="0.3">
      <c r="T2151" s="12"/>
      <c r="U2151" s="4"/>
      <c r="V2151" s="4"/>
      <c r="X2151" s="4"/>
      <c r="Y2151" s="4"/>
    </row>
    <row r="2152" spans="20:25" x14ac:dyDescent="0.3">
      <c r="T2152" s="12"/>
      <c r="U2152" s="4"/>
      <c r="V2152" s="4"/>
      <c r="X2152" s="4"/>
      <c r="Y2152" s="4"/>
    </row>
    <row r="2153" spans="20:25" x14ac:dyDescent="0.3">
      <c r="T2153" s="12"/>
      <c r="U2153" s="4"/>
      <c r="V2153" s="4"/>
      <c r="X2153" s="4"/>
      <c r="Y2153" s="4"/>
    </row>
    <row r="2154" spans="20:25" x14ac:dyDescent="0.3">
      <c r="T2154" s="12"/>
      <c r="U2154" s="4"/>
      <c r="V2154" s="4"/>
      <c r="X2154" s="4"/>
      <c r="Y2154" s="4"/>
    </row>
    <row r="2155" spans="20:25" x14ac:dyDescent="0.3">
      <c r="T2155" s="12"/>
      <c r="U2155" s="4"/>
      <c r="V2155" s="4"/>
      <c r="X2155" s="4"/>
      <c r="Y2155" s="4"/>
    </row>
    <row r="2156" spans="20:25" x14ac:dyDescent="0.3">
      <c r="T2156" s="12"/>
      <c r="U2156" s="4"/>
      <c r="V2156" s="4"/>
      <c r="X2156" s="4"/>
      <c r="Y2156" s="4"/>
    </row>
    <row r="2157" spans="20:25" x14ac:dyDescent="0.3">
      <c r="T2157" s="12"/>
      <c r="U2157" s="4"/>
      <c r="V2157" s="4"/>
      <c r="X2157" s="4"/>
      <c r="Y2157" s="4"/>
    </row>
    <row r="2158" spans="20:25" x14ac:dyDescent="0.3">
      <c r="T2158" s="12"/>
      <c r="U2158" s="4"/>
      <c r="V2158" s="4"/>
      <c r="X2158" s="4"/>
      <c r="Y2158" s="4"/>
    </row>
    <row r="2159" spans="20:25" x14ac:dyDescent="0.3">
      <c r="T2159" s="12"/>
      <c r="U2159" s="4"/>
      <c r="V2159" s="4"/>
      <c r="X2159" s="4"/>
      <c r="Y2159" s="4"/>
    </row>
    <row r="2160" spans="20:25" x14ac:dyDescent="0.3">
      <c r="T2160" s="12"/>
      <c r="U2160" s="4"/>
      <c r="V2160" s="4"/>
      <c r="X2160" s="4"/>
      <c r="Y2160" s="4"/>
    </row>
    <row r="2161" spans="20:25" x14ac:dyDescent="0.3">
      <c r="T2161" s="12"/>
      <c r="U2161" s="4"/>
      <c r="V2161" s="4"/>
      <c r="X2161" s="4"/>
      <c r="Y2161" s="4"/>
    </row>
    <row r="2162" spans="20:25" x14ac:dyDescent="0.3">
      <c r="T2162" s="12"/>
      <c r="U2162" s="4"/>
      <c r="V2162" s="4"/>
      <c r="X2162" s="4"/>
      <c r="Y2162" s="4"/>
    </row>
    <row r="2163" spans="20:25" x14ac:dyDescent="0.3">
      <c r="T2163" s="12"/>
      <c r="U2163" s="4"/>
      <c r="V2163" s="4"/>
      <c r="X2163" s="4"/>
      <c r="Y2163" s="4"/>
    </row>
    <row r="2164" spans="20:25" x14ac:dyDescent="0.3">
      <c r="T2164" s="12"/>
      <c r="U2164" s="4"/>
      <c r="V2164" s="4"/>
      <c r="X2164" s="4"/>
      <c r="Y2164" s="4"/>
    </row>
    <row r="2165" spans="20:25" x14ac:dyDescent="0.3">
      <c r="T2165" s="12"/>
      <c r="U2165" s="4"/>
      <c r="V2165" s="4"/>
      <c r="X2165" s="4"/>
      <c r="Y2165" s="4"/>
    </row>
    <row r="2166" spans="20:25" x14ac:dyDescent="0.3">
      <c r="T2166" s="12"/>
      <c r="U2166" s="4"/>
      <c r="V2166" s="4"/>
      <c r="X2166" s="4"/>
      <c r="Y2166" s="4"/>
    </row>
    <row r="2167" spans="20:25" x14ac:dyDescent="0.3">
      <c r="T2167" s="12"/>
      <c r="U2167" s="4"/>
      <c r="V2167" s="4"/>
      <c r="X2167" s="4"/>
      <c r="Y2167" s="4"/>
    </row>
    <row r="2168" spans="20:25" x14ac:dyDescent="0.3">
      <c r="T2168" s="12"/>
      <c r="U2168" s="4"/>
      <c r="V2168" s="4"/>
      <c r="X2168" s="4"/>
      <c r="Y2168" s="4"/>
    </row>
    <row r="2169" spans="20:25" x14ac:dyDescent="0.3">
      <c r="T2169" s="12"/>
      <c r="U2169" s="4"/>
      <c r="V2169" s="4"/>
      <c r="X2169" s="4"/>
      <c r="Y2169" s="4"/>
    </row>
    <row r="2170" spans="20:25" x14ac:dyDescent="0.3">
      <c r="T2170" s="12"/>
      <c r="U2170" s="4"/>
      <c r="V2170" s="4"/>
      <c r="X2170" s="4"/>
      <c r="Y2170" s="4"/>
    </row>
    <row r="2171" spans="20:25" x14ac:dyDescent="0.3">
      <c r="T2171" s="12"/>
      <c r="U2171" s="4"/>
      <c r="V2171" s="4"/>
      <c r="X2171" s="4"/>
      <c r="Y2171" s="4"/>
    </row>
    <row r="2172" spans="20:25" x14ac:dyDescent="0.3">
      <c r="T2172" s="12"/>
      <c r="U2172" s="4"/>
      <c r="V2172" s="4"/>
      <c r="X2172" s="4"/>
      <c r="Y2172" s="4"/>
    </row>
    <row r="2173" spans="20:25" x14ac:dyDescent="0.3">
      <c r="T2173" s="12"/>
      <c r="U2173" s="4"/>
      <c r="V2173" s="4"/>
      <c r="X2173" s="4"/>
      <c r="Y2173" s="4"/>
    </row>
    <row r="2174" spans="20:25" x14ac:dyDescent="0.3">
      <c r="T2174" s="12"/>
      <c r="U2174" s="4"/>
      <c r="V2174" s="4"/>
      <c r="X2174" s="4"/>
      <c r="Y2174" s="4"/>
    </row>
    <row r="2175" spans="20:25" x14ac:dyDescent="0.3">
      <c r="T2175" s="12"/>
      <c r="U2175" s="4"/>
      <c r="V2175" s="4"/>
      <c r="X2175" s="4"/>
      <c r="Y2175" s="4"/>
    </row>
    <row r="2176" spans="20:25" x14ac:dyDescent="0.3">
      <c r="T2176" s="12"/>
      <c r="U2176" s="4"/>
      <c r="V2176" s="4"/>
      <c r="X2176" s="4"/>
      <c r="Y2176" s="4"/>
    </row>
    <row r="2177" spans="20:25" x14ac:dyDescent="0.3">
      <c r="T2177" s="12"/>
      <c r="U2177" s="4"/>
      <c r="V2177" s="4"/>
      <c r="X2177" s="4"/>
      <c r="Y2177" s="4"/>
    </row>
    <row r="2178" spans="20:25" x14ac:dyDescent="0.3">
      <c r="T2178" s="12"/>
      <c r="U2178" s="4"/>
      <c r="V2178" s="4"/>
      <c r="X2178" s="4"/>
      <c r="Y2178" s="4"/>
    </row>
    <row r="2179" spans="20:25" x14ac:dyDescent="0.3">
      <c r="T2179" s="12"/>
      <c r="U2179" s="4"/>
      <c r="V2179" s="4"/>
      <c r="X2179" s="4"/>
      <c r="Y2179" s="4"/>
    </row>
    <row r="2180" spans="20:25" x14ac:dyDescent="0.3">
      <c r="T2180" s="12"/>
      <c r="U2180" s="4"/>
      <c r="V2180" s="4"/>
      <c r="X2180" s="4"/>
      <c r="Y2180" s="4"/>
    </row>
    <row r="2181" spans="20:25" x14ac:dyDescent="0.3">
      <c r="T2181" s="12"/>
      <c r="U2181" s="4"/>
      <c r="V2181" s="4"/>
      <c r="X2181" s="4"/>
      <c r="Y2181" s="4"/>
    </row>
    <row r="2182" spans="20:25" x14ac:dyDescent="0.3">
      <c r="T2182" s="12"/>
      <c r="U2182" s="4"/>
      <c r="V2182" s="4"/>
      <c r="X2182" s="4"/>
      <c r="Y2182" s="4"/>
    </row>
    <row r="2183" spans="20:25" x14ac:dyDescent="0.3">
      <c r="T2183" s="12"/>
      <c r="U2183" s="4"/>
      <c r="V2183" s="4"/>
      <c r="X2183" s="4"/>
      <c r="Y2183" s="4"/>
    </row>
    <row r="2184" spans="20:25" x14ac:dyDescent="0.3">
      <c r="T2184" s="12"/>
      <c r="U2184" s="4"/>
      <c r="V2184" s="4"/>
      <c r="X2184" s="4"/>
      <c r="Y2184" s="4"/>
    </row>
    <row r="2185" spans="20:25" x14ac:dyDescent="0.3">
      <c r="T2185" s="12"/>
      <c r="U2185" s="4"/>
      <c r="V2185" s="4"/>
      <c r="X2185" s="4"/>
      <c r="Y2185" s="4"/>
    </row>
    <row r="2186" spans="20:25" x14ac:dyDescent="0.3">
      <c r="T2186" s="12"/>
      <c r="U2186" s="4"/>
      <c r="V2186" s="4"/>
      <c r="X2186" s="4"/>
      <c r="Y2186" s="4"/>
    </row>
    <row r="2187" spans="20:25" x14ac:dyDescent="0.3">
      <c r="T2187" s="12"/>
      <c r="U2187" s="4"/>
      <c r="V2187" s="4"/>
      <c r="X2187" s="4"/>
      <c r="Y2187" s="4"/>
    </row>
    <row r="2188" spans="20:25" x14ac:dyDescent="0.3">
      <c r="T2188" s="12"/>
      <c r="U2188" s="4"/>
      <c r="V2188" s="4"/>
      <c r="X2188" s="4"/>
      <c r="Y2188" s="4"/>
    </row>
    <row r="2189" spans="20:25" x14ac:dyDescent="0.3">
      <c r="T2189" s="12"/>
      <c r="U2189" s="4"/>
      <c r="V2189" s="4"/>
      <c r="X2189" s="4"/>
      <c r="Y2189" s="4"/>
    </row>
    <row r="2190" spans="20:25" x14ac:dyDescent="0.3">
      <c r="T2190" s="12"/>
      <c r="U2190" s="4"/>
      <c r="V2190" s="4"/>
      <c r="X2190" s="4"/>
      <c r="Y2190" s="4"/>
    </row>
    <row r="2191" spans="20:25" x14ac:dyDescent="0.3">
      <c r="T2191" s="12"/>
      <c r="U2191" s="4"/>
      <c r="V2191" s="4"/>
      <c r="X2191" s="4"/>
      <c r="Y2191" s="4"/>
    </row>
    <row r="2192" spans="20:25" x14ac:dyDescent="0.3">
      <c r="T2192" s="12"/>
      <c r="U2192" s="4"/>
      <c r="V2192" s="4"/>
      <c r="X2192" s="4"/>
      <c r="Y2192" s="4"/>
    </row>
    <row r="2193" spans="20:25" x14ac:dyDescent="0.3">
      <c r="T2193" s="12"/>
      <c r="U2193" s="4"/>
      <c r="V2193" s="4"/>
      <c r="X2193" s="4"/>
      <c r="Y2193" s="4"/>
    </row>
    <row r="2194" spans="20:25" x14ac:dyDescent="0.3">
      <c r="T2194" s="12"/>
      <c r="U2194" s="4"/>
      <c r="V2194" s="4"/>
      <c r="X2194" s="4"/>
      <c r="Y2194" s="4"/>
    </row>
    <row r="2195" spans="20:25" x14ac:dyDescent="0.3">
      <c r="T2195" s="12"/>
      <c r="U2195" s="4"/>
      <c r="V2195" s="4"/>
      <c r="X2195" s="4"/>
      <c r="Y2195" s="4"/>
    </row>
    <row r="2196" spans="20:25" x14ac:dyDescent="0.3">
      <c r="T2196" s="12"/>
      <c r="U2196" s="4"/>
      <c r="V2196" s="4"/>
      <c r="X2196" s="4"/>
      <c r="Y2196" s="4"/>
    </row>
    <row r="2197" spans="20:25" x14ac:dyDescent="0.3">
      <c r="T2197" s="12"/>
      <c r="U2197" s="4"/>
      <c r="V2197" s="4"/>
      <c r="X2197" s="4"/>
      <c r="Y2197" s="4"/>
    </row>
    <row r="2198" spans="20:25" x14ac:dyDescent="0.3">
      <c r="T2198" s="12"/>
      <c r="U2198" s="4"/>
      <c r="V2198" s="4"/>
      <c r="X2198" s="4"/>
      <c r="Y2198" s="4"/>
    </row>
    <row r="2199" spans="20:25" x14ac:dyDescent="0.3">
      <c r="T2199" s="12"/>
      <c r="U2199" s="4"/>
      <c r="V2199" s="4"/>
      <c r="X2199" s="4"/>
      <c r="Y2199" s="4"/>
    </row>
    <row r="2200" spans="20:25" x14ac:dyDescent="0.3">
      <c r="T2200" s="12"/>
      <c r="U2200" s="4"/>
      <c r="V2200" s="4"/>
      <c r="X2200" s="4"/>
      <c r="Y2200" s="4"/>
    </row>
    <row r="2201" spans="20:25" x14ac:dyDescent="0.3">
      <c r="T2201" s="12"/>
      <c r="U2201" s="4"/>
      <c r="V2201" s="4"/>
      <c r="X2201" s="4"/>
      <c r="Y2201" s="4"/>
    </row>
    <row r="2202" spans="20:25" x14ac:dyDescent="0.3">
      <c r="T2202" s="12"/>
      <c r="U2202" s="4"/>
      <c r="V2202" s="4"/>
      <c r="X2202" s="4"/>
      <c r="Y2202" s="4"/>
    </row>
    <row r="2203" spans="20:25" x14ac:dyDescent="0.3">
      <c r="T2203" s="12"/>
      <c r="U2203" s="4"/>
      <c r="V2203" s="4"/>
      <c r="X2203" s="4"/>
      <c r="Y2203" s="4"/>
    </row>
    <row r="2204" spans="20:25" x14ac:dyDescent="0.3">
      <c r="T2204" s="12"/>
      <c r="U2204" s="4"/>
      <c r="V2204" s="4"/>
      <c r="X2204" s="4"/>
      <c r="Y2204" s="4"/>
    </row>
    <row r="2205" spans="20:25" x14ac:dyDescent="0.3">
      <c r="T2205" s="12"/>
      <c r="U2205" s="4"/>
      <c r="V2205" s="4"/>
      <c r="X2205" s="4"/>
      <c r="Y2205" s="4"/>
    </row>
    <row r="2206" spans="20:25" x14ac:dyDescent="0.3">
      <c r="T2206" s="12"/>
      <c r="U2206" s="4"/>
      <c r="V2206" s="4"/>
      <c r="X2206" s="4"/>
      <c r="Y2206" s="4"/>
    </row>
    <row r="2207" spans="20:25" x14ac:dyDescent="0.3">
      <c r="T2207" s="12"/>
      <c r="U2207" s="4"/>
      <c r="V2207" s="4"/>
      <c r="X2207" s="4"/>
      <c r="Y2207" s="4"/>
    </row>
    <row r="2208" spans="20:25" x14ac:dyDescent="0.3">
      <c r="T2208" s="12"/>
      <c r="U2208" s="4"/>
      <c r="V2208" s="4"/>
      <c r="X2208" s="4"/>
      <c r="Y2208" s="4"/>
    </row>
    <row r="2209" spans="20:25" x14ac:dyDescent="0.3">
      <c r="T2209" s="12"/>
      <c r="U2209" s="4"/>
      <c r="V2209" s="4"/>
      <c r="X2209" s="4"/>
      <c r="Y2209" s="4"/>
    </row>
    <row r="2210" spans="20:25" x14ac:dyDescent="0.3">
      <c r="T2210" s="12"/>
      <c r="U2210" s="4"/>
      <c r="V2210" s="4"/>
      <c r="X2210" s="4"/>
      <c r="Y2210" s="4"/>
    </row>
    <row r="2211" spans="20:25" x14ac:dyDescent="0.3">
      <c r="T2211" s="12"/>
      <c r="U2211" s="4"/>
      <c r="V2211" s="4"/>
      <c r="X2211" s="4"/>
      <c r="Y2211" s="4"/>
    </row>
    <row r="2212" spans="20:25" x14ac:dyDescent="0.3">
      <c r="T2212" s="12"/>
      <c r="U2212" s="4"/>
      <c r="V2212" s="4"/>
      <c r="X2212" s="4"/>
      <c r="Y2212" s="4"/>
    </row>
    <row r="2213" spans="20:25" x14ac:dyDescent="0.3">
      <c r="T2213" s="12"/>
      <c r="U2213" s="4"/>
      <c r="V2213" s="4"/>
      <c r="X2213" s="4"/>
      <c r="Y2213" s="4"/>
    </row>
    <row r="2214" spans="20:25" x14ac:dyDescent="0.3">
      <c r="T2214" s="12"/>
      <c r="U2214" s="4"/>
      <c r="V2214" s="4"/>
      <c r="X2214" s="4"/>
      <c r="Y2214" s="4"/>
    </row>
    <row r="2215" spans="20:25" x14ac:dyDescent="0.3">
      <c r="T2215" s="12"/>
      <c r="U2215" s="4"/>
      <c r="V2215" s="4"/>
      <c r="X2215" s="4"/>
      <c r="Y2215" s="4"/>
    </row>
    <row r="2216" spans="20:25" x14ac:dyDescent="0.3">
      <c r="T2216" s="12"/>
      <c r="U2216" s="4"/>
      <c r="V2216" s="4"/>
      <c r="X2216" s="4"/>
      <c r="Y2216" s="4"/>
    </row>
    <row r="2217" spans="20:25" x14ac:dyDescent="0.3">
      <c r="T2217" s="12"/>
      <c r="U2217" s="4"/>
      <c r="V2217" s="4"/>
      <c r="X2217" s="4"/>
      <c r="Y2217" s="4"/>
    </row>
    <row r="2218" spans="20:25" x14ac:dyDescent="0.3">
      <c r="T2218" s="12"/>
      <c r="U2218" s="4"/>
      <c r="V2218" s="4"/>
      <c r="X2218" s="4"/>
      <c r="Y2218" s="4"/>
    </row>
    <row r="2219" spans="20:25" x14ac:dyDescent="0.3">
      <c r="T2219" s="12"/>
      <c r="U2219" s="4"/>
      <c r="V2219" s="4"/>
      <c r="X2219" s="4"/>
      <c r="Y2219" s="4"/>
    </row>
    <row r="2220" spans="20:25" x14ac:dyDescent="0.3">
      <c r="T2220" s="12"/>
      <c r="U2220" s="4"/>
      <c r="V2220" s="4"/>
      <c r="X2220" s="4"/>
      <c r="Y2220" s="4"/>
    </row>
    <row r="2221" spans="20:25" x14ac:dyDescent="0.3">
      <c r="T2221" s="12"/>
      <c r="U2221" s="4"/>
      <c r="V2221" s="4"/>
      <c r="X2221" s="4"/>
      <c r="Y2221" s="4"/>
    </row>
    <row r="2222" spans="20:25" x14ac:dyDescent="0.3">
      <c r="T2222" s="12"/>
      <c r="U2222" s="4"/>
      <c r="V2222" s="4"/>
      <c r="X2222" s="4"/>
      <c r="Y2222" s="4"/>
    </row>
    <row r="2223" spans="20:25" x14ac:dyDescent="0.3">
      <c r="T2223" s="12"/>
      <c r="U2223" s="4"/>
      <c r="V2223" s="4"/>
      <c r="X2223" s="4"/>
      <c r="Y2223" s="4"/>
    </row>
    <row r="2224" spans="20:25" x14ac:dyDescent="0.3">
      <c r="T2224" s="12"/>
      <c r="U2224" s="4"/>
      <c r="V2224" s="4"/>
      <c r="X2224" s="4"/>
      <c r="Y2224" s="4"/>
    </row>
    <row r="2225" spans="20:25" x14ac:dyDescent="0.3">
      <c r="T2225" s="12"/>
      <c r="U2225" s="4"/>
      <c r="V2225" s="4"/>
      <c r="X2225" s="4"/>
      <c r="Y2225" s="4"/>
    </row>
    <row r="2226" spans="20:25" x14ac:dyDescent="0.3">
      <c r="T2226" s="12"/>
      <c r="U2226" s="4"/>
      <c r="V2226" s="4"/>
      <c r="X2226" s="4"/>
      <c r="Y2226" s="4"/>
    </row>
    <row r="2227" spans="20:25" x14ac:dyDescent="0.3">
      <c r="T2227" s="12"/>
      <c r="U2227" s="4"/>
      <c r="V2227" s="4"/>
      <c r="X2227" s="4"/>
      <c r="Y2227" s="4"/>
    </row>
    <row r="2228" spans="20:25" x14ac:dyDescent="0.3">
      <c r="T2228" s="12"/>
      <c r="U2228" s="4"/>
      <c r="V2228" s="4"/>
      <c r="X2228" s="4"/>
      <c r="Y2228" s="4"/>
    </row>
    <row r="2229" spans="20:25" x14ac:dyDescent="0.3">
      <c r="T2229" s="12"/>
      <c r="U2229" s="4"/>
      <c r="V2229" s="4"/>
      <c r="X2229" s="4"/>
      <c r="Y2229" s="4"/>
    </row>
    <row r="2230" spans="20:25" x14ac:dyDescent="0.3">
      <c r="T2230" s="12"/>
      <c r="U2230" s="4"/>
      <c r="V2230" s="4"/>
      <c r="X2230" s="4"/>
      <c r="Y2230" s="4"/>
    </row>
    <row r="2231" spans="20:25" x14ac:dyDescent="0.3">
      <c r="T2231" s="12"/>
      <c r="U2231" s="4"/>
      <c r="V2231" s="4"/>
      <c r="X2231" s="4"/>
      <c r="Y2231" s="4"/>
    </row>
    <row r="2232" spans="20:25" x14ac:dyDescent="0.3">
      <c r="T2232" s="12"/>
      <c r="U2232" s="4"/>
      <c r="V2232" s="4"/>
      <c r="X2232" s="4"/>
      <c r="Y2232" s="4"/>
    </row>
    <row r="2233" spans="20:25" x14ac:dyDescent="0.3">
      <c r="T2233" s="12"/>
      <c r="U2233" s="4"/>
      <c r="V2233" s="4"/>
      <c r="X2233" s="4"/>
      <c r="Y2233" s="4"/>
    </row>
    <row r="2234" spans="20:25" x14ac:dyDescent="0.3">
      <c r="T2234" s="12"/>
      <c r="U2234" s="4"/>
      <c r="V2234" s="4"/>
      <c r="X2234" s="4"/>
      <c r="Y2234" s="4"/>
    </row>
    <row r="2235" spans="20:25" x14ac:dyDescent="0.3">
      <c r="T2235" s="12"/>
      <c r="U2235" s="4"/>
      <c r="V2235" s="4"/>
      <c r="X2235" s="4"/>
      <c r="Y2235" s="4"/>
    </row>
    <row r="2236" spans="20:25" x14ac:dyDescent="0.3">
      <c r="T2236" s="12"/>
      <c r="U2236" s="4"/>
      <c r="V2236" s="4"/>
      <c r="X2236" s="4"/>
      <c r="Y2236" s="4"/>
    </row>
    <row r="2237" spans="20:25" x14ac:dyDescent="0.3">
      <c r="T2237" s="12"/>
      <c r="U2237" s="4"/>
      <c r="V2237" s="4"/>
      <c r="X2237" s="4"/>
      <c r="Y2237" s="4"/>
    </row>
    <row r="2238" spans="20:25" x14ac:dyDescent="0.3">
      <c r="T2238" s="12"/>
      <c r="U2238" s="4"/>
      <c r="V2238" s="4"/>
      <c r="X2238" s="4"/>
      <c r="Y2238" s="4"/>
    </row>
    <row r="2239" spans="20:25" x14ac:dyDescent="0.3">
      <c r="T2239" s="12"/>
      <c r="U2239" s="4"/>
      <c r="V2239" s="4"/>
      <c r="X2239" s="4"/>
      <c r="Y2239" s="4"/>
    </row>
    <row r="2240" spans="20:25" x14ac:dyDescent="0.3">
      <c r="T2240" s="12"/>
      <c r="U2240" s="4"/>
      <c r="V2240" s="4"/>
      <c r="X2240" s="4"/>
      <c r="Y2240" s="4"/>
    </row>
    <row r="2241" spans="20:25" x14ac:dyDescent="0.3">
      <c r="T2241" s="12"/>
      <c r="U2241" s="4"/>
      <c r="V2241" s="4"/>
      <c r="X2241" s="4"/>
      <c r="Y2241" s="4"/>
    </row>
    <row r="2242" spans="20:25" x14ac:dyDescent="0.3">
      <c r="T2242" s="12"/>
      <c r="U2242" s="4"/>
      <c r="V2242" s="4"/>
      <c r="X2242" s="4"/>
      <c r="Y2242" s="4"/>
    </row>
    <row r="2243" spans="20:25" x14ac:dyDescent="0.3">
      <c r="T2243" s="12"/>
      <c r="U2243" s="4"/>
      <c r="V2243" s="4"/>
      <c r="X2243" s="4"/>
      <c r="Y2243" s="4"/>
    </row>
    <row r="2244" spans="20:25" x14ac:dyDescent="0.3">
      <c r="T2244" s="12"/>
      <c r="U2244" s="4"/>
      <c r="V2244" s="4"/>
      <c r="X2244" s="4"/>
      <c r="Y2244" s="4"/>
    </row>
    <row r="2245" spans="20:25" x14ac:dyDescent="0.3">
      <c r="T2245" s="12"/>
      <c r="U2245" s="4"/>
      <c r="V2245" s="4"/>
      <c r="X2245" s="4"/>
      <c r="Y2245" s="4"/>
    </row>
    <row r="2246" spans="20:25" x14ac:dyDescent="0.3">
      <c r="T2246" s="12"/>
      <c r="U2246" s="4"/>
      <c r="V2246" s="4"/>
      <c r="X2246" s="4"/>
      <c r="Y2246" s="4"/>
    </row>
    <row r="2247" spans="20:25" x14ac:dyDescent="0.3">
      <c r="T2247" s="12"/>
      <c r="U2247" s="4"/>
      <c r="V2247" s="4"/>
      <c r="X2247" s="4"/>
      <c r="Y2247" s="4"/>
    </row>
    <row r="2248" spans="20:25" x14ac:dyDescent="0.3">
      <c r="T2248" s="12"/>
      <c r="U2248" s="4"/>
      <c r="V2248" s="4"/>
      <c r="X2248" s="4"/>
      <c r="Y2248" s="4"/>
    </row>
    <row r="2249" spans="20:25" x14ac:dyDescent="0.3">
      <c r="T2249" s="12"/>
      <c r="U2249" s="4"/>
      <c r="V2249" s="4"/>
      <c r="X2249" s="4"/>
      <c r="Y2249" s="4"/>
    </row>
    <row r="2250" spans="20:25" x14ac:dyDescent="0.3">
      <c r="T2250" s="12"/>
      <c r="U2250" s="4"/>
      <c r="V2250" s="4"/>
      <c r="X2250" s="4"/>
      <c r="Y2250" s="4"/>
    </row>
    <row r="2251" spans="20:25" x14ac:dyDescent="0.3">
      <c r="T2251" s="12"/>
      <c r="U2251" s="4"/>
      <c r="V2251" s="4"/>
      <c r="X2251" s="4"/>
      <c r="Y2251" s="4"/>
    </row>
    <row r="2252" spans="20:25" x14ac:dyDescent="0.3">
      <c r="T2252" s="12"/>
      <c r="U2252" s="4"/>
      <c r="V2252" s="4"/>
      <c r="X2252" s="4"/>
      <c r="Y2252" s="4"/>
    </row>
    <row r="2253" spans="20:25" x14ac:dyDescent="0.3">
      <c r="T2253" s="12"/>
      <c r="U2253" s="4"/>
      <c r="V2253" s="4"/>
      <c r="X2253" s="4"/>
      <c r="Y2253" s="4"/>
    </row>
    <row r="2254" spans="20:25" x14ac:dyDescent="0.3">
      <c r="T2254" s="12"/>
      <c r="U2254" s="4"/>
      <c r="V2254" s="4"/>
      <c r="X2254" s="4"/>
      <c r="Y2254" s="4"/>
    </row>
    <row r="2255" spans="20:25" x14ac:dyDescent="0.3">
      <c r="T2255" s="12"/>
      <c r="U2255" s="4"/>
      <c r="V2255" s="4"/>
      <c r="X2255" s="4"/>
      <c r="Y2255" s="4"/>
    </row>
    <row r="2256" spans="20:25" x14ac:dyDescent="0.3">
      <c r="T2256" s="12"/>
      <c r="U2256" s="4"/>
      <c r="V2256" s="4"/>
      <c r="X2256" s="4"/>
      <c r="Y2256" s="4"/>
    </row>
    <row r="2257" spans="20:25" x14ac:dyDescent="0.3">
      <c r="T2257" s="12"/>
      <c r="U2257" s="4"/>
      <c r="V2257" s="4"/>
      <c r="X2257" s="4"/>
      <c r="Y2257" s="4"/>
    </row>
    <row r="2258" spans="20:25" x14ac:dyDescent="0.3">
      <c r="T2258" s="12"/>
      <c r="U2258" s="4"/>
      <c r="V2258" s="4"/>
      <c r="X2258" s="4"/>
      <c r="Y2258" s="4"/>
    </row>
    <row r="2259" spans="20:25" x14ac:dyDescent="0.3">
      <c r="T2259" s="12"/>
      <c r="U2259" s="4"/>
      <c r="V2259" s="4"/>
      <c r="X2259" s="4"/>
      <c r="Y2259" s="4"/>
    </row>
    <row r="2260" spans="20:25" x14ac:dyDescent="0.3">
      <c r="T2260" s="12"/>
      <c r="U2260" s="4"/>
      <c r="V2260" s="4"/>
      <c r="X2260" s="4"/>
      <c r="Y2260" s="4"/>
    </row>
    <row r="2261" spans="20:25" x14ac:dyDescent="0.3">
      <c r="T2261" s="12"/>
      <c r="U2261" s="4"/>
      <c r="V2261" s="4"/>
      <c r="X2261" s="4"/>
      <c r="Y2261" s="4"/>
    </row>
    <row r="2262" spans="20:25" x14ac:dyDescent="0.3">
      <c r="T2262" s="12"/>
      <c r="U2262" s="4"/>
      <c r="V2262" s="4"/>
      <c r="X2262" s="4"/>
      <c r="Y2262" s="4"/>
    </row>
    <row r="2263" spans="20:25" x14ac:dyDescent="0.3">
      <c r="T2263" s="12"/>
      <c r="U2263" s="4"/>
      <c r="V2263" s="4"/>
      <c r="X2263" s="4"/>
      <c r="Y2263" s="4"/>
    </row>
    <row r="2264" spans="20:25" x14ac:dyDescent="0.3">
      <c r="T2264" s="12"/>
      <c r="U2264" s="4"/>
      <c r="V2264" s="4"/>
      <c r="X2264" s="4"/>
      <c r="Y2264" s="4"/>
    </row>
    <row r="2265" spans="20:25" x14ac:dyDescent="0.3">
      <c r="T2265" s="12"/>
      <c r="U2265" s="4"/>
      <c r="V2265" s="4"/>
      <c r="X2265" s="4"/>
      <c r="Y2265" s="4"/>
    </row>
    <row r="2266" spans="20:25" x14ac:dyDescent="0.3">
      <c r="T2266" s="12"/>
      <c r="U2266" s="4"/>
      <c r="V2266" s="4"/>
      <c r="X2266" s="4"/>
      <c r="Y2266" s="4"/>
    </row>
    <row r="2267" spans="20:25" x14ac:dyDescent="0.3">
      <c r="T2267" s="12"/>
      <c r="U2267" s="4"/>
      <c r="V2267" s="4"/>
      <c r="X2267" s="4"/>
      <c r="Y2267" s="4"/>
    </row>
    <row r="2268" spans="20:25" x14ac:dyDescent="0.3">
      <c r="T2268" s="12"/>
      <c r="U2268" s="4"/>
      <c r="V2268" s="4"/>
      <c r="X2268" s="4"/>
      <c r="Y2268" s="4"/>
    </row>
    <row r="2269" spans="20:25" x14ac:dyDescent="0.3">
      <c r="T2269" s="12"/>
      <c r="U2269" s="4"/>
      <c r="V2269" s="4"/>
      <c r="X2269" s="4"/>
      <c r="Y2269" s="4"/>
    </row>
    <row r="2270" spans="20:25" x14ac:dyDescent="0.3">
      <c r="T2270" s="12"/>
      <c r="U2270" s="4"/>
      <c r="V2270" s="4"/>
      <c r="X2270" s="4"/>
      <c r="Y2270" s="4"/>
    </row>
    <row r="2271" spans="20:25" x14ac:dyDescent="0.3">
      <c r="T2271" s="12"/>
      <c r="U2271" s="4"/>
      <c r="V2271" s="4"/>
      <c r="X2271" s="4"/>
      <c r="Y2271" s="4"/>
    </row>
    <row r="2272" spans="20:25" x14ac:dyDescent="0.3">
      <c r="T2272" s="12"/>
      <c r="U2272" s="4"/>
      <c r="V2272" s="4"/>
      <c r="X2272" s="4"/>
      <c r="Y2272" s="4"/>
    </row>
    <row r="2273" spans="20:25" x14ac:dyDescent="0.3">
      <c r="T2273" s="12"/>
      <c r="U2273" s="4"/>
      <c r="V2273" s="4"/>
      <c r="X2273" s="4"/>
      <c r="Y2273" s="4"/>
    </row>
    <row r="2274" spans="20:25" x14ac:dyDescent="0.3">
      <c r="T2274" s="12"/>
      <c r="U2274" s="4"/>
      <c r="V2274" s="4"/>
      <c r="X2274" s="4"/>
      <c r="Y2274" s="4"/>
    </row>
    <row r="2275" spans="20:25" x14ac:dyDescent="0.3">
      <c r="T2275" s="12"/>
      <c r="U2275" s="4"/>
      <c r="V2275" s="4"/>
      <c r="X2275" s="4"/>
      <c r="Y2275" s="4"/>
    </row>
    <row r="2276" spans="20:25" x14ac:dyDescent="0.3">
      <c r="T2276" s="12"/>
      <c r="U2276" s="4"/>
      <c r="V2276" s="4"/>
      <c r="X2276" s="4"/>
      <c r="Y2276" s="4"/>
    </row>
    <row r="2277" spans="20:25" x14ac:dyDescent="0.3">
      <c r="T2277" s="12"/>
      <c r="U2277" s="4"/>
      <c r="V2277" s="4"/>
      <c r="X2277" s="4"/>
      <c r="Y2277" s="4"/>
    </row>
    <row r="2278" spans="20:25" x14ac:dyDescent="0.3">
      <c r="T2278" s="12"/>
      <c r="U2278" s="4"/>
      <c r="V2278" s="4"/>
      <c r="X2278" s="4"/>
      <c r="Y2278" s="4"/>
    </row>
    <row r="2279" spans="20:25" x14ac:dyDescent="0.3">
      <c r="T2279" s="12"/>
      <c r="U2279" s="4"/>
      <c r="V2279" s="4"/>
      <c r="X2279" s="4"/>
      <c r="Y2279" s="4"/>
    </row>
    <row r="2280" spans="20:25" x14ac:dyDescent="0.3">
      <c r="T2280" s="12"/>
      <c r="U2280" s="4"/>
      <c r="V2280" s="4"/>
      <c r="X2280" s="4"/>
      <c r="Y2280" s="4"/>
    </row>
    <row r="2281" spans="20:25" x14ac:dyDescent="0.3">
      <c r="T2281" s="12"/>
      <c r="U2281" s="4"/>
      <c r="V2281" s="4"/>
      <c r="X2281" s="4"/>
      <c r="Y2281" s="4"/>
    </row>
    <row r="2282" spans="20:25" x14ac:dyDescent="0.3">
      <c r="T2282" s="12"/>
      <c r="U2282" s="4"/>
      <c r="V2282" s="4"/>
      <c r="X2282" s="4"/>
      <c r="Y2282" s="4"/>
    </row>
    <row r="2283" spans="20:25" x14ac:dyDescent="0.3">
      <c r="T2283" s="12"/>
      <c r="U2283" s="4"/>
      <c r="V2283" s="4"/>
      <c r="X2283" s="4"/>
      <c r="Y2283" s="4"/>
    </row>
    <row r="2284" spans="20:25" x14ac:dyDescent="0.3">
      <c r="T2284" s="12"/>
      <c r="U2284" s="4"/>
      <c r="V2284" s="4"/>
      <c r="X2284" s="4"/>
      <c r="Y2284" s="4"/>
    </row>
    <row r="2285" spans="20:25" x14ac:dyDescent="0.3">
      <c r="T2285" s="12"/>
      <c r="U2285" s="4"/>
      <c r="V2285" s="4"/>
      <c r="X2285" s="4"/>
      <c r="Y2285" s="4"/>
    </row>
    <row r="2286" spans="20:25" x14ac:dyDescent="0.3">
      <c r="T2286" s="12"/>
      <c r="U2286" s="4"/>
      <c r="V2286" s="4"/>
      <c r="X2286" s="4"/>
      <c r="Y2286" s="4"/>
    </row>
    <row r="2287" spans="20:25" x14ac:dyDescent="0.3">
      <c r="T2287" s="12"/>
      <c r="U2287" s="4"/>
      <c r="V2287" s="4"/>
      <c r="X2287" s="4"/>
      <c r="Y2287" s="4"/>
    </row>
    <row r="2288" spans="20:25" x14ac:dyDescent="0.3">
      <c r="T2288" s="12"/>
      <c r="U2288" s="4"/>
      <c r="V2288" s="4"/>
      <c r="X2288" s="4"/>
      <c r="Y2288" s="4"/>
    </row>
    <row r="2289" spans="20:25" x14ac:dyDescent="0.3">
      <c r="T2289" s="12"/>
      <c r="U2289" s="4"/>
      <c r="V2289" s="4"/>
      <c r="X2289" s="4"/>
      <c r="Y2289" s="4"/>
    </row>
    <row r="2290" spans="20:25" x14ac:dyDescent="0.3">
      <c r="T2290" s="12"/>
      <c r="U2290" s="4"/>
      <c r="V2290" s="4"/>
      <c r="X2290" s="4"/>
      <c r="Y2290" s="4"/>
    </row>
    <row r="2291" spans="20:25" x14ac:dyDescent="0.3">
      <c r="T2291" s="12"/>
      <c r="U2291" s="4"/>
      <c r="V2291" s="4"/>
      <c r="X2291" s="4"/>
      <c r="Y2291" s="4"/>
    </row>
    <row r="2292" spans="20:25" x14ac:dyDescent="0.3">
      <c r="T2292" s="12"/>
      <c r="U2292" s="4"/>
      <c r="V2292" s="4"/>
      <c r="X2292" s="4"/>
      <c r="Y2292" s="4"/>
    </row>
    <row r="2293" spans="20:25" x14ac:dyDescent="0.3">
      <c r="T2293" s="12"/>
      <c r="U2293" s="4"/>
      <c r="V2293" s="4"/>
      <c r="X2293" s="4"/>
      <c r="Y2293" s="4"/>
    </row>
    <row r="2294" spans="20:25" x14ac:dyDescent="0.3">
      <c r="T2294" s="12"/>
      <c r="U2294" s="4"/>
      <c r="V2294" s="4"/>
      <c r="X2294" s="4"/>
      <c r="Y2294" s="4"/>
    </row>
    <row r="2295" spans="20:25" x14ac:dyDescent="0.3">
      <c r="T2295" s="12"/>
      <c r="U2295" s="4"/>
      <c r="V2295" s="4"/>
      <c r="X2295" s="4"/>
      <c r="Y2295" s="4"/>
    </row>
    <row r="2296" spans="20:25" x14ac:dyDescent="0.3">
      <c r="T2296" s="12"/>
      <c r="U2296" s="4"/>
      <c r="V2296" s="4"/>
      <c r="X2296" s="4"/>
      <c r="Y2296" s="4"/>
    </row>
    <row r="2297" spans="20:25" x14ac:dyDescent="0.3">
      <c r="T2297" s="12"/>
      <c r="U2297" s="4"/>
      <c r="V2297" s="4"/>
      <c r="X2297" s="4"/>
      <c r="Y2297" s="4"/>
    </row>
    <row r="2298" spans="20:25" x14ac:dyDescent="0.3">
      <c r="T2298" s="12"/>
      <c r="U2298" s="4"/>
      <c r="V2298" s="4"/>
      <c r="X2298" s="4"/>
      <c r="Y2298" s="4"/>
    </row>
    <row r="2299" spans="20:25" x14ac:dyDescent="0.3">
      <c r="T2299" s="12"/>
      <c r="U2299" s="4"/>
      <c r="V2299" s="4"/>
      <c r="X2299" s="4"/>
      <c r="Y2299" s="4"/>
    </row>
    <row r="2300" spans="20:25" x14ac:dyDescent="0.3">
      <c r="T2300" s="12"/>
      <c r="U2300" s="4"/>
      <c r="V2300" s="4"/>
      <c r="X2300" s="4"/>
      <c r="Y2300" s="4"/>
    </row>
    <row r="2301" spans="20:25" x14ac:dyDescent="0.3">
      <c r="T2301" s="12"/>
      <c r="U2301" s="4"/>
      <c r="V2301" s="4"/>
      <c r="X2301" s="4"/>
      <c r="Y2301" s="4"/>
    </row>
    <row r="2302" spans="20:25" x14ac:dyDescent="0.3">
      <c r="T2302" s="12"/>
      <c r="U2302" s="4"/>
      <c r="V2302" s="4"/>
      <c r="X2302" s="4"/>
      <c r="Y2302" s="4"/>
    </row>
    <row r="2303" spans="20:25" x14ac:dyDescent="0.3">
      <c r="T2303" s="12"/>
      <c r="U2303" s="4"/>
      <c r="V2303" s="4"/>
      <c r="X2303" s="4"/>
      <c r="Y2303" s="4"/>
    </row>
    <row r="2304" spans="20:25" x14ac:dyDescent="0.3">
      <c r="T2304" s="12"/>
      <c r="U2304" s="4"/>
      <c r="V2304" s="4"/>
      <c r="X2304" s="4"/>
      <c r="Y2304" s="4"/>
    </row>
    <row r="2305" spans="20:25" x14ac:dyDescent="0.3">
      <c r="T2305" s="12"/>
      <c r="U2305" s="4"/>
      <c r="V2305" s="4"/>
      <c r="X2305" s="4"/>
      <c r="Y2305" s="4"/>
    </row>
    <row r="2306" spans="20:25" x14ac:dyDescent="0.3">
      <c r="T2306" s="12"/>
      <c r="U2306" s="4"/>
      <c r="V2306" s="4"/>
      <c r="X2306" s="4"/>
      <c r="Y2306" s="4"/>
    </row>
    <row r="2307" spans="20:25" x14ac:dyDescent="0.3">
      <c r="T2307" s="12"/>
      <c r="U2307" s="4"/>
      <c r="V2307" s="4"/>
      <c r="X2307" s="4"/>
      <c r="Y2307" s="4"/>
    </row>
    <row r="2308" spans="20:25" x14ac:dyDescent="0.3">
      <c r="T2308" s="12"/>
      <c r="U2308" s="4"/>
      <c r="V2308" s="4"/>
      <c r="X2308" s="4"/>
      <c r="Y2308" s="4"/>
    </row>
    <row r="2309" spans="20:25" x14ac:dyDescent="0.3">
      <c r="T2309" s="12"/>
      <c r="U2309" s="4"/>
      <c r="V2309" s="4"/>
      <c r="X2309" s="4"/>
      <c r="Y2309" s="4"/>
    </row>
    <row r="2310" spans="20:25" x14ac:dyDescent="0.3">
      <c r="T2310" s="12"/>
      <c r="U2310" s="4"/>
      <c r="V2310" s="4"/>
      <c r="X2310" s="4"/>
      <c r="Y2310" s="4"/>
    </row>
    <row r="2311" spans="20:25" x14ac:dyDescent="0.3">
      <c r="T2311" s="12"/>
      <c r="U2311" s="4"/>
      <c r="V2311" s="4"/>
      <c r="X2311" s="4"/>
      <c r="Y2311" s="4"/>
    </row>
    <row r="2312" spans="20:25" x14ac:dyDescent="0.3">
      <c r="T2312" s="12"/>
      <c r="U2312" s="4"/>
      <c r="V2312" s="4"/>
      <c r="X2312" s="4"/>
      <c r="Y2312" s="4"/>
    </row>
    <row r="2313" spans="20:25" x14ac:dyDescent="0.3">
      <c r="T2313" s="12"/>
      <c r="U2313" s="4"/>
      <c r="V2313" s="4"/>
      <c r="X2313" s="4"/>
      <c r="Y2313" s="4"/>
    </row>
    <row r="2314" spans="20:25" x14ac:dyDescent="0.3">
      <c r="T2314" s="12"/>
      <c r="U2314" s="4"/>
      <c r="V2314" s="4"/>
      <c r="X2314" s="4"/>
      <c r="Y2314" s="4"/>
    </row>
    <row r="2315" spans="20:25" x14ac:dyDescent="0.3">
      <c r="T2315" s="12"/>
      <c r="U2315" s="4"/>
      <c r="V2315" s="4"/>
      <c r="X2315" s="4"/>
      <c r="Y2315" s="4"/>
    </row>
    <row r="2316" spans="20:25" x14ac:dyDescent="0.3">
      <c r="T2316" s="12"/>
      <c r="U2316" s="4"/>
      <c r="V2316" s="4"/>
      <c r="X2316" s="4"/>
      <c r="Y2316" s="4"/>
    </row>
    <row r="2317" spans="20:25" x14ac:dyDescent="0.3">
      <c r="T2317" s="12"/>
      <c r="U2317" s="4"/>
      <c r="V2317" s="4"/>
      <c r="X2317" s="4"/>
      <c r="Y2317" s="4"/>
    </row>
    <row r="2318" spans="20:25" x14ac:dyDescent="0.3">
      <c r="T2318" s="12"/>
      <c r="U2318" s="4"/>
      <c r="V2318" s="4"/>
      <c r="X2318" s="4"/>
      <c r="Y2318" s="4"/>
    </row>
    <row r="2319" spans="20:25" x14ac:dyDescent="0.3">
      <c r="T2319" s="12"/>
      <c r="U2319" s="4"/>
      <c r="V2319" s="4"/>
      <c r="X2319" s="4"/>
      <c r="Y2319" s="4"/>
    </row>
    <row r="2320" spans="20:25" x14ac:dyDescent="0.3">
      <c r="T2320" s="12"/>
      <c r="U2320" s="4"/>
      <c r="V2320" s="4"/>
      <c r="X2320" s="4"/>
      <c r="Y2320" s="4"/>
    </row>
    <row r="2321" spans="20:25" x14ac:dyDescent="0.3">
      <c r="T2321" s="12"/>
      <c r="U2321" s="4"/>
      <c r="V2321" s="4"/>
      <c r="X2321" s="4"/>
      <c r="Y2321" s="4"/>
    </row>
    <row r="2322" spans="20:25" x14ac:dyDescent="0.3">
      <c r="T2322" s="12"/>
      <c r="U2322" s="4"/>
      <c r="V2322" s="4"/>
      <c r="X2322" s="4"/>
      <c r="Y2322" s="4"/>
    </row>
    <row r="2323" spans="20:25" x14ac:dyDescent="0.3">
      <c r="T2323" s="12"/>
      <c r="U2323" s="4"/>
      <c r="V2323" s="4"/>
      <c r="X2323" s="4"/>
      <c r="Y2323" s="4"/>
    </row>
    <row r="2324" spans="20:25" x14ac:dyDescent="0.3">
      <c r="T2324" s="12"/>
      <c r="U2324" s="4"/>
      <c r="V2324" s="4"/>
      <c r="X2324" s="4"/>
      <c r="Y2324" s="4"/>
    </row>
    <row r="2325" spans="20:25" x14ac:dyDescent="0.3">
      <c r="T2325" s="12"/>
      <c r="U2325" s="4"/>
      <c r="V2325" s="4"/>
      <c r="X2325" s="4"/>
      <c r="Y2325" s="4"/>
    </row>
    <row r="2326" spans="20:25" x14ac:dyDescent="0.3">
      <c r="T2326" s="12"/>
      <c r="U2326" s="4"/>
      <c r="V2326" s="4"/>
      <c r="X2326" s="4"/>
      <c r="Y2326" s="4"/>
    </row>
    <row r="2327" spans="20:25" x14ac:dyDescent="0.3">
      <c r="T2327" s="12"/>
      <c r="U2327" s="4"/>
      <c r="V2327" s="4"/>
      <c r="X2327" s="4"/>
      <c r="Y2327" s="4"/>
    </row>
    <row r="2328" spans="20:25" x14ac:dyDescent="0.3">
      <c r="T2328" s="12"/>
      <c r="U2328" s="4"/>
      <c r="V2328" s="4"/>
      <c r="X2328" s="4"/>
      <c r="Y2328" s="4"/>
    </row>
    <row r="2329" spans="20:25" x14ac:dyDescent="0.3">
      <c r="T2329" s="12"/>
      <c r="U2329" s="4"/>
      <c r="V2329" s="4"/>
      <c r="X2329" s="4"/>
      <c r="Y2329" s="4"/>
    </row>
    <row r="2330" spans="20:25" x14ac:dyDescent="0.3">
      <c r="T2330" s="12"/>
      <c r="U2330" s="4"/>
      <c r="V2330" s="4"/>
      <c r="X2330" s="4"/>
      <c r="Y2330" s="4"/>
    </row>
    <row r="2331" spans="20:25" x14ac:dyDescent="0.3">
      <c r="T2331" s="12"/>
      <c r="U2331" s="4"/>
      <c r="V2331" s="4"/>
      <c r="X2331" s="4"/>
      <c r="Y2331" s="4"/>
    </row>
    <row r="2332" spans="20:25" x14ac:dyDescent="0.3">
      <c r="T2332" s="12"/>
      <c r="U2332" s="4"/>
      <c r="V2332" s="4"/>
      <c r="X2332" s="4"/>
      <c r="Y2332" s="4"/>
    </row>
    <row r="2333" spans="20:25" x14ac:dyDescent="0.3">
      <c r="T2333" s="12"/>
      <c r="U2333" s="4"/>
      <c r="V2333" s="4"/>
      <c r="X2333" s="4"/>
      <c r="Y2333" s="4"/>
    </row>
    <row r="2334" spans="20:25" x14ac:dyDescent="0.3">
      <c r="T2334" s="12"/>
      <c r="U2334" s="4"/>
      <c r="V2334" s="4"/>
      <c r="X2334" s="4"/>
      <c r="Y2334" s="4"/>
    </row>
    <row r="2335" spans="20:25" x14ac:dyDescent="0.3">
      <c r="T2335" s="12"/>
      <c r="U2335" s="4"/>
      <c r="V2335" s="4"/>
      <c r="X2335" s="4"/>
      <c r="Y2335" s="4"/>
    </row>
    <row r="2336" spans="20:25" x14ac:dyDescent="0.3">
      <c r="T2336" s="12"/>
      <c r="U2336" s="4"/>
      <c r="V2336" s="4"/>
      <c r="X2336" s="4"/>
      <c r="Y2336" s="4"/>
    </row>
    <row r="2337" spans="20:25" x14ac:dyDescent="0.3">
      <c r="T2337" s="12"/>
      <c r="U2337" s="4"/>
      <c r="V2337" s="4"/>
      <c r="X2337" s="4"/>
      <c r="Y2337" s="4"/>
    </row>
    <row r="2338" spans="20:25" x14ac:dyDescent="0.3">
      <c r="T2338" s="12"/>
      <c r="U2338" s="4"/>
      <c r="V2338" s="4"/>
      <c r="X2338" s="4"/>
      <c r="Y2338" s="4"/>
    </row>
    <row r="2339" spans="20:25" x14ac:dyDescent="0.3">
      <c r="T2339" s="12"/>
      <c r="U2339" s="4"/>
      <c r="V2339" s="4"/>
      <c r="X2339" s="4"/>
      <c r="Y2339" s="4"/>
    </row>
    <row r="2340" spans="20:25" x14ac:dyDescent="0.3">
      <c r="T2340" s="12"/>
      <c r="U2340" s="4"/>
      <c r="V2340" s="4"/>
      <c r="X2340" s="4"/>
      <c r="Y2340" s="4"/>
    </row>
    <row r="2341" spans="20:25" x14ac:dyDescent="0.3">
      <c r="T2341" s="12"/>
      <c r="U2341" s="4"/>
      <c r="V2341" s="4"/>
      <c r="X2341" s="4"/>
      <c r="Y2341" s="4"/>
    </row>
    <row r="2342" spans="20:25" x14ac:dyDescent="0.3">
      <c r="T2342" s="12"/>
      <c r="U2342" s="4"/>
      <c r="V2342" s="4"/>
      <c r="X2342" s="4"/>
      <c r="Y2342" s="4"/>
    </row>
    <row r="2343" spans="20:25" x14ac:dyDescent="0.3">
      <c r="T2343" s="12"/>
      <c r="U2343" s="4"/>
      <c r="V2343" s="4"/>
      <c r="X2343" s="4"/>
      <c r="Y2343" s="4"/>
    </row>
    <row r="2344" spans="20:25" x14ac:dyDescent="0.3">
      <c r="T2344" s="12"/>
      <c r="U2344" s="4"/>
      <c r="V2344" s="4"/>
      <c r="X2344" s="4"/>
      <c r="Y2344" s="4"/>
    </row>
    <row r="2345" spans="20:25" x14ac:dyDescent="0.3">
      <c r="T2345" s="12"/>
      <c r="U2345" s="4"/>
      <c r="V2345" s="4"/>
      <c r="X2345" s="4"/>
      <c r="Y2345" s="4"/>
    </row>
    <row r="2346" spans="20:25" x14ac:dyDescent="0.3">
      <c r="T2346" s="12"/>
      <c r="U2346" s="4"/>
      <c r="V2346" s="4"/>
      <c r="X2346" s="4"/>
      <c r="Y2346" s="4"/>
    </row>
    <row r="2347" spans="20:25" x14ac:dyDescent="0.3">
      <c r="T2347" s="12"/>
      <c r="U2347" s="4"/>
      <c r="V2347" s="4"/>
      <c r="X2347" s="4"/>
      <c r="Y2347" s="4"/>
    </row>
    <row r="2348" spans="20:25" x14ac:dyDescent="0.3">
      <c r="T2348" s="12"/>
      <c r="U2348" s="4"/>
      <c r="V2348" s="4"/>
      <c r="X2348" s="4"/>
      <c r="Y2348" s="4"/>
    </row>
    <row r="2349" spans="20:25" x14ac:dyDescent="0.3">
      <c r="T2349" s="12"/>
      <c r="U2349" s="4"/>
      <c r="V2349" s="4"/>
      <c r="X2349" s="4"/>
      <c r="Y2349" s="4"/>
    </row>
    <row r="2350" spans="20:25" x14ac:dyDescent="0.3">
      <c r="T2350" s="12"/>
      <c r="U2350" s="4"/>
      <c r="V2350" s="4"/>
      <c r="X2350" s="4"/>
      <c r="Y2350" s="4"/>
    </row>
    <row r="2351" spans="20:25" x14ac:dyDescent="0.3">
      <c r="T2351" s="12"/>
      <c r="U2351" s="4"/>
      <c r="V2351" s="4"/>
      <c r="X2351" s="4"/>
      <c r="Y2351" s="4"/>
    </row>
    <row r="2352" spans="20:25" x14ac:dyDescent="0.3">
      <c r="T2352" s="12"/>
      <c r="U2352" s="4"/>
      <c r="V2352" s="4"/>
      <c r="X2352" s="4"/>
      <c r="Y2352" s="4"/>
    </row>
    <row r="2353" spans="20:25" x14ac:dyDescent="0.3">
      <c r="T2353" s="12"/>
      <c r="U2353" s="4"/>
      <c r="V2353" s="4"/>
      <c r="X2353" s="4"/>
      <c r="Y2353" s="4"/>
    </row>
    <row r="2354" spans="20:25" x14ac:dyDescent="0.3">
      <c r="T2354" s="12"/>
      <c r="U2354" s="4"/>
      <c r="V2354" s="4"/>
      <c r="X2354" s="4"/>
      <c r="Y2354" s="4"/>
    </row>
    <row r="2355" spans="20:25" x14ac:dyDescent="0.3">
      <c r="T2355" s="12"/>
      <c r="U2355" s="4"/>
      <c r="V2355" s="4"/>
      <c r="X2355" s="4"/>
      <c r="Y2355" s="4"/>
    </row>
    <row r="2356" spans="20:25" x14ac:dyDescent="0.3">
      <c r="T2356" s="12"/>
      <c r="U2356" s="4"/>
      <c r="V2356" s="4"/>
      <c r="X2356" s="4"/>
      <c r="Y2356" s="4"/>
    </row>
    <row r="2357" spans="20:25" x14ac:dyDescent="0.3">
      <c r="T2357" s="12"/>
      <c r="U2357" s="4"/>
      <c r="V2357" s="4"/>
      <c r="X2357" s="4"/>
      <c r="Y2357" s="4"/>
    </row>
    <row r="2358" spans="20:25" x14ac:dyDescent="0.3">
      <c r="T2358" s="12"/>
      <c r="U2358" s="4"/>
      <c r="V2358" s="4"/>
      <c r="X2358" s="4"/>
      <c r="Y2358" s="4"/>
    </row>
    <row r="2359" spans="20:25" x14ac:dyDescent="0.3">
      <c r="T2359" s="12"/>
      <c r="U2359" s="4"/>
      <c r="V2359" s="4"/>
      <c r="X2359" s="4"/>
      <c r="Y2359" s="4"/>
    </row>
    <row r="2360" spans="20:25" x14ac:dyDescent="0.3">
      <c r="T2360" s="12"/>
      <c r="U2360" s="4"/>
      <c r="V2360" s="4"/>
      <c r="X2360" s="4"/>
      <c r="Y2360" s="4"/>
    </row>
    <row r="2361" spans="20:25" x14ac:dyDescent="0.3">
      <c r="T2361" s="12"/>
      <c r="U2361" s="4"/>
      <c r="V2361" s="4"/>
      <c r="X2361" s="4"/>
      <c r="Y2361" s="4"/>
    </row>
    <row r="2362" spans="20:25" x14ac:dyDescent="0.3">
      <c r="T2362" s="12"/>
      <c r="U2362" s="4"/>
      <c r="V2362" s="4"/>
      <c r="X2362" s="4"/>
      <c r="Y2362" s="4"/>
    </row>
    <row r="2363" spans="20:25" x14ac:dyDescent="0.3">
      <c r="T2363" s="12"/>
      <c r="U2363" s="4"/>
      <c r="V2363" s="4"/>
      <c r="X2363" s="4"/>
      <c r="Y2363" s="4"/>
    </row>
    <row r="2364" spans="20:25" x14ac:dyDescent="0.3">
      <c r="T2364" s="12"/>
      <c r="U2364" s="4"/>
      <c r="V2364" s="4"/>
      <c r="X2364" s="4"/>
      <c r="Y2364" s="4"/>
    </row>
    <row r="2365" spans="20:25" x14ac:dyDescent="0.3">
      <c r="T2365" s="12"/>
      <c r="U2365" s="4"/>
      <c r="V2365" s="4"/>
      <c r="X2365" s="4"/>
      <c r="Y2365" s="4"/>
    </row>
    <row r="2366" spans="20:25" x14ac:dyDescent="0.3">
      <c r="T2366" s="12"/>
      <c r="U2366" s="4"/>
      <c r="V2366" s="4"/>
      <c r="X2366" s="4"/>
      <c r="Y2366" s="4"/>
    </row>
    <row r="2367" spans="20:25" x14ac:dyDescent="0.3">
      <c r="T2367" s="12"/>
      <c r="U2367" s="4"/>
      <c r="V2367" s="4"/>
      <c r="X2367" s="4"/>
      <c r="Y2367" s="4"/>
    </row>
    <row r="2368" spans="20:25" x14ac:dyDescent="0.3">
      <c r="T2368" s="12"/>
      <c r="U2368" s="4"/>
      <c r="V2368" s="4"/>
      <c r="X2368" s="4"/>
      <c r="Y2368" s="4"/>
    </row>
    <row r="2369" spans="20:25" x14ac:dyDescent="0.3">
      <c r="T2369" s="12"/>
      <c r="U2369" s="4"/>
      <c r="V2369" s="4"/>
      <c r="X2369" s="4"/>
      <c r="Y2369" s="4"/>
    </row>
    <row r="2370" spans="20:25" x14ac:dyDescent="0.3">
      <c r="T2370" s="12"/>
      <c r="U2370" s="4"/>
      <c r="V2370" s="4"/>
      <c r="X2370" s="4"/>
      <c r="Y2370" s="4"/>
    </row>
    <row r="2371" spans="20:25" x14ac:dyDescent="0.3">
      <c r="T2371" s="12"/>
      <c r="U2371" s="4"/>
      <c r="V2371" s="4"/>
      <c r="X2371" s="4"/>
      <c r="Y2371" s="4"/>
    </row>
    <row r="2372" spans="20:25" x14ac:dyDescent="0.3">
      <c r="T2372" s="12"/>
      <c r="U2372" s="4"/>
      <c r="V2372" s="4"/>
      <c r="X2372" s="4"/>
      <c r="Y2372" s="4"/>
    </row>
    <row r="2373" spans="20:25" x14ac:dyDescent="0.3">
      <c r="T2373" s="12"/>
      <c r="U2373" s="4"/>
      <c r="V2373" s="4"/>
      <c r="X2373" s="4"/>
      <c r="Y2373" s="4"/>
    </row>
    <row r="2374" spans="20:25" x14ac:dyDescent="0.3">
      <c r="T2374" s="12"/>
      <c r="U2374" s="4"/>
      <c r="V2374" s="4"/>
      <c r="X2374" s="4"/>
      <c r="Y2374" s="4"/>
    </row>
    <row r="2375" spans="20:25" x14ac:dyDescent="0.3">
      <c r="T2375" s="12"/>
      <c r="U2375" s="4"/>
      <c r="V2375" s="4"/>
      <c r="X2375" s="4"/>
      <c r="Y2375" s="4"/>
    </row>
    <row r="2376" spans="20:25" x14ac:dyDescent="0.3">
      <c r="T2376" s="12"/>
      <c r="U2376" s="4"/>
      <c r="V2376" s="4"/>
      <c r="X2376" s="4"/>
      <c r="Y2376" s="4"/>
    </row>
    <row r="2377" spans="20:25" x14ac:dyDescent="0.3">
      <c r="T2377" s="12"/>
      <c r="U2377" s="4"/>
      <c r="V2377" s="4"/>
      <c r="X2377" s="4"/>
      <c r="Y2377" s="4"/>
    </row>
    <row r="2378" spans="20:25" x14ac:dyDescent="0.3">
      <c r="T2378" s="12"/>
      <c r="U2378" s="4"/>
      <c r="V2378" s="4"/>
      <c r="X2378" s="4"/>
      <c r="Y2378" s="4"/>
    </row>
    <row r="2379" spans="20:25" x14ac:dyDescent="0.3">
      <c r="T2379" s="12"/>
      <c r="U2379" s="4"/>
      <c r="V2379" s="4"/>
      <c r="X2379" s="4"/>
      <c r="Y2379" s="4"/>
    </row>
    <row r="2380" spans="20:25" x14ac:dyDescent="0.3">
      <c r="T2380" s="12"/>
      <c r="U2380" s="4"/>
      <c r="V2380" s="4"/>
      <c r="X2380" s="4"/>
      <c r="Y2380" s="4"/>
    </row>
    <row r="2381" spans="20:25" x14ac:dyDescent="0.3">
      <c r="T2381" s="12"/>
      <c r="U2381" s="4"/>
      <c r="V2381" s="4"/>
      <c r="X2381" s="4"/>
      <c r="Y2381" s="4"/>
    </row>
    <row r="2382" spans="20:25" x14ac:dyDescent="0.3">
      <c r="T2382" s="12"/>
      <c r="U2382" s="4"/>
      <c r="V2382" s="4"/>
      <c r="X2382" s="4"/>
      <c r="Y2382" s="4"/>
    </row>
    <row r="2383" spans="20:25" x14ac:dyDescent="0.3">
      <c r="T2383" s="12"/>
      <c r="U2383" s="4"/>
      <c r="V2383" s="4"/>
      <c r="X2383" s="4"/>
      <c r="Y2383" s="4"/>
    </row>
    <row r="2384" spans="20:25" x14ac:dyDescent="0.3">
      <c r="T2384" s="12"/>
      <c r="U2384" s="4"/>
      <c r="V2384" s="4"/>
      <c r="X2384" s="4"/>
      <c r="Y2384" s="4"/>
    </row>
    <row r="2385" spans="20:25" x14ac:dyDescent="0.3">
      <c r="T2385" s="12"/>
      <c r="U2385" s="4"/>
      <c r="V2385" s="4"/>
      <c r="X2385" s="4"/>
      <c r="Y2385" s="4"/>
    </row>
    <row r="2386" spans="20:25" x14ac:dyDescent="0.3">
      <c r="T2386" s="12"/>
      <c r="U2386" s="4"/>
      <c r="V2386" s="4"/>
      <c r="X2386" s="4"/>
      <c r="Y2386" s="4"/>
    </row>
    <row r="2387" spans="20:25" x14ac:dyDescent="0.3">
      <c r="T2387" s="12"/>
      <c r="U2387" s="4"/>
      <c r="V2387" s="4"/>
      <c r="X2387" s="4"/>
      <c r="Y2387" s="4"/>
    </row>
    <row r="2388" spans="20:25" x14ac:dyDescent="0.3">
      <c r="T2388" s="12"/>
      <c r="U2388" s="4"/>
      <c r="V2388" s="4"/>
      <c r="X2388" s="4"/>
      <c r="Y2388" s="4"/>
    </row>
    <row r="2389" spans="20:25" x14ac:dyDescent="0.3">
      <c r="T2389" s="12"/>
      <c r="U2389" s="4"/>
      <c r="V2389" s="4"/>
      <c r="X2389" s="4"/>
      <c r="Y2389" s="4"/>
    </row>
    <row r="2390" spans="20:25" x14ac:dyDescent="0.3">
      <c r="T2390" s="12"/>
      <c r="U2390" s="4"/>
      <c r="V2390" s="4"/>
      <c r="X2390" s="4"/>
      <c r="Y2390" s="4"/>
    </row>
    <row r="2391" spans="20:25" x14ac:dyDescent="0.3">
      <c r="T2391" s="12"/>
      <c r="U2391" s="4"/>
      <c r="V2391" s="4"/>
      <c r="X2391" s="4"/>
      <c r="Y2391" s="4"/>
    </row>
    <row r="2392" spans="20:25" x14ac:dyDescent="0.3">
      <c r="T2392" s="12"/>
      <c r="U2392" s="4"/>
      <c r="V2392" s="4"/>
      <c r="X2392" s="4"/>
      <c r="Y2392" s="4"/>
    </row>
    <row r="2393" spans="20:25" x14ac:dyDescent="0.3">
      <c r="T2393" s="12"/>
      <c r="U2393" s="4"/>
      <c r="V2393" s="4"/>
      <c r="X2393" s="4"/>
      <c r="Y2393" s="4"/>
    </row>
    <row r="2394" spans="20:25" x14ac:dyDescent="0.3">
      <c r="T2394" s="12"/>
      <c r="U2394" s="4"/>
      <c r="V2394" s="4"/>
      <c r="X2394" s="4"/>
      <c r="Y2394" s="4"/>
    </row>
    <row r="2395" spans="20:25" x14ac:dyDescent="0.3">
      <c r="T2395" s="12"/>
      <c r="U2395" s="4"/>
      <c r="V2395" s="4"/>
      <c r="X2395" s="4"/>
      <c r="Y2395" s="4"/>
    </row>
    <row r="2396" spans="20:25" x14ac:dyDescent="0.3">
      <c r="T2396" s="12"/>
      <c r="U2396" s="4"/>
      <c r="V2396" s="4"/>
      <c r="X2396" s="4"/>
      <c r="Y2396" s="4"/>
    </row>
    <row r="2397" spans="20:25" x14ac:dyDescent="0.3">
      <c r="T2397" s="12"/>
      <c r="U2397" s="4"/>
      <c r="V2397" s="4"/>
      <c r="X2397" s="4"/>
      <c r="Y2397" s="4"/>
    </row>
    <row r="2398" spans="20:25" x14ac:dyDescent="0.3">
      <c r="T2398" s="12"/>
      <c r="U2398" s="4"/>
      <c r="V2398" s="4"/>
      <c r="X2398" s="4"/>
      <c r="Y2398" s="4"/>
    </row>
    <row r="2399" spans="20:25" x14ac:dyDescent="0.3">
      <c r="T2399" s="12"/>
      <c r="U2399" s="4"/>
      <c r="V2399" s="4"/>
      <c r="X2399" s="4"/>
      <c r="Y2399" s="4"/>
    </row>
    <row r="2400" spans="20:25" x14ac:dyDescent="0.3">
      <c r="T2400" s="12"/>
      <c r="U2400" s="4"/>
      <c r="V2400" s="4"/>
      <c r="X2400" s="4"/>
      <c r="Y2400" s="4"/>
    </row>
    <row r="2401" spans="20:25" x14ac:dyDescent="0.3">
      <c r="T2401" s="12"/>
      <c r="U2401" s="4"/>
      <c r="V2401" s="4"/>
      <c r="X2401" s="4"/>
      <c r="Y2401" s="4"/>
    </row>
    <row r="2402" spans="20:25" x14ac:dyDescent="0.3">
      <c r="T2402" s="12"/>
      <c r="U2402" s="4"/>
      <c r="V2402" s="4"/>
      <c r="X2402" s="4"/>
      <c r="Y2402" s="4"/>
    </row>
    <row r="2403" spans="20:25" x14ac:dyDescent="0.3">
      <c r="T2403" s="12"/>
      <c r="U2403" s="4"/>
      <c r="V2403" s="4"/>
      <c r="X2403" s="4"/>
      <c r="Y2403" s="4"/>
    </row>
    <row r="2404" spans="20:25" x14ac:dyDescent="0.3">
      <c r="T2404" s="12"/>
      <c r="U2404" s="4"/>
      <c r="V2404" s="4"/>
      <c r="X2404" s="4"/>
      <c r="Y2404" s="4"/>
    </row>
    <row r="2405" spans="20:25" x14ac:dyDescent="0.3">
      <c r="T2405" s="12"/>
      <c r="U2405" s="4"/>
      <c r="V2405" s="4"/>
      <c r="X2405" s="4"/>
      <c r="Y2405" s="4"/>
    </row>
    <row r="2406" spans="20:25" x14ac:dyDescent="0.3">
      <c r="T2406" s="12"/>
      <c r="U2406" s="4"/>
      <c r="V2406" s="4"/>
      <c r="X2406" s="4"/>
      <c r="Y2406" s="4"/>
    </row>
    <row r="2407" spans="20:25" x14ac:dyDescent="0.3">
      <c r="T2407" s="12"/>
      <c r="U2407" s="4"/>
      <c r="V2407" s="4"/>
      <c r="X2407" s="4"/>
      <c r="Y2407" s="4"/>
    </row>
    <row r="2408" spans="20:25" x14ac:dyDescent="0.3">
      <c r="T2408" s="12"/>
      <c r="U2408" s="4"/>
      <c r="V2408" s="4"/>
      <c r="X2408" s="4"/>
      <c r="Y2408" s="4"/>
    </row>
    <row r="2409" spans="20:25" x14ac:dyDescent="0.3">
      <c r="T2409" s="12"/>
      <c r="U2409" s="4"/>
      <c r="V2409" s="4"/>
      <c r="X2409" s="4"/>
      <c r="Y2409" s="4"/>
    </row>
    <row r="2410" spans="20:25" x14ac:dyDescent="0.3">
      <c r="T2410" s="12"/>
      <c r="U2410" s="4"/>
      <c r="V2410" s="4"/>
      <c r="X2410" s="4"/>
      <c r="Y2410" s="4"/>
    </row>
    <row r="2411" spans="20:25" x14ac:dyDescent="0.3">
      <c r="T2411" s="12"/>
      <c r="U2411" s="4"/>
      <c r="V2411" s="4"/>
      <c r="X2411" s="4"/>
      <c r="Y2411" s="4"/>
    </row>
    <row r="2412" spans="20:25" x14ac:dyDescent="0.3">
      <c r="T2412" s="12"/>
      <c r="U2412" s="4"/>
      <c r="V2412" s="4"/>
      <c r="X2412" s="4"/>
      <c r="Y2412" s="4"/>
    </row>
    <row r="2413" spans="20:25" x14ac:dyDescent="0.3">
      <c r="T2413" s="12"/>
      <c r="U2413" s="4"/>
      <c r="V2413" s="4"/>
      <c r="X2413" s="4"/>
      <c r="Y2413" s="4"/>
    </row>
    <row r="2414" spans="20:25" x14ac:dyDescent="0.3">
      <c r="T2414" s="12"/>
      <c r="U2414" s="4"/>
      <c r="V2414" s="4"/>
      <c r="X2414" s="4"/>
      <c r="Y2414" s="4"/>
    </row>
    <row r="2415" spans="20:25" x14ac:dyDescent="0.3">
      <c r="T2415" s="12"/>
      <c r="U2415" s="4"/>
      <c r="V2415" s="4"/>
      <c r="X2415" s="4"/>
      <c r="Y2415" s="4"/>
    </row>
    <row r="2416" spans="20:25" x14ac:dyDescent="0.3">
      <c r="T2416" s="12"/>
      <c r="U2416" s="4"/>
      <c r="V2416" s="4"/>
      <c r="X2416" s="4"/>
      <c r="Y2416" s="4"/>
    </row>
    <row r="2417" spans="20:25" x14ac:dyDescent="0.3">
      <c r="T2417" s="12"/>
      <c r="U2417" s="4"/>
      <c r="V2417" s="4"/>
      <c r="X2417" s="4"/>
      <c r="Y2417" s="4"/>
    </row>
    <row r="2418" spans="20:25" x14ac:dyDescent="0.3">
      <c r="T2418" s="12"/>
      <c r="U2418" s="4"/>
      <c r="V2418" s="4"/>
      <c r="X2418" s="4"/>
      <c r="Y2418" s="4"/>
    </row>
    <row r="2419" spans="20:25" x14ac:dyDescent="0.3">
      <c r="T2419" s="12"/>
      <c r="U2419" s="4"/>
      <c r="V2419" s="4"/>
      <c r="X2419" s="4"/>
      <c r="Y2419" s="4"/>
    </row>
    <row r="2420" spans="20:25" x14ac:dyDescent="0.3">
      <c r="T2420" s="12"/>
      <c r="U2420" s="4"/>
      <c r="V2420" s="4"/>
      <c r="X2420" s="4"/>
      <c r="Y2420" s="4"/>
    </row>
    <row r="2421" spans="20:25" x14ac:dyDescent="0.3">
      <c r="T2421" s="12"/>
      <c r="U2421" s="4"/>
      <c r="V2421" s="4"/>
      <c r="X2421" s="4"/>
      <c r="Y2421" s="4"/>
    </row>
    <row r="2422" spans="20:25" x14ac:dyDescent="0.3">
      <c r="T2422" s="12"/>
      <c r="U2422" s="4"/>
      <c r="V2422" s="4"/>
      <c r="X2422" s="4"/>
      <c r="Y2422" s="4"/>
    </row>
    <row r="2423" spans="20:25" x14ac:dyDescent="0.3">
      <c r="T2423" s="12"/>
      <c r="U2423" s="4"/>
      <c r="V2423" s="4"/>
      <c r="X2423" s="4"/>
      <c r="Y2423" s="4"/>
    </row>
    <row r="2424" spans="20:25" x14ac:dyDescent="0.3">
      <c r="T2424" s="12"/>
      <c r="U2424" s="4"/>
      <c r="V2424" s="4"/>
      <c r="X2424" s="4"/>
      <c r="Y2424" s="4"/>
    </row>
    <row r="2425" spans="20:25" x14ac:dyDescent="0.3">
      <c r="T2425" s="12"/>
      <c r="U2425" s="4"/>
      <c r="V2425" s="4"/>
      <c r="X2425" s="4"/>
      <c r="Y2425" s="4"/>
    </row>
    <row r="2426" spans="20:25" x14ac:dyDescent="0.3">
      <c r="T2426" s="12"/>
      <c r="U2426" s="4"/>
      <c r="V2426" s="4"/>
      <c r="X2426" s="4"/>
      <c r="Y2426" s="4"/>
    </row>
    <row r="2427" spans="20:25" x14ac:dyDescent="0.3">
      <c r="T2427" s="12"/>
      <c r="U2427" s="4"/>
      <c r="V2427" s="4"/>
      <c r="X2427" s="4"/>
      <c r="Y2427" s="4"/>
    </row>
    <row r="2428" spans="20:25" x14ac:dyDescent="0.3">
      <c r="T2428" s="12"/>
      <c r="U2428" s="4"/>
      <c r="V2428" s="4"/>
      <c r="X2428" s="4"/>
      <c r="Y2428" s="4"/>
    </row>
    <row r="2429" spans="20:25" x14ac:dyDescent="0.3">
      <c r="T2429" s="12"/>
      <c r="U2429" s="4"/>
      <c r="V2429" s="4"/>
      <c r="X2429" s="4"/>
      <c r="Y2429" s="4"/>
    </row>
    <row r="2430" spans="20:25" x14ac:dyDescent="0.3">
      <c r="T2430" s="12"/>
      <c r="U2430" s="4"/>
      <c r="V2430" s="4"/>
      <c r="X2430" s="4"/>
      <c r="Y2430" s="4"/>
    </row>
    <row r="2431" spans="20:25" x14ac:dyDescent="0.3">
      <c r="T2431" s="12"/>
      <c r="U2431" s="4"/>
      <c r="V2431" s="4"/>
      <c r="X2431" s="4"/>
      <c r="Y2431" s="4"/>
    </row>
    <row r="2432" spans="20:25" x14ac:dyDescent="0.3">
      <c r="T2432" s="12"/>
      <c r="U2432" s="4"/>
      <c r="V2432" s="4"/>
      <c r="X2432" s="4"/>
      <c r="Y2432" s="4"/>
    </row>
    <row r="2433" spans="20:25" x14ac:dyDescent="0.3">
      <c r="T2433" s="12"/>
      <c r="U2433" s="4"/>
      <c r="V2433" s="4"/>
      <c r="X2433" s="4"/>
      <c r="Y2433" s="4"/>
    </row>
    <row r="2434" spans="20:25" x14ac:dyDescent="0.3">
      <c r="T2434" s="12"/>
      <c r="U2434" s="4"/>
      <c r="V2434" s="4"/>
      <c r="X2434" s="4"/>
      <c r="Y2434" s="4"/>
    </row>
    <row r="2435" spans="20:25" x14ac:dyDescent="0.3">
      <c r="T2435" s="12"/>
      <c r="U2435" s="4"/>
      <c r="V2435" s="4"/>
      <c r="X2435" s="4"/>
      <c r="Y2435" s="4"/>
    </row>
    <row r="2436" spans="20:25" x14ac:dyDescent="0.3">
      <c r="T2436" s="12"/>
      <c r="U2436" s="4"/>
      <c r="V2436" s="4"/>
      <c r="X2436" s="4"/>
      <c r="Y2436" s="4"/>
    </row>
    <row r="2437" spans="20:25" x14ac:dyDescent="0.3">
      <c r="T2437" s="12"/>
      <c r="U2437" s="4"/>
      <c r="V2437" s="4"/>
      <c r="X2437" s="4"/>
      <c r="Y2437" s="4"/>
    </row>
    <row r="2438" spans="20:25" x14ac:dyDescent="0.3">
      <c r="T2438" s="12"/>
      <c r="U2438" s="4"/>
      <c r="V2438" s="4"/>
      <c r="X2438" s="4"/>
      <c r="Y2438" s="4"/>
    </row>
    <row r="2439" spans="20:25" x14ac:dyDescent="0.3">
      <c r="T2439" s="12"/>
      <c r="U2439" s="4"/>
      <c r="V2439" s="4"/>
      <c r="X2439" s="4"/>
      <c r="Y2439" s="4"/>
    </row>
    <row r="2440" spans="20:25" x14ac:dyDescent="0.3">
      <c r="T2440" s="12"/>
      <c r="U2440" s="4"/>
      <c r="V2440" s="4"/>
      <c r="X2440" s="4"/>
      <c r="Y2440" s="4"/>
    </row>
    <row r="2441" spans="20:25" x14ac:dyDescent="0.3">
      <c r="T2441" s="12"/>
      <c r="U2441" s="4"/>
      <c r="V2441" s="4"/>
      <c r="X2441" s="4"/>
      <c r="Y2441" s="4"/>
    </row>
    <row r="2442" spans="20:25" x14ac:dyDescent="0.3">
      <c r="T2442" s="12"/>
      <c r="U2442" s="4"/>
      <c r="V2442" s="4"/>
      <c r="X2442" s="4"/>
      <c r="Y2442" s="4"/>
    </row>
    <row r="2443" spans="20:25" x14ac:dyDescent="0.3">
      <c r="T2443" s="12"/>
      <c r="U2443" s="4"/>
      <c r="V2443" s="4"/>
      <c r="X2443" s="4"/>
      <c r="Y2443" s="4"/>
    </row>
    <row r="2444" spans="20:25" x14ac:dyDescent="0.3">
      <c r="T2444" s="12"/>
      <c r="U2444" s="4"/>
      <c r="V2444" s="4"/>
      <c r="X2444" s="4"/>
      <c r="Y2444" s="4"/>
    </row>
    <row r="2445" spans="20:25" x14ac:dyDescent="0.3">
      <c r="T2445" s="12"/>
      <c r="U2445" s="4"/>
      <c r="V2445" s="4"/>
      <c r="X2445" s="4"/>
      <c r="Y2445" s="4"/>
    </row>
    <row r="2446" spans="20:25" x14ac:dyDescent="0.3">
      <c r="T2446" s="12"/>
      <c r="U2446" s="4"/>
      <c r="V2446" s="4"/>
      <c r="X2446" s="4"/>
      <c r="Y2446" s="4"/>
    </row>
    <row r="2447" spans="20:25" x14ac:dyDescent="0.3">
      <c r="T2447" s="12"/>
      <c r="U2447" s="4"/>
      <c r="V2447" s="4"/>
      <c r="X2447" s="4"/>
      <c r="Y2447" s="4"/>
    </row>
    <row r="2448" spans="20:25" x14ac:dyDescent="0.3">
      <c r="T2448" s="12"/>
      <c r="U2448" s="4"/>
      <c r="V2448" s="4"/>
      <c r="X2448" s="4"/>
      <c r="Y2448" s="4"/>
    </row>
    <row r="2449" spans="20:25" x14ac:dyDescent="0.3">
      <c r="T2449" s="12"/>
      <c r="U2449" s="4"/>
      <c r="V2449" s="4"/>
      <c r="X2449" s="4"/>
      <c r="Y2449" s="4"/>
    </row>
    <row r="2450" spans="20:25" x14ac:dyDescent="0.3">
      <c r="T2450" s="12"/>
      <c r="U2450" s="4"/>
      <c r="V2450" s="4"/>
      <c r="X2450" s="4"/>
      <c r="Y2450" s="4"/>
    </row>
    <row r="2451" spans="20:25" x14ac:dyDescent="0.3">
      <c r="T2451" s="12"/>
      <c r="U2451" s="4"/>
      <c r="V2451" s="4"/>
      <c r="X2451" s="4"/>
      <c r="Y2451" s="4"/>
    </row>
    <row r="2452" spans="20:25" x14ac:dyDescent="0.3">
      <c r="T2452" s="12"/>
      <c r="U2452" s="4"/>
      <c r="V2452" s="4"/>
      <c r="X2452" s="4"/>
      <c r="Y2452" s="4"/>
    </row>
    <row r="2453" spans="20:25" x14ac:dyDescent="0.3">
      <c r="T2453" s="12"/>
      <c r="U2453" s="4"/>
      <c r="V2453" s="4"/>
      <c r="X2453" s="4"/>
      <c r="Y2453" s="4"/>
    </row>
    <row r="2454" spans="20:25" x14ac:dyDescent="0.3">
      <c r="T2454" s="12"/>
      <c r="U2454" s="4"/>
      <c r="V2454" s="4"/>
      <c r="X2454" s="4"/>
      <c r="Y2454" s="4"/>
    </row>
    <row r="2455" spans="20:25" x14ac:dyDescent="0.3">
      <c r="T2455" s="12"/>
      <c r="U2455" s="4"/>
      <c r="V2455" s="4"/>
      <c r="X2455" s="4"/>
      <c r="Y2455" s="4"/>
    </row>
    <row r="2456" spans="20:25" x14ac:dyDescent="0.3">
      <c r="T2456" s="12"/>
      <c r="U2456" s="4"/>
      <c r="V2456" s="4"/>
      <c r="X2456" s="4"/>
      <c r="Y2456" s="4"/>
    </row>
    <row r="2457" spans="20:25" x14ac:dyDescent="0.3">
      <c r="T2457" s="12"/>
      <c r="U2457" s="4"/>
      <c r="V2457" s="4"/>
      <c r="X2457" s="4"/>
      <c r="Y2457" s="4"/>
    </row>
    <row r="2458" spans="20:25" x14ac:dyDescent="0.3">
      <c r="T2458" s="12"/>
      <c r="U2458" s="4"/>
      <c r="V2458" s="4"/>
      <c r="X2458" s="4"/>
      <c r="Y2458" s="4"/>
    </row>
    <row r="2459" spans="20:25" x14ac:dyDescent="0.3">
      <c r="T2459" s="12"/>
      <c r="U2459" s="4"/>
      <c r="V2459" s="4"/>
      <c r="X2459" s="4"/>
      <c r="Y2459" s="4"/>
    </row>
    <row r="2460" spans="20:25" x14ac:dyDescent="0.3">
      <c r="T2460" s="12"/>
      <c r="U2460" s="4"/>
      <c r="V2460" s="4"/>
      <c r="X2460" s="4"/>
      <c r="Y2460" s="4"/>
    </row>
    <row r="2461" spans="20:25" x14ac:dyDescent="0.3">
      <c r="T2461" s="12"/>
      <c r="U2461" s="4"/>
      <c r="V2461" s="4"/>
      <c r="X2461" s="4"/>
      <c r="Y2461" s="4"/>
    </row>
    <row r="2462" spans="20:25" x14ac:dyDescent="0.3">
      <c r="T2462" s="12"/>
      <c r="U2462" s="4"/>
      <c r="V2462" s="4"/>
      <c r="X2462" s="4"/>
      <c r="Y2462" s="4"/>
    </row>
    <row r="2463" spans="20:25" x14ac:dyDescent="0.3">
      <c r="T2463" s="12"/>
      <c r="U2463" s="4"/>
      <c r="V2463" s="4"/>
      <c r="X2463" s="4"/>
      <c r="Y2463" s="4"/>
    </row>
    <row r="2464" spans="20:25" x14ac:dyDescent="0.3">
      <c r="T2464" s="12"/>
      <c r="U2464" s="4"/>
      <c r="V2464" s="4"/>
      <c r="X2464" s="4"/>
      <c r="Y2464" s="4"/>
    </row>
    <row r="2465" spans="20:25" x14ac:dyDescent="0.3">
      <c r="T2465" s="12"/>
      <c r="U2465" s="4"/>
      <c r="V2465" s="4"/>
      <c r="X2465" s="4"/>
      <c r="Y2465" s="4"/>
    </row>
    <row r="2466" spans="20:25" x14ac:dyDescent="0.3">
      <c r="T2466" s="12"/>
      <c r="U2466" s="4"/>
      <c r="V2466" s="4"/>
      <c r="X2466" s="4"/>
      <c r="Y2466" s="4"/>
    </row>
    <row r="2467" spans="20:25" x14ac:dyDescent="0.3">
      <c r="T2467" s="12"/>
      <c r="U2467" s="4"/>
      <c r="V2467" s="4"/>
      <c r="X2467" s="4"/>
      <c r="Y2467" s="4"/>
    </row>
    <row r="2468" spans="20:25" x14ac:dyDescent="0.3">
      <c r="T2468" s="12"/>
      <c r="U2468" s="4"/>
      <c r="V2468" s="4"/>
      <c r="X2468" s="4"/>
      <c r="Y2468" s="4"/>
    </row>
    <row r="2469" spans="20:25" x14ac:dyDescent="0.3">
      <c r="T2469" s="12"/>
      <c r="U2469" s="4"/>
      <c r="V2469" s="4"/>
      <c r="X2469" s="4"/>
      <c r="Y2469" s="4"/>
    </row>
    <row r="2470" spans="20:25" x14ac:dyDescent="0.3">
      <c r="T2470" s="12"/>
      <c r="U2470" s="4"/>
      <c r="V2470" s="4"/>
      <c r="X2470" s="4"/>
      <c r="Y2470" s="4"/>
    </row>
    <row r="2471" spans="20:25" x14ac:dyDescent="0.3">
      <c r="T2471" s="12"/>
      <c r="U2471" s="4"/>
      <c r="V2471" s="4"/>
      <c r="X2471" s="4"/>
      <c r="Y2471" s="4"/>
    </row>
    <row r="2472" spans="20:25" x14ac:dyDescent="0.3">
      <c r="T2472" s="12"/>
      <c r="U2472" s="4"/>
      <c r="V2472" s="4"/>
      <c r="X2472" s="4"/>
      <c r="Y2472" s="4"/>
    </row>
    <row r="2473" spans="20:25" x14ac:dyDescent="0.3">
      <c r="T2473" s="12"/>
      <c r="U2473" s="4"/>
      <c r="V2473" s="4"/>
      <c r="X2473" s="4"/>
      <c r="Y2473" s="4"/>
    </row>
    <row r="2474" spans="20:25" x14ac:dyDescent="0.3">
      <c r="T2474" s="12"/>
      <c r="U2474" s="4"/>
      <c r="V2474" s="4"/>
      <c r="X2474" s="4"/>
      <c r="Y2474" s="4"/>
    </row>
    <row r="2475" spans="20:25" x14ac:dyDescent="0.3">
      <c r="T2475" s="12"/>
      <c r="U2475" s="4"/>
      <c r="V2475" s="4"/>
      <c r="X2475" s="4"/>
      <c r="Y2475" s="4"/>
    </row>
    <row r="2476" spans="20:25" x14ac:dyDescent="0.3">
      <c r="T2476" s="12"/>
      <c r="U2476" s="4"/>
      <c r="V2476" s="4"/>
      <c r="X2476" s="4"/>
      <c r="Y2476" s="4"/>
    </row>
    <row r="2477" spans="20:25" x14ac:dyDescent="0.3">
      <c r="T2477" s="12"/>
      <c r="U2477" s="4"/>
      <c r="V2477" s="4"/>
      <c r="X2477" s="4"/>
      <c r="Y2477" s="4"/>
    </row>
    <row r="2478" spans="20:25" x14ac:dyDescent="0.3">
      <c r="T2478" s="12"/>
      <c r="U2478" s="4"/>
      <c r="V2478" s="4"/>
      <c r="X2478" s="4"/>
      <c r="Y2478" s="4"/>
    </row>
    <row r="2479" spans="20:25" x14ac:dyDescent="0.3">
      <c r="T2479" s="12"/>
      <c r="U2479" s="4"/>
      <c r="V2479" s="4"/>
      <c r="X2479" s="4"/>
      <c r="Y2479" s="4"/>
    </row>
    <row r="2480" spans="20:25" x14ac:dyDescent="0.3">
      <c r="T2480" s="12"/>
      <c r="U2480" s="4"/>
      <c r="V2480" s="4"/>
      <c r="X2480" s="4"/>
      <c r="Y2480" s="4"/>
    </row>
    <row r="2481" spans="20:25" x14ac:dyDescent="0.3">
      <c r="T2481" s="12"/>
      <c r="U2481" s="4"/>
      <c r="V2481" s="4"/>
      <c r="X2481" s="4"/>
      <c r="Y2481" s="4"/>
    </row>
    <row r="2482" spans="20:25" x14ac:dyDescent="0.3">
      <c r="T2482" s="12"/>
      <c r="U2482" s="4"/>
      <c r="V2482" s="4"/>
      <c r="X2482" s="4"/>
      <c r="Y2482" s="4"/>
    </row>
    <row r="2483" spans="20:25" x14ac:dyDescent="0.3">
      <c r="T2483" s="12"/>
      <c r="U2483" s="4"/>
      <c r="V2483" s="4"/>
      <c r="X2483" s="4"/>
      <c r="Y2483" s="4"/>
    </row>
    <row r="2484" spans="20:25" x14ac:dyDescent="0.3">
      <c r="T2484" s="12"/>
      <c r="U2484" s="4"/>
      <c r="V2484" s="4"/>
      <c r="X2484" s="4"/>
      <c r="Y2484" s="4"/>
    </row>
    <row r="2485" spans="20:25" x14ac:dyDescent="0.3">
      <c r="T2485" s="12"/>
      <c r="U2485" s="4"/>
      <c r="V2485" s="4"/>
      <c r="X2485" s="4"/>
      <c r="Y2485" s="4"/>
    </row>
    <row r="2486" spans="20:25" x14ac:dyDescent="0.3">
      <c r="T2486" s="12"/>
      <c r="U2486" s="4"/>
      <c r="V2486" s="4"/>
      <c r="X2486" s="4"/>
      <c r="Y2486" s="4"/>
    </row>
    <row r="2487" spans="20:25" x14ac:dyDescent="0.3">
      <c r="T2487" s="12"/>
      <c r="U2487" s="4"/>
      <c r="V2487" s="4"/>
      <c r="X2487" s="4"/>
      <c r="Y2487" s="4"/>
    </row>
    <row r="2488" spans="20:25" x14ac:dyDescent="0.3">
      <c r="T2488" s="12"/>
      <c r="U2488" s="4"/>
      <c r="V2488" s="4"/>
      <c r="X2488" s="4"/>
      <c r="Y2488" s="4"/>
    </row>
    <row r="2489" spans="20:25" x14ac:dyDescent="0.3">
      <c r="T2489" s="12"/>
      <c r="U2489" s="4"/>
      <c r="V2489" s="4"/>
      <c r="X2489" s="4"/>
      <c r="Y2489" s="4"/>
    </row>
    <row r="2490" spans="20:25" x14ac:dyDescent="0.3">
      <c r="T2490" s="12"/>
      <c r="U2490" s="4"/>
      <c r="V2490" s="4"/>
      <c r="X2490" s="4"/>
      <c r="Y2490" s="4"/>
    </row>
    <row r="2491" spans="20:25" x14ac:dyDescent="0.3">
      <c r="T2491" s="12"/>
      <c r="U2491" s="4"/>
      <c r="V2491" s="4"/>
      <c r="X2491" s="4"/>
      <c r="Y2491" s="4"/>
    </row>
    <row r="2492" spans="20:25" x14ac:dyDescent="0.3">
      <c r="T2492" s="12"/>
      <c r="U2492" s="4"/>
      <c r="V2492" s="4"/>
      <c r="X2492" s="4"/>
      <c r="Y2492" s="4"/>
    </row>
    <row r="2493" spans="20:25" x14ac:dyDescent="0.3">
      <c r="T2493" s="12"/>
      <c r="U2493" s="4"/>
      <c r="V2493" s="4"/>
      <c r="X2493" s="4"/>
      <c r="Y2493" s="4"/>
    </row>
    <row r="2494" spans="20:25" x14ac:dyDescent="0.3">
      <c r="T2494" s="12"/>
      <c r="U2494" s="4"/>
      <c r="V2494" s="4"/>
      <c r="X2494" s="4"/>
      <c r="Y2494" s="4"/>
    </row>
    <row r="2495" spans="20:25" x14ac:dyDescent="0.3">
      <c r="T2495" s="12"/>
      <c r="U2495" s="4"/>
      <c r="V2495" s="4"/>
      <c r="X2495" s="4"/>
      <c r="Y2495" s="4"/>
    </row>
    <row r="2496" spans="20:25" x14ac:dyDescent="0.3">
      <c r="T2496" s="12"/>
      <c r="U2496" s="4"/>
      <c r="V2496" s="4"/>
      <c r="X2496" s="4"/>
      <c r="Y2496" s="4"/>
    </row>
    <row r="2497" spans="20:25" x14ac:dyDescent="0.3">
      <c r="T2497" s="12"/>
      <c r="U2497" s="4"/>
      <c r="V2497" s="4"/>
      <c r="X2497" s="4"/>
      <c r="Y2497" s="4"/>
    </row>
    <row r="2498" spans="20:25" x14ac:dyDescent="0.3">
      <c r="T2498" s="12"/>
      <c r="U2498" s="4"/>
      <c r="V2498" s="4"/>
      <c r="X2498" s="4"/>
      <c r="Y2498" s="4"/>
    </row>
    <row r="2499" spans="20:25" x14ac:dyDescent="0.3">
      <c r="T2499" s="12"/>
      <c r="U2499" s="4"/>
      <c r="V2499" s="4"/>
      <c r="X2499" s="4"/>
      <c r="Y2499" s="4"/>
    </row>
    <row r="2500" spans="20:25" x14ac:dyDescent="0.3">
      <c r="T2500" s="12"/>
      <c r="U2500" s="4"/>
      <c r="V2500" s="4"/>
      <c r="X2500" s="4"/>
      <c r="Y2500" s="4"/>
    </row>
    <row r="2501" spans="20:25" x14ac:dyDescent="0.3">
      <c r="T2501" s="12"/>
      <c r="U2501" s="4"/>
      <c r="V2501" s="4"/>
      <c r="X2501" s="4"/>
      <c r="Y2501" s="4"/>
    </row>
    <row r="2502" spans="20:25" x14ac:dyDescent="0.3">
      <c r="T2502" s="12"/>
      <c r="U2502" s="4"/>
      <c r="V2502" s="4"/>
      <c r="X2502" s="4"/>
      <c r="Y2502" s="4"/>
    </row>
    <row r="2503" spans="20:25" x14ac:dyDescent="0.3">
      <c r="T2503" s="12"/>
      <c r="U2503" s="4"/>
      <c r="V2503" s="4"/>
      <c r="X2503" s="4"/>
      <c r="Y2503" s="4"/>
    </row>
    <row r="2504" spans="20:25" x14ac:dyDescent="0.3">
      <c r="T2504" s="12"/>
      <c r="U2504" s="4"/>
      <c r="V2504" s="4"/>
      <c r="X2504" s="4"/>
      <c r="Y2504" s="4"/>
    </row>
    <row r="2505" spans="20:25" x14ac:dyDescent="0.3">
      <c r="T2505" s="12"/>
      <c r="U2505" s="4"/>
      <c r="V2505" s="4"/>
      <c r="X2505" s="4"/>
      <c r="Y2505" s="4"/>
    </row>
    <row r="2506" spans="20:25" x14ac:dyDescent="0.3">
      <c r="T2506" s="12"/>
      <c r="U2506" s="4"/>
      <c r="V2506" s="4"/>
      <c r="X2506" s="4"/>
      <c r="Y2506" s="4"/>
    </row>
    <row r="2507" spans="20:25" x14ac:dyDescent="0.3">
      <c r="T2507" s="12"/>
      <c r="U2507" s="4"/>
      <c r="V2507" s="4"/>
      <c r="X2507" s="4"/>
      <c r="Y2507" s="4"/>
    </row>
    <row r="2508" spans="20:25" x14ac:dyDescent="0.3">
      <c r="T2508" s="12"/>
      <c r="U2508" s="4"/>
      <c r="V2508" s="4"/>
      <c r="X2508" s="4"/>
      <c r="Y2508" s="4"/>
    </row>
    <row r="2509" spans="20:25" x14ac:dyDescent="0.3">
      <c r="T2509" s="12"/>
      <c r="U2509" s="4"/>
      <c r="V2509" s="4"/>
      <c r="X2509" s="4"/>
      <c r="Y2509" s="4"/>
    </row>
    <row r="2510" spans="20:25" x14ac:dyDescent="0.3">
      <c r="T2510" s="12"/>
      <c r="U2510" s="4"/>
      <c r="V2510" s="4"/>
      <c r="X2510" s="4"/>
      <c r="Y2510" s="4"/>
    </row>
    <row r="2511" spans="20:25" x14ac:dyDescent="0.3">
      <c r="T2511" s="12"/>
      <c r="U2511" s="4"/>
      <c r="V2511" s="4"/>
      <c r="X2511" s="4"/>
      <c r="Y2511" s="4"/>
    </row>
    <row r="2512" spans="20:25" x14ac:dyDescent="0.3">
      <c r="T2512" s="12"/>
      <c r="U2512" s="4"/>
      <c r="V2512" s="4"/>
      <c r="X2512" s="4"/>
      <c r="Y2512" s="4"/>
    </row>
    <row r="2513" spans="20:25" x14ac:dyDescent="0.3">
      <c r="T2513" s="12"/>
      <c r="U2513" s="4"/>
      <c r="V2513" s="4"/>
      <c r="X2513" s="4"/>
      <c r="Y2513" s="4"/>
    </row>
    <row r="2514" spans="20:25" x14ac:dyDescent="0.3">
      <c r="T2514" s="12"/>
      <c r="U2514" s="4"/>
      <c r="V2514" s="4"/>
      <c r="X2514" s="4"/>
      <c r="Y2514" s="4"/>
    </row>
    <row r="2515" spans="20:25" x14ac:dyDescent="0.3">
      <c r="T2515" s="12"/>
      <c r="U2515" s="4"/>
      <c r="V2515" s="4"/>
      <c r="X2515" s="4"/>
      <c r="Y2515" s="4"/>
    </row>
    <row r="2516" spans="20:25" x14ac:dyDescent="0.3">
      <c r="T2516" s="12"/>
      <c r="U2516" s="4"/>
      <c r="V2516" s="4"/>
      <c r="X2516" s="4"/>
      <c r="Y2516" s="4"/>
    </row>
    <row r="2517" spans="20:25" x14ac:dyDescent="0.3">
      <c r="T2517" s="12"/>
      <c r="U2517" s="4"/>
      <c r="V2517" s="4"/>
      <c r="X2517" s="4"/>
      <c r="Y2517" s="4"/>
    </row>
    <row r="2518" spans="20:25" x14ac:dyDescent="0.3">
      <c r="T2518" s="12"/>
      <c r="U2518" s="4"/>
      <c r="V2518" s="4"/>
      <c r="X2518" s="4"/>
      <c r="Y2518" s="4"/>
    </row>
    <row r="2519" spans="20:25" x14ac:dyDescent="0.3">
      <c r="T2519" s="12"/>
      <c r="U2519" s="4"/>
      <c r="V2519" s="4"/>
      <c r="X2519" s="4"/>
      <c r="Y2519" s="4"/>
    </row>
    <row r="2520" spans="20:25" x14ac:dyDescent="0.3">
      <c r="T2520" s="12"/>
      <c r="U2520" s="4"/>
      <c r="V2520" s="4"/>
      <c r="X2520" s="4"/>
      <c r="Y2520" s="4"/>
    </row>
    <row r="2521" spans="20:25" x14ac:dyDescent="0.3">
      <c r="T2521" s="12"/>
      <c r="U2521" s="4"/>
      <c r="V2521" s="4"/>
      <c r="X2521" s="4"/>
      <c r="Y2521" s="4"/>
    </row>
    <row r="2522" spans="20:25" x14ac:dyDescent="0.3">
      <c r="T2522" s="12"/>
      <c r="U2522" s="4"/>
      <c r="V2522" s="4"/>
      <c r="X2522" s="4"/>
      <c r="Y2522" s="4"/>
    </row>
    <row r="2523" spans="20:25" x14ac:dyDescent="0.3">
      <c r="T2523" s="12"/>
      <c r="U2523" s="4"/>
      <c r="V2523" s="4"/>
      <c r="X2523" s="4"/>
      <c r="Y2523" s="4"/>
    </row>
    <row r="2524" spans="20:25" x14ac:dyDescent="0.3">
      <c r="T2524" s="12"/>
      <c r="U2524" s="4"/>
      <c r="V2524" s="4"/>
      <c r="X2524" s="4"/>
      <c r="Y2524" s="4"/>
    </row>
    <row r="2525" spans="20:25" x14ac:dyDescent="0.3">
      <c r="T2525" s="12"/>
      <c r="U2525" s="4"/>
      <c r="V2525" s="4"/>
      <c r="X2525" s="4"/>
      <c r="Y2525" s="4"/>
    </row>
    <row r="2526" spans="20:25" x14ac:dyDescent="0.3">
      <c r="T2526" s="12"/>
      <c r="U2526" s="4"/>
      <c r="V2526" s="4"/>
      <c r="X2526" s="4"/>
      <c r="Y2526" s="4"/>
    </row>
    <row r="2527" spans="20:25" x14ac:dyDescent="0.3">
      <c r="T2527" s="12"/>
      <c r="U2527" s="4"/>
      <c r="V2527" s="4"/>
      <c r="X2527" s="4"/>
      <c r="Y2527" s="4"/>
    </row>
    <row r="2528" spans="20:25" x14ac:dyDescent="0.3">
      <c r="T2528" s="12"/>
      <c r="U2528" s="4"/>
      <c r="V2528" s="4"/>
      <c r="X2528" s="4"/>
      <c r="Y2528" s="4"/>
    </row>
    <row r="2529" spans="20:25" x14ac:dyDescent="0.3">
      <c r="T2529" s="12"/>
      <c r="U2529" s="4"/>
      <c r="V2529" s="4"/>
      <c r="X2529" s="4"/>
      <c r="Y2529" s="4"/>
    </row>
    <row r="2530" spans="20:25" x14ac:dyDescent="0.3">
      <c r="T2530" s="12"/>
      <c r="U2530" s="4"/>
      <c r="V2530" s="4"/>
      <c r="X2530" s="4"/>
      <c r="Y2530" s="4"/>
    </row>
    <row r="2531" spans="20:25" x14ac:dyDescent="0.3">
      <c r="T2531" s="12"/>
      <c r="U2531" s="4"/>
      <c r="V2531" s="4"/>
      <c r="X2531" s="4"/>
      <c r="Y2531" s="4"/>
    </row>
    <row r="2532" spans="20:25" x14ac:dyDescent="0.3">
      <c r="T2532" s="12"/>
      <c r="U2532" s="4"/>
      <c r="V2532" s="4"/>
      <c r="X2532" s="4"/>
      <c r="Y2532" s="4"/>
    </row>
    <row r="2533" spans="20:25" x14ac:dyDescent="0.3">
      <c r="T2533" s="12"/>
      <c r="U2533" s="4"/>
      <c r="V2533" s="4"/>
      <c r="X2533" s="4"/>
      <c r="Y2533" s="4"/>
    </row>
    <row r="2534" spans="20:25" x14ac:dyDescent="0.3">
      <c r="T2534" s="12"/>
      <c r="U2534" s="4"/>
      <c r="V2534" s="4"/>
      <c r="X2534" s="4"/>
      <c r="Y2534" s="4"/>
    </row>
    <row r="2535" spans="20:25" x14ac:dyDescent="0.3">
      <c r="T2535" s="12"/>
      <c r="U2535" s="4"/>
      <c r="V2535" s="4"/>
      <c r="X2535" s="4"/>
      <c r="Y2535" s="4"/>
    </row>
    <row r="2536" spans="20:25" x14ac:dyDescent="0.3">
      <c r="T2536" s="12"/>
      <c r="U2536" s="4"/>
      <c r="V2536" s="4"/>
      <c r="X2536" s="4"/>
      <c r="Y2536" s="4"/>
    </row>
    <row r="2537" spans="20:25" x14ac:dyDescent="0.3">
      <c r="T2537" s="12"/>
      <c r="U2537" s="4"/>
      <c r="V2537" s="4"/>
      <c r="X2537" s="4"/>
      <c r="Y2537" s="4"/>
    </row>
    <row r="2538" spans="20:25" x14ac:dyDescent="0.3">
      <c r="T2538" s="12"/>
      <c r="U2538" s="4"/>
      <c r="V2538" s="4"/>
      <c r="X2538" s="4"/>
      <c r="Y2538" s="4"/>
    </row>
    <row r="2539" spans="20:25" x14ac:dyDescent="0.3">
      <c r="T2539" s="12"/>
      <c r="U2539" s="4"/>
      <c r="V2539" s="4"/>
      <c r="X2539" s="4"/>
      <c r="Y2539" s="4"/>
    </row>
    <row r="2540" spans="20:25" x14ac:dyDescent="0.3">
      <c r="T2540" s="12"/>
      <c r="U2540" s="4"/>
      <c r="V2540" s="4"/>
      <c r="X2540" s="4"/>
      <c r="Y2540" s="4"/>
    </row>
    <row r="2541" spans="20:25" x14ac:dyDescent="0.3">
      <c r="T2541" s="12"/>
      <c r="U2541" s="4"/>
      <c r="V2541" s="4"/>
      <c r="X2541" s="4"/>
      <c r="Y2541" s="4"/>
    </row>
    <row r="2542" spans="20:25" x14ac:dyDescent="0.3">
      <c r="T2542" s="12"/>
      <c r="U2542" s="4"/>
      <c r="V2542" s="4"/>
      <c r="X2542" s="4"/>
      <c r="Y2542" s="4"/>
    </row>
    <row r="2543" spans="20:25" x14ac:dyDescent="0.3">
      <c r="T2543" s="12"/>
      <c r="U2543" s="4"/>
      <c r="V2543" s="4"/>
      <c r="X2543" s="4"/>
      <c r="Y2543" s="4"/>
    </row>
    <row r="2544" spans="20:25" x14ac:dyDescent="0.3">
      <c r="T2544" s="12"/>
      <c r="U2544" s="4"/>
      <c r="V2544" s="4"/>
      <c r="X2544" s="4"/>
      <c r="Y2544" s="4"/>
    </row>
    <row r="2545" spans="20:25" x14ac:dyDescent="0.3">
      <c r="T2545" s="12"/>
      <c r="U2545" s="4"/>
      <c r="V2545" s="4"/>
      <c r="X2545" s="4"/>
      <c r="Y2545" s="4"/>
    </row>
    <row r="2546" spans="20:25" x14ac:dyDescent="0.3">
      <c r="T2546" s="12"/>
      <c r="U2546" s="4"/>
      <c r="V2546" s="4"/>
      <c r="X2546" s="4"/>
      <c r="Y2546" s="4"/>
    </row>
    <row r="2547" spans="20:25" x14ac:dyDescent="0.3">
      <c r="T2547" s="12"/>
      <c r="U2547" s="4"/>
      <c r="V2547" s="4"/>
      <c r="X2547" s="4"/>
      <c r="Y2547" s="4"/>
    </row>
    <row r="2548" spans="20:25" x14ac:dyDescent="0.3">
      <c r="T2548" s="12"/>
      <c r="U2548" s="4"/>
      <c r="V2548" s="4"/>
      <c r="X2548" s="4"/>
      <c r="Y2548" s="4"/>
    </row>
    <row r="2549" spans="20:25" x14ac:dyDescent="0.3">
      <c r="T2549" s="12"/>
      <c r="U2549" s="4"/>
      <c r="V2549" s="4"/>
      <c r="X2549" s="4"/>
      <c r="Y2549" s="4"/>
    </row>
    <row r="2550" spans="20:25" x14ac:dyDescent="0.3">
      <c r="T2550" s="12"/>
      <c r="U2550" s="4"/>
      <c r="V2550" s="4"/>
      <c r="X2550" s="4"/>
      <c r="Y2550" s="4"/>
    </row>
    <row r="2551" spans="20:25" x14ac:dyDescent="0.3">
      <c r="T2551" s="12"/>
      <c r="U2551" s="4"/>
      <c r="V2551" s="4"/>
      <c r="X2551" s="4"/>
      <c r="Y2551" s="4"/>
    </row>
    <row r="2552" spans="20:25" x14ac:dyDescent="0.3">
      <c r="T2552" s="12"/>
      <c r="U2552" s="4"/>
      <c r="V2552" s="4"/>
      <c r="X2552" s="4"/>
      <c r="Y2552" s="4"/>
    </row>
    <row r="2553" spans="20:25" x14ac:dyDescent="0.3">
      <c r="T2553" s="12"/>
      <c r="U2553" s="4"/>
      <c r="V2553" s="4"/>
      <c r="X2553" s="4"/>
      <c r="Y2553" s="4"/>
    </row>
    <row r="2554" spans="20:25" x14ac:dyDescent="0.3">
      <c r="T2554" s="12"/>
      <c r="U2554" s="4"/>
      <c r="V2554" s="4"/>
      <c r="X2554" s="4"/>
      <c r="Y2554" s="4"/>
    </row>
    <row r="2555" spans="20:25" x14ac:dyDescent="0.3">
      <c r="T2555" s="12"/>
      <c r="U2555" s="4"/>
      <c r="V2555" s="4"/>
      <c r="X2555" s="4"/>
      <c r="Y2555" s="4"/>
    </row>
    <row r="2556" spans="20:25" x14ac:dyDescent="0.3">
      <c r="T2556" s="12"/>
      <c r="U2556" s="4"/>
      <c r="V2556" s="4"/>
      <c r="X2556" s="4"/>
      <c r="Y2556" s="4"/>
    </row>
    <row r="2557" spans="20:25" x14ac:dyDescent="0.3">
      <c r="T2557" s="12"/>
      <c r="U2557" s="4"/>
      <c r="V2557" s="4"/>
      <c r="X2557" s="4"/>
      <c r="Y2557" s="4"/>
    </row>
    <row r="2558" spans="20:25" x14ac:dyDescent="0.3">
      <c r="T2558" s="12"/>
      <c r="U2558" s="4"/>
      <c r="V2558" s="4"/>
      <c r="X2558" s="4"/>
      <c r="Y2558" s="4"/>
    </row>
    <row r="2559" spans="20:25" x14ac:dyDescent="0.3">
      <c r="T2559" s="12"/>
      <c r="U2559" s="4"/>
      <c r="V2559" s="4"/>
      <c r="X2559" s="4"/>
      <c r="Y2559" s="4"/>
    </row>
    <row r="2560" spans="20:25" x14ac:dyDescent="0.3">
      <c r="T2560" s="12"/>
      <c r="U2560" s="4"/>
      <c r="V2560" s="4"/>
      <c r="X2560" s="4"/>
      <c r="Y2560" s="4"/>
    </row>
    <row r="2561" spans="20:25" x14ac:dyDescent="0.3">
      <c r="T2561" s="12"/>
      <c r="U2561" s="4"/>
      <c r="V2561" s="4"/>
      <c r="X2561" s="4"/>
      <c r="Y2561" s="4"/>
    </row>
    <row r="2562" spans="20:25" x14ac:dyDescent="0.3">
      <c r="T2562" s="12"/>
      <c r="U2562" s="4"/>
      <c r="V2562" s="4"/>
      <c r="X2562" s="4"/>
      <c r="Y2562" s="4"/>
    </row>
    <row r="2563" spans="20:25" x14ac:dyDescent="0.3">
      <c r="T2563" s="12"/>
      <c r="U2563" s="4"/>
      <c r="V2563" s="4"/>
      <c r="X2563" s="4"/>
      <c r="Y2563" s="4"/>
    </row>
    <row r="2564" spans="20:25" x14ac:dyDescent="0.3">
      <c r="T2564" s="12"/>
      <c r="U2564" s="4"/>
      <c r="V2564" s="4"/>
      <c r="X2564" s="4"/>
      <c r="Y2564" s="4"/>
    </row>
    <row r="2565" spans="20:25" x14ac:dyDescent="0.3">
      <c r="T2565" s="12"/>
      <c r="U2565" s="4"/>
      <c r="V2565" s="4"/>
      <c r="X2565" s="4"/>
      <c r="Y2565" s="4"/>
    </row>
    <row r="2566" spans="20:25" x14ac:dyDescent="0.3">
      <c r="T2566" s="12"/>
      <c r="U2566" s="4"/>
      <c r="V2566" s="4"/>
      <c r="X2566" s="4"/>
      <c r="Y2566" s="4"/>
    </row>
    <row r="2567" spans="20:25" x14ac:dyDescent="0.3">
      <c r="T2567" s="12"/>
      <c r="U2567" s="4"/>
      <c r="V2567" s="4"/>
      <c r="X2567" s="4"/>
      <c r="Y2567" s="4"/>
    </row>
    <row r="2568" spans="20:25" x14ac:dyDescent="0.3">
      <c r="T2568" s="12"/>
      <c r="U2568" s="4"/>
      <c r="V2568" s="4"/>
      <c r="X2568" s="4"/>
      <c r="Y2568" s="4"/>
    </row>
    <row r="2569" spans="20:25" x14ac:dyDescent="0.3">
      <c r="T2569" s="12"/>
      <c r="U2569" s="4"/>
      <c r="V2569" s="4"/>
      <c r="X2569" s="4"/>
      <c r="Y2569" s="4"/>
    </row>
    <row r="2570" spans="20:25" x14ac:dyDescent="0.3">
      <c r="T2570" s="12"/>
      <c r="U2570" s="4"/>
      <c r="V2570" s="4"/>
      <c r="X2570" s="4"/>
      <c r="Y2570" s="4"/>
    </row>
    <row r="2571" spans="20:25" x14ac:dyDescent="0.3">
      <c r="T2571" s="12"/>
      <c r="U2571" s="4"/>
      <c r="V2571" s="4"/>
      <c r="X2571" s="4"/>
      <c r="Y2571" s="4"/>
    </row>
    <row r="2572" spans="20:25" x14ac:dyDescent="0.3">
      <c r="T2572" s="12"/>
      <c r="U2572" s="4"/>
      <c r="V2572" s="4"/>
      <c r="X2572" s="4"/>
      <c r="Y2572" s="4"/>
    </row>
    <row r="2573" spans="20:25" x14ac:dyDescent="0.3">
      <c r="T2573" s="12"/>
      <c r="U2573" s="4"/>
      <c r="V2573" s="4"/>
      <c r="X2573" s="4"/>
      <c r="Y2573" s="4"/>
    </row>
    <row r="2574" spans="20:25" x14ac:dyDescent="0.3">
      <c r="T2574" s="12"/>
      <c r="U2574" s="4"/>
      <c r="V2574" s="4"/>
      <c r="X2574" s="4"/>
      <c r="Y2574" s="4"/>
    </row>
    <row r="2575" spans="20:25" x14ac:dyDescent="0.3">
      <c r="T2575" s="12"/>
      <c r="U2575" s="4"/>
      <c r="V2575" s="4"/>
      <c r="X2575" s="4"/>
      <c r="Y2575" s="4"/>
    </row>
    <row r="2576" spans="20:25" x14ac:dyDescent="0.3">
      <c r="T2576" s="12"/>
      <c r="U2576" s="4"/>
      <c r="V2576" s="4"/>
      <c r="X2576" s="4"/>
      <c r="Y2576" s="4"/>
    </row>
    <row r="2577" spans="20:25" x14ac:dyDescent="0.3">
      <c r="T2577" s="12"/>
      <c r="U2577" s="4"/>
      <c r="V2577" s="4"/>
      <c r="X2577" s="4"/>
      <c r="Y2577" s="4"/>
    </row>
    <row r="2578" spans="20:25" x14ac:dyDescent="0.3">
      <c r="T2578" s="12"/>
      <c r="U2578" s="4"/>
      <c r="V2578" s="4"/>
      <c r="X2578" s="4"/>
      <c r="Y2578" s="4"/>
    </row>
    <row r="2579" spans="20:25" x14ac:dyDescent="0.3">
      <c r="T2579" s="12"/>
      <c r="U2579" s="4"/>
      <c r="V2579" s="4"/>
      <c r="X2579" s="4"/>
      <c r="Y2579" s="4"/>
    </row>
    <row r="2580" spans="20:25" x14ac:dyDescent="0.3">
      <c r="T2580" s="12"/>
      <c r="U2580" s="4"/>
      <c r="V2580" s="4"/>
      <c r="X2580" s="4"/>
      <c r="Y2580" s="4"/>
    </row>
    <row r="2581" spans="20:25" x14ac:dyDescent="0.3">
      <c r="T2581" s="12"/>
      <c r="U2581" s="4"/>
      <c r="V2581" s="4"/>
      <c r="X2581" s="4"/>
      <c r="Y2581" s="4"/>
    </row>
    <row r="2582" spans="20:25" x14ac:dyDescent="0.3">
      <c r="T2582" s="12"/>
      <c r="U2582" s="4"/>
      <c r="V2582" s="4"/>
      <c r="X2582" s="4"/>
      <c r="Y2582" s="4"/>
    </row>
    <row r="2583" spans="20:25" x14ac:dyDescent="0.3">
      <c r="T2583" s="12"/>
      <c r="U2583" s="4"/>
      <c r="V2583" s="4"/>
      <c r="X2583" s="4"/>
      <c r="Y2583" s="4"/>
    </row>
    <row r="2584" spans="20:25" x14ac:dyDescent="0.3">
      <c r="T2584" s="12"/>
      <c r="U2584" s="4"/>
      <c r="V2584" s="4"/>
      <c r="X2584" s="4"/>
      <c r="Y2584" s="4"/>
    </row>
    <row r="2585" spans="20:25" x14ac:dyDescent="0.3">
      <c r="T2585" s="12"/>
      <c r="U2585" s="4"/>
      <c r="V2585" s="4"/>
      <c r="X2585" s="4"/>
      <c r="Y2585" s="4"/>
    </row>
    <row r="2586" spans="20:25" x14ac:dyDescent="0.3">
      <c r="T2586" s="12"/>
      <c r="U2586" s="4"/>
      <c r="V2586" s="4"/>
      <c r="X2586" s="4"/>
      <c r="Y2586" s="4"/>
    </row>
    <row r="2587" spans="20:25" x14ac:dyDescent="0.3">
      <c r="T2587" s="12"/>
      <c r="U2587" s="4"/>
      <c r="V2587" s="4"/>
      <c r="X2587" s="4"/>
      <c r="Y2587" s="4"/>
    </row>
    <row r="2588" spans="20:25" x14ac:dyDescent="0.3">
      <c r="T2588" s="12"/>
      <c r="U2588" s="4"/>
      <c r="V2588" s="4"/>
      <c r="X2588" s="4"/>
      <c r="Y2588" s="4"/>
    </row>
    <row r="2589" spans="20:25" x14ac:dyDescent="0.3">
      <c r="T2589" s="12"/>
      <c r="U2589" s="4"/>
      <c r="V2589" s="4"/>
      <c r="X2589" s="4"/>
      <c r="Y2589" s="4"/>
    </row>
    <row r="2590" spans="20:25" x14ac:dyDescent="0.3">
      <c r="T2590" s="12"/>
      <c r="U2590" s="4"/>
      <c r="V2590" s="4"/>
      <c r="X2590" s="4"/>
      <c r="Y2590" s="4"/>
    </row>
    <row r="2591" spans="20:25" x14ac:dyDescent="0.3">
      <c r="T2591" s="12"/>
      <c r="U2591" s="4"/>
      <c r="V2591" s="4"/>
      <c r="X2591" s="4"/>
      <c r="Y2591" s="4"/>
    </row>
    <row r="2592" spans="20:25" x14ac:dyDescent="0.3">
      <c r="T2592" s="12"/>
      <c r="U2592" s="4"/>
      <c r="V2592" s="4"/>
      <c r="X2592" s="4"/>
      <c r="Y2592" s="4"/>
    </row>
    <row r="2593" spans="20:25" x14ac:dyDescent="0.3">
      <c r="T2593" s="12"/>
      <c r="U2593" s="4"/>
      <c r="V2593" s="4"/>
      <c r="X2593" s="4"/>
      <c r="Y2593" s="4"/>
    </row>
    <row r="2594" spans="20:25" x14ac:dyDescent="0.3">
      <c r="T2594" s="12"/>
      <c r="U2594" s="4"/>
      <c r="V2594" s="4"/>
      <c r="X2594" s="4"/>
      <c r="Y2594" s="4"/>
    </row>
    <row r="2595" spans="20:25" x14ac:dyDescent="0.3">
      <c r="T2595" s="12"/>
      <c r="U2595" s="4"/>
      <c r="V2595" s="4"/>
      <c r="X2595" s="4"/>
      <c r="Y2595" s="4"/>
    </row>
    <row r="2596" spans="20:25" x14ac:dyDescent="0.3">
      <c r="T2596" s="12"/>
      <c r="U2596" s="4"/>
      <c r="V2596" s="4"/>
      <c r="X2596" s="4"/>
      <c r="Y2596" s="4"/>
    </row>
    <row r="2597" spans="20:25" x14ac:dyDescent="0.3">
      <c r="T2597" s="12"/>
      <c r="U2597" s="4"/>
      <c r="V2597" s="4"/>
      <c r="X2597" s="4"/>
      <c r="Y2597" s="4"/>
    </row>
    <row r="2598" spans="20:25" x14ac:dyDescent="0.3">
      <c r="T2598" s="12"/>
      <c r="U2598" s="4"/>
      <c r="V2598" s="4"/>
      <c r="X2598" s="4"/>
      <c r="Y2598" s="4"/>
    </row>
    <row r="2599" spans="20:25" x14ac:dyDescent="0.3">
      <c r="T2599" s="12"/>
      <c r="U2599" s="4"/>
      <c r="V2599" s="4"/>
      <c r="X2599" s="4"/>
      <c r="Y2599" s="4"/>
    </row>
    <row r="2600" spans="20:25" x14ac:dyDescent="0.3">
      <c r="T2600" s="12"/>
      <c r="U2600" s="4"/>
      <c r="V2600" s="4"/>
      <c r="X2600" s="4"/>
      <c r="Y2600" s="4"/>
    </row>
    <row r="2601" spans="20:25" x14ac:dyDescent="0.3">
      <c r="T2601" s="12"/>
      <c r="U2601" s="4"/>
      <c r="V2601" s="4"/>
      <c r="X2601" s="4"/>
      <c r="Y2601" s="4"/>
    </row>
    <row r="2602" spans="20:25" x14ac:dyDescent="0.3">
      <c r="T2602" s="12"/>
      <c r="U2602" s="4"/>
      <c r="V2602" s="4"/>
      <c r="X2602" s="4"/>
      <c r="Y2602" s="4"/>
    </row>
    <row r="2603" spans="20:25" x14ac:dyDescent="0.3">
      <c r="T2603" s="12"/>
      <c r="U2603" s="4"/>
      <c r="V2603" s="4"/>
      <c r="X2603" s="4"/>
      <c r="Y2603" s="4"/>
    </row>
    <row r="2604" spans="20:25" x14ac:dyDescent="0.3">
      <c r="T2604" s="12"/>
      <c r="U2604" s="4"/>
      <c r="V2604" s="4"/>
      <c r="X2604" s="4"/>
      <c r="Y2604" s="4"/>
    </row>
    <row r="2605" spans="20:25" x14ac:dyDescent="0.3">
      <c r="T2605" s="12"/>
      <c r="U2605" s="4"/>
      <c r="V2605" s="4"/>
      <c r="X2605" s="4"/>
      <c r="Y2605" s="4"/>
    </row>
    <row r="2606" spans="20:25" x14ac:dyDescent="0.3">
      <c r="T2606" s="12"/>
      <c r="U2606" s="4"/>
      <c r="V2606" s="4"/>
      <c r="X2606" s="4"/>
      <c r="Y2606" s="4"/>
    </row>
    <row r="2607" spans="20:25" x14ac:dyDescent="0.3">
      <c r="T2607" s="12"/>
      <c r="U2607" s="4"/>
      <c r="V2607" s="4"/>
      <c r="X2607" s="4"/>
      <c r="Y2607" s="4"/>
    </row>
    <row r="2608" spans="20:25" x14ac:dyDescent="0.3">
      <c r="T2608" s="12"/>
      <c r="U2608" s="4"/>
      <c r="V2608" s="4"/>
      <c r="X2608" s="4"/>
      <c r="Y2608" s="4"/>
    </row>
    <row r="2609" spans="20:25" x14ac:dyDescent="0.3">
      <c r="T2609" s="12"/>
      <c r="U2609" s="4"/>
      <c r="V2609" s="4"/>
      <c r="X2609" s="4"/>
      <c r="Y2609" s="4"/>
    </row>
    <row r="2610" spans="20:25" x14ac:dyDescent="0.3">
      <c r="T2610" s="12"/>
      <c r="U2610" s="4"/>
      <c r="V2610" s="4"/>
      <c r="X2610" s="4"/>
      <c r="Y2610" s="4"/>
    </row>
    <row r="2611" spans="20:25" x14ac:dyDescent="0.3">
      <c r="T2611" s="12"/>
      <c r="U2611" s="4"/>
      <c r="V2611" s="4"/>
      <c r="X2611" s="4"/>
      <c r="Y2611" s="4"/>
    </row>
    <row r="2612" spans="20:25" x14ac:dyDescent="0.3">
      <c r="T2612" s="12"/>
      <c r="U2612" s="4"/>
      <c r="V2612" s="4"/>
      <c r="X2612" s="4"/>
      <c r="Y2612" s="4"/>
    </row>
    <row r="2613" spans="20:25" x14ac:dyDescent="0.3">
      <c r="T2613" s="12"/>
      <c r="U2613" s="4"/>
      <c r="V2613" s="4"/>
      <c r="X2613" s="4"/>
      <c r="Y2613" s="4"/>
    </row>
    <row r="2614" spans="20:25" x14ac:dyDescent="0.3">
      <c r="T2614" s="12"/>
      <c r="U2614" s="4"/>
      <c r="V2614" s="4"/>
      <c r="X2614" s="4"/>
      <c r="Y2614" s="4"/>
    </row>
    <row r="2615" spans="20:25" x14ac:dyDescent="0.3">
      <c r="T2615" s="12"/>
      <c r="U2615" s="4"/>
      <c r="V2615" s="4"/>
      <c r="X2615" s="4"/>
      <c r="Y2615" s="4"/>
    </row>
    <row r="2616" spans="20:25" x14ac:dyDescent="0.3">
      <c r="T2616" s="12"/>
      <c r="U2616" s="4"/>
      <c r="V2616" s="4"/>
      <c r="X2616" s="4"/>
      <c r="Y2616" s="4"/>
    </row>
    <row r="2617" spans="20:25" x14ac:dyDescent="0.3">
      <c r="T2617" s="12"/>
      <c r="U2617" s="4"/>
      <c r="V2617" s="4"/>
      <c r="X2617" s="4"/>
      <c r="Y2617" s="4"/>
    </row>
    <row r="2618" spans="20:25" x14ac:dyDescent="0.3">
      <c r="T2618" s="12"/>
      <c r="U2618" s="4"/>
      <c r="V2618" s="4"/>
      <c r="X2618" s="4"/>
      <c r="Y2618" s="4"/>
    </row>
    <row r="2619" spans="20:25" x14ac:dyDescent="0.3">
      <c r="T2619" s="12"/>
      <c r="U2619" s="4"/>
      <c r="V2619" s="4"/>
      <c r="X2619" s="4"/>
      <c r="Y2619" s="4"/>
    </row>
    <row r="2620" spans="20:25" x14ac:dyDescent="0.3">
      <c r="T2620" s="12"/>
      <c r="U2620" s="4"/>
      <c r="V2620" s="4"/>
      <c r="X2620" s="4"/>
      <c r="Y2620" s="4"/>
    </row>
    <row r="2621" spans="20:25" x14ac:dyDescent="0.3">
      <c r="T2621" s="12"/>
      <c r="U2621" s="4"/>
      <c r="V2621" s="4"/>
      <c r="X2621" s="4"/>
      <c r="Y2621" s="4"/>
    </row>
    <row r="2622" spans="20:25" x14ac:dyDescent="0.3">
      <c r="T2622" s="12"/>
      <c r="U2622" s="4"/>
      <c r="V2622" s="4"/>
      <c r="X2622" s="4"/>
      <c r="Y2622" s="4"/>
    </row>
    <row r="2623" spans="20:25" x14ac:dyDescent="0.3">
      <c r="T2623" s="12"/>
      <c r="U2623" s="4"/>
      <c r="V2623" s="4"/>
      <c r="X2623" s="4"/>
      <c r="Y2623" s="4"/>
    </row>
    <row r="2624" spans="20:25" x14ac:dyDescent="0.3">
      <c r="T2624" s="12"/>
      <c r="U2624" s="4"/>
      <c r="V2624" s="4"/>
      <c r="X2624" s="4"/>
      <c r="Y2624" s="4"/>
    </row>
    <row r="2625" spans="20:25" x14ac:dyDescent="0.3">
      <c r="T2625" s="12"/>
      <c r="U2625" s="4"/>
      <c r="V2625" s="4"/>
      <c r="X2625" s="4"/>
      <c r="Y2625" s="4"/>
    </row>
    <row r="2626" spans="20:25" x14ac:dyDescent="0.3">
      <c r="T2626" s="12"/>
      <c r="U2626" s="4"/>
      <c r="V2626" s="4"/>
      <c r="X2626" s="4"/>
      <c r="Y2626" s="4"/>
    </row>
    <row r="2627" spans="20:25" x14ac:dyDescent="0.3">
      <c r="T2627" s="12"/>
      <c r="U2627" s="4"/>
      <c r="V2627" s="4"/>
      <c r="X2627" s="4"/>
      <c r="Y2627" s="4"/>
    </row>
    <row r="2628" spans="20:25" x14ac:dyDescent="0.3">
      <c r="T2628" s="12"/>
      <c r="U2628" s="4"/>
      <c r="V2628" s="4"/>
      <c r="X2628" s="4"/>
      <c r="Y2628" s="4"/>
    </row>
    <row r="2629" spans="20:25" x14ac:dyDescent="0.3">
      <c r="T2629" s="12"/>
      <c r="U2629" s="4"/>
      <c r="V2629" s="4"/>
      <c r="X2629" s="4"/>
      <c r="Y2629" s="4"/>
    </row>
    <row r="2630" spans="20:25" x14ac:dyDescent="0.3">
      <c r="T2630" s="12"/>
      <c r="U2630" s="4"/>
      <c r="V2630" s="4"/>
      <c r="X2630" s="4"/>
      <c r="Y2630" s="4"/>
    </row>
    <row r="2631" spans="20:25" x14ac:dyDescent="0.3">
      <c r="T2631" s="12"/>
      <c r="U2631" s="4"/>
      <c r="V2631" s="4"/>
      <c r="X2631" s="4"/>
      <c r="Y2631" s="4"/>
    </row>
    <row r="2632" spans="20:25" x14ac:dyDescent="0.3">
      <c r="T2632" s="12"/>
      <c r="U2632" s="4"/>
      <c r="V2632" s="4"/>
      <c r="X2632" s="4"/>
      <c r="Y2632" s="4"/>
    </row>
    <row r="2633" spans="20:25" x14ac:dyDescent="0.3">
      <c r="T2633" s="12"/>
      <c r="U2633" s="4"/>
      <c r="V2633" s="4"/>
      <c r="X2633" s="4"/>
      <c r="Y2633" s="4"/>
    </row>
    <row r="2634" spans="20:25" x14ac:dyDescent="0.3">
      <c r="T2634" s="12"/>
      <c r="U2634" s="4"/>
      <c r="V2634" s="4"/>
      <c r="X2634" s="4"/>
      <c r="Y2634" s="4"/>
    </row>
    <row r="2635" spans="20:25" x14ac:dyDescent="0.3">
      <c r="T2635" s="12"/>
      <c r="U2635" s="4"/>
      <c r="V2635" s="4"/>
      <c r="X2635" s="4"/>
      <c r="Y2635" s="4"/>
    </row>
    <row r="2636" spans="20:25" x14ac:dyDescent="0.3">
      <c r="T2636" s="12"/>
      <c r="U2636" s="4"/>
      <c r="V2636" s="4"/>
      <c r="X2636" s="4"/>
      <c r="Y2636" s="4"/>
    </row>
    <row r="2637" spans="20:25" x14ac:dyDescent="0.3">
      <c r="T2637" s="12"/>
      <c r="U2637" s="4"/>
      <c r="V2637" s="4"/>
      <c r="X2637" s="4"/>
      <c r="Y2637" s="4"/>
    </row>
    <row r="2638" spans="20:25" x14ac:dyDescent="0.3">
      <c r="T2638" s="12"/>
      <c r="U2638" s="4"/>
      <c r="V2638" s="4"/>
      <c r="X2638" s="4"/>
      <c r="Y2638" s="4"/>
    </row>
    <row r="2639" spans="20:25" x14ac:dyDescent="0.3">
      <c r="T2639" s="12"/>
      <c r="U2639" s="4"/>
      <c r="V2639" s="4"/>
      <c r="X2639" s="4"/>
      <c r="Y2639" s="4"/>
    </row>
    <row r="2640" spans="20:25" x14ac:dyDescent="0.3">
      <c r="T2640" s="12"/>
      <c r="U2640" s="4"/>
      <c r="V2640" s="4"/>
      <c r="X2640" s="4"/>
      <c r="Y2640" s="4"/>
    </row>
    <row r="2641" spans="20:25" x14ac:dyDescent="0.3">
      <c r="T2641" s="12"/>
      <c r="U2641" s="4"/>
      <c r="V2641" s="4"/>
      <c r="X2641" s="4"/>
      <c r="Y2641" s="4"/>
    </row>
    <row r="2642" spans="20:25" x14ac:dyDescent="0.3">
      <c r="T2642" s="12"/>
      <c r="U2642" s="4"/>
      <c r="V2642" s="4"/>
      <c r="X2642" s="4"/>
      <c r="Y2642" s="4"/>
    </row>
    <row r="2643" spans="20:25" x14ac:dyDescent="0.3">
      <c r="T2643" s="12"/>
      <c r="U2643" s="4"/>
      <c r="V2643" s="4"/>
      <c r="X2643" s="4"/>
      <c r="Y2643" s="4"/>
    </row>
    <row r="2644" spans="20:25" x14ac:dyDescent="0.3">
      <c r="T2644" s="12"/>
      <c r="U2644" s="4"/>
      <c r="V2644" s="4"/>
      <c r="X2644" s="4"/>
      <c r="Y2644" s="4"/>
    </row>
    <row r="2645" spans="20:25" x14ac:dyDescent="0.3">
      <c r="T2645" s="12"/>
      <c r="U2645" s="4"/>
      <c r="V2645" s="4"/>
      <c r="X2645" s="4"/>
      <c r="Y2645" s="4"/>
    </row>
    <row r="2646" spans="20:25" x14ac:dyDescent="0.3">
      <c r="T2646" s="12"/>
      <c r="U2646" s="4"/>
      <c r="V2646" s="4"/>
      <c r="X2646" s="4"/>
      <c r="Y2646" s="4"/>
    </row>
    <row r="2647" spans="20:25" x14ac:dyDescent="0.3">
      <c r="T2647" s="12"/>
      <c r="U2647" s="4"/>
      <c r="V2647" s="4"/>
      <c r="X2647" s="4"/>
      <c r="Y2647" s="4"/>
    </row>
    <row r="2648" spans="20:25" x14ac:dyDescent="0.3">
      <c r="T2648" s="12"/>
      <c r="U2648" s="4"/>
      <c r="V2648" s="4"/>
      <c r="X2648" s="4"/>
      <c r="Y2648" s="4"/>
    </row>
    <row r="2649" spans="20:25" x14ac:dyDescent="0.3">
      <c r="T2649" s="12"/>
      <c r="U2649" s="4"/>
      <c r="V2649" s="4"/>
      <c r="X2649" s="4"/>
      <c r="Y2649" s="4"/>
    </row>
    <row r="2650" spans="20:25" x14ac:dyDescent="0.3">
      <c r="T2650" s="12"/>
      <c r="U2650" s="4"/>
      <c r="V2650" s="4"/>
      <c r="X2650" s="4"/>
      <c r="Y2650" s="4"/>
    </row>
    <row r="2651" spans="20:25" x14ac:dyDescent="0.3">
      <c r="T2651" s="12"/>
      <c r="U2651" s="4"/>
      <c r="V2651" s="4"/>
      <c r="X2651" s="4"/>
      <c r="Y2651" s="4"/>
    </row>
    <row r="2652" spans="20:25" x14ac:dyDescent="0.3">
      <c r="T2652" s="12"/>
      <c r="U2652" s="4"/>
      <c r="V2652" s="4"/>
      <c r="X2652" s="4"/>
      <c r="Y2652" s="4"/>
    </row>
    <row r="2653" spans="20:25" x14ac:dyDescent="0.3">
      <c r="T2653" s="12"/>
      <c r="U2653" s="4"/>
      <c r="V2653" s="4"/>
      <c r="X2653" s="4"/>
      <c r="Y2653" s="4"/>
    </row>
    <row r="2654" spans="20:25" x14ac:dyDescent="0.3">
      <c r="T2654" s="12"/>
      <c r="U2654" s="4"/>
      <c r="V2654" s="4"/>
      <c r="X2654" s="4"/>
      <c r="Y2654" s="4"/>
    </row>
    <row r="2655" spans="20:25" x14ac:dyDescent="0.3">
      <c r="T2655" s="12"/>
      <c r="U2655" s="4"/>
      <c r="V2655" s="4"/>
      <c r="X2655" s="4"/>
      <c r="Y2655" s="4"/>
    </row>
    <row r="2656" spans="20:25" x14ac:dyDescent="0.3">
      <c r="T2656" s="12"/>
      <c r="U2656" s="4"/>
      <c r="V2656" s="4"/>
      <c r="X2656" s="4"/>
      <c r="Y2656" s="4"/>
    </row>
    <row r="2657" spans="20:25" x14ac:dyDescent="0.3">
      <c r="T2657" s="12"/>
      <c r="U2657" s="4"/>
      <c r="V2657" s="4"/>
      <c r="X2657" s="4"/>
      <c r="Y2657" s="4"/>
    </row>
    <row r="2658" spans="20:25" x14ac:dyDescent="0.3">
      <c r="T2658" s="12"/>
      <c r="U2658" s="4"/>
      <c r="V2658" s="4"/>
      <c r="X2658" s="4"/>
      <c r="Y2658" s="4"/>
    </row>
    <row r="2659" spans="20:25" x14ac:dyDescent="0.3">
      <c r="T2659" s="12"/>
      <c r="U2659" s="4"/>
      <c r="V2659" s="4"/>
      <c r="X2659" s="4"/>
      <c r="Y2659" s="4"/>
    </row>
    <row r="2660" spans="20:25" x14ac:dyDescent="0.3">
      <c r="T2660" s="12"/>
      <c r="U2660" s="4"/>
      <c r="V2660" s="4"/>
      <c r="X2660" s="4"/>
      <c r="Y2660" s="4"/>
    </row>
    <row r="2661" spans="20:25" x14ac:dyDescent="0.3">
      <c r="T2661" s="12"/>
      <c r="U2661" s="4"/>
      <c r="V2661" s="4"/>
      <c r="X2661" s="4"/>
      <c r="Y2661" s="4"/>
    </row>
    <row r="2662" spans="20:25" x14ac:dyDescent="0.3">
      <c r="T2662" s="12"/>
      <c r="U2662" s="4"/>
      <c r="V2662" s="4"/>
      <c r="X2662" s="4"/>
      <c r="Y2662" s="4"/>
    </row>
    <row r="2663" spans="20:25" x14ac:dyDescent="0.3">
      <c r="T2663" s="12"/>
      <c r="U2663" s="4"/>
      <c r="V2663" s="4"/>
      <c r="X2663" s="4"/>
      <c r="Y2663" s="4"/>
    </row>
    <row r="2664" spans="20:25" x14ac:dyDescent="0.3">
      <c r="T2664" s="12"/>
      <c r="U2664" s="4"/>
      <c r="V2664" s="4"/>
      <c r="X2664" s="4"/>
      <c r="Y2664" s="4"/>
    </row>
    <row r="2665" spans="20:25" x14ac:dyDescent="0.3">
      <c r="T2665" s="12"/>
      <c r="U2665" s="4"/>
      <c r="V2665" s="4"/>
      <c r="X2665" s="4"/>
      <c r="Y2665" s="4"/>
    </row>
    <row r="2666" spans="20:25" x14ac:dyDescent="0.3">
      <c r="T2666" s="12"/>
      <c r="U2666" s="4"/>
      <c r="V2666" s="4"/>
      <c r="X2666" s="4"/>
      <c r="Y2666" s="4"/>
    </row>
    <row r="2667" spans="20:25" x14ac:dyDescent="0.3">
      <c r="T2667" s="12"/>
      <c r="U2667" s="4"/>
      <c r="V2667" s="4"/>
      <c r="X2667" s="4"/>
      <c r="Y2667" s="4"/>
    </row>
    <row r="2668" spans="20:25" x14ac:dyDescent="0.3">
      <c r="T2668" s="12"/>
      <c r="U2668" s="4"/>
      <c r="V2668" s="4"/>
      <c r="X2668" s="4"/>
      <c r="Y2668" s="4"/>
    </row>
    <row r="2669" spans="20:25" x14ac:dyDescent="0.3">
      <c r="T2669" s="12"/>
      <c r="U2669" s="4"/>
      <c r="V2669" s="4"/>
      <c r="X2669" s="4"/>
      <c r="Y2669" s="4"/>
    </row>
    <row r="2670" spans="20:25" x14ac:dyDescent="0.3">
      <c r="T2670" s="12"/>
      <c r="U2670" s="4"/>
      <c r="V2670" s="4"/>
      <c r="X2670" s="4"/>
      <c r="Y2670" s="4"/>
    </row>
    <row r="2671" spans="20:25" x14ac:dyDescent="0.3">
      <c r="T2671" s="12"/>
      <c r="U2671" s="4"/>
      <c r="V2671" s="4"/>
      <c r="X2671" s="4"/>
      <c r="Y2671" s="4"/>
    </row>
    <row r="2672" spans="20:25" x14ac:dyDescent="0.3">
      <c r="T2672" s="12"/>
      <c r="U2672" s="4"/>
      <c r="V2672" s="4"/>
      <c r="X2672" s="4"/>
      <c r="Y2672" s="4"/>
    </row>
    <row r="2673" spans="20:25" x14ac:dyDescent="0.3">
      <c r="T2673" s="12"/>
      <c r="U2673" s="4"/>
      <c r="V2673" s="4"/>
      <c r="X2673" s="4"/>
      <c r="Y2673" s="4"/>
    </row>
    <row r="2674" spans="20:25" x14ac:dyDescent="0.3">
      <c r="T2674" s="12"/>
      <c r="U2674" s="4"/>
      <c r="V2674" s="4"/>
      <c r="X2674" s="4"/>
      <c r="Y2674" s="4"/>
    </row>
    <row r="2675" spans="20:25" x14ac:dyDescent="0.3">
      <c r="T2675" s="12"/>
      <c r="U2675" s="4"/>
      <c r="V2675" s="4"/>
      <c r="X2675" s="4"/>
      <c r="Y2675" s="4"/>
    </row>
    <row r="2676" spans="20:25" x14ac:dyDescent="0.3">
      <c r="T2676" s="12"/>
      <c r="U2676" s="4"/>
      <c r="V2676" s="4"/>
      <c r="X2676" s="4"/>
      <c r="Y2676" s="4"/>
    </row>
    <row r="2677" spans="20:25" x14ac:dyDescent="0.3">
      <c r="T2677" s="12"/>
      <c r="U2677" s="4"/>
      <c r="V2677" s="4"/>
      <c r="X2677" s="4"/>
      <c r="Y2677" s="4"/>
    </row>
    <row r="2678" spans="20:25" x14ac:dyDescent="0.3">
      <c r="T2678" s="12"/>
      <c r="U2678" s="4"/>
      <c r="V2678" s="4"/>
      <c r="X2678" s="4"/>
      <c r="Y2678" s="4"/>
    </row>
    <row r="2679" spans="20:25" x14ac:dyDescent="0.3">
      <c r="T2679" s="12"/>
      <c r="U2679" s="4"/>
      <c r="V2679" s="4"/>
      <c r="X2679" s="4"/>
      <c r="Y2679" s="4"/>
    </row>
    <row r="2680" spans="20:25" x14ac:dyDescent="0.3">
      <c r="T2680" s="12"/>
      <c r="U2680" s="4"/>
      <c r="V2680" s="4"/>
      <c r="X2680" s="4"/>
      <c r="Y2680" s="4"/>
    </row>
    <row r="2681" spans="20:25" x14ac:dyDescent="0.3">
      <c r="T2681" s="12"/>
      <c r="U2681" s="4"/>
      <c r="V2681" s="4"/>
      <c r="X2681" s="4"/>
      <c r="Y2681" s="4"/>
    </row>
    <row r="2682" spans="20:25" x14ac:dyDescent="0.3">
      <c r="T2682" s="12"/>
      <c r="U2682" s="4"/>
      <c r="V2682" s="4"/>
      <c r="X2682" s="4"/>
      <c r="Y2682" s="4"/>
    </row>
    <row r="2683" spans="20:25" x14ac:dyDescent="0.3">
      <c r="T2683" s="12"/>
      <c r="U2683" s="4"/>
      <c r="V2683" s="4"/>
      <c r="X2683" s="4"/>
      <c r="Y2683" s="4"/>
    </row>
    <row r="2684" spans="20:25" x14ac:dyDescent="0.3">
      <c r="T2684" s="12"/>
      <c r="U2684" s="4"/>
      <c r="V2684" s="4"/>
      <c r="X2684" s="4"/>
      <c r="Y2684" s="4"/>
    </row>
    <row r="2685" spans="20:25" x14ac:dyDescent="0.3">
      <c r="T2685" s="12"/>
      <c r="U2685" s="4"/>
      <c r="V2685" s="4"/>
      <c r="X2685" s="4"/>
      <c r="Y2685" s="4"/>
    </row>
    <row r="2686" spans="20:25" x14ac:dyDescent="0.3">
      <c r="T2686" s="12"/>
      <c r="U2686" s="4"/>
      <c r="V2686" s="4"/>
      <c r="X2686" s="4"/>
      <c r="Y2686" s="4"/>
    </row>
    <row r="2687" spans="20:25" x14ac:dyDescent="0.3">
      <c r="T2687" s="12"/>
      <c r="U2687" s="4"/>
      <c r="V2687" s="4"/>
      <c r="X2687" s="4"/>
      <c r="Y2687" s="4"/>
    </row>
    <row r="2688" spans="20:25" x14ac:dyDescent="0.3">
      <c r="T2688" s="12"/>
      <c r="U2688" s="4"/>
      <c r="V2688" s="4"/>
      <c r="X2688" s="4"/>
      <c r="Y2688" s="4"/>
    </row>
    <row r="2689" spans="20:25" x14ac:dyDescent="0.3">
      <c r="T2689" s="12"/>
      <c r="U2689" s="4"/>
      <c r="V2689" s="4"/>
      <c r="X2689" s="4"/>
      <c r="Y2689" s="4"/>
    </row>
    <row r="2690" spans="20:25" x14ac:dyDescent="0.3">
      <c r="T2690" s="12"/>
      <c r="U2690" s="4"/>
      <c r="V2690" s="4"/>
      <c r="X2690" s="4"/>
      <c r="Y2690" s="4"/>
    </row>
    <row r="2691" spans="20:25" x14ac:dyDescent="0.3">
      <c r="T2691" s="12"/>
      <c r="U2691" s="4"/>
      <c r="V2691" s="4"/>
      <c r="X2691" s="4"/>
      <c r="Y2691" s="4"/>
    </row>
    <row r="2692" spans="20:25" x14ac:dyDescent="0.3">
      <c r="T2692" s="12"/>
      <c r="U2692" s="4"/>
      <c r="V2692" s="4"/>
      <c r="X2692" s="4"/>
      <c r="Y2692" s="4"/>
    </row>
    <row r="2693" spans="20:25" x14ac:dyDescent="0.3">
      <c r="T2693" s="12"/>
      <c r="U2693" s="4"/>
      <c r="V2693" s="4"/>
      <c r="X2693" s="4"/>
      <c r="Y2693" s="4"/>
    </row>
    <row r="2694" spans="20:25" x14ac:dyDescent="0.3">
      <c r="T2694" s="12"/>
      <c r="U2694" s="4"/>
      <c r="V2694" s="4"/>
      <c r="X2694" s="4"/>
      <c r="Y2694" s="4"/>
    </row>
    <row r="2695" spans="20:25" x14ac:dyDescent="0.3">
      <c r="T2695" s="12"/>
      <c r="U2695" s="4"/>
      <c r="V2695" s="4"/>
      <c r="X2695" s="4"/>
      <c r="Y2695" s="4"/>
    </row>
    <row r="2696" spans="20:25" x14ac:dyDescent="0.3">
      <c r="T2696" s="12"/>
      <c r="U2696" s="4"/>
      <c r="V2696" s="4"/>
      <c r="X2696" s="4"/>
      <c r="Y2696" s="4"/>
    </row>
    <row r="2697" spans="20:25" x14ac:dyDescent="0.3">
      <c r="T2697" s="12"/>
      <c r="U2697" s="4"/>
      <c r="V2697" s="4"/>
      <c r="X2697" s="4"/>
      <c r="Y2697" s="4"/>
    </row>
    <row r="2698" spans="20:25" x14ac:dyDescent="0.3">
      <c r="T2698" s="12"/>
      <c r="U2698" s="4"/>
      <c r="V2698" s="4"/>
      <c r="X2698" s="4"/>
      <c r="Y2698" s="4"/>
    </row>
    <row r="2699" spans="20:25" x14ac:dyDescent="0.3">
      <c r="T2699" s="12"/>
      <c r="U2699" s="4"/>
      <c r="V2699" s="4"/>
      <c r="X2699" s="4"/>
      <c r="Y2699" s="4"/>
    </row>
    <row r="2700" spans="20:25" x14ac:dyDescent="0.3">
      <c r="T2700" s="12"/>
      <c r="U2700" s="4"/>
      <c r="V2700" s="4"/>
      <c r="X2700" s="4"/>
      <c r="Y2700" s="4"/>
    </row>
    <row r="2701" spans="20:25" x14ac:dyDescent="0.3">
      <c r="T2701" s="12"/>
      <c r="U2701" s="4"/>
      <c r="V2701" s="4"/>
      <c r="X2701" s="4"/>
      <c r="Y2701" s="4"/>
    </row>
    <row r="2702" spans="20:25" x14ac:dyDescent="0.3">
      <c r="T2702" s="12"/>
      <c r="U2702" s="4"/>
      <c r="V2702" s="4"/>
      <c r="X2702" s="4"/>
      <c r="Y2702" s="4"/>
    </row>
    <row r="2703" spans="20:25" x14ac:dyDescent="0.3">
      <c r="T2703" s="12"/>
      <c r="U2703" s="4"/>
      <c r="V2703" s="4"/>
      <c r="X2703" s="4"/>
      <c r="Y2703" s="4"/>
    </row>
    <row r="2704" spans="20:25" x14ac:dyDescent="0.3">
      <c r="T2704" s="12"/>
      <c r="U2704" s="4"/>
      <c r="V2704" s="4"/>
      <c r="X2704" s="4"/>
      <c r="Y2704" s="4"/>
    </row>
    <row r="2705" spans="20:25" x14ac:dyDescent="0.3">
      <c r="T2705" s="12"/>
      <c r="U2705" s="4"/>
      <c r="V2705" s="4"/>
      <c r="X2705" s="4"/>
      <c r="Y2705" s="4"/>
    </row>
    <row r="2706" spans="20:25" x14ac:dyDescent="0.3">
      <c r="T2706" s="12"/>
      <c r="U2706" s="4"/>
      <c r="V2706" s="4"/>
      <c r="X2706" s="4"/>
      <c r="Y2706" s="4"/>
    </row>
    <row r="2707" spans="20:25" x14ac:dyDescent="0.3">
      <c r="T2707" s="12"/>
      <c r="U2707" s="4"/>
      <c r="V2707" s="4"/>
      <c r="X2707" s="4"/>
      <c r="Y2707" s="4"/>
    </row>
    <row r="2708" spans="20:25" x14ac:dyDescent="0.3">
      <c r="T2708" s="12"/>
      <c r="U2708" s="4"/>
      <c r="V2708" s="4"/>
      <c r="X2708" s="4"/>
      <c r="Y2708" s="4"/>
    </row>
    <row r="2709" spans="20:25" x14ac:dyDescent="0.3">
      <c r="T2709" s="12"/>
      <c r="U2709" s="4"/>
      <c r="V2709" s="4"/>
      <c r="X2709" s="4"/>
      <c r="Y2709" s="4"/>
    </row>
    <row r="2710" spans="20:25" x14ac:dyDescent="0.3">
      <c r="T2710" s="12"/>
      <c r="U2710" s="4"/>
      <c r="V2710" s="4"/>
      <c r="X2710" s="4"/>
      <c r="Y2710" s="4"/>
    </row>
    <row r="2711" spans="20:25" x14ac:dyDescent="0.3">
      <c r="T2711" s="12"/>
      <c r="U2711" s="4"/>
      <c r="V2711" s="4"/>
      <c r="X2711" s="4"/>
      <c r="Y2711" s="4"/>
    </row>
    <row r="2712" spans="20:25" x14ac:dyDescent="0.3">
      <c r="T2712" s="12"/>
      <c r="U2712" s="4"/>
      <c r="V2712" s="4"/>
      <c r="X2712" s="4"/>
      <c r="Y2712" s="4"/>
    </row>
    <row r="2713" spans="20:25" x14ac:dyDescent="0.3">
      <c r="T2713" s="12"/>
      <c r="U2713" s="4"/>
      <c r="V2713" s="4"/>
      <c r="X2713" s="4"/>
      <c r="Y2713" s="4"/>
    </row>
    <row r="2714" spans="20:25" x14ac:dyDescent="0.3">
      <c r="T2714" s="12"/>
      <c r="U2714" s="4"/>
      <c r="V2714" s="4"/>
      <c r="X2714" s="4"/>
      <c r="Y2714" s="4"/>
    </row>
    <row r="2715" spans="20:25" x14ac:dyDescent="0.3">
      <c r="T2715" s="12"/>
      <c r="U2715" s="4"/>
      <c r="V2715" s="4"/>
      <c r="X2715" s="4"/>
      <c r="Y2715" s="4"/>
    </row>
    <row r="2716" spans="20:25" x14ac:dyDescent="0.3">
      <c r="T2716" s="12"/>
      <c r="U2716" s="4"/>
      <c r="V2716" s="4"/>
      <c r="X2716" s="4"/>
      <c r="Y2716" s="4"/>
    </row>
    <row r="2717" spans="20:25" x14ac:dyDescent="0.3">
      <c r="T2717" s="12"/>
      <c r="U2717" s="4"/>
      <c r="V2717" s="4"/>
      <c r="X2717" s="4"/>
      <c r="Y2717" s="4"/>
    </row>
    <row r="2718" spans="20:25" x14ac:dyDescent="0.3">
      <c r="T2718" s="12"/>
      <c r="U2718" s="4"/>
      <c r="V2718" s="4"/>
      <c r="X2718" s="4"/>
      <c r="Y2718" s="4"/>
    </row>
    <row r="2719" spans="20:25" x14ac:dyDescent="0.3">
      <c r="T2719" s="12"/>
      <c r="U2719" s="4"/>
      <c r="V2719" s="4"/>
      <c r="X2719" s="4"/>
      <c r="Y2719" s="4"/>
    </row>
    <row r="2720" spans="20:25" x14ac:dyDescent="0.3">
      <c r="T2720" s="12"/>
      <c r="U2720" s="4"/>
      <c r="V2720" s="4"/>
      <c r="X2720" s="4"/>
      <c r="Y2720" s="4"/>
    </row>
    <row r="2721" spans="20:25" x14ac:dyDescent="0.3">
      <c r="T2721" s="12"/>
      <c r="U2721" s="4"/>
      <c r="V2721" s="4"/>
      <c r="X2721" s="4"/>
      <c r="Y2721" s="4"/>
    </row>
    <row r="2722" spans="20:25" x14ac:dyDescent="0.3">
      <c r="T2722" s="12"/>
      <c r="U2722" s="4"/>
      <c r="V2722" s="4"/>
      <c r="X2722" s="4"/>
      <c r="Y2722" s="4"/>
    </row>
    <row r="2723" spans="20:25" x14ac:dyDescent="0.3">
      <c r="T2723" s="12"/>
      <c r="U2723" s="4"/>
      <c r="V2723" s="4"/>
      <c r="X2723" s="4"/>
      <c r="Y2723" s="4"/>
    </row>
    <row r="2724" spans="20:25" x14ac:dyDescent="0.3">
      <c r="T2724" s="12"/>
      <c r="U2724" s="4"/>
      <c r="V2724" s="4"/>
      <c r="X2724" s="4"/>
      <c r="Y2724" s="4"/>
    </row>
    <row r="2725" spans="20:25" x14ac:dyDescent="0.3">
      <c r="T2725" s="12"/>
      <c r="U2725" s="4"/>
      <c r="V2725" s="4"/>
      <c r="X2725" s="4"/>
      <c r="Y2725" s="4"/>
    </row>
    <row r="2726" spans="20:25" x14ac:dyDescent="0.3">
      <c r="T2726" s="12"/>
      <c r="U2726" s="4"/>
      <c r="V2726" s="4"/>
      <c r="X2726" s="4"/>
      <c r="Y2726" s="4"/>
    </row>
    <row r="2727" spans="20:25" x14ac:dyDescent="0.3">
      <c r="T2727" s="12"/>
      <c r="U2727" s="4"/>
      <c r="V2727" s="4"/>
      <c r="X2727" s="4"/>
      <c r="Y2727" s="4"/>
    </row>
    <row r="2728" spans="20:25" x14ac:dyDescent="0.3">
      <c r="T2728" s="12"/>
      <c r="U2728" s="4"/>
      <c r="V2728" s="4"/>
      <c r="X2728" s="4"/>
      <c r="Y2728" s="4"/>
    </row>
    <row r="2729" spans="20:25" x14ac:dyDescent="0.3">
      <c r="T2729" s="12"/>
      <c r="U2729" s="4"/>
      <c r="V2729" s="4"/>
      <c r="X2729" s="4"/>
      <c r="Y2729" s="4"/>
    </row>
    <row r="2730" spans="20:25" x14ac:dyDescent="0.3">
      <c r="T2730" s="12"/>
      <c r="U2730" s="4"/>
      <c r="V2730" s="4"/>
      <c r="X2730" s="4"/>
      <c r="Y2730" s="4"/>
    </row>
    <row r="2731" spans="20:25" x14ac:dyDescent="0.3">
      <c r="T2731" s="12"/>
      <c r="U2731" s="4"/>
      <c r="V2731" s="4"/>
      <c r="X2731" s="4"/>
      <c r="Y2731" s="4"/>
    </row>
    <row r="2732" spans="20:25" x14ac:dyDescent="0.3">
      <c r="T2732" s="12"/>
      <c r="U2732" s="4"/>
      <c r="V2732" s="4"/>
      <c r="X2732" s="4"/>
      <c r="Y2732" s="4"/>
    </row>
    <row r="2733" spans="20:25" x14ac:dyDescent="0.3">
      <c r="T2733" s="12"/>
      <c r="U2733" s="4"/>
      <c r="V2733" s="4"/>
      <c r="X2733" s="4"/>
      <c r="Y2733" s="4"/>
    </row>
    <row r="2734" spans="20:25" x14ac:dyDescent="0.3">
      <c r="T2734" s="12"/>
      <c r="U2734" s="4"/>
      <c r="V2734" s="4"/>
      <c r="X2734" s="4"/>
      <c r="Y2734" s="4"/>
    </row>
    <row r="2735" spans="20:25" x14ac:dyDescent="0.3">
      <c r="T2735" s="12"/>
      <c r="U2735" s="4"/>
      <c r="V2735" s="4"/>
      <c r="X2735" s="4"/>
      <c r="Y2735" s="4"/>
    </row>
    <row r="2736" spans="20:25" x14ac:dyDescent="0.3">
      <c r="T2736" s="12"/>
      <c r="U2736" s="4"/>
      <c r="V2736" s="4"/>
      <c r="X2736" s="4"/>
      <c r="Y2736" s="4"/>
    </row>
    <row r="2737" spans="20:25" x14ac:dyDescent="0.3">
      <c r="T2737" s="12"/>
      <c r="U2737" s="4"/>
      <c r="V2737" s="4"/>
      <c r="X2737" s="4"/>
      <c r="Y2737" s="4"/>
    </row>
    <row r="2738" spans="20:25" x14ac:dyDescent="0.3">
      <c r="T2738" s="12"/>
      <c r="U2738" s="4"/>
      <c r="V2738" s="4"/>
      <c r="X2738" s="4"/>
      <c r="Y2738" s="4"/>
    </row>
    <row r="2739" spans="20:25" x14ac:dyDescent="0.3">
      <c r="T2739" s="12"/>
      <c r="U2739" s="4"/>
      <c r="V2739" s="4"/>
      <c r="X2739" s="4"/>
      <c r="Y2739" s="4"/>
    </row>
    <row r="2740" spans="20:25" x14ac:dyDescent="0.3">
      <c r="T2740" s="12"/>
      <c r="U2740" s="4"/>
      <c r="V2740" s="4"/>
      <c r="X2740" s="4"/>
      <c r="Y2740" s="4"/>
    </row>
    <row r="2741" spans="20:25" x14ac:dyDescent="0.3">
      <c r="T2741" s="12"/>
      <c r="U2741" s="4"/>
      <c r="V2741" s="4"/>
      <c r="X2741" s="4"/>
      <c r="Y2741" s="4"/>
    </row>
    <row r="2742" spans="20:25" x14ac:dyDescent="0.3">
      <c r="T2742" s="12"/>
      <c r="U2742" s="4"/>
      <c r="V2742" s="4"/>
      <c r="X2742" s="4"/>
      <c r="Y2742" s="4"/>
    </row>
    <row r="2743" spans="20:25" x14ac:dyDescent="0.3">
      <c r="T2743" s="12"/>
      <c r="U2743" s="4"/>
      <c r="V2743" s="4"/>
      <c r="X2743" s="4"/>
      <c r="Y2743" s="4"/>
    </row>
    <row r="2744" spans="20:25" x14ac:dyDescent="0.3">
      <c r="T2744" s="12"/>
      <c r="U2744" s="4"/>
      <c r="V2744" s="4"/>
      <c r="X2744" s="4"/>
      <c r="Y2744" s="4"/>
    </row>
    <row r="2745" spans="20:25" x14ac:dyDescent="0.3">
      <c r="T2745" s="12"/>
      <c r="U2745" s="4"/>
      <c r="V2745" s="4"/>
      <c r="X2745" s="4"/>
      <c r="Y2745" s="4"/>
    </row>
    <row r="2746" spans="20:25" x14ac:dyDescent="0.3">
      <c r="T2746" s="12"/>
      <c r="U2746" s="4"/>
      <c r="V2746" s="4"/>
      <c r="X2746" s="4"/>
      <c r="Y2746" s="4"/>
    </row>
    <row r="2747" spans="20:25" x14ac:dyDescent="0.3">
      <c r="T2747" s="12"/>
      <c r="U2747" s="4"/>
      <c r="V2747" s="4"/>
      <c r="X2747" s="4"/>
      <c r="Y2747" s="4"/>
    </row>
    <row r="2748" spans="20:25" x14ac:dyDescent="0.3">
      <c r="T2748" s="12"/>
      <c r="U2748" s="4"/>
      <c r="V2748" s="4"/>
      <c r="X2748" s="4"/>
      <c r="Y2748" s="4"/>
    </row>
    <row r="2749" spans="20:25" x14ac:dyDescent="0.3">
      <c r="T2749" s="12"/>
      <c r="U2749" s="4"/>
      <c r="V2749" s="4"/>
      <c r="X2749" s="4"/>
      <c r="Y2749" s="4"/>
    </row>
    <row r="2750" spans="20:25" x14ac:dyDescent="0.3">
      <c r="T2750" s="12"/>
      <c r="U2750" s="4"/>
      <c r="V2750" s="4"/>
      <c r="X2750" s="4"/>
      <c r="Y2750" s="4"/>
    </row>
    <row r="2751" spans="20:25" x14ac:dyDescent="0.3">
      <c r="T2751" s="12"/>
      <c r="U2751" s="4"/>
      <c r="V2751" s="4"/>
      <c r="X2751" s="4"/>
      <c r="Y2751" s="4"/>
    </row>
    <row r="2752" spans="20:25" x14ac:dyDescent="0.3">
      <c r="T2752" s="12"/>
      <c r="U2752" s="4"/>
      <c r="V2752" s="4"/>
      <c r="X2752" s="4"/>
      <c r="Y2752" s="4"/>
    </row>
    <row r="2753" spans="20:25" x14ac:dyDescent="0.3">
      <c r="T2753" s="12"/>
      <c r="U2753" s="4"/>
      <c r="V2753" s="4"/>
      <c r="X2753" s="4"/>
      <c r="Y2753" s="4"/>
    </row>
    <row r="2754" spans="20:25" x14ac:dyDescent="0.3">
      <c r="T2754" s="12"/>
      <c r="U2754" s="4"/>
      <c r="V2754" s="4"/>
      <c r="X2754" s="4"/>
      <c r="Y2754" s="4"/>
    </row>
    <row r="2755" spans="20:25" x14ac:dyDescent="0.3">
      <c r="T2755" s="12"/>
      <c r="U2755" s="4"/>
      <c r="V2755" s="4"/>
      <c r="X2755" s="4"/>
      <c r="Y2755" s="4"/>
    </row>
    <row r="2756" spans="20:25" x14ac:dyDescent="0.3">
      <c r="T2756" s="12"/>
      <c r="U2756" s="4"/>
      <c r="V2756" s="4"/>
      <c r="X2756" s="4"/>
      <c r="Y2756" s="4"/>
    </row>
    <row r="2757" spans="20:25" x14ac:dyDescent="0.3">
      <c r="T2757" s="12"/>
      <c r="U2757" s="4"/>
      <c r="V2757" s="4"/>
      <c r="X2757" s="4"/>
      <c r="Y2757" s="4"/>
    </row>
    <row r="2758" spans="20:25" x14ac:dyDescent="0.3">
      <c r="T2758" s="12"/>
      <c r="U2758" s="4"/>
      <c r="V2758" s="4"/>
      <c r="X2758" s="4"/>
      <c r="Y2758" s="4"/>
    </row>
    <row r="2759" spans="20:25" x14ac:dyDescent="0.3">
      <c r="T2759" s="12"/>
      <c r="U2759" s="4"/>
      <c r="V2759" s="4"/>
      <c r="X2759" s="4"/>
      <c r="Y2759" s="4"/>
    </row>
    <row r="2760" spans="20:25" x14ac:dyDescent="0.3">
      <c r="T2760" s="12"/>
      <c r="U2760" s="4"/>
      <c r="V2760" s="4"/>
      <c r="X2760" s="4"/>
      <c r="Y2760" s="4"/>
    </row>
    <row r="2761" spans="20:25" x14ac:dyDescent="0.3">
      <c r="T2761" s="12"/>
      <c r="U2761" s="4"/>
      <c r="V2761" s="4"/>
      <c r="X2761" s="4"/>
      <c r="Y2761" s="4"/>
    </row>
    <row r="2762" spans="20:25" x14ac:dyDescent="0.3">
      <c r="T2762" s="12"/>
      <c r="U2762" s="4"/>
      <c r="V2762" s="4"/>
      <c r="X2762" s="4"/>
      <c r="Y2762" s="4"/>
    </row>
    <row r="2763" spans="20:25" x14ac:dyDescent="0.3">
      <c r="T2763" s="12"/>
      <c r="U2763" s="4"/>
      <c r="V2763" s="4"/>
      <c r="X2763" s="4"/>
      <c r="Y2763" s="4"/>
    </row>
    <row r="2764" spans="20:25" x14ac:dyDescent="0.3">
      <c r="T2764" s="12"/>
      <c r="U2764" s="4"/>
      <c r="V2764" s="4"/>
      <c r="X2764" s="4"/>
      <c r="Y2764" s="4"/>
    </row>
    <row r="2765" spans="20:25" x14ac:dyDescent="0.3">
      <c r="T2765" s="12"/>
      <c r="U2765" s="4"/>
      <c r="V2765" s="4"/>
      <c r="X2765" s="4"/>
      <c r="Y2765" s="4"/>
    </row>
    <row r="2766" spans="20:25" x14ac:dyDescent="0.3">
      <c r="T2766" s="12"/>
      <c r="U2766" s="4"/>
      <c r="V2766" s="4"/>
      <c r="X2766" s="4"/>
      <c r="Y2766" s="4"/>
    </row>
    <row r="2767" spans="20:25" x14ac:dyDescent="0.3">
      <c r="T2767" s="12"/>
      <c r="U2767" s="4"/>
      <c r="V2767" s="4"/>
      <c r="X2767" s="4"/>
      <c r="Y2767" s="4"/>
    </row>
    <row r="2768" spans="20:25" x14ac:dyDescent="0.3">
      <c r="T2768" s="12"/>
      <c r="U2768" s="4"/>
      <c r="V2768" s="4"/>
      <c r="X2768" s="4"/>
      <c r="Y2768" s="4"/>
    </row>
    <row r="2769" spans="20:25" x14ac:dyDescent="0.3">
      <c r="T2769" s="12"/>
      <c r="U2769" s="4"/>
      <c r="V2769" s="4"/>
      <c r="X2769" s="4"/>
      <c r="Y2769" s="4"/>
    </row>
    <row r="2770" spans="20:25" x14ac:dyDescent="0.3">
      <c r="T2770" s="12"/>
      <c r="U2770" s="4"/>
      <c r="V2770" s="4"/>
      <c r="X2770" s="4"/>
      <c r="Y2770" s="4"/>
    </row>
    <row r="2771" spans="20:25" x14ac:dyDescent="0.3">
      <c r="T2771" s="12"/>
      <c r="U2771" s="4"/>
      <c r="V2771" s="4"/>
      <c r="X2771" s="4"/>
      <c r="Y2771" s="4"/>
    </row>
    <row r="2772" spans="20:25" x14ac:dyDescent="0.3">
      <c r="T2772" s="12"/>
      <c r="U2772" s="4"/>
      <c r="V2772" s="4"/>
      <c r="X2772" s="4"/>
      <c r="Y2772" s="4"/>
    </row>
    <row r="2773" spans="20:25" x14ac:dyDescent="0.3">
      <c r="T2773" s="12"/>
      <c r="U2773" s="4"/>
      <c r="V2773" s="4"/>
      <c r="X2773" s="4"/>
      <c r="Y2773" s="4"/>
    </row>
    <row r="2774" spans="20:25" x14ac:dyDescent="0.3">
      <c r="T2774" s="12"/>
      <c r="U2774" s="4"/>
      <c r="V2774" s="4"/>
      <c r="X2774" s="4"/>
      <c r="Y2774" s="4"/>
    </row>
    <row r="2775" spans="20:25" x14ac:dyDescent="0.3">
      <c r="T2775" s="12"/>
      <c r="U2775" s="4"/>
      <c r="V2775" s="4"/>
      <c r="X2775" s="4"/>
      <c r="Y2775" s="4"/>
    </row>
    <row r="2776" spans="20:25" x14ac:dyDescent="0.3">
      <c r="T2776" s="12"/>
      <c r="U2776" s="4"/>
      <c r="V2776" s="4"/>
      <c r="X2776" s="4"/>
      <c r="Y2776" s="4"/>
    </row>
    <row r="2777" spans="20:25" x14ac:dyDescent="0.3">
      <c r="T2777" s="12"/>
      <c r="U2777" s="4"/>
      <c r="V2777" s="4"/>
      <c r="X2777" s="4"/>
      <c r="Y2777" s="4"/>
    </row>
    <row r="2778" spans="20:25" x14ac:dyDescent="0.3">
      <c r="T2778" s="12"/>
      <c r="U2778" s="4"/>
      <c r="V2778" s="4"/>
      <c r="X2778" s="4"/>
      <c r="Y2778" s="4"/>
    </row>
    <row r="2779" spans="20:25" x14ac:dyDescent="0.3">
      <c r="T2779" s="12"/>
      <c r="U2779" s="4"/>
      <c r="V2779" s="4"/>
      <c r="X2779" s="4"/>
      <c r="Y2779" s="4"/>
    </row>
    <row r="2780" spans="20:25" x14ac:dyDescent="0.3">
      <c r="T2780" s="12"/>
      <c r="U2780" s="4"/>
      <c r="V2780" s="4"/>
      <c r="X2780" s="4"/>
      <c r="Y2780" s="4"/>
    </row>
    <row r="2781" spans="20:25" x14ac:dyDescent="0.3">
      <c r="T2781" s="12"/>
      <c r="U2781" s="4"/>
      <c r="V2781" s="4"/>
      <c r="X2781" s="4"/>
      <c r="Y2781" s="4"/>
    </row>
    <row r="2782" spans="20:25" x14ac:dyDescent="0.3">
      <c r="T2782" s="12"/>
      <c r="U2782" s="4"/>
      <c r="V2782" s="4"/>
      <c r="X2782" s="4"/>
      <c r="Y2782" s="4"/>
    </row>
    <row r="2783" spans="20:25" x14ac:dyDescent="0.3">
      <c r="T2783" s="12"/>
      <c r="U2783" s="4"/>
      <c r="V2783" s="4"/>
      <c r="X2783" s="4"/>
      <c r="Y2783" s="4"/>
    </row>
    <row r="2784" spans="20:25" x14ac:dyDescent="0.3">
      <c r="T2784" s="12"/>
      <c r="U2784" s="4"/>
      <c r="V2784" s="4"/>
      <c r="X2784" s="4"/>
      <c r="Y2784" s="4"/>
    </row>
    <row r="2785" spans="20:25" x14ac:dyDescent="0.3">
      <c r="T2785" s="12"/>
      <c r="U2785" s="4"/>
      <c r="V2785" s="4"/>
      <c r="X2785" s="4"/>
      <c r="Y2785" s="4"/>
    </row>
    <row r="2786" spans="20:25" x14ac:dyDescent="0.3">
      <c r="T2786" s="12"/>
      <c r="U2786" s="4"/>
      <c r="V2786" s="4"/>
      <c r="X2786" s="4"/>
      <c r="Y2786" s="4"/>
    </row>
    <row r="2787" spans="20:25" x14ac:dyDescent="0.3">
      <c r="T2787" s="12"/>
      <c r="U2787" s="4"/>
      <c r="V2787" s="4"/>
      <c r="X2787" s="4"/>
      <c r="Y2787" s="4"/>
    </row>
    <row r="2788" spans="20:25" x14ac:dyDescent="0.3">
      <c r="T2788" s="12"/>
      <c r="U2788" s="4"/>
      <c r="V2788" s="4"/>
      <c r="X2788" s="4"/>
      <c r="Y2788" s="4"/>
    </row>
    <row r="2789" spans="20:25" x14ac:dyDescent="0.3">
      <c r="T2789" s="12"/>
      <c r="U2789" s="4"/>
      <c r="V2789" s="4"/>
      <c r="X2789" s="4"/>
      <c r="Y2789" s="4"/>
    </row>
    <row r="2790" spans="20:25" x14ac:dyDescent="0.3">
      <c r="T2790" s="12"/>
      <c r="U2790" s="4"/>
      <c r="V2790" s="4"/>
      <c r="X2790" s="4"/>
      <c r="Y2790" s="4"/>
    </row>
    <row r="2791" spans="20:25" x14ac:dyDescent="0.3">
      <c r="T2791" s="12"/>
      <c r="U2791" s="4"/>
      <c r="V2791" s="4"/>
      <c r="X2791" s="4"/>
      <c r="Y2791" s="4"/>
    </row>
    <row r="2792" spans="20:25" x14ac:dyDescent="0.3">
      <c r="T2792" s="12"/>
      <c r="U2792" s="4"/>
      <c r="V2792" s="4"/>
      <c r="X2792" s="4"/>
      <c r="Y2792" s="4"/>
    </row>
    <row r="2793" spans="20:25" x14ac:dyDescent="0.3">
      <c r="T2793" s="12"/>
      <c r="U2793" s="4"/>
      <c r="V2793" s="4"/>
      <c r="X2793" s="4"/>
      <c r="Y2793" s="4"/>
    </row>
    <row r="2794" spans="20:25" x14ac:dyDescent="0.3">
      <c r="T2794" s="12"/>
      <c r="U2794" s="4"/>
      <c r="V2794" s="4"/>
      <c r="X2794" s="4"/>
      <c r="Y2794" s="4"/>
    </row>
    <row r="2795" spans="20:25" x14ac:dyDescent="0.3">
      <c r="T2795" s="12"/>
      <c r="U2795" s="4"/>
      <c r="V2795" s="4"/>
      <c r="X2795" s="4"/>
      <c r="Y2795" s="4"/>
    </row>
    <row r="2796" spans="20:25" x14ac:dyDescent="0.3">
      <c r="T2796" s="12"/>
      <c r="U2796" s="4"/>
      <c r="V2796" s="4"/>
      <c r="X2796" s="4"/>
      <c r="Y2796" s="4"/>
    </row>
    <row r="2797" spans="20:25" x14ac:dyDescent="0.3">
      <c r="T2797" s="12"/>
      <c r="U2797" s="4"/>
      <c r="V2797" s="4"/>
      <c r="X2797" s="4"/>
      <c r="Y2797" s="4"/>
    </row>
    <row r="2798" spans="20:25" x14ac:dyDescent="0.3">
      <c r="T2798" s="12"/>
      <c r="U2798" s="4"/>
      <c r="V2798" s="4"/>
      <c r="X2798" s="4"/>
      <c r="Y2798" s="4"/>
    </row>
    <row r="2799" spans="20:25" x14ac:dyDescent="0.3">
      <c r="T2799" s="12"/>
      <c r="U2799" s="4"/>
      <c r="V2799" s="4"/>
      <c r="X2799" s="4"/>
      <c r="Y2799" s="4"/>
    </row>
    <row r="2800" spans="20:25" x14ac:dyDescent="0.3">
      <c r="T2800" s="12"/>
      <c r="U2800" s="4"/>
      <c r="V2800" s="4"/>
      <c r="X2800" s="4"/>
      <c r="Y2800" s="4"/>
    </row>
    <row r="2801" spans="20:25" x14ac:dyDescent="0.3">
      <c r="T2801" s="12"/>
      <c r="U2801" s="4"/>
      <c r="V2801" s="4"/>
      <c r="X2801" s="4"/>
      <c r="Y2801" s="4"/>
    </row>
    <row r="2802" spans="20:25" x14ac:dyDescent="0.3">
      <c r="T2802" s="12"/>
      <c r="U2802" s="4"/>
      <c r="V2802" s="4"/>
      <c r="X2802" s="4"/>
      <c r="Y2802" s="4"/>
    </row>
    <row r="2803" spans="20:25" x14ac:dyDescent="0.3">
      <c r="T2803" s="12"/>
      <c r="U2803" s="4"/>
      <c r="V2803" s="4"/>
      <c r="X2803" s="4"/>
      <c r="Y2803" s="4"/>
    </row>
    <row r="2804" spans="20:25" x14ac:dyDescent="0.3">
      <c r="T2804" s="12"/>
      <c r="U2804" s="4"/>
      <c r="V2804" s="4"/>
      <c r="X2804" s="4"/>
      <c r="Y2804" s="4"/>
    </row>
    <row r="2805" spans="20:25" x14ac:dyDescent="0.3">
      <c r="T2805" s="12"/>
      <c r="U2805" s="4"/>
      <c r="V2805" s="4"/>
      <c r="X2805" s="4"/>
      <c r="Y2805" s="4"/>
    </row>
    <row r="2806" spans="20:25" x14ac:dyDescent="0.3">
      <c r="T2806" s="12"/>
      <c r="U2806" s="4"/>
      <c r="V2806" s="4"/>
      <c r="X2806" s="4"/>
      <c r="Y2806" s="4"/>
    </row>
    <row r="2807" spans="20:25" x14ac:dyDescent="0.3">
      <c r="T2807" s="12"/>
      <c r="U2807" s="4"/>
      <c r="V2807" s="4"/>
      <c r="X2807" s="4"/>
      <c r="Y2807" s="4"/>
    </row>
    <row r="2808" spans="20:25" x14ac:dyDescent="0.3">
      <c r="T2808" s="12"/>
      <c r="U2808" s="4"/>
      <c r="V2808" s="4"/>
      <c r="X2808" s="4"/>
      <c r="Y2808" s="4"/>
    </row>
    <row r="2809" spans="20:25" x14ac:dyDescent="0.3">
      <c r="T2809" s="12"/>
      <c r="U2809" s="4"/>
      <c r="V2809" s="4"/>
      <c r="X2809" s="4"/>
      <c r="Y2809" s="4"/>
    </row>
    <row r="2810" spans="20:25" x14ac:dyDescent="0.3">
      <c r="T2810" s="12"/>
      <c r="U2810" s="4"/>
      <c r="V2810" s="4"/>
      <c r="X2810" s="4"/>
      <c r="Y2810" s="4"/>
    </row>
    <row r="2811" spans="20:25" x14ac:dyDescent="0.3">
      <c r="T2811" s="12"/>
      <c r="U2811" s="4"/>
      <c r="V2811" s="4"/>
      <c r="X2811" s="4"/>
      <c r="Y2811" s="4"/>
    </row>
    <row r="2812" spans="20:25" x14ac:dyDescent="0.3">
      <c r="T2812" s="12"/>
      <c r="U2812" s="4"/>
      <c r="V2812" s="4"/>
      <c r="X2812" s="4"/>
      <c r="Y2812" s="4"/>
    </row>
    <row r="2813" spans="20:25" x14ac:dyDescent="0.3">
      <c r="T2813" s="12"/>
      <c r="U2813" s="4"/>
      <c r="V2813" s="4"/>
      <c r="X2813" s="4"/>
      <c r="Y2813" s="4"/>
    </row>
    <row r="2814" spans="20:25" x14ac:dyDescent="0.3">
      <c r="T2814" s="12"/>
      <c r="U2814" s="4"/>
      <c r="V2814" s="4"/>
      <c r="X2814" s="4"/>
      <c r="Y2814" s="4"/>
    </row>
    <row r="2815" spans="20:25" x14ac:dyDescent="0.3">
      <c r="T2815" s="12"/>
      <c r="U2815" s="4"/>
      <c r="V2815" s="4"/>
      <c r="X2815" s="4"/>
      <c r="Y2815" s="4"/>
    </row>
    <row r="2816" spans="20:25" x14ac:dyDescent="0.3">
      <c r="T2816" s="12"/>
      <c r="U2816" s="4"/>
      <c r="V2816" s="4"/>
      <c r="X2816" s="4"/>
      <c r="Y2816" s="4"/>
    </row>
    <row r="2817" spans="20:25" x14ac:dyDescent="0.3">
      <c r="T2817" s="12"/>
      <c r="U2817" s="4"/>
      <c r="V2817" s="4"/>
      <c r="X2817" s="4"/>
      <c r="Y2817" s="4"/>
    </row>
    <row r="2818" spans="20:25" x14ac:dyDescent="0.3">
      <c r="T2818" s="12"/>
      <c r="U2818" s="4"/>
      <c r="V2818" s="4"/>
      <c r="X2818" s="4"/>
      <c r="Y2818" s="4"/>
    </row>
    <row r="2819" spans="20:25" x14ac:dyDescent="0.3">
      <c r="T2819" s="12"/>
      <c r="U2819" s="4"/>
      <c r="V2819" s="4"/>
      <c r="X2819" s="4"/>
      <c r="Y2819" s="4"/>
    </row>
    <row r="2820" spans="20:25" x14ac:dyDescent="0.3">
      <c r="T2820" s="12"/>
      <c r="U2820" s="4"/>
      <c r="V2820" s="4"/>
      <c r="X2820" s="4"/>
      <c r="Y2820" s="4"/>
    </row>
    <row r="2821" spans="20:25" x14ac:dyDescent="0.3">
      <c r="T2821" s="12"/>
      <c r="U2821" s="4"/>
      <c r="V2821" s="4"/>
      <c r="X2821" s="4"/>
      <c r="Y2821" s="4"/>
    </row>
    <row r="2822" spans="20:25" x14ac:dyDescent="0.3">
      <c r="T2822" s="12"/>
      <c r="U2822" s="4"/>
      <c r="V2822" s="4"/>
      <c r="X2822" s="4"/>
      <c r="Y2822" s="4"/>
    </row>
    <row r="2823" spans="20:25" x14ac:dyDescent="0.3">
      <c r="T2823" s="12"/>
      <c r="U2823" s="4"/>
      <c r="V2823" s="4"/>
      <c r="X2823" s="4"/>
      <c r="Y2823" s="4"/>
    </row>
    <row r="2824" spans="20:25" x14ac:dyDescent="0.3">
      <c r="T2824" s="12"/>
      <c r="U2824" s="4"/>
      <c r="V2824" s="4"/>
      <c r="X2824" s="4"/>
      <c r="Y2824" s="4"/>
    </row>
    <row r="2825" spans="20:25" x14ac:dyDescent="0.3">
      <c r="T2825" s="12"/>
      <c r="U2825" s="4"/>
      <c r="V2825" s="4"/>
      <c r="X2825" s="4"/>
      <c r="Y2825" s="4"/>
    </row>
    <row r="2826" spans="20:25" x14ac:dyDescent="0.3">
      <c r="T2826" s="12"/>
      <c r="U2826" s="4"/>
      <c r="V2826" s="4"/>
      <c r="X2826" s="4"/>
      <c r="Y2826" s="4"/>
    </row>
    <row r="2827" spans="20:25" x14ac:dyDescent="0.3">
      <c r="T2827" s="12"/>
      <c r="U2827" s="4"/>
      <c r="V2827" s="4"/>
      <c r="X2827" s="4"/>
      <c r="Y2827" s="4"/>
    </row>
    <row r="2828" spans="20:25" x14ac:dyDescent="0.3">
      <c r="T2828" s="12"/>
      <c r="U2828" s="4"/>
      <c r="V2828" s="4"/>
      <c r="X2828" s="4"/>
      <c r="Y2828" s="4"/>
    </row>
    <row r="2829" spans="20:25" x14ac:dyDescent="0.3">
      <c r="T2829" s="12"/>
      <c r="U2829" s="4"/>
      <c r="V2829" s="4"/>
      <c r="X2829" s="4"/>
      <c r="Y2829" s="4"/>
    </row>
    <row r="2830" spans="20:25" x14ac:dyDescent="0.3">
      <c r="T2830" s="12"/>
      <c r="U2830" s="4"/>
      <c r="V2830" s="4"/>
      <c r="X2830" s="4"/>
      <c r="Y2830" s="4"/>
    </row>
    <row r="2831" spans="20:25" x14ac:dyDescent="0.3">
      <c r="T2831" s="12"/>
      <c r="U2831" s="4"/>
      <c r="V2831" s="4"/>
      <c r="X2831" s="4"/>
      <c r="Y2831" s="4"/>
    </row>
    <row r="2832" spans="20:25" x14ac:dyDescent="0.3">
      <c r="T2832" s="12"/>
      <c r="U2832" s="4"/>
      <c r="V2832" s="4"/>
      <c r="X2832" s="4"/>
      <c r="Y2832" s="4"/>
    </row>
    <row r="2833" spans="20:25" x14ac:dyDescent="0.3">
      <c r="T2833" s="12"/>
      <c r="U2833" s="4"/>
      <c r="V2833" s="4"/>
      <c r="X2833" s="4"/>
      <c r="Y2833" s="4"/>
    </row>
    <row r="2834" spans="20:25" x14ac:dyDescent="0.3">
      <c r="T2834" s="12"/>
      <c r="U2834" s="4"/>
      <c r="V2834" s="4"/>
      <c r="X2834" s="4"/>
      <c r="Y2834" s="4"/>
    </row>
    <row r="2835" spans="20:25" x14ac:dyDescent="0.3">
      <c r="T2835" s="12"/>
      <c r="U2835" s="4"/>
      <c r="V2835" s="4"/>
      <c r="X2835" s="4"/>
      <c r="Y2835" s="4"/>
    </row>
    <row r="2836" spans="20:25" x14ac:dyDescent="0.3">
      <c r="T2836" s="12"/>
      <c r="U2836" s="4"/>
      <c r="V2836" s="4"/>
      <c r="X2836" s="4"/>
      <c r="Y2836" s="4"/>
    </row>
    <row r="2837" spans="20:25" x14ac:dyDescent="0.3">
      <c r="T2837" s="12"/>
      <c r="U2837" s="4"/>
      <c r="V2837" s="4"/>
      <c r="X2837" s="4"/>
      <c r="Y2837" s="4"/>
    </row>
    <row r="2838" spans="20:25" x14ac:dyDescent="0.3">
      <c r="T2838" s="12"/>
      <c r="U2838" s="4"/>
      <c r="V2838" s="4"/>
      <c r="X2838" s="4"/>
      <c r="Y2838" s="4"/>
    </row>
    <row r="2839" spans="20:25" x14ac:dyDescent="0.3">
      <c r="T2839" s="12"/>
      <c r="U2839" s="4"/>
      <c r="V2839" s="4"/>
      <c r="X2839" s="4"/>
      <c r="Y2839" s="4"/>
    </row>
    <row r="2840" spans="20:25" x14ac:dyDescent="0.3">
      <c r="T2840" s="12"/>
      <c r="U2840" s="4"/>
      <c r="V2840" s="4"/>
      <c r="X2840" s="4"/>
      <c r="Y2840" s="4"/>
    </row>
    <row r="2841" spans="20:25" x14ac:dyDescent="0.3">
      <c r="T2841" s="12"/>
      <c r="U2841" s="4"/>
      <c r="V2841" s="4"/>
      <c r="X2841" s="4"/>
      <c r="Y2841" s="4"/>
    </row>
    <row r="2842" spans="20:25" x14ac:dyDescent="0.3">
      <c r="T2842" s="12"/>
      <c r="U2842" s="4"/>
      <c r="V2842" s="4"/>
      <c r="X2842" s="4"/>
      <c r="Y2842" s="4"/>
    </row>
    <row r="2843" spans="20:25" x14ac:dyDescent="0.3">
      <c r="T2843" s="12"/>
      <c r="U2843" s="4"/>
      <c r="V2843" s="4"/>
      <c r="X2843" s="4"/>
      <c r="Y2843" s="4"/>
    </row>
    <row r="2844" spans="20:25" x14ac:dyDescent="0.3">
      <c r="T2844" s="12"/>
      <c r="U2844" s="4"/>
      <c r="V2844" s="4"/>
      <c r="X2844" s="4"/>
      <c r="Y2844" s="4"/>
    </row>
    <row r="2845" spans="20:25" x14ac:dyDescent="0.3">
      <c r="T2845" s="12"/>
      <c r="U2845" s="4"/>
      <c r="V2845" s="4"/>
      <c r="X2845" s="4"/>
      <c r="Y2845" s="4"/>
    </row>
    <row r="2846" spans="20:25" x14ac:dyDescent="0.3">
      <c r="T2846" s="12"/>
      <c r="U2846" s="4"/>
      <c r="V2846" s="4"/>
      <c r="X2846" s="4"/>
      <c r="Y2846" s="4"/>
    </row>
    <row r="2847" spans="20:25" x14ac:dyDescent="0.3">
      <c r="T2847" s="12"/>
      <c r="U2847" s="4"/>
      <c r="V2847" s="4"/>
      <c r="X2847" s="4"/>
      <c r="Y2847" s="4"/>
    </row>
    <row r="2848" spans="20:25" x14ac:dyDescent="0.3">
      <c r="T2848" s="12"/>
      <c r="U2848" s="4"/>
      <c r="V2848" s="4"/>
      <c r="X2848" s="4"/>
      <c r="Y2848" s="4"/>
    </row>
    <row r="2849" spans="20:25" x14ac:dyDescent="0.3">
      <c r="T2849" s="12"/>
      <c r="U2849" s="4"/>
      <c r="V2849" s="4"/>
      <c r="X2849" s="4"/>
      <c r="Y2849" s="4"/>
    </row>
    <row r="2850" spans="20:25" x14ac:dyDescent="0.3">
      <c r="T2850" s="12"/>
      <c r="U2850" s="4"/>
      <c r="V2850" s="4"/>
      <c r="X2850" s="4"/>
      <c r="Y2850" s="4"/>
    </row>
    <row r="2851" spans="20:25" x14ac:dyDescent="0.3">
      <c r="T2851" s="12"/>
      <c r="U2851" s="4"/>
      <c r="V2851" s="4"/>
      <c r="X2851" s="4"/>
      <c r="Y2851" s="4"/>
    </row>
    <row r="2852" spans="20:25" x14ac:dyDescent="0.3">
      <c r="T2852" s="12"/>
      <c r="U2852" s="4"/>
      <c r="V2852" s="4"/>
      <c r="X2852" s="4"/>
      <c r="Y2852" s="4"/>
    </row>
    <row r="2853" spans="20:25" x14ac:dyDescent="0.3">
      <c r="T2853" s="12"/>
      <c r="U2853" s="4"/>
      <c r="V2853" s="4"/>
      <c r="X2853" s="4"/>
      <c r="Y2853" s="4"/>
    </row>
    <row r="2854" spans="20:25" x14ac:dyDescent="0.3">
      <c r="T2854" s="12"/>
      <c r="U2854" s="4"/>
      <c r="V2854" s="4"/>
      <c r="X2854" s="4"/>
      <c r="Y2854" s="4"/>
    </row>
    <row r="2855" spans="20:25" x14ac:dyDescent="0.3">
      <c r="T2855" s="12"/>
      <c r="U2855" s="4"/>
      <c r="V2855" s="4"/>
      <c r="X2855" s="4"/>
      <c r="Y2855" s="4"/>
    </row>
    <row r="2856" spans="20:25" x14ac:dyDescent="0.3">
      <c r="T2856" s="12"/>
      <c r="U2856" s="4"/>
      <c r="V2856" s="4"/>
      <c r="X2856" s="4"/>
      <c r="Y2856" s="4"/>
    </row>
    <row r="2857" spans="20:25" x14ac:dyDescent="0.3">
      <c r="T2857" s="12"/>
      <c r="U2857" s="4"/>
      <c r="V2857" s="4"/>
      <c r="X2857" s="4"/>
      <c r="Y2857" s="4"/>
    </row>
    <row r="2858" spans="20:25" x14ac:dyDescent="0.3">
      <c r="T2858" s="12"/>
      <c r="U2858" s="4"/>
      <c r="V2858" s="4"/>
      <c r="X2858" s="4"/>
      <c r="Y2858" s="4"/>
    </row>
    <row r="2859" spans="20:25" x14ac:dyDescent="0.3">
      <c r="T2859" s="12"/>
      <c r="U2859" s="4"/>
      <c r="V2859" s="4"/>
      <c r="X2859" s="4"/>
      <c r="Y2859" s="4"/>
    </row>
    <row r="2860" spans="20:25" x14ac:dyDescent="0.3">
      <c r="T2860" s="12"/>
      <c r="U2860" s="4"/>
      <c r="V2860" s="4"/>
      <c r="X2860" s="4"/>
      <c r="Y2860" s="4"/>
    </row>
    <row r="2861" spans="20:25" x14ac:dyDescent="0.3">
      <c r="T2861" s="12"/>
      <c r="U2861" s="4"/>
      <c r="V2861" s="4"/>
      <c r="X2861" s="4"/>
      <c r="Y2861" s="4"/>
    </row>
    <row r="2862" spans="20:25" x14ac:dyDescent="0.3">
      <c r="T2862" s="12"/>
      <c r="U2862" s="4"/>
      <c r="V2862" s="4"/>
      <c r="X2862" s="4"/>
      <c r="Y2862" s="4"/>
    </row>
    <row r="2863" spans="20:25" x14ac:dyDescent="0.3">
      <c r="T2863" s="12"/>
      <c r="U2863" s="4"/>
      <c r="V2863" s="4"/>
      <c r="X2863" s="4"/>
      <c r="Y2863" s="4"/>
    </row>
    <row r="2864" spans="20:25" x14ac:dyDescent="0.3">
      <c r="T2864" s="12"/>
      <c r="U2864" s="4"/>
      <c r="V2864" s="4"/>
      <c r="X2864" s="4"/>
      <c r="Y2864" s="4"/>
    </row>
    <row r="2865" spans="20:25" x14ac:dyDescent="0.3">
      <c r="T2865" s="12"/>
      <c r="U2865" s="4"/>
      <c r="V2865" s="4"/>
      <c r="X2865" s="4"/>
      <c r="Y2865" s="4"/>
    </row>
    <row r="2866" spans="20:25" x14ac:dyDescent="0.3">
      <c r="T2866" s="12"/>
      <c r="U2866" s="4"/>
      <c r="V2866" s="4"/>
      <c r="X2866" s="4"/>
      <c r="Y2866" s="4"/>
    </row>
    <row r="2867" spans="20:25" x14ac:dyDescent="0.3">
      <c r="T2867" s="12"/>
      <c r="U2867" s="4"/>
      <c r="V2867" s="4"/>
      <c r="X2867" s="4"/>
      <c r="Y2867" s="4"/>
    </row>
    <row r="2868" spans="20:25" x14ac:dyDescent="0.3">
      <c r="T2868" s="12"/>
      <c r="U2868" s="4"/>
      <c r="V2868" s="4"/>
      <c r="X2868" s="4"/>
      <c r="Y2868" s="4"/>
    </row>
    <row r="2869" spans="20:25" x14ac:dyDescent="0.3">
      <c r="T2869" s="12"/>
      <c r="U2869" s="4"/>
      <c r="V2869" s="4"/>
      <c r="X2869" s="4"/>
      <c r="Y2869" s="4"/>
    </row>
    <row r="2870" spans="20:25" x14ac:dyDescent="0.3">
      <c r="T2870" s="12"/>
      <c r="U2870" s="4"/>
      <c r="V2870" s="4"/>
      <c r="X2870" s="4"/>
      <c r="Y2870" s="4"/>
    </row>
    <row r="2871" spans="20:25" x14ac:dyDescent="0.3">
      <c r="T2871" s="12"/>
      <c r="U2871" s="4"/>
      <c r="V2871" s="4"/>
      <c r="X2871" s="4"/>
      <c r="Y2871" s="4"/>
    </row>
    <row r="2872" spans="20:25" x14ac:dyDescent="0.3">
      <c r="T2872" s="12"/>
      <c r="U2872" s="4"/>
      <c r="V2872" s="4"/>
      <c r="X2872" s="4"/>
      <c r="Y2872" s="4"/>
    </row>
    <row r="2873" spans="20:25" x14ac:dyDescent="0.3">
      <c r="T2873" s="12"/>
      <c r="U2873" s="4"/>
      <c r="V2873" s="4"/>
      <c r="X2873" s="4"/>
      <c r="Y2873" s="4"/>
    </row>
    <row r="2874" spans="20:25" x14ac:dyDescent="0.3">
      <c r="T2874" s="12"/>
      <c r="U2874" s="4"/>
      <c r="V2874" s="4"/>
      <c r="X2874" s="4"/>
      <c r="Y2874" s="4"/>
    </row>
    <row r="2875" spans="20:25" x14ac:dyDescent="0.3">
      <c r="T2875" s="12"/>
      <c r="U2875" s="4"/>
      <c r="V2875" s="4"/>
      <c r="X2875" s="4"/>
      <c r="Y2875" s="4"/>
    </row>
    <row r="2876" spans="20:25" x14ac:dyDescent="0.3">
      <c r="T2876" s="12"/>
      <c r="U2876" s="4"/>
      <c r="V2876" s="4"/>
      <c r="X2876" s="4"/>
      <c r="Y2876" s="4"/>
    </row>
    <row r="2877" spans="20:25" x14ac:dyDescent="0.3">
      <c r="T2877" s="12"/>
      <c r="U2877" s="4"/>
      <c r="V2877" s="4"/>
      <c r="X2877" s="4"/>
      <c r="Y2877" s="4"/>
    </row>
    <row r="2878" spans="20:25" x14ac:dyDescent="0.3">
      <c r="T2878" s="12"/>
      <c r="U2878" s="4"/>
      <c r="V2878" s="4"/>
      <c r="X2878" s="4"/>
      <c r="Y2878" s="4"/>
    </row>
    <row r="2879" spans="20:25" x14ac:dyDescent="0.3">
      <c r="T2879" s="12"/>
      <c r="U2879" s="4"/>
      <c r="V2879" s="4"/>
      <c r="X2879" s="4"/>
      <c r="Y2879" s="4"/>
    </row>
    <row r="2880" spans="20:25" x14ac:dyDescent="0.3">
      <c r="T2880" s="12"/>
      <c r="U2880" s="4"/>
      <c r="V2880" s="4"/>
      <c r="X2880" s="4"/>
      <c r="Y2880" s="4"/>
    </row>
    <row r="2881" spans="20:25" x14ac:dyDescent="0.3">
      <c r="T2881" s="12"/>
      <c r="U2881" s="4"/>
      <c r="V2881" s="4"/>
      <c r="X2881" s="4"/>
      <c r="Y2881" s="4"/>
    </row>
    <row r="2882" spans="20:25" x14ac:dyDescent="0.3">
      <c r="T2882" s="12"/>
      <c r="U2882" s="4"/>
      <c r="V2882" s="4"/>
      <c r="X2882" s="4"/>
      <c r="Y2882" s="4"/>
    </row>
    <row r="2883" spans="20:25" x14ac:dyDescent="0.3">
      <c r="T2883" s="12"/>
      <c r="U2883" s="4"/>
      <c r="V2883" s="4"/>
      <c r="X2883" s="4"/>
      <c r="Y2883" s="4"/>
    </row>
    <row r="2884" spans="20:25" x14ac:dyDescent="0.3">
      <c r="T2884" s="12"/>
      <c r="U2884" s="4"/>
      <c r="V2884" s="4"/>
      <c r="X2884" s="4"/>
      <c r="Y2884" s="4"/>
    </row>
    <row r="2885" spans="20:25" x14ac:dyDescent="0.3">
      <c r="T2885" s="12"/>
      <c r="U2885" s="4"/>
      <c r="V2885" s="4"/>
      <c r="X2885" s="4"/>
      <c r="Y2885" s="4"/>
    </row>
    <row r="2886" spans="20:25" x14ac:dyDescent="0.3">
      <c r="T2886" s="12"/>
      <c r="U2886" s="4"/>
      <c r="V2886" s="4"/>
      <c r="X2886" s="4"/>
      <c r="Y2886" s="4"/>
    </row>
    <row r="2887" spans="20:25" x14ac:dyDescent="0.3">
      <c r="T2887" s="12"/>
      <c r="U2887" s="4"/>
      <c r="V2887" s="4"/>
      <c r="X2887" s="4"/>
      <c r="Y2887" s="4"/>
    </row>
    <row r="2888" spans="20:25" x14ac:dyDescent="0.3">
      <c r="T2888" s="12"/>
      <c r="U2888" s="4"/>
      <c r="V2888" s="4"/>
      <c r="X2888" s="4"/>
      <c r="Y2888" s="4"/>
    </row>
    <row r="2889" spans="20:25" x14ac:dyDescent="0.3">
      <c r="T2889" s="12"/>
      <c r="U2889" s="4"/>
      <c r="V2889" s="4"/>
      <c r="X2889" s="4"/>
      <c r="Y2889" s="4"/>
    </row>
    <row r="2890" spans="20:25" x14ac:dyDescent="0.3">
      <c r="T2890" s="12"/>
      <c r="U2890" s="4"/>
      <c r="V2890" s="4"/>
      <c r="X2890" s="4"/>
      <c r="Y2890" s="4"/>
    </row>
    <row r="2891" spans="20:25" x14ac:dyDescent="0.3">
      <c r="T2891" s="12"/>
      <c r="U2891" s="4"/>
      <c r="V2891" s="4"/>
      <c r="X2891" s="4"/>
      <c r="Y2891" s="4"/>
    </row>
    <row r="2892" spans="20:25" x14ac:dyDescent="0.3">
      <c r="T2892" s="12"/>
      <c r="U2892" s="4"/>
      <c r="V2892" s="4"/>
      <c r="X2892" s="4"/>
      <c r="Y2892" s="4"/>
    </row>
    <row r="2893" spans="20:25" x14ac:dyDescent="0.3">
      <c r="T2893" s="12"/>
      <c r="U2893" s="4"/>
      <c r="V2893" s="4"/>
      <c r="X2893" s="4"/>
      <c r="Y2893" s="4"/>
    </row>
    <row r="2894" spans="20:25" x14ac:dyDescent="0.3">
      <c r="T2894" s="12"/>
      <c r="U2894" s="4"/>
      <c r="V2894" s="4"/>
      <c r="X2894" s="4"/>
      <c r="Y2894" s="4"/>
    </row>
    <row r="2895" spans="20:25" x14ac:dyDescent="0.3">
      <c r="T2895" s="12"/>
      <c r="U2895" s="4"/>
      <c r="V2895" s="4"/>
      <c r="X2895" s="4"/>
      <c r="Y2895" s="4"/>
    </row>
    <row r="2896" spans="20:25" x14ac:dyDescent="0.3">
      <c r="T2896" s="12"/>
      <c r="U2896" s="4"/>
      <c r="V2896" s="4"/>
      <c r="X2896" s="4"/>
      <c r="Y2896" s="4"/>
    </row>
    <row r="2897" spans="20:25" x14ac:dyDescent="0.3">
      <c r="T2897" s="12"/>
      <c r="U2897" s="4"/>
      <c r="V2897" s="4"/>
      <c r="X2897" s="4"/>
      <c r="Y2897" s="4"/>
    </row>
    <row r="2898" spans="20:25" x14ac:dyDescent="0.3">
      <c r="T2898" s="12"/>
      <c r="U2898" s="4"/>
      <c r="V2898" s="4"/>
      <c r="X2898" s="4"/>
      <c r="Y2898" s="4"/>
    </row>
    <row r="2899" spans="20:25" x14ac:dyDescent="0.3">
      <c r="T2899" s="12"/>
      <c r="U2899" s="4"/>
      <c r="V2899" s="4"/>
      <c r="X2899" s="4"/>
      <c r="Y2899" s="4"/>
    </row>
    <row r="2900" spans="20:25" x14ac:dyDescent="0.3">
      <c r="T2900" s="12"/>
      <c r="U2900" s="4"/>
      <c r="V2900" s="4"/>
      <c r="X2900" s="4"/>
      <c r="Y2900" s="4"/>
    </row>
    <row r="2901" spans="20:25" x14ac:dyDescent="0.3">
      <c r="T2901" s="12"/>
      <c r="U2901" s="4"/>
      <c r="V2901" s="4"/>
      <c r="X2901" s="4"/>
      <c r="Y2901" s="4"/>
    </row>
    <row r="2902" spans="20:25" x14ac:dyDescent="0.3">
      <c r="T2902" s="12"/>
      <c r="U2902" s="4"/>
      <c r="V2902" s="4"/>
      <c r="X2902" s="4"/>
      <c r="Y2902" s="4"/>
    </row>
    <row r="2903" spans="20:25" x14ac:dyDescent="0.3">
      <c r="T2903" s="12"/>
      <c r="U2903" s="4"/>
      <c r="V2903" s="4"/>
      <c r="X2903" s="4"/>
      <c r="Y2903" s="4"/>
    </row>
    <row r="2904" spans="20:25" x14ac:dyDescent="0.3">
      <c r="T2904" s="12"/>
      <c r="U2904" s="4"/>
      <c r="V2904" s="4"/>
      <c r="X2904" s="4"/>
      <c r="Y2904" s="4"/>
    </row>
    <row r="2905" spans="20:25" x14ac:dyDescent="0.3">
      <c r="T2905" s="12"/>
      <c r="U2905" s="4"/>
      <c r="V2905" s="4"/>
      <c r="X2905" s="4"/>
      <c r="Y2905" s="4"/>
    </row>
    <row r="2906" spans="20:25" x14ac:dyDescent="0.3">
      <c r="T2906" s="12"/>
      <c r="U2906" s="4"/>
      <c r="V2906" s="4"/>
      <c r="X2906" s="4"/>
      <c r="Y2906" s="4"/>
    </row>
    <row r="2907" spans="20:25" x14ac:dyDescent="0.3">
      <c r="T2907" s="12"/>
      <c r="U2907" s="4"/>
      <c r="V2907" s="4"/>
      <c r="X2907" s="4"/>
      <c r="Y2907" s="4"/>
    </row>
    <row r="2908" spans="20:25" x14ac:dyDescent="0.3">
      <c r="T2908" s="12"/>
      <c r="U2908" s="4"/>
      <c r="V2908" s="4"/>
      <c r="X2908" s="4"/>
      <c r="Y2908" s="4"/>
    </row>
    <row r="2909" spans="20:25" x14ac:dyDescent="0.3">
      <c r="T2909" s="12"/>
      <c r="U2909" s="4"/>
      <c r="V2909" s="4"/>
      <c r="X2909" s="4"/>
      <c r="Y2909" s="4"/>
    </row>
    <row r="2910" spans="20:25" x14ac:dyDescent="0.3">
      <c r="T2910" s="12"/>
      <c r="U2910" s="4"/>
      <c r="V2910" s="4"/>
      <c r="X2910" s="4"/>
      <c r="Y2910" s="4"/>
    </row>
    <row r="2911" spans="20:25" x14ac:dyDescent="0.3">
      <c r="T2911" s="12"/>
      <c r="U2911" s="4"/>
      <c r="V2911" s="4"/>
      <c r="X2911" s="4"/>
      <c r="Y2911" s="4"/>
    </row>
    <row r="2912" spans="20:25" x14ac:dyDescent="0.3">
      <c r="T2912" s="12"/>
      <c r="U2912" s="4"/>
      <c r="V2912" s="4"/>
      <c r="X2912" s="4"/>
      <c r="Y2912" s="4"/>
    </row>
    <row r="2913" spans="20:25" x14ac:dyDescent="0.3">
      <c r="T2913" s="12"/>
      <c r="U2913" s="4"/>
      <c r="V2913" s="4"/>
      <c r="X2913" s="4"/>
      <c r="Y2913" s="4"/>
    </row>
    <row r="2914" spans="20:25" x14ac:dyDescent="0.3">
      <c r="T2914" s="12"/>
      <c r="U2914" s="4"/>
      <c r="V2914" s="4"/>
      <c r="X2914" s="4"/>
      <c r="Y2914" s="4"/>
    </row>
    <row r="2915" spans="20:25" x14ac:dyDescent="0.3">
      <c r="T2915" s="12"/>
      <c r="U2915" s="4"/>
      <c r="V2915" s="4"/>
      <c r="X2915" s="4"/>
      <c r="Y2915" s="4"/>
    </row>
    <row r="2916" spans="20:25" x14ac:dyDescent="0.3">
      <c r="T2916" s="12"/>
      <c r="U2916" s="4"/>
      <c r="V2916" s="4"/>
      <c r="X2916" s="4"/>
      <c r="Y2916" s="4"/>
    </row>
    <row r="2917" spans="20:25" x14ac:dyDescent="0.3">
      <c r="T2917" s="12"/>
      <c r="U2917" s="4"/>
      <c r="V2917" s="4"/>
      <c r="X2917" s="4"/>
      <c r="Y2917" s="4"/>
    </row>
    <row r="2918" spans="20:25" x14ac:dyDescent="0.3">
      <c r="T2918" s="12"/>
      <c r="U2918" s="4"/>
      <c r="V2918" s="4"/>
      <c r="X2918" s="4"/>
      <c r="Y2918" s="4"/>
    </row>
    <row r="2919" spans="20:25" x14ac:dyDescent="0.3">
      <c r="T2919" s="12"/>
      <c r="U2919" s="4"/>
      <c r="V2919" s="4"/>
      <c r="X2919" s="4"/>
      <c r="Y2919" s="4"/>
    </row>
    <row r="2920" spans="20:25" x14ac:dyDescent="0.3">
      <c r="T2920" s="12"/>
      <c r="U2920" s="4"/>
      <c r="V2920" s="4"/>
      <c r="X2920" s="4"/>
      <c r="Y2920" s="4"/>
    </row>
    <row r="2921" spans="20:25" x14ac:dyDescent="0.3">
      <c r="T2921" s="12"/>
      <c r="U2921" s="4"/>
      <c r="V2921" s="4"/>
      <c r="X2921" s="4"/>
      <c r="Y2921" s="4"/>
    </row>
    <row r="2922" spans="20:25" x14ac:dyDescent="0.3">
      <c r="T2922" s="12"/>
      <c r="U2922" s="4"/>
      <c r="V2922" s="4"/>
      <c r="X2922" s="4"/>
      <c r="Y2922" s="4"/>
    </row>
    <row r="2923" spans="20:25" x14ac:dyDescent="0.3">
      <c r="T2923" s="12"/>
      <c r="U2923" s="4"/>
      <c r="V2923" s="4"/>
      <c r="X2923" s="4"/>
      <c r="Y2923" s="4"/>
    </row>
    <row r="2924" spans="20:25" x14ac:dyDescent="0.3">
      <c r="T2924" s="12"/>
      <c r="U2924" s="4"/>
      <c r="V2924" s="4"/>
      <c r="X2924" s="4"/>
      <c r="Y2924" s="4"/>
    </row>
    <row r="2925" spans="20:25" x14ac:dyDescent="0.3">
      <c r="T2925" s="12"/>
      <c r="U2925" s="4"/>
      <c r="V2925" s="4"/>
      <c r="X2925" s="4"/>
      <c r="Y2925" s="4"/>
    </row>
    <row r="2926" spans="20:25" x14ac:dyDescent="0.3">
      <c r="T2926" s="12"/>
      <c r="U2926" s="4"/>
      <c r="V2926" s="4"/>
      <c r="X2926" s="4"/>
      <c r="Y2926" s="4"/>
    </row>
    <row r="2927" spans="20:25" x14ac:dyDescent="0.3">
      <c r="T2927" s="12"/>
      <c r="U2927" s="4"/>
      <c r="V2927" s="4"/>
      <c r="X2927" s="4"/>
      <c r="Y2927" s="4"/>
    </row>
    <row r="2928" spans="20:25" x14ac:dyDescent="0.3">
      <c r="T2928" s="12"/>
      <c r="U2928" s="4"/>
      <c r="V2928" s="4"/>
      <c r="X2928" s="4"/>
      <c r="Y2928" s="4"/>
    </row>
    <row r="2929" spans="20:25" x14ac:dyDescent="0.3">
      <c r="T2929" s="12"/>
      <c r="U2929" s="4"/>
      <c r="V2929" s="4"/>
      <c r="X2929" s="4"/>
      <c r="Y2929" s="4"/>
    </row>
    <row r="2930" spans="20:25" x14ac:dyDescent="0.3">
      <c r="T2930" s="12"/>
      <c r="U2930" s="4"/>
      <c r="V2930" s="4"/>
      <c r="X2930" s="4"/>
      <c r="Y2930" s="4"/>
    </row>
    <row r="2931" spans="20:25" x14ac:dyDescent="0.3">
      <c r="T2931" s="12"/>
      <c r="U2931" s="4"/>
      <c r="V2931" s="4"/>
      <c r="X2931" s="4"/>
      <c r="Y2931" s="4"/>
    </row>
    <row r="2932" spans="20:25" x14ac:dyDescent="0.3">
      <c r="T2932" s="12"/>
      <c r="U2932" s="4"/>
      <c r="V2932" s="4"/>
      <c r="X2932" s="4"/>
      <c r="Y2932" s="4"/>
    </row>
    <row r="2933" spans="20:25" x14ac:dyDescent="0.3">
      <c r="T2933" s="12"/>
      <c r="U2933" s="4"/>
      <c r="V2933" s="4"/>
      <c r="X2933" s="4"/>
      <c r="Y2933" s="4"/>
    </row>
    <row r="2934" spans="20:25" x14ac:dyDescent="0.3">
      <c r="T2934" s="12"/>
      <c r="U2934" s="4"/>
      <c r="V2934" s="4"/>
      <c r="X2934" s="4"/>
      <c r="Y2934" s="4"/>
    </row>
    <row r="2935" spans="20:25" x14ac:dyDescent="0.3">
      <c r="T2935" s="12"/>
      <c r="U2935" s="4"/>
      <c r="V2935" s="4"/>
      <c r="X2935" s="4"/>
      <c r="Y2935" s="4"/>
    </row>
    <row r="2936" spans="20:25" x14ac:dyDescent="0.3">
      <c r="T2936" s="12"/>
      <c r="U2936" s="4"/>
      <c r="V2936" s="4"/>
      <c r="X2936" s="4"/>
      <c r="Y2936" s="4"/>
    </row>
    <row r="2937" spans="20:25" x14ac:dyDescent="0.3">
      <c r="T2937" s="12"/>
      <c r="U2937" s="4"/>
      <c r="V2937" s="4"/>
      <c r="X2937" s="4"/>
      <c r="Y2937" s="4"/>
    </row>
    <row r="2938" spans="20:25" x14ac:dyDescent="0.3">
      <c r="T2938" s="12"/>
      <c r="U2938" s="4"/>
      <c r="V2938" s="4"/>
      <c r="X2938" s="4"/>
      <c r="Y2938" s="4"/>
    </row>
    <row r="2939" spans="20:25" x14ac:dyDescent="0.3">
      <c r="T2939" s="12"/>
      <c r="U2939" s="4"/>
      <c r="V2939" s="4"/>
      <c r="X2939" s="4"/>
      <c r="Y2939" s="4"/>
    </row>
    <row r="2940" spans="20:25" x14ac:dyDescent="0.3">
      <c r="T2940" s="12"/>
      <c r="U2940" s="4"/>
      <c r="V2940" s="4"/>
      <c r="X2940" s="4"/>
      <c r="Y2940" s="4"/>
    </row>
    <row r="2941" spans="20:25" x14ac:dyDescent="0.3">
      <c r="T2941" s="12"/>
      <c r="U2941" s="4"/>
      <c r="V2941" s="4"/>
      <c r="X2941" s="4"/>
      <c r="Y2941" s="4"/>
    </row>
    <row r="2942" spans="20:25" x14ac:dyDescent="0.3">
      <c r="T2942" s="12"/>
      <c r="U2942" s="4"/>
      <c r="V2942" s="4"/>
      <c r="X2942" s="4"/>
      <c r="Y2942" s="4"/>
    </row>
    <row r="2943" spans="20:25" x14ac:dyDescent="0.3">
      <c r="T2943" s="12"/>
      <c r="U2943" s="4"/>
      <c r="V2943" s="4"/>
      <c r="X2943" s="4"/>
      <c r="Y2943" s="4"/>
    </row>
    <row r="2944" spans="20:25" x14ac:dyDescent="0.3">
      <c r="T2944" s="12"/>
      <c r="U2944" s="4"/>
      <c r="V2944" s="4"/>
      <c r="X2944" s="4"/>
      <c r="Y2944" s="4"/>
    </row>
    <row r="2945" spans="20:25" x14ac:dyDescent="0.3">
      <c r="T2945" s="12"/>
      <c r="U2945" s="4"/>
      <c r="V2945" s="4"/>
      <c r="X2945" s="4"/>
      <c r="Y2945" s="4"/>
    </row>
    <row r="2946" spans="20:25" x14ac:dyDescent="0.3">
      <c r="T2946" s="12"/>
      <c r="U2946" s="4"/>
      <c r="V2946" s="4"/>
      <c r="X2946" s="4"/>
      <c r="Y2946" s="4"/>
    </row>
    <row r="2947" spans="20:25" x14ac:dyDescent="0.3">
      <c r="T2947" s="12"/>
      <c r="U2947" s="4"/>
      <c r="V2947" s="4"/>
      <c r="X2947" s="4"/>
      <c r="Y2947" s="4"/>
    </row>
    <row r="2948" spans="20:25" x14ac:dyDescent="0.3">
      <c r="T2948" s="12"/>
      <c r="U2948" s="4"/>
      <c r="V2948" s="4"/>
      <c r="X2948" s="4"/>
      <c r="Y2948" s="4"/>
    </row>
    <row r="2949" spans="20:25" x14ac:dyDescent="0.3">
      <c r="T2949" s="12"/>
      <c r="U2949" s="4"/>
      <c r="V2949" s="4"/>
      <c r="X2949" s="4"/>
      <c r="Y2949" s="4"/>
    </row>
    <row r="2950" spans="20:25" x14ac:dyDescent="0.3">
      <c r="T2950" s="12"/>
      <c r="U2950" s="4"/>
      <c r="V2950" s="4"/>
      <c r="X2950" s="4"/>
      <c r="Y2950" s="4"/>
    </row>
    <row r="2951" spans="20:25" x14ac:dyDescent="0.3">
      <c r="T2951" s="12"/>
      <c r="U2951" s="4"/>
      <c r="V2951" s="4"/>
      <c r="X2951" s="4"/>
      <c r="Y2951" s="4"/>
    </row>
    <row r="2952" spans="20:25" x14ac:dyDescent="0.3">
      <c r="T2952" s="12"/>
      <c r="U2952" s="4"/>
      <c r="V2952" s="4"/>
      <c r="X2952" s="4"/>
      <c r="Y2952" s="4"/>
    </row>
    <row r="2953" spans="20:25" x14ac:dyDescent="0.3">
      <c r="T2953" s="12"/>
      <c r="U2953" s="4"/>
      <c r="V2953" s="4"/>
      <c r="X2953" s="4"/>
      <c r="Y2953" s="4"/>
    </row>
    <row r="2954" spans="20:25" x14ac:dyDescent="0.3">
      <c r="T2954" s="12"/>
      <c r="U2954" s="4"/>
      <c r="V2954" s="4"/>
      <c r="X2954" s="4"/>
      <c r="Y2954" s="4"/>
    </row>
    <row r="2955" spans="20:25" x14ac:dyDescent="0.3">
      <c r="T2955" s="12"/>
      <c r="U2955" s="4"/>
      <c r="V2955" s="4"/>
      <c r="X2955" s="4"/>
      <c r="Y2955" s="4"/>
    </row>
    <row r="2956" spans="20:25" x14ac:dyDescent="0.3">
      <c r="T2956" s="12"/>
      <c r="U2956" s="4"/>
      <c r="V2956" s="4"/>
      <c r="X2956" s="4"/>
      <c r="Y2956" s="4"/>
    </row>
    <row r="2957" spans="20:25" x14ac:dyDescent="0.3">
      <c r="T2957" s="12"/>
      <c r="U2957" s="4"/>
      <c r="V2957" s="4"/>
      <c r="X2957" s="4"/>
      <c r="Y2957" s="4"/>
    </row>
    <row r="2958" spans="20:25" x14ac:dyDescent="0.3">
      <c r="T2958" s="12"/>
      <c r="U2958" s="4"/>
      <c r="V2958" s="4"/>
      <c r="X2958" s="4"/>
      <c r="Y2958" s="4"/>
    </row>
    <row r="2959" spans="20:25" x14ac:dyDescent="0.3">
      <c r="T2959" s="12"/>
      <c r="U2959" s="4"/>
      <c r="V2959" s="4"/>
      <c r="X2959" s="4"/>
      <c r="Y2959" s="4"/>
    </row>
    <row r="2960" spans="20:25" x14ac:dyDescent="0.3">
      <c r="T2960" s="12"/>
      <c r="U2960" s="4"/>
      <c r="V2960" s="4"/>
      <c r="X2960" s="4"/>
      <c r="Y2960" s="4"/>
    </row>
    <row r="2961" spans="20:25" x14ac:dyDescent="0.3">
      <c r="T2961" s="12"/>
      <c r="U2961" s="4"/>
      <c r="V2961" s="4"/>
      <c r="X2961" s="4"/>
      <c r="Y2961" s="4"/>
    </row>
    <row r="2962" spans="20:25" x14ac:dyDescent="0.3">
      <c r="T2962" s="12"/>
      <c r="U2962" s="4"/>
      <c r="V2962" s="4"/>
      <c r="X2962" s="4"/>
      <c r="Y2962" s="4"/>
    </row>
    <row r="2963" spans="20:25" x14ac:dyDescent="0.3">
      <c r="T2963" s="12"/>
      <c r="U2963" s="4"/>
      <c r="V2963" s="4"/>
      <c r="X2963" s="4"/>
      <c r="Y2963" s="4"/>
    </row>
    <row r="2964" spans="20:25" x14ac:dyDescent="0.3">
      <c r="T2964" s="12"/>
      <c r="U2964" s="4"/>
      <c r="V2964" s="4"/>
      <c r="X2964" s="4"/>
      <c r="Y2964" s="4"/>
    </row>
    <row r="2965" spans="20:25" x14ac:dyDescent="0.3">
      <c r="T2965" s="12"/>
      <c r="U2965" s="4"/>
      <c r="V2965" s="4"/>
      <c r="X2965" s="4"/>
      <c r="Y2965" s="4"/>
    </row>
    <row r="2966" spans="20:25" x14ac:dyDescent="0.3">
      <c r="T2966" s="12"/>
      <c r="U2966" s="4"/>
      <c r="V2966" s="4"/>
      <c r="X2966" s="4"/>
      <c r="Y2966" s="4"/>
    </row>
    <row r="2967" spans="20:25" x14ac:dyDescent="0.3">
      <c r="T2967" s="12"/>
      <c r="U2967" s="4"/>
      <c r="V2967" s="4"/>
      <c r="X2967" s="4"/>
      <c r="Y2967" s="4"/>
    </row>
    <row r="2968" spans="20:25" x14ac:dyDescent="0.3">
      <c r="T2968" s="12"/>
      <c r="U2968" s="4"/>
      <c r="V2968" s="4"/>
      <c r="X2968" s="4"/>
      <c r="Y2968" s="4"/>
    </row>
    <row r="2969" spans="20:25" x14ac:dyDescent="0.3">
      <c r="T2969" s="12"/>
      <c r="U2969" s="4"/>
      <c r="V2969" s="4"/>
      <c r="X2969" s="4"/>
      <c r="Y2969" s="4"/>
    </row>
    <row r="2970" spans="20:25" x14ac:dyDescent="0.3">
      <c r="T2970" s="12"/>
      <c r="U2970" s="4"/>
      <c r="V2970" s="4"/>
      <c r="X2970" s="4"/>
      <c r="Y2970" s="4"/>
    </row>
    <row r="2971" spans="20:25" x14ac:dyDescent="0.3">
      <c r="T2971" s="12"/>
      <c r="U2971" s="4"/>
      <c r="V2971" s="4"/>
      <c r="X2971" s="4"/>
      <c r="Y2971" s="4"/>
    </row>
    <row r="2972" spans="20:25" x14ac:dyDescent="0.3">
      <c r="T2972" s="12"/>
      <c r="U2972" s="4"/>
      <c r="V2972" s="4"/>
      <c r="X2972" s="4"/>
      <c r="Y2972" s="4"/>
    </row>
    <row r="2973" spans="20:25" x14ac:dyDescent="0.3">
      <c r="T2973" s="12"/>
      <c r="U2973" s="4"/>
      <c r="V2973" s="4"/>
      <c r="X2973" s="4"/>
      <c r="Y2973" s="4"/>
    </row>
    <row r="2974" spans="20:25" x14ac:dyDescent="0.3">
      <c r="T2974" s="12"/>
      <c r="U2974" s="4"/>
      <c r="V2974" s="4"/>
      <c r="X2974" s="4"/>
      <c r="Y2974" s="4"/>
    </row>
    <row r="2975" spans="20:25" x14ac:dyDescent="0.3">
      <c r="T2975" s="12"/>
      <c r="U2975" s="4"/>
      <c r="V2975" s="4"/>
      <c r="X2975" s="4"/>
      <c r="Y2975" s="4"/>
    </row>
    <row r="2976" spans="20:25" x14ac:dyDescent="0.3">
      <c r="T2976" s="12"/>
      <c r="U2976" s="4"/>
      <c r="V2976" s="4"/>
      <c r="X2976" s="4"/>
      <c r="Y2976" s="4"/>
    </row>
    <row r="2977" spans="20:25" x14ac:dyDescent="0.3">
      <c r="T2977" s="12"/>
      <c r="U2977" s="4"/>
      <c r="V2977" s="4"/>
      <c r="X2977" s="4"/>
      <c r="Y2977" s="4"/>
    </row>
    <row r="2978" spans="20:25" x14ac:dyDescent="0.3">
      <c r="T2978" s="12"/>
      <c r="U2978" s="4"/>
      <c r="V2978" s="4"/>
      <c r="X2978" s="4"/>
      <c r="Y2978" s="4"/>
    </row>
    <row r="2979" spans="20:25" x14ac:dyDescent="0.3">
      <c r="T2979" s="12"/>
      <c r="U2979" s="4"/>
      <c r="V2979" s="4"/>
      <c r="X2979" s="4"/>
      <c r="Y2979" s="4"/>
    </row>
    <row r="2980" spans="20:25" x14ac:dyDescent="0.3">
      <c r="T2980" s="12"/>
      <c r="U2980" s="4"/>
      <c r="V2980" s="4"/>
      <c r="X2980" s="4"/>
      <c r="Y2980" s="4"/>
    </row>
    <row r="2981" spans="20:25" x14ac:dyDescent="0.3">
      <c r="T2981" s="12"/>
      <c r="U2981" s="4"/>
      <c r="V2981" s="4"/>
      <c r="X2981" s="4"/>
      <c r="Y2981" s="4"/>
    </row>
    <row r="2982" spans="20:25" x14ac:dyDescent="0.3">
      <c r="T2982" s="12"/>
      <c r="U2982" s="4"/>
      <c r="V2982" s="4"/>
      <c r="X2982" s="4"/>
      <c r="Y2982" s="4"/>
    </row>
    <row r="2983" spans="20:25" x14ac:dyDescent="0.3">
      <c r="T2983" s="12"/>
      <c r="U2983" s="4"/>
      <c r="V2983" s="4"/>
      <c r="X2983" s="4"/>
      <c r="Y2983" s="4"/>
    </row>
    <row r="2984" spans="20:25" x14ac:dyDescent="0.3">
      <c r="T2984" s="12"/>
      <c r="U2984" s="4"/>
      <c r="V2984" s="4"/>
      <c r="X2984" s="4"/>
      <c r="Y2984" s="4"/>
    </row>
    <row r="2985" spans="20:25" x14ac:dyDescent="0.3">
      <c r="T2985" s="12"/>
      <c r="U2985" s="4"/>
      <c r="V2985" s="4"/>
      <c r="X2985" s="4"/>
      <c r="Y2985" s="4"/>
    </row>
    <row r="2986" spans="20:25" x14ac:dyDescent="0.3">
      <c r="T2986" s="12"/>
      <c r="U2986" s="4"/>
      <c r="V2986" s="4"/>
      <c r="X2986" s="4"/>
      <c r="Y2986" s="4"/>
    </row>
    <row r="2987" spans="20:25" x14ac:dyDescent="0.3">
      <c r="T2987" s="12"/>
      <c r="U2987" s="4"/>
      <c r="V2987" s="4"/>
      <c r="X2987" s="4"/>
      <c r="Y2987" s="4"/>
    </row>
    <row r="2988" spans="20:25" x14ac:dyDescent="0.3">
      <c r="T2988" s="12"/>
      <c r="U2988" s="4"/>
      <c r="V2988" s="4"/>
      <c r="X2988" s="4"/>
      <c r="Y2988" s="4"/>
    </row>
    <row r="2989" spans="20:25" x14ac:dyDescent="0.3">
      <c r="T2989" s="12"/>
      <c r="U2989" s="4"/>
      <c r="V2989" s="4"/>
      <c r="X2989" s="4"/>
      <c r="Y2989" s="4"/>
    </row>
    <row r="2990" spans="20:25" x14ac:dyDescent="0.3">
      <c r="T2990" s="12"/>
      <c r="U2990" s="4"/>
      <c r="V2990" s="4"/>
      <c r="X2990" s="4"/>
      <c r="Y2990" s="4"/>
    </row>
    <row r="2991" spans="20:25" x14ac:dyDescent="0.3">
      <c r="T2991" s="12"/>
      <c r="U2991" s="4"/>
      <c r="V2991" s="4"/>
      <c r="X2991" s="4"/>
      <c r="Y2991" s="4"/>
    </row>
    <row r="2992" spans="20:25" x14ac:dyDescent="0.3">
      <c r="T2992" s="12"/>
      <c r="U2992" s="4"/>
      <c r="V2992" s="4"/>
      <c r="X2992" s="4"/>
      <c r="Y2992" s="4"/>
    </row>
    <row r="2993" spans="20:25" x14ac:dyDescent="0.3">
      <c r="T2993" s="12"/>
      <c r="U2993" s="4"/>
      <c r="V2993" s="4"/>
      <c r="X2993" s="4"/>
      <c r="Y2993" s="4"/>
    </row>
    <row r="2994" spans="20:25" x14ac:dyDescent="0.3">
      <c r="T2994" s="12"/>
      <c r="U2994" s="4"/>
      <c r="V2994" s="4"/>
      <c r="X2994" s="4"/>
      <c r="Y2994" s="4"/>
    </row>
    <row r="2995" spans="20:25" x14ac:dyDescent="0.3">
      <c r="T2995" s="12"/>
      <c r="U2995" s="4"/>
      <c r="V2995" s="4"/>
      <c r="X2995" s="4"/>
      <c r="Y2995" s="4"/>
    </row>
    <row r="2996" spans="20:25" x14ac:dyDescent="0.3">
      <c r="T2996" s="12"/>
      <c r="U2996" s="4"/>
      <c r="V2996" s="4"/>
      <c r="X2996" s="4"/>
      <c r="Y2996" s="4"/>
    </row>
    <row r="2997" spans="20:25" x14ac:dyDescent="0.3">
      <c r="T2997" s="12"/>
      <c r="U2997" s="4"/>
      <c r="V2997" s="4"/>
      <c r="X2997" s="4"/>
      <c r="Y2997" s="4"/>
    </row>
    <row r="2998" spans="20:25" x14ac:dyDescent="0.3">
      <c r="T2998" s="12"/>
      <c r="U2998" s="4"/>
      <c r="V2998" s="4"/>
      <c r="X2998" s="4"/>
      <c r="Y2998" s="4"/>
    </row>
    <row r="2999" spans="20:25" x14ac:dyDescent="0.3">
      <c r="T2999" s="12"/>
      <c r="U2999" s="4"/>
      <c r="V2999" s="4"/>
      <c r="X2999" s="4"/>
      <c r="Y2999" s="4"/>
    </row>
    <row r="3000" spans="20:25" x14ac:dyDescent="0.3">
      <c r="T3000" s="12"/>
      <c r="U3000" s="4"/>
      <c r="V3000" s="4"/>
      <c r="X3000" s="4"/>
      <c r="Y3000" s="4"/>
    </row>
    <row r="3001" spans="20:25" x14ac:dyDescent="0.3">
      <c r="T3001" s="12"/>
      <c r="U3001" s="4"/>
      <c r="V3001" s="4"/>
      <c r="X3001" s="4"/>
      <c r="Y3001" s="4"/>
    </row>
    <row r="3002" spans="20:25" x14ac:dyDescent="0.3">
      <c r="T3002" s="12"/>
      <c r="U3002" s="4"/>
      <c r="V3002" s="4"/>
      <c r="X3002" s="4"/>
      <c r="Y3002" s="4"/>
    </row>
    <row r="3003" spans="20:25" x14ac:dyDescent="0.3">
      <c r="T3003" s="12"/>
      <c r="U3003" s="4"/>
      <c r="V3003" s="4"/>
      <c r="X3003" s="4"/>
      <c r="Y3003" s="4"/>
    </row>
    <row r="3004" spans="20:25" x14ac:dyDescent="0.3">
      <c r="T3004" s="12"/>
      <c r="U3004" s="4"/>
      <c r="V3004" s="4"/>
      <c r="X3004" s="4"/>
      <c r="Y3004" s="4"/>
    </row>
    <row r="3005" spans="20:25" x14ac:dyDescent="0.3">
      <c r="T3005" s="12"/>
      <c r="U3005" s="4"/>
      <c r="V3005" s="4"/>
      <c r="X3005" s="4"/>
      <c r="Y3005" s="4"/>
    </row>
    <row r="3006" spans="20:25" x14ac:dyDescent="0.3">
      <c r="T3006" s="12"/>
      <c r="U3006" s="4"/>
      <c r="V3006" s="4"/>
      <c r="X3006" s="4"/>
      <c r="Y3006" s="4"/>
    </row>
    <row r="3007" spans="20:25" x14ac:dyDescent="0.3">
      <c r="T3007" s="12"/>
      <c r="U3007" s="4"/>
      <c r="V3007" s="4"/>
      <c r="X3007" s="4"/>
      <c r="Y3007" s="4"/>
    </row>
    <row r="3008" spans="20:25" x14ac:dyDescent="0.3">
      <c r="T3008" s="12"/>
      <c r="U3008" s="4"/>
      <c r="V3008" s="4"/>
      <c r="X3008" s="4"/>
      <c r="Y3008" s="4"/>
    </row>
    <row r="3009" spans="20:25" x14ac:dyDescent="0.3">
      <c r="T3009" s="12"/>
      <c r="U3009" s="4"/>
      <c r="V3009" s="4"/>
      <c r="X3009" s="4"/>
      <c r="Y3009" s="4"/>
    </row>
    <row r="3010" spans="20:25" x14ac:dyDescent="0.3">
      <c r="T3010" s="12"/>
      <c r="U3010" s="4"/>
      <c r="V3010" s="4"/>
      <c r="X3010" s="4"/>
      <c r="Y3010" s="4"/>
    </row>
    <row r="3011" spans="20:25" x14ac:dyDescent="0.3">
      <c r="T3011" s="12"/>
      <c r="U3011" s="4"/>
      <c r="V3011" s="4"/>
      <c r="X3011" s="4"/>
      <c r="Y3011" s="4"/>
    </row>
    <row r="3012" spans="20:25" x14ac:dyDescent="0.3">
      <c r="T3012" s="12"/>
      <c r="U3012" s="4"/>
      <c r="V3012" s="4"/>
      <c r="X3012" s="4"/>
      <c r="Y3012" s="4"/>
    </row>
    <row r="3013" spans="20:25" x14ac:dyDescent="0.3">
      <c r="T3013" s="12"/>
      <c r="U3013" s="4"/>
      <c r="V3013" s="4"/>
      <c r="X3013" s="4"/>
      <c r="Y3013" s="4"/>
    </row>
    <row r="3014" spans="20:25" x14ac:dyDescent="0.3">
      <c r="T3014" s="12"/>
      <c r="U3014" s="4"/>
      <c r="V3014" s="4"/>
      <c r="X3014" s="4"/>
      <c r="Y3014" s="4"/>
    </row>
    <row r="3015" spans="20:25" x14ac:dyDescent="0.3">
      <c r="T3015" s="12"/>
      <c r="U3015" s="4"/>
      <c r="V3015" s="4"/>
      <c r="X3015" s="4"/>
      <c r="Y3015" s="4"/>
    </row>
    <row r="3016" spans="20:25" x14ac:dyDescent="0.3">
      <c r="T3016" s="12"/>
      <c r="U3016" s="4"/>
      <c r="V3016" s="4"/>
      <c r="X3016" s="4"/>
      <c r="Y3016" s="4"/>
    </row>
    <row r="3017" spans="20:25" x14ac:dyDescent="0.3">
      <c r="T3017" s="12"/>
      <c r="U3017" s="4"/>
      <c r="V3017" s="4"/>
      <c r="X3017" s="4"/>
      <c r="Y3017" s="4"/>
    </row>
    <row r="3018" spans="20:25" x14ac:dyDescent="0.3">
      <c r="T3018" s="12"/>
      <c r="U3018" s="4"/>
      <c r="V3018" s="4"/>
      <c r="X3018" s="4"/>
      <c r="Y3018" s="4"/>
    </row>
    <row r="3019" spans="20:25" x14ac:dyDescent="0.3">
      <c r="T3019" s="12"/>
      <c r="U3019" s="4"/>
      <c r="V3019" s="4"/>
      <c r="X3019" s="4"/>
      <c r="Y3019" s="4"/>
    </row>
    <row r="3020" spans="20:25" x14ac:dyDescent="0.3">
      <c r="T3020" s="12"/>
      <c r="U3020" s="4"/>
      <c r="V3020" s="4"/>
      <c r="X3020" s="4"/>
      <c r="Y3020" s="4"/>
    </row>
    <row r="3021" spans="20:25" x14ac:dyDescent="0.3">
      <c r="T3021" s="12"/>
      <c r="U3021" s="4"/>
      <c r="V3021" s="4"/>
      <c r="X3021" s="4"/>
      <c r="Y3021" s="4"/>
    </row>
    <row r="3022" spans="20:25" x14ac:dyDescent="0.3">
      <c r="T3022" s="12"/>
      <c r="U3022" s="4"/>
      <c r="V3022" s="4"/>
      <c r="X3022" s="4"/>
      <c r="Y3022" s="4"/>
    </row>
    <row r="3023" spans="20:25" x14ac:dyDescent="0.3">
      <c r="T3023" s="12"/>
      <c r="U3023" s="4"/>
      <c r="V3023" s="4"/>
      <c r="X3023" s="4"/>
      <c r="Y3023" s="4"/>
    </row>
    <row r="3024" spans="20:25" x14ac:dyDescent="0.3">
      <c r="T3024" s="12"/>
      <c r="U3024" s="4"/>
      <c r="V3024" s="4"/>
      <c r="X3024" s="4"/>
      <c r="Y3024" s="4"/>
    </row>
    <row r="3025" spans="20:25" x14ac:dyDescent="0.3">
      <c r="T3025" s="12"/>
      <c r="U3025" s="4"/>
      <c r="V3025" s="4"/>
      <c r="X3025" s="4"/>
      <c r="Y3025" s="4"/>
    </row>
    <row r="3026" spans="20:25" x14ac:dyDescent="0.3">
      <c r="T3026" s="12"/>
      <c r="U3026" s="4"/>
      <c r="V3026" s="4"/>
      <c r="X3026" s="4"/>
      <c r="Y3026" s="4"/>
    </row>
    <row r="3027" spans="20:25" x14ac:dyDescent="0.3">
      <c r="T3027" s="12"/>
      <c r="U3027" s="4"/>
      <c r="V3027" s="4"/>
      <c r="X3027" s="4"/>
      <c r="Y3027" s="4"/>
    </row>
    <row r="3028" spans="20:25" x14ac:dyDescent="0.3">
      <c r="T3028" s="12"/>
      <c r="U3028" s="4"/>
      <c r="V3028" s="4"/>
      <c r="X3028" s="4"/>
      <c r="Y3028" s="4"/>
    </row>
    <row r="3029" spans="20:25" x14ac:dyDescent="0.3">
      <c r="T3029" s="12"/>
      <c r="U3029" s="4"/>
      <c r="V3029" s="4"/>
      <c r="X3029" s="4"/>
      <c r="Y3029" s="4"/>
    </row>
    <row r="3030" spans="20:25" x14ac:dyDescent="0.3">
      <c r="T3030" s="12"/>
      <c r="U3030" s="4"/>
      <c r="V3030" s="4"/>
      <c r="X3030" s="4"/>
      <c r="Y3030" s="4"/>
    </row>
    <row r="3031" spans="20:25" x14ac:dyDescent="0.3">
      <c r="T3031" s="12"/>
      <c r="U3031" s="4"/>
      <c r="V3031" s="4"/>
      <c r="X3031" s="4"/>
      <c r="Y3031" s="4"/>
    </row>
    <row r="3032" spans="20:25" x14ac:dyDescent="0.3">
      <c r="T3032" s="12"/>
      <c r="U3032" s="4"/>
      <c r="V3032" s="4"/>
      <c r="X3032" s="4"/>
      <c r="Y3032" s="4"/>
    </row>
    <row r="3033" spans="20:25" x14ac:dyDescent="0.3">
      <c r="T3033" s="12"/>
      <c r="U3033" s="4"/>
      <c r="V3033" s="4"/>
      <c r="X3033" s="4"/>
      <c r="Y3033" s="4"/>
    </row>
    <row r="3034" spans="20:25" x14ac:dyDescent="0.3">
      <c r="T3034" s="12"/>
      <c r="U3034" s="4"/>
      <c r="V3034" s="4"/>
      <c r="X3034" s="4"/>
      <c r="Y3034" s="4"/>
    </row>
    <row r="3035" spans="20:25" x14ac:dyDescent="0.3">
      <c r="T3035" s="12"/>
      <c r="U3035" s="4"/>
      <c r="V3035" s="4"/>
      <c r="X3035" s="4"/>
      <c r="Y3035" s="4"/>
    </row>
    <row r="3036" spans="20:25" x14ac:dyDescent="0.3">
      <c r="T3036" s="12"/>
      <c r="U3036" s="4"/>
      <c r="V3036" s="4"/>
      <c r="X3036" s="4"/>
      <c r="Y3036" s="4"/>
    </row>
    <row r="3037" spans="20:25" x14ac:dyDescent="0.3">
      <c r="T3037" s="12"/>
      <c r="U3037" s="4"/>
      <c r="V3037" s="4"/>
      <c r="X3037" s="4"/>
      <c r="Y3037" s="4"/>
    </row>
    <row r="3038" spans="20:25" x14ac:dyDescent="0.3">
      <c r="T3038" s="12"/>
      <c r="U3038" s="4"/>
      <c r="V3038" s="4"/>
      <c r="X3038" s="4"/>
      <c r="Y3038" s="4"/>
    </row>
    <row r="3039" spans="20:25" x14ac:dyDescent="0.3">
      <c r="T3039" s="12"/>
      <c r="U3039" s="4"/>
      <c r="V3039" s="4"/>
      <c r="X3039" s="4"/>
      <c r="Y3039" s="4"/>
    </row>
    <row r="3040" spans="20:25" x14ac:dyDescent="0.3">
      <c r="T3040" s="12"/>
      <c r="U3040" s="4"/>
      <c r="V3040" s="4"/>
      <c r="X3040" s="4"/>
      <c r="Y3040" s="4"/>
    </row>
    <row r="3041" spans="20:25" x14ac:dyDescent="0.3">
      <c r="T3041" s="12"/>
      <c r="U3041" s="4"/>
      <c r="V3041" s="4"/>
      <c r="X3041" s="4"/>
      <c r="Y3041" s="4"/>
    </row>
    <row r="3042" spans="20:25" x14ac:dyDescent="0.3">
      <c r="T3042" s="12"/>
      <c r="U3042" s="4"/>
      <c r="V3042" s="4"/>
      <c r="X3042" s="4"/>
      <c r="Y3042" s="4"/>
    </row>
    <row r="3043" spans="20:25" x14ac:dyDescent="0.3">
      <c r="T3043" s="12"/>
      <c r="U3043" s="4"/>
      <c r="V3043" s="4"/>
      <c r="X3043" s="4"/>
      <c r="Y3043" s="4"/>
    </row>
    <row r="3044" spans="20:25" x14ac:dyDescent="0.3">
      <c r="T3044" s="12"/>
      <c r="U3044" s="4"/>
      <c r="V3044" s="4"/>
      <c r="X3044" s="4"/>
      <c r="Y3044" s="4"/>
    </row>
    <row r="3045" spans="20:25" x14ac:dyDescent="0.3">
      <c r="T3045" s="12"/>
      <c r="U3045" s="4"/>
      <c r="V3045" s="4"/>
      <c r="X3045" s="4"/>
      <c r="Y3045" s="4"/>
    </row>
    <row r="3046" spans="20:25" x14ac:dyDescent="0.3">
      <c r="T3046" s="12"/>
      <c r="U3046" s="4"/>
      <c r="V3046" s="4"/>
      <c r="X3046" s="4"/>
      <c r="Y3046" s="4"/>
    </row>
    <row r="3047" spans="20:25" x14ac:dyDescent="0.3">
      <c r="T3047" s="12"/>
      <c r="U3047" s="4"/>
      <c r="V3047" s="4"/>
      <c r="X3047" s="4"/>
      <c r="Y3047" s="4"/>
    </row>
    <row r="3048" spans="20:25" x14ac:dyDescent="0.3">
      <c r="T3048" s="12"/>
      <c r="U3048" s="4"/>
      <c r="V3048" s="4"/>
      <c r="X3048" s="4"/>
      <c r="Y3048" s="4"/>
    </row>
    <row r="3049" spans="20:25" x14ac:dyDescent="0.3">
      <c r="T3049" s="12"/>
      <c r="U3049" s="4"/>
      <c r="V3049" s="4"/>
      <c r="X3049" s="4"/>
      <c r="Y3049" s="4"/>
    </row>
    <row r="3050" spans="20:25" x14ac:dyDescent="0.3">
      <c r="T3050" s="12"/>
      <c r="U3050" s="4"/>
      <c r="V3050" s="4"/>
      <c r="X3050" s="4"/>
      <c r="Y3050" s="4"/>
    </row>
    <row r="3051" spans="20:25" x14ac:dyDescent="0.3">
      <c r="T3051" s="12"/>
      <c r="U3051" s="4"/>
      <c r="V3051" s="4"/>
      <c r="X3051" s="4"/>
      <c r="Y3051" s="4"/>
    </row>
    <row r="3052" spans="20:25" x14ac:dyDescent="0.3">
      <c r="T3052" s="12"/>
      <c r="U3052" s="4"/>
      <c r="V3052" s="4"/>
      <c r="X3052" s="4"/>
      <c r="Y3052" s="4"/>
    </row>
    <row r="3053" spans="20:25" x14ac:dyDescent="0.3">
      <c r="T3053" s="12"/>
      <c r="U3053" s="4"/>
      <c r="V3053" s="4"/>
      <c r="X3053" s="4"/>
      <c r="Y3053" s="4"/>
    </row>
    <row r="3054" spans="20:25" x14ac:dyDescent="0.3">
      <c r="T3054" s="12"/>
      <c r="U3054" s="4"/>
      <c r="V3054" s="4"/>
      <c r="X3054" s="4"/>
      <c r="Y3054" s="4"/>
    </row>
    <row r="3055" spans="20:25" x14ac:dyDescent="0.3">
      <c r="T3055" s="12"/>
      <c r="U3055" s="4"/>
      <c r="V3055" s="4"/>
      <c r="X3055" s="4"/>
      <c r="Y3055" s="4"/>
    </row>
    <row r="3056" spans="20:25" x14ac:dyDescent="0.3">
      <c r="T3056" s="12"/>
      <c r="U3056" s="4"/>
      <c r="V3056" s="4"/>
      <c r="X3056" s="4"/>
      <c r="Y3056" s="4"/>
    </row>
    <row r="3057" spans="20:25" x14ac:dyDescent="0.3">
      <c r="T3057" s="12"/>
      <c r="U3057" s="4"/>
      <c r="V3057" s="4"/>
      <c r="X3057" s="4"/>
      <c r="Y3057" s="4"/>
    </row>
    <row r="3058" spans="20:25" x14ac:dyDescent="0.3">
      <c r="T3058" s="12"/>
      <c r="U3058" s="4"/>
      <c r="V3058" s="4"/>
      <c r="X3058" s="4"/>
      <c r="Y3058" s="4"/>
    </row>
    <row r="3059" spans="20:25" x14ac:dyDescent="0.3">
      <c r="T3059" s="12"/>
      <c r="U3059" s="4"/>
      <c r="V3059" s="4"/>
      <c r="X3059" s="4"/>
      <c r="Y3059" s="4"/>
    </row>
    <row r="3060" spans="20:25" x14ac:dyDescent="0.3">
      <c r="T3060" s="12"/>
      <c r="U3060" s="4"/>
      <c r="V3060" s="4"/>
      <c r="X3060" s="4"/>
      <c r="Y3060" s="4"/>
    </row>
    <row r="3061" spans="20:25" x14ac:dyDescent="0.3">
      <c r="T3061" s="12"/>
      <c r="U3061" s="4"/>
      <c r="V3061" s="4"/>
      <c r="X3061" s="4"/>
      <c r="Y3061" s="4"/>
    </row>
    <row r="3062" spans="20:25" x14ac:dyDescent="0.3">
      <c r="T3062" s="12"/>
      <c r="U3062" s="4"/>
      <c r="V3062" s="4"/>
      <c r="X3062" s="4"/>
      <c r="Y3062" s="4"/>
    </row>
    <row r="3063" spans="20:25" x14ac:dyDescent="0.3">
      <c r="T3063" s="12"/>
      <c r="U3063" s="4"/>
      <c r="V3063" s="4"/>
      <c r="X3063" s="4"/>
      <c r="Y3063" s="4"/>
    </row>
    <row r="3064" spans="20:25" x14ac:dyDescent="0.3">
      <c r="T3064" s="12"/>
      <c r="U3064" s="4"/>
      <c r="V3064" s="4"/>
      <c r="X3064" s="4"/>
      <c r="Y3064" s="4"/>
    </row>
    <row r="3065" spans="20:25" x14ac:dyDescent="0.3">
      <c r="T3065" s="12"/>
      <c r="U3065" s="4"/>
      <c r="V3065" s="4"/>
      <c r="X3065" s="4"/>
      <c r="Y3065" s="4"/>
    </row>
    <row r="3066" spans="20:25" x14ac:dyDescent="0.3">
      <c r="T3066" s="12"/>
      <c r="U3066" s="4"/>
      <c r="V3066" s="4"/>
      <c r="X3066" s="4"/>
      <c r="Y3066" s="4"/>
    </row>
    <row r="3067" spans="20:25" x14ac:dyDescent="0.3">
      <c r="T3067" s="12"/>
      <c r="U3067" s="4"/>
      <c r="V3067" s="4"/>
      <c r="X3067" s="4"/>
      <c r="Y3067" s="4"/>
    </row>
    <row r="3068" spans="20:25" x14ac:dyDescent="0.3">
      <c r="T3068" s="12"/>
      <c r="U3068" s="4"/>
      <c r="V3068" s="4"/>
      <c r="X3068" s="4"/>
      <c r="Y3068" s="4"/>
    </row>
    <row r="3069" spans="20:25" x14ac:dyDescent="0.3">
      <c r="T3069" s="12"/>
      <c r="U3069" s="4"/>
      <c r="V3069" s="4"/>
      <c r="X3069" s="4"/>
      <c r="Y3069" s="4"/>
    </row>
    <row r="3070" spans="20:25" x14ac:dyDescent="0.3">
      <c r="T3070" s="12"/>
      <c r="U3070" s="4"/>
      <c r="V3070" s="4"/>
      <c r="X3070" s="4"/>
      <c r="Y3070" s="4"/>
    </row>
    <row r="3071" spans="20:25" x14ac:dyDescent="0.3">
      <c r="T3071" s="12"/>
      <c r="U3071" s="4"/>
      <c r="V3071" s="4"/>
      <c r="X3071" s="4"/>
      <c r="Y3071" s="4"/>
    </row>
    <row r="3072" spans="20:25" x14ac:dyDescent="0.3">
      <c r="T3072" s="12"/>
      <c r="U3072" s="4"/>
      <c r="V3072" s="4"/>
      <c r="X3072" s="4"/>
      <c r="Y3072" s="4"/>
    </row>
    <row r="3073" spans="20:25" x14ac:dyDescent="0.3">
      <c r="T3073" s="12"/>
      <c r="U3073" s="4"/>
      <c r="V3073" s="4"/>
      <c r="X3073" s="4"/>
      <c r="Y3073" s="4"/>
    </row>
    <row r="3074" spans="20:25" x14ac:dyDescent="0.3">
      <c r="T3074" s="12"/>
      <c r="U3074" s="4"/>
      <c r="V3074" s="4"/>
      <c r="X3074" s="4"/>
      <c r="Y3074" s="4"/>
    </row>
    <row r="3075" spans="20:25" x14ac:dyDescent="0.3">
      <c r="T3075" s="12"/>
      <c r="U3075" s="4"/>
      <c r="V3075" s="4"/>
      <c r="X3075" s="4"/>
      <c r="Y3075" s="4"/>
    </row>
    <row r="3076" spans="20:25" x14ac:dyDescent="0.3">
      <c r="T3076" s="12"/>
      <c r="U3076" s="4"/>
      <c r="V3076" s="4"/>
      <c r="X3076" s="4"/>
      <c r="Y3076" s="4"/>
    </row>
    <row r="3077" spans="20:25" x14ac:dyDescent="0.3">
      <c r="T3077" s="12"/>
      <c r="U3077" s="4"/>
      <c r="V3077" s="4"/>
      <c r="X3077" s="4"/>
      <c r="Y3077" s="4"/>
    </row>
    <row r="3078" spans="20:25" x14ac:dyDescent="0.3">
      <c r="T3078" s="12"/>
      <c r="U3078" s="4"/>
      <c r="V3078" s="4"/>
      <c r="X3078" s="4"/>
      <c r="Y3078" s="4"/>
    </row>
    <row r="3079" spans="20:25" x14ac:dyDescent="0.3">
      <c r="T3079" s="12"/>
      <c r="U3079" s="4"/>
      <c r="V3079" s="4"/>
      <c r="X3079" s="4"/>
      <c r="Y3079" s="4"/>
    </row>
    <row r="3080" spans="20:25" x14ac:dyDescent="0.3">
      <c r="T3080" s="12"/>
      <c r="U3080" s="4"/>
      <c r="V3080" s="4"/>
      <c r="X3080" s="4"/>
      <c r="Y3080" s="4"/>
    </row>
    <row r="3081" spans="20:25" x14ac:dyDescent="0.3">
      <c r="T3081" s="12"/>
      <c r="U3081" s="4"/>
      <c r="V3081" s="4"/>
      <c r="X3081" s="4"/>
      <c r="Y3081" s="4"/>
    </row>
    <row r="3082" spans="20:25" x14ac:dyDescent="0.3">
      <c r="T3082" s="12"/>
      <c r="U3082" s="4"/>
      <c r="V3082" s="4"/>
      <c r="X3082" s="4"/>
      <c r="Y3082" s="4"/>
    </row>
    <row r="3083" spans="20:25" x14ac:dyDescent="0.3">
      <c r="T3083" s="12"/>
      <c r="U3083" s="4"/>
      <c r="V3083" s="4"/>
      <c r="X3083" s="4"/>
      <c r="Y3083" s="4"/>
    </row>
    <row r="3084" spans="20:25" x14ac:dyDescent="0.3">
      <c r="T3084" s="12"/>
      <c r="U3084" s="4"/>
      <c r="V3084" s="4"/>
      <c r="X3084" s="4"/>
      <c r="Y3084" s="4"/>
    </row>
    <row r="3085" spans="20:25" x14ac:dyDescent="0.3">
      <c r="T3085" s="12"/>
      <c r="U3085" s="4"/>
      <c r="V3085" s="4"/>
      <c r="X3085" s="4"/>
      <c r="Y3085" s="4"/>
    </row>
    <row r="3086" spans="20:25" x14ac:dyDescent="0.3">
      <c r="T3086" s="12"/>
      <c r="U3086" s="4"/>
      <c r="V3086" s="4"/>
      <c r="X3086" s="4"/>
      <c r="Y3086" s="4"/>
    </row>
    <row r="3087" spans="20:25" x14ac:dyDescent="0.3">
      <c r="T3087" s="12"/>
      <c r="U3087" s="4"/>
      <c r="V3087" s="4"/>
      <c r="X3087" s="4"/>
      <c r="Y3087" s="4"/>
    </row>
    <row r="3088" spans="20:25" x14ac:dyDescent="0.3">
      <c r="T3088" s="12"/>
      <c r="U3088" s="4"/>
      <c r="V3088" s="4"/>
      <c r="X3088" s="4"/>
      <c r="Y3088" s="4"/>
    </row>
    <row r="3089" spans="20:25" x14ac:dyDescent="0.3">
      <c r="T3089" s="12"/>
      <c r="U3089" s="4"/>
      <c r="V3089" s="4"/>
      <c r="X3089" s="4"/>
      <c r="Y3089" s="4"/>
    </row>
    <row r="3090" spans="20:25" x14ac:dyDescent="0.3">
      <c r="T3090" s="12"/>
      <c r="U3090" s="4"/>
      <c r="V3090" s="4"/>
      <c r="X3090" s="4"/>
      <c r="Y3090" s="4"/>
    </row>
    <row r="3091" spans="20:25" x14ac:dyDescent="0.3">
      <c r="T3091" s="12"/>
      <c r="U3091" s="4"/>
      <c r="V3091" s="4"/>
      <c r="X3091" s="4"/>
      <c r="Y3091" s="4"/>
    </row>
    <row r="3092" spans="20:25" x14ac:dyDescent="0.3">
      <c r="T3092" s="12"/>
      <c r="U3092" s="4"/>
      <c r="V3092" s="4"/>
      <c r="X3092" s="4"/>
      <c r="Y3092" s="4"/>
    </row>
    <row r="3093" spans="20:25" x14ac:dyDescent="0.3">
      <c r="T3093" s="12"/>
      <c r="U3093" s="4"/>
      <c r="V3093" s="4"/>
      <c r="X3093" s="4"/>
      <c r="Y3093" s="4"/>
    </row>
    <row r="3094" spans="20:25" x14ac:dyDescent="0.3">
      <c r="T3094" s="12"/>
      <c r="U3094" s="4"/>
      <c r="V3094" s="4"/>
      <c r="X3094" s="4"/>
      <c r="Y3094" s="4"/>
    </row>
    <row r="3095" spans="20:25" x14ac:dyDescent="0.3">
      <c r="T3095" s="12"/>
      <c r="U3095" s="4"/>
      <c r="V3095" s="4"/>
      <c r="X3095" s="4"/>
      <c r="Y3095" s="4"/>
    </row>
    <row r="3096" spans="20:25" x14ac:dyDescent="0.3">
      <c r="T3096" s="12"/>
      <c r="U3096" s="4"/>
      <c r="V3096" s="4"/>
      <c r="X3096" s="4"/>
      <c r="Y3096" s="4"/>
    </row>
    <row r="3097" spans="20:25" x14ac:dyDescent="0.3">
      <c r="T3097" s="12"/>
      <c r="U3097" s="4"/>
      <c r="V3097" s="4"/>
      <c r="X3097" s="4"/>
      <c r="Y3097" s="4"/>
    </row>
    <row r="3098" spans="20:25" x14ac:dyDescent="0.3">
      <c r="T3098" s="12"/>
      <c r="U3098" s="4"/>
      <c r="V3098" s="4"/>
      <c r="X3098" s="4"/>
      <c r="Y3098" s="4"/>
    </row>
    <row r="3099" spans="20:25" x14ac:dyDescent="0.3">
      <c r="T3099" s="12"/>
      <c r="U3099" s="4"/>
      <c r="V3099" s="4"/>
      <c r="X3099" s="4"/>
      <c r="Y3099" s="4"/>
    </row>
    <row r="3100" spans="20:25" x14ac:dyDescent="0.3">
      <c r="T3100" s="12"/>
      <c r="U3100" s="4"/>
      <c r="V3100" s="4"/>
      <c r="X3100" s="4"/>
      <c r="Y3100" s="4"/>
    </row>
    <row r="3101" spans="20:25" x14ac:dyDescent="0.3">
      <c r="T3101" s="12"/>
      <c r="U3101" s="4"/>
      <c r="V3101" s="4"/>
      <c r="X3101" s="4"/>
      <c r="Y3101" s="4"/>
    </row>
    <row r="3102" spans="20:25" x14ac:dyDescent="0.3">
      <c r="T3102" s="12"/>
      <c r="U3102" s="4"/>
      <c r="V3102" s="4"/>
      <c r="X3102" s="4"/>
      <c r="Y3102" s="4"/>
    </row>
    <row r="3103" spans="20:25" x14ac:dyDescent="0.3">
      <c r="T3103" s="12"/>
      <c r="U3103" s="4"/>
      <c r="V3103" s="4"/>
      <c r="X3103" s="4"/>
      <c r="Y3103" s="4"/>
    </row>
    <row r="3104" spans="20:25" x14ac:dyDescent="0.3">
      <c r="T3104" s="12"/>
      <c r="U3104" s="4"/>
      <c r="V3104" s="4"/>
      <c r="X3104" s="4"/>
      <c r="Y3104" s="4"/>
    </row>
    <row r="3105" spans="20:25" x14ac:dyDescent="0.3">
      <c r="T3105" s="12"/>
      <c r="U3105" s="4"/>
      <c r="V3105" s="4"/>
      <c r="X3105" s="4"/>
      <c r="Y3105" s="4"/>
    </row>
    <row r="3106" spans="20:25" x14ac:dyDescent="0.3">
      <c r="T3106" s="12"/>
      <c r="U3106" s="4"/>
      <c r="V3106" s="4"/>
      <c r="X3106" s="4"/>
      <c r="Y3106" s="4"/>
    </row>
    <row r="3107" spans="20:25" x14ac:dyDescent="0.3">
      <c r="T3107" s="12"/>
      <c r="U3107" s="4"/>
      <c r="V3107" s="4"/>
      <c r="X3107" s="4"/>
      <c r="Y3107" s="4"/>
    </row>
    <row r="3108" spans="20:25" x14ac:dyDescent="0.3">
      <c r="T3108" s="12"/>
      <c r="U3108" s="4"/>
      <c r="V3108" s="4"/>
      <c r="X3108" s="4"/>
      <c r="Y3108" s="4"/>
    </row>
    <row r="3109" spans="20:25" x14ac:dyDescent="0.3">
      <c r="T3109" s="12"/>
      <c r="U3109" s="4"/>
      <c r="V3109" s="4"/>
      <c r="X3109" s="4"/>
      <c r="Y3109" s="4"/>
    </row>
    <row r="3110" spans="20:25" x14ac:dyDescent="0.3">
      <c r="T3110" s="12"/>
      <c r="U3110" s="4"/>
      <c r="V3110" s="4"/>
      <c r="X3110" s="4"/>
      <c r="Y3110" s="4"/>
    </row>
    <row r="3111" spans="20:25" x14ac:dyDescent="0.3">
      <c r="T3111" s="12"/>
      <c r="U3111" s="4"/>
      <c r="V3111" s="4"/>
      <c r="X3111" s="4"/>
      <c r="Y3111" s="4"/>
    </row>
    <row r="3112" spans="20:25" x14ac:dyDescent="0.3">
      <c r="T3112" s="12"/>
      <c r="U3112" s="4"/>
      <c r="V3112" s="4"/>
      <c r="X3112" s="4"/>
      <c r="Y3112" s="4"/>
    </row>
    <row r="3113" spans="20:25" x14ac:dyDescent="0.3">
      <c r="T3113" s="12"/>
      <c r="U3113" s="4"/>
      <c r="V3113" s="4"/>
      <c r="X3113" s="4"/>
      <c r="Y3113" s="4"/>
    </row>
    <row r="3114" spans="20:25" x14ac:dyDescent="0.3">
      <c r="T3114" s="12"/>
      <c r="U3114" s="4"/>
      <c r="V3114" s="4"/>
      <c r="X3114" s="4"/>
      <c r="Y3114" s="4"/>
    </row>
    <row r="3115" spans="20:25" x14ac:dyDescent="0.3">
      <c r="T3115" s="12"/>
      <c r="U3115" s="4"/>
      <c r="V3115" s="4"/>
      <c r="X3115" s="4"/>
      <c r="Y3115" s="4"/>
    </row>
    <row r="3116" spans="20:25" x14ac:dyDescent="0.3">
      <c r="T3116" s="12"/>
      <c r="U3116" s="4"/>
      <c r="V3116" s="4"/>
      <c r="X3116" s="4"/>
      <c r="Y3116" s="4"/>
    </row>
    <row r="3117" spans="20:25" x14ac:dyDescent="0.3">
      <c r="T3117" s="12"/>
      <c r="U3117" s="4"/>
      <c r="V3117" s="4"/>
      <c r="X3117" s="4"/>
      <c r="Y3117" s="4"/>
    </row>
    <row r="3118" spans="20:25" x14ac:dyDescent="0.3">
      <c r="T3118" s="12"/>
      <c r="U3118" s="4"/>
      <c r="V3118" s="4"/>
      <c r="X3118" s="4"/>
      <c r="Y3118" s="4"/>
    </row>
    <row r="3119" spans="20:25" x14ac:dyDescent="0.3">
      <c r="T3119" s="12"/>
      <c r="U3119" s="4"/>
      <c r="V3119" s="4"/>
      <c r="X3119" s="4"/>
      <c r="Y3119" s="4"/>
    </row>
    <row r="3120" spans="20:25" x14ac:dyDescent="0.3">
      <c r="T3120" s="12"/>
      <c r="U3120" s="4"/>
      <c r="V3120" s="4"/>
      <c r="X3120" s="4"/>
      <c r="Y3120" s="4"/>
    </row>
    <row r="3121" spans="20:25" x14ac:dyDescent="0.3">
      <c r="T3121" s="12"/>
      <c r="U3121" s="4"/>
      <c r="V3121" s="4"/>
      <c r="X3121" s="4"/>
      <c r="Y3121" s="4"/>
    </row>
    <row r="3122" spans="20:25" x14ac:dyDescent="0.3">
      <c r="T3122" s="12"/>
      <c r="U3122" s="4"/>
      <c r="V3122" s="4"/>
      <c r="X3122" s="4"/>
      <c r="Y3122" s="4"/>
    </row>
    <row r="3123" spans="20:25" x14ac:dyDescent="0.3">
      <c r="T3123" s="12"/>
      <c r="U3123" s="4"/>
      <c r="V3123" s="4"/>
      <c r="X3123" s="4"/>
      <c r="Y3123" s="4"/>
    </row>
    <row r="3124" spans="20:25" x14ac:dyDescent="0.3">
      <c r="T3124" s="12"/>
      <c r="U3124" s="4"/>
      <c r="V3124" s="4"/>
      <c r="X3124" s="4"/>
      <c r="Y3124" s="4"/>
    </row>
    <row r="3125" spans="20:25" x14ac:dyDescent="0.3">
      <c r="T3125" s="12"/>
      <c r="U3125" s="4"/>
      <c r="V3125" s="4"/>
      <c r="X3125" s="4"/>
      <c r="Y3125" s="4"/>
    </row>
    <row r="3126" spans="20:25" x14ac:dyDescent="0.3">
      <c r="T3126" s="12"/>
      <c r="U3126" s="4"/>
      <c r="V3126" s="4"/>
      <c r="X3126" s="4"/>
      <c r="Y3126" s="4"/>
    </row>
    <row r="3127" spans="20:25" x14ac:dyDescent="0.3">
      <c r="T3127" s="12"/>
      <c r="U3127" s="4"/>
      <c r="V3127" s="4"/>
      <c r="X3127" s="4"/>
      <c r="Y3127" s="4"/>
    </row>
    <row r="3128" spans="20:25" x14ac:dyDescent="0.3">
      <c r="T3128" s="12"/>
      <c r="U3128" s="4"/>
      <c r="V3128" s="4"/>
      <c r="X3128" s="4"/>
      <c r="Y3128" s="4"/>
    </row>
    <row r="3129" spans="20:25" x14ac:dyDescent="0.3">
      <c r="T3129" s="12"/>
      <c r="U3129" s="4"/>
      <c r="V3129" s="4"/>
      <c r="X3129" s="4"/>
      <c r="Y3129" s="4"/>
    </row>
    <row r="3130" spans="20:25" x14ac:dyDescent="0.3">
      <c r="T3130" s="12"/>
      <c r="U3130" s="4"/>
      <c r="V3130" s="4"/>
      <c r="X3130" s="4"/>
      <c r="Y3130" s="4"/>
    </row>
    <row r="3131" spans="20:25" x14ac:dyDescent="0.3">
      <c r="T3131" s="12"/>
      <c r="U3131" s="4"/>
      <c r="V3131" s="4"/>
      <c r="X3131" s="4"/>
      <c r="Y3131" s="4"/>
    </row>
    <row r="3132" spans="20:25" x14ac:dyDescent="0.3">
      <c r="T3132" s="12"/>
      <c r="U3132" s="4"/>
      <c r="V3132" s="4"/>
      <c r="X3132" s="4"/>
      <c r="Y3132" s="4"/>
    </row>
    <row r="3133" spans="20:25" x14ac:dyDescent="0.3">
      <c r="T3133" s="12"/>
      <c r="U3133" s="4"/>
      <c r="V3133" s="4"/>
      <c r="X3133" s="4"/>
      <c r="Y3133" s="4"/>
    </row>
    <row r="3134" spans="20:25" x14ac:dyDescent="0.3">
      <c r="T3134" s="12"/>
      <c r="U3134" s="4"/>
      <c r="V3134" s="4"/>
      <c r="X3134" s="4"/>
      <c r="Y3134" s="4"/>
    </row>
    <row r="3135" spans="20:25" x14ac:dyDescent="0.3">
      <c r="T3135" s="12"/>
      <c r="U3135" s="4"/>
      <c r="V3135" s="4"/>
      <c r="X3135" s="4"/>
      <c r="Y3135" s="4"/>
    </row>
    <row r="3136" spans="20:25" x14ac:dyDescent="0.3">
      <c r="T3136" s="12"/>
      <c r="U3136" s="4"/>
      <c r="V3136" s="4"/>
      <c r="X3136" s="4"/>
      <c r="Y3136" s="4"/>
    </row>
    <row r="3137" spans="20:25" x14ac:dyDescent="0.3">
      <c r="T3137" s="12"/>
      <c r="U3137" s="4"/>
      <c r="V3137" s="4"/>
      <c r="X3137" s="4"/>
      <c r="Y3137" s="4"/>
    </row>
    <row r="3138" spans="20:25" x14ac:dyDescent="0.3">
      <c r="T3138" s="12"/>
      <c r="U3138" s="4"/>
      <c r="V3138" s="4"/>
      <c r="X3138" s="4"/>
      <c r="Y3138" s="4"/>
    </row>
    <row r="3139" spans="20:25" x14ac:dyDescent="0.3">
      <c r="T3139" s="12"/>
      <c r="U3139" s="4"/>
      <c r="V3139" s="4"/>
      <c r="X3139" s="4"/>
      <c r="Y3139" s="4"/>
    </row>
    <row r="3140" spans="20:25" x14ac:dyDescent="0.3">
      <c r="T3140" s="12"/>
      <c r="U3140" s="4"/>
      <c r="V3140" s="4"/>
      <c r="X3140" s="4"/>
      <c r="Y3140" s="4"/>
    </row>
    <row r="3141" spans="20:25" x14ac:dyDescent="0.3">
      <c r="T3141" s="12"/>
      <c r="U3141" s="4"/>
      <c r="V3141" s="4"/>
      <c r="X3141" s="4"/>
      <c r="Y3141" s="4"/>
    </row>
    <row r="3142" spans="20:25" x14ac:dyDescent="0.3">
      <c r="T3142" s="12"/>
      <c r="U3142" s="4"/>
      <c r="V3142" s="4"/>
      <c r="X3142" s="4"/>
      <c r="Y3142" s="4"/>
    </row>
    <row r="3143" spans="20:25" x14ac:dyDescent="0.3">
      <c r="T3143" s="12"/>
      <c r="U3143" s="4"/>
      <c r="V3143" s="4"/>
      <c r="X3143" s="4"/>
      <c r="Y3143" s="4"/>
    </row>
    <row r="3144" spans="20:25" x14ac:dyDescent="0.3">
      <c r="T3144" s="12"/>
      <c r="U3144" s="4"/>
      <c r="V3144" s="4"/>
      <c r="X3144" s="4"/>
      <c r="Y3144" s="4"/>
    </row>
    <row r="3145" spans="20:25" x14ac:dyDescent="0.3">
      <c r="T3145" s="12"/>
      <c r="U3145" s="4"/>
      <c r="V3145" s="4"/>
      <c r="X3145" s="4"/>
      <c r="Y3145" s="4"/>
    </row>
    <row r="3146" spans="20:25" x14ac:dyDescent="0.3">
      <c r="T3146" s="12"/>
      <c r="U3146" s="4"/>
      <c r="V3146" s="4"/>
      <c r="X3146" s="4"/>
      <c r="Y3146" s="4"/>
    </row>
    <row r="3147" spans="20:25" x14ac:dyDescent="0.3">
      <c r="T3147" s="12"/>
      <c r="U3147" s="4"/>
      <c r="V3147" s="4"/>
      <c r="X3147" s="4"/>
      <c r="Y3147" s="4"/>
    </row>
    <row r="3148" spans="20:25" x14ac:dyDescent="0.3">
      <c r="T3148" s="12"/>
      <c r="U3148" s="4"/>
      <c r="V3148" s="4"/>
      <c r="X3148" s="4"/>
      <c r="Y3148" s="4"/>
    </row>
    <row r="3149" spans="20:25" x14ac:dyDescent="0.3">
      <c r="T3149" s="12"/>
      <c r="U3149" s="4"/>
      <c r="V3149" s="4"/>
      <c r="X3149" s="4"/>
      <c r="Y3149" s="4"/>
    </row>
    <row r="3150" spans="20:25" x14ac:dyDescent="0.3">
      <c r="T3150" s="12"/>
      <c r="U3150" s="4"/>
      <c r="V3150" s="4"/>
      <c r="X3150" s="4"/>
      <c r="Y3150" s="4"/>
    </row>
    <row r="3151" spans="20:25" x14ac:dyDescent="0.3">
      <c r="T3151" s="12"/>
      <c r="U3151" s="4"/>
      <c r="V3151" s="4"/>
      <c r="X3151" s="4"/>
      <c r="Y3151" s="4"/>
    </row>
    <row r="3152" spans="20:25" x14ac:dyDescent="0.3">
      <c r="T3152" s="12"/>
      <c r="U3152" s="4"/>
      <c r="V3152" s="4"/>
      <c r="X3152" s="4"/>
      <c r="Y3152" s="4"/>
    </row>
    <row r="3153" spans="20:25" x14ac:dyDescent="0.3">
      <c r="T3153" s="12"/>
      <c r="U3153" s="4"/>
      <c r="V3153" s="4"/>
      <c r="X3153" s="4"/>
      <c r="Y3153" s="4"/>
    </row>
    <row r="3154" spans="20:25" x14ac:dyDescent="0.3">
      <c r="T3154" s="12"/>
      <c r="U3154" s="4"/>
      <c r="V3154" s="4"/>
      <c r="X3154" s="4"/>
      <c r="Y3154" s="4"/>
    </row>
    <row r="3155" spans="20:25" x14ac:dyDescent="0.3">
      <c r="T3155" s="12"/>
      <c r="U3155" s="4"/>
      <c r="V3155" s="4"/>
      <c r="X3155" s="4"/>
      <c r="Y3155" s="4"/>
    </row>
    <row r="3156" spans="20:25" x14ac:dyDescent="0.3">
      <c r="T3156" s="12"/>
      <c r="U3156" s="4"/>
      <c r="V3156" s="4"/>
      <c r="X3156" s="4"/>
      <c r="Y3156" s="4"/>
    </row>
    <row r="3157" spans="20:25" x14ac:dyDescent="0.3">
      <c r="T3157" s="12"/>
      <c r="U3157" s="4"/>
      <c r="V3157" s="4"/>
      <c r="X3157" s="4"/>
      <c r="Y3157" s="4"/>
    </row>
    <row r="3158" spans="20:25" x14ac:dyDescent="0.3">
      <c r="T3158" s="12"/>
      <c r="U3158" s="4"/>
      <c r="V3158" s="4"/>
      <c r="X3158" s="4"/>
      <c r="Y3158" s="4"/>
    </row>
    <row r="3159" spans="20:25" x14ac:dyDescent="0.3">
      <c r="T3159" s="12"/>
      <c r="U3159" s="4"/>
      <c r="V3159" s="4"/>
      <c r="X3159" s="4"/>
      <c r="Y3159" s="4"/>
    </row>
    <row r="3160" spans="20:25" x14ac:dyDescent="0.3">
      <c r="T3160" s="12"/>
      <c r="U3160" s="4"/>
      <c r="V3160" s="4"/>
      <c r="X3160" s="4"/>
      <c r="Y3160" s="4"/>
    </row>
    <row r="3161" spans="20:25" x14ac:dyDescent="0.3">
      <c r="T3161" s="12"/>
      <c r="U3161" s="4"/>
      <c r="V3161" s="4"/>
      <c r="X3161" s="4"/>
      <c r="Y3161" s="4"/>
    </row>
    <row r="3162" spans="20:25" x14ac:dyDescent="0.3">
      <c r="T3162" s="12"/>
      <c r="U3162" s="4"/>
      <c r="V3162" s="4"/>
      <c r="X3162" s="4"/>
      <c r="Y3162" s="4"/>
    </row>
    <row r="3163" spans="20:25" x14ac:dyDescent="0.3">
      <c r="T3163" s="12"/>
      <c r="U3163" s="4"/>
      <c r="V3163" s="4"/>
      <c r="X3163" s="4"/>
      <c r="Y3163" s="4"/>
    </row>
    <row r="3164" spans="20:25" x14ac:dyDescent="0.3">
      <c r="T3164" s="12"/>
      <c r="U3164" s="4"/>
      <c r="V3164" s="4"/>
      <c r="X3164" s="4"/>
      <c r="Y3164" s="4"/>
    </row>
    <row r="3165" spans="20:25" x14ac:dyDescent="0.3">
      <c r="T3165" s="12"/>
      <c r="U3165" s="4"/>
      <c r="V3165" s="4"/>
      <c r="X3165" s="4"/>
      <c r="Y3165" s="4"/>
    </row>
    <row r="3166" spans="20:25" x14ac:dyDescent="0.3">
      <c r="T3166" s="12"/>
      <c r="U3166" s="4"/>
      <c r="V3166" s="4"/>
      <c r="X3166" s="4"/>
      <c r="Y3166" s="4"/>
    </row>
    <row r="3167" spans="20:25" x14ac:dyDescent="0.3">
      <c r="T3167" s="12"/>
      <c r="U3167" s="4"/>
      <c r="V3167" s="4"/>
      <c r="X3167" s="4"/>
      <c r="Y3167" s="4"/>
    </row>
    <row r="3168" spans="20:25" x14ac:dyDescent="0.3">
      <c r="T3168" s="12"/>
      <c r="U3168" s="4"/>
      <c r="V3168" s="4"/>
      <c r="X3168" s="4"/>
      <c r="Y3168" s="4"/>
    </row>
    <row r="3169" spans="20:25" x14ac:dyDescent="0.3">
      <c r="T3169" s="12"/>
      <c r="U3169" s="4"/>
      <c r="V3169" s="4"/>
      <c r="X3169" s="4"/>
      <c r="Y3169" s="4"/>
    </row>
    <row r="3170" spans="20:25" x14ac:dyDescent="0.3">
      <c r="T3170" s="12"/>
      <c r="U3170" s="4"/>
      <c r="V3170" s="4"/>
      <c r="X3170" s="4"/>
      <c r="Y3170" s="4"/>
    </row>
    <row r="3171" spans="20:25" x14ac:dyDescent="0.3">
      <c r="T3171" s="12"/>
      <c r="U3171" s="4"/>
      <c r="V3171" s="4"/>
      <c r="X3171" s="4"/>
      <c r="Y3171" s="4"/>
    </row>
    <row r="3172" spans="20:25" x14ac:dyDescent="0.3">
      <c r="T3172" s="12"/>
      <c r="U3172" s="4"/>
      <c r="V3172" s="4"/>
      <c r="X3172" s="4"/>
      <c r="Y3172" s="4"/>
    </row>
    <row r="3173" spans="20:25" x14ac:dyDescent="0.3">
      <c r="T3173" s="12"/>
      <c r="U3173" s="4"/>
      <c r="V3173" s="4"/>
      <c r="X3173" s="4"/>
      <c r="Y3173" s="4"/>
    </row>
    <row r="3174" spans="20:25" x14ac:dyDescent="0.3">
      <c r="T3174" s="12"/>
      <c r="U3174" s="4"/>
      <c r="V3174" s="4"/>
      <c r="X3174" s="4"/>
      <c r="Y3174" s="4"/>
    </row>
    <row r="3175" spans="20:25" x14ac:dyDescent="0.3">
      <c r="T3175" s="12"/>
      <c r="U3175" s="4"/>
      <c r="V3175" s="4"/>
      <c r="X3175" s="4"/>
      <c r="Y3175" s="4"/>
    </row>
    <row r="3176" spans="20:25" x14ac:dyDescent="0.3">
      <c r="T3176" s="12"/>
      <c r="U3176" s="4"/>
      <c r="V3176" s="4"/>
      <c r="X3176" s="4"/>
      <c r="Y3176" s="4"/>
    </row>
    <row r="3177" spans="20:25" x14ac:dyDescent="0.3">
      <c r="T3177" s="12"/>
      <c r="U3177" s="4"/>
      <c r="V3177" s="4"/>
      <c r="X3177" s="4"/>
      <c r="Y3177" s="4"/>
    </row>
    <row r="3178" spans="20:25" x14ac:dyDescent="0.3">
      <c r="T3178" s="12"/>
      <c r="U3178" s="4"/>
      <c r="V3178" s="4"/>
      <c r="X3178" s="4"/>
      <c r="Y3178" s="4"/>
    </row>
    <row r="3179" spans="20:25" x14ac:dyDescent="0.3">
      <c r="T3179" s="12"/>
      <c r="U3179" s="4"/>
      <c r="V3179" s="4"/>
      <c r="X3179" s="4"/>
      <c r="Y3179" s="4"/>
    </row>
    <row r="3180" spans="20:25" x14ac:dyDescent="0.3">
      <c r="T3180" s="12"/>
      <c r="U3180" s="4"/>
      <c r="V3180" s="4"/>
      <c r="X3180" s="4"/>
      <c r="Y3180" s="4"/>
    </row>
    <row r="3181" spans="20:25" x14ac:dyDescent="0.3">
      <c r="T3181" s="12"/>
      <c r="U3181" s="4"/>
      <c r="V3181" s="4"/>
      <c r="X3181" s="4"/>
      <c r="Y3181" s="4"/>
    </row>
    <row r="3182" spans="20:25" x14ac:dyDescent="0.3">
      <c r="T3182" s="12"/>
      <c r="U3182" s="4"/>
      <c r="V3182" s="4"/>
      <c r="X3182" s="4"/>
      <c r="Y3182" s="4"/>
    </row>
    <row r="3183" spans="20:25" x14ac:dyDescent="0.3">
      <c r="T3183" s="12"/>
      <c r="U3183" s="4"/>
      <c r="V3183" s="4"/>
      <c r="X3183" s="4"/>
      <c r="Y3183" s="4"/>
    </row>
    <row r="3184" spans="20:25" x14ac:dyDescent="0.3">
      <c r="T3184" s="12"/>
      <c r="U3184" s="4"/>
      <c r="V3184" s="4"/>
      <c r="X3184" s="4"/>
      <c r="Y3184" s="4"/>
    </row>
    <row r="3185" spans="20:25" x14ac:dyDescent="0.3">
      <c r="T3185" s="12"/>
      <c r="U3185" s="4"/>
      <c r="V3185" s="4"/>
      <c r="X3185" s="4"/>
      <c r="Y3185" s="4"/>
    </row>
    <row r="3186" spans="20:25" x14ac:dyDescent="0.3">
      <c r="T3186" s="12"/>
      <c r="U3186" s="4"/>
      <c r="V3186" s="4"/>
      <c r="X3186" s="4"/>
      <c r="Y3186" s="4"/>
    </row>
    <row r="3187" spans="20:25" x14ac:dyDescent="0.3">
      <c r="T3187" s="12"/>
      <c r="U3187" s="4"/>
      <c r="V3187" s="4"/>
      <c r="X3187" s="4"/>
      <c r="Y3187" s="4"/>
    </row>
    <row r="3188" spans="20:25" x14ac:dyDescent="0.3">
      <c r="T3188" s="12"/>
      <c r="U3188" s="4"/>
      <c r="V3188" s="4"/>
      <c r="X3188" s="4"/>
      <c r="Y3188" s="4"/>
    </row>
    <row r="3189" spans="20:25" x14ac:dyDescent="0.3">
      <c r="T3189" s="12"/>
      <c r="U3189" s="4"/>
      <c r="V3189" s="4"/>
      <c r="X3189" s="4"/>
      <c r="Y3189" s="4"/>
    </row>
    <row r="3190" spans="20:25" x14ac:dyDescent="0.3">
      <c r="T3190" s="12"/>
      <c r="U3190" s="4"/>
      <c r="V3190" s="4"/>
      <c r="X3190" s="4"/>
      <c r="Y3190" s="4"/>
    </row>
    <row r="3191" spans="20:25" x14ac:dyDescent="0.3">
      <c r="T3191" s="12"/>
      <c r="U3191" s="4"/>
      <c r="V3191" s="4"/>
      <c r="X3191" s="4"/>
      <c r="Y3191" s="4"/>
    </row>
    <row r="3192" spans="20:25" x14ac:dyDescent="0.3">
      <c r="T3192" s="12"/>
      <c r="U3192" s="4"/>
      <c r="V3192" s="4"/>
      <c r="X3192" s="4"/>
      <c r="Y3192" s="4"/>
    </row>
    <row r="3193" spans="20:25" x14ac:dyDescent="0.3">
      <c r="T3193" s="12"/>
      <c r="U3193" s="4"/>
      <c r="V3193" s="4"/>
      <c r="X3193" s="4"/>
      <c r="Y3193" s="4"/>
    </row>
    <row r="3194" spans="20:25" x14ac:dyDescent="0.3">
      <c r="T3194" s="12"/>
      <c r="U3194" s="4"/>
      <c r="V3194" s="4"/>
      <c r="X3194" s="4"/>
      <c r="Y3194" s="4"/>
    </row>
    <row r="3195" spans="20:25" x14ac:dyDescent="0.3">
      <c r="T3195" s="12"/>
      <c r="U3195" s="4"/>
      <c r="V3195" s="4"/>
      <c r="X3195" s="4"/>
      <c r="Y3195" s="4"/>
    </row>
    <row r="3196" spans="20:25" x14ac:dyDescent="0.3">
      <c r="T3196" s="12"/>
      <c r="U3196" s="4"/>
      <c r="V3196" s="4"/>
      <c r="X3196" s="4"/>
      <c r="Y3196" s="4"/>
    </row>
    <row r="3197" spans="20:25" x14ac:dyDescent="0.3">
      <c r="T3197" s="12"/>
      <c r="U3197" s="4"/>
      <c r="V3197" s="4"/>
      <c r="X3197" s="4"/>
      <c r="Y3197" s="4"/>
    </row>
    <row r="3198" spans="20:25" x14ac:dyDescent="0.3">
      <c r="T3198" s="12"/>
      <c r="U3198" s="4"/>
      <c r="V3198" s="4"/>
      <c r="X3198" s="4"/>
      <c r="Y3198" s="4"/>
    </row>
    <row r="3199" spans="20:25" x14ac:dyDescent="0.3">
      <c r="T3199" s="12"/>
      <c r="U3199" s="4"/>
      <c r="V3199" s="4"/>
      <c r="X3199" s="4"/>
      <c r="Y3199" s="4"/>
    </row>
    <row r="3200" spans="20:25" x14ac:dyDescent="0.3">
      <c r="T3200" s="12"/>
      <c r="U3200" s="4"/>
      <c r="V3200" s="4"/>
      <c r="X3200" s="4"/>
      <c r="Y3200" s="4"/>
    </row>
    <row r="3201" spans="20:25" x14ac:dyDescent="0.3">
      <c r="T3201" s="12"/>
      <c r="U3201" s="4"/>
      <c r="V3201" s="4"/>
      <c r="X3201" s="4"/>
      <c r="Y3201" s="4"/>
    </row>
    <row r="3202" spans="20:25" x14ac:dyDescent="0.3">
      <c r="T3202" s="12"/>
      <c r="U3202" s="4"/>
      <c r="V3202" s="4"/>
      <c r="X3202" s="4"/>
      <c r="Y3202" s="4"/>
    </row>
    <row r="3203" spans="20:25" x14ac:dyDescent="0.3">
      <c r="T3203" s="12"/>
      <c r="U3203" s="4"/>
      <c r="V3203" s="4"/>
      <c r="X3203" s="4"/>
      <c r="Y3203" s="4"/>
    </row>
    <row r="3204" spans="20:25" x14ac:dyDescent="0.3">
      <c r="T3204" s="12"/>
      <c r="U3204" s="4"/>
      <c r="V3204" s="4"/>
      <c r="X3204" s="4"/>
      <c r="Y3204" s="4"/>
    </row>
    <row r="3205" spans="20:25" x14ac:dyDescent="0.3">
      <c r="T3205" s="12"/>
      <c r="U3205" s="4"/>
      <c r="V3205" s="4"/>
      <c r="X3205" s="4"/>
      <c r="Y3205" s="4"/>
    </row>
    <row r="3206" spans="20:25" x14ac:dyDescent="0.3">
      <c r="T3206" s="12"/>
      <c r="U3206" s="4"/>
      <c r="V3206" s="4"/>
      <c r="X3206" s="4"/>
      <c r="Y3206" s="4"/>
    </row>
    <row r="3207" spans="20:25" x14ac:dyDescent="0.3">
      <c r="T3207" s="12"/>
      <c r="U3207" s="4"/>
      <c r="V3207" s="4"/>
      <c r="X3207" s="4"/>
      <c r="Y3207" s="4"/>
    </row>
    <row r="3208" spans="20:25" x14ac:dyDescent="0.3">
      <c r="T3208" s="12"/>
      <c r="U3208" s="4"/>
      <c r="V3208" s="4"/>
      <c r="X3208" s="4"/>
      <c r="Y3208" s="4"/>
    </row>
    <row r="3209" spans="20:25" x14ac:dyDescent="0.3">
      <c r="T3209" s="12"/>
      <c r="U3209" s="4"/>
      <c r="V3209" s="4"/>
      <c r="X3209" s="4"/>
      <c r="Y3209" s="4"/>
    </row>
    <row r="3210" spans="20:25" x14ac:dyDescent="0.3">
      <c r="T3210" s="12"/>
      <c r="U3210" s="4"/>
      <c r="V3210" s="4"/>
      <c r="X3210" s="4"/>
      <c r="Y3210" s="4"/>
    </row>
    <row r="3211" spans="20:25" x14ac:dyDescent="0.3">
      <c r="T3211" s="12"/>
      <c r="U3211" s="4"/>
      <c r="V3211" s="4"/>
      <c r="X3211" s="4"/>
      <c r="Y3211" s="4"/>
    </row>
    <row r="3212" spans="20:25" x14ac:dyDescent="0.3">
      <c r="T3212" s="12"/>
      <c r="U3212" s="4"/>
      <c r="V3212" s="4"/>
      <c r="X3212" s="4"/>
      <c r="Y3212" s="4"/>
    </row>
    <row r="3213" spans="20:25" x14ac:dyDescent="0.3">
      <c r="T3213" s="12"/>
      <c r="U3213" s="4"/>
      <c r="V3213" s="4"/>
      <c r="X3213" s="4"/>
      <c r="Y3213" s="4"/>
    </row>
    <row r="3214" spans="20:25" x14ac:dyDescent="0.3">
      <c r="T3214" s="12"/>
      <c r="U3214" s="4"/>
      <c r="V3214" s="4"/>
      <c r="X3214" s="4"/>
      <c r="Y3214" s="4"/>
    </row>
    <row r="3215" spans="20:25" x14ac:dyDescent="0.3">
      <c r="T3215" s="12"/>
      <c r="U3215" s="4"/>
      <c r="V3215" s="4"/>
      <c r="X3215" s="4"/>
      <c r="Y3215" s="4"/>
    </row>
    <row r="3216" spans="20:25" x14ac:dyDescent="0.3">
      <c r="T3216" s="12"/>
      <c r="U3216" s="4"/>
      <c r="V3216" s="4"/>
      <c r="X3216" s="4"/>
      <c r="Y3216" s="4"/>
    </row>
    <row r="3217" spans="20:25" x14ac:dyDescent="0.3">
      <c r="T3217" s="12"/>
      <c r="U3217" s="4"/>
      <c r="V3217" s="4"/>
      <c r="X3217" s="4"/>
      <c r="Y3217" s="4"/>
    </row>
    <row r="3218" spans="20:25" x14ac:dyDescent="0.3">
      <c r="T3218" s="12"/>
      <c r="U3218" s="4"/>
      <c r="V3218" s="4"/>
      <c r="X3218" s="4"/>
      <c r="Y3218" s="4"/>
    </row>
    <row r="3219" spans="20:25" x14ac:dyDescent="0.3">
      <c r="T3219" s="12"/>
      <c r="U3219" s="4"/>
      <c r="V3219" s="4"/>
      <c r="X3219" s="4"/>
      <c r="Y3219" s="4"/>
    </row>
    <row r="3220" spans="20:25" x14ac:dyDescent="0.3">
      <c r="T3220" s="12"/>
      <c r="U3220" s="4"/>
      <c r="V3220" s="4"/>
      <c r="X3220" s="4"/>
      <c r="Y3220" s="4"/>
    </row>
    <row r="3221" spans="20:25" x14ac:dyDescent="0.3">
      <c r="T3221" s="12"/>
      <c r="U3221" s="4"/>
      <c r="V3221" s="4"/>
      <c r="X3221" s="4"/>
      <c r="Y3221" s="4"/>
    </row>
    <row r="3222" spans="20:25" x14ac:dyDescent="0.3">
      <c r="T3222" s="12"/>
      <c r="U3222" s="4"/>
      <c r="V3222" s="4"/>
      <c r="X3222" s="4"/>
      <c r="Y3222" s="4"/>
    </row>
    <row r="3223" spans="20:25" x14ac:dyDescent="0.3">
      <c r="T3223" s="12"/>
      <c r="U3223" s="4"/>
      <c r="V3223" s="4"/>
      <c r="X3223" s="4"/>
      <c r="Y3223" s="4"/>
    </row>
    <row r="3224" spans="20:25" x14ac:dyDescent="0.3">
      <c r="T3224" s="12"/>
      <c r="U3224" s="4"/>
      <c r="V3224" s="4"/>
      <c r="X3224" s="4"/>
      <c r="Y3224" s="4"/>
    </row>
    <row r="3225" spans="20:25" x14ac:dyDescent="0.3">
      <c r="T3225" s="12"/>
      <c r="U3225" s="4"/>
      <c r="V3225" s="4"/>
      <c r="X3225" s="4"/>
      <c r="Y3225" s="4"/>
    </row>
    <row r="3226" spans="20:25" x14ac:dyDescent="0.3">
      <c r="T3226" s="12"/>
      <c r="U3226" s="4"/>
      <c r="V3226" s="4"/>
      <c r="X3226" s="4"/>
      <c r="Y3226" s="4"/>
    </row>
    <row r="3227" spans="20:25" x14ac:dyDescent="0.3">
      <c r="T3227" s="12"/>
      <c r="U3227" s="4"/>
      <c r="V3227" s="4"/>
      <c r="X3227" s="4"/>
      <c r="Y3227" s="4"/>
    </row>
    <row r="3228" spans="20:25" x14ac:dyDescent="0.3">
      <c r="T3228" s="12"/>
      <c r="U3228" s="4"/>
      <c r="V3228" s="4"/>
      <c r="X3228" s="4"/>
      <c r="Y3228" s="4"/>
    </row>
    <row r="3229" spans="20:25" x14ac:dyDescent="0.3">
      <c r="T3229" s="12"/>
      <c r="U3229" s="4"/>
      <c r="V3229" s="4"/>
      <c r="X3229" s="4"/>
      <c r="Y3229" s="4"/>
    </row>
    <row r="3230" spans="20:25" x14ac:dyDescent="0.3">
      <c r="T3230" s="12"/>
      <c r="U3230" s="4"/>
      <c r="V3230" s="4"/>
      <c r="X3230" s="4"/>
      <c r="Y3230" s="4"/>
    </row>
    <row r="3231" spans="20:25" x14ac:dyDescent="0.3">
      <c r="T3231" s="12"/>
      <c r="U3231" s="4"/>
      <c r="V3231" s="4"/>
      <c r="X3231" s="4"/>
      <c r="Y3231" s="4"/>
    </row>
    <row r="3232" spans="20:25" x14ac:dyDescent="0.3">
      <c r="T3232" s="12"/>
      <c r="U3232" s="4"/>
      <c r="V3232" s="4"/>
      <c r="X3232" s="4"/>
      <c r="Y3232" s="4"/>
    </row>
    <row r="3233" spans="20:25" x14ac:dyDescent="0.3">
      <c r="T3233" s="12"/>
      <c r="U3233" s="4"/>
      <c r="V3233" s="4"/>
      <c r="X3233" s="4"/>
      <c r="Y3233" s="4"/>
    </row>
    <row r="3234" spans="20:25" x14ac:dyDescent="0.3">
      <c r="T3234" s="12"/>
      <c r="U3234" s="4"/>
      <c r="V3234" s="4"/>
      <c r="X3234" s="4"/>
      <c r="Y3234" s="4"/>
    </row>
    <row r="3235" spans="20:25" x14ac:dyDescent="0.3">
      <c r="T3235" s="12"/>
      <c r="U3235" s="4"/>
      <c r="V3235" s="4"/>
      <c r="X3235" s="4"/>
      <c r="Y3235" s="4"/>
    </row>
    <row r="3236" spans="20:25" x14ac:dyDescent="0.3">
      <c r="T3236" s="12"/>
      <c r="U3236" s="4"/>
      <c r="V3236" s="4"/>
      <c r="X3236" s="4"/>
      <c r="Y3236" s="4"/>
    </row>
    <row r="3237" spans="20:25" x14ac:dyDescent="0.3">
      <c r="T3237" s="12"/>
      <c r="U3237" s="4"/>
      <c r="V3237" s="4"/>
      <c r="X3237" s="4"/>
      <c r="Y3237" s="4"/>
    </row>
    <row r="3238" spans="20:25" x14ac:dyDescent="0.3">
      <c r="T3238" s="12"/>
      <c r="U3238" s="4"/>
      <c r="V3238" s="4"/>
      <c r="X3238" s="4"/>
      <c r="Y3238" s="4"/>
    </row>
    <row r="3239" spans="20:25" x14ac:dyDescent="0.3">
      <c r="T3239" s="12"/>
      <c r="U3239" s="4"/>
      <c r="V3239" s="4"/>
      <c r="X3239" s="4"/>
      <c r="Y3239" s="4"/>
    </row>
    <row r="3240" spans="20:25" x14ac:dyDescent="0.3">
      <c r="T3240" s="12"/>
      <c r="U3240" s="4"/>
      <c r="V3240" s="4"/>
      <c r="X3240" s="4"/>
      <c r="Y3240" s="4"/>
    </row>
    <row r="3241" spans="20:25" x14ac:dyDescent="0.3">
      <c r="T3241" s="12"/>
      <c r="U3241" s="4"/>
      <c r="V3241" s="4"/>
      <c r="X3241" s="4"/>
      <c r="Y3241" s="4"/>
    </row>
    <row r="3242" spans="20:25" x14ac:dyDescent="0.3">
      <c r="T3242" s="12"/>
      <c r="U3242" s="4"/>
      <c r="V3242" s="4"/>
      <c r="X3242" s="4"/>
      <c r="Y3242" s="4"/>
    </row>
    <row r="3243" spans="20:25" x14ac:dyDescent="0.3">
      <c r="T3243" s="12"/>
      <c r="U3243" s="4"/>
      <c r="V3243" s="4"/>
      <c r="X3243" s="4"/>
      <c r="Y3243" s="4"/>
    </row>
    <row r="3244" spans="20:25" x14ac:dyDescent="0.3">
      <c r="T3244" s="12"/>
      <c r="U3244" s="4"/>
      <c r="V3244" s="4"/>
      <c r="X3244" s="4"/>
      <c r="Y3244" s="4"/>
    </row>
    <row r="3245" spans="20:25" x14ac:dyDescent="0.3">
      <c r="T3245" s="12"/>
      <c r="U3245" s="4"/>
      <c r="V3245" s="4"/>
      <c r="X3245" s="4"/>
      <c r="Y3245" s="4"/>
    </row>
    <row r="3246" spans="20:25" x14ac:dyDescent="0.3">
      <c r="T3246" s="12"/>
      <c r="U3246" s="4"/>
      <c r="V3246" s="4"/>
      <c r="X3246" s="4"/>
      <c r="Y3246" s="4"/>
    </row>
    <row r="3247" spans="20:25" x14ac:dyDescent="0.3">
      <c r="T3247" s="12"/>
      <c r="U3247" s="4"/>
      <c r="V3247" s="4"/>
      <c r="X3247" s="4"/>
      <c r="Y3247" s="4"/>
    </row>
    <row r="3248" spans="20:25" x14ac:dyDescent="0.3">
      <c r="T3248" s="12"/>
      <c r="U3248" s="4"/>
      <c r="V3248" s="4"/>
      <c r="X3248" s="4"/>
      <c r="Y3248" s="4"/>
    </row>
    <row r="3249" spans="20:25" x14ac:dyDescent="0.3">
      <c r="T3249" s="12"/>
      <c r="U3249" s="4"/>
      <c r="V3249" s="4"/>
      <c r="X3249" s="4"/>
      <c r="Y3249" s="4"/>
    </row>
    <row r="3250" spans="20:25" x14ac:dyDescent="0.3">
      <c r="T3250" s="12"/>
      <c r="U3250" s="4"/>
      <c r="V3250" s="4"/>
      <c r="X3250" s="4"/>
      <c r="Y3250" s="4"/>
    </row>
    <row r="3251" spans="20:25" x14ac:dyDescent="0.3">
      <c r="T3251" s="12"/>
      <c r="U3251" s="4"/>
      <c r="V3251" s="4"/>
      <c r="X3251" s="4"/>
      <c r="Y3251" s="4"/>
    </row>
    <row r="3252" spans="20:25" x14ac:dyDescent="0.3">
      <c r="T3252" s="12"/>
      <c r="U3252" s="4"/>
      <c r="V3252" s="4"/>
      <c r="X3252" s="4"/>
      <c r="Y3252" s="4"/>
    </row>
    <row r="3253" spans="20:25" x14ac:dyDescent="0.3">
      <c r="T3253" s="12"/>
      <c r="U3253" s="4"/>
      <c r="V3253" s="4"/>
      <c r="X3253" s="4"/>
      <c r="Y3253" s="4"/>
    </row>
    <row r="3254" spans="20:25" x14ac:dyDescent="0.3">
      <c r="T3254" s="12"/>
      <c r="U3254" s="4"/>
      <c r="V3254" s="4"/>
      <c r="X3254" s="4"/>
      <c r="Y3254" s="4"/>
    </row>
    <row r="3255" spans="20:25" x14ac:dyDescent="0.3">
      <c r="T3255" s="12"/>
      <c r="U3255" s="4"/>
      <c r="V3255" s="4"/>
      <c r="X3255" s="4"/>
      <c r="Y3255" s="4"/>
    </row>
    <row r="3256" spans="20:25" x14ac:dyDescent="0.3">
      <c r="T3256" s="12"/>
      <c r="U3256" s="4"/>
      <c r="V3256" s="4"/>
      <c r="X3256" s="4"/>
      <c r="Y3256" s="4"/>
    </row>
    <row r="3257" spans="20:25" x14ac:dyDescent="0.3">
      <c r="T3257" s="12"/>
      <c r="U3257" s="4"/>
      <c r="V3257" s="4"/>
      <c r="X3257" s="4"/>
      <c r="Y3257" s="4"/>
    </row>
    <row r="3258" spans="20:25" x14ac:dyDescent="0.3">
      <c r="T3258" s="12"/>
      <c r="U3258" s="4"/>
      <c r="V3258" s="4"/>
      <c r="X3258" s="4"/>
      <c r="Y3258" s="4"/>
    </row>
    <row r="3259" spans="20:25" x14ac:dyDescent="0.3">
      <c r="T3259" s="12"/>
      <c r="U3259" s="4"/>
      <c r="V3259" s="4"/>
      <c r="X3259" s="4"/>
      <c r="Y3259" s="4"/>
    </row>
    <row r="3260" spans="20:25" x14ac:dyDescent="0.3">
      <c r="T3260" s="12"/>
      <c r="U3260" s="4"/>
      <c r="V3260" s="4"/>
      <c r="X3260" s="4"/>
      <c r="Y3260" s="4"/>
    </row>
    <row r="3261" spans="20:25" x14ac:dyDescent="0.3">
      <c r="T3261" s="12"/>
      <c r="U3261" s="4"/>
      <c r="V3261" s="4"/>
      <c r="X3261" s="4"/>
      <c r="Y3261" s="4"/>
    </row>
    <row r="3262" spans="20:25" x14ac:dyDescent="0.3">
      <c r="T3262" s="12"/>
      <c r="U3262" s="4"/>
      <c r="V3262" s="4"/>
      <c r="X3262" s="4"/>
      <c r="Y3262" s="4"/>
    </row>
    <row r="3263" spans="20:25" x14ac:dyDescent="0.3">
      <c r="T3263" s="12"/>
      <c r="U3263" s="4"/>
      <c r="V3263" s="4"/>
      <c r="X3263" s="4"/>
      <c r="Y3263" s="4"/>
    </row>
    <row r="3264" spans="20:25" x14ac:dyDescent="0.3">
      <c r="T3264" s="12"/>
      <c r="U3264" s="4"/>
      <c r="V3264" s="4"/>
      <c r="X3264" s="4"/>
      <c r="Y3264" s="4"/>
    </row>
    <row r="3265" spans="20:25" x14ac:dyDescent="0.3">
      <c r="T3265" s="12"/>
      <c r="U3265" s="4"/>
      <c r="V3265" s="4"/>
      <c r="X3265" s="4"/>
      <c r="Y3265" s="4"/>
    </row>
    <row r="3266" spans="20:25" x14ac:dyDescent="0.3">
      <c r="T3266" s="12"/>
      <c r="U3266" s="4"/>
      <c r="V3266" s="4"/>
      <c r="X3266" s="4"/>
      <c r="Y3266" s="4"/>
    </row>
    <row r="3267" spans="20:25" x14ac:dyDescent="0.3">
      <c r="T3267" s="12"/>
      <c r="U3267" s="4"/>
      <c r="V3267" s="4"/>
      <c r="X3267" s="4"/>
      <c r="Y3267" s="4"/>
    </row>
    <row r="3268" spans="20:25" x14ac:dyDescent="0.3">
      <c r="T3268" s="12"/>
      <c r="U3268" s="4"/>
      <c r="V3268" s="4"/>
      <c r="X3268" s="4"/>
      <c r="Y3268" s="4"/>
    </row>
    <row r="3269" spans="20:25" x14ac:dyDescent="0.3">
      <c r="T3269" s="12"/>
      <c r="U3269" s="4"/>
      <c r="V3269" s="4"/>
      <c r="X3269" s="4"/>
      <c r="Y3269" s="4"/>
    </row>
    <row r="3270" spans="20:25" x14ac:dyDescent="0.3">
      <c r="T3270" s="12"/>
      <c r="U3270" s="4"/>
      <c r="V3270" s="4"/>
      <c r="X3270" s="4"/>
      <c r="Y3270" s="4"/>
    </row>
    <row r="3271" spans="20:25" x14ac:dyDescent="0.3">
      <c r="T3271" s="12"/>
      <c r="U3271" s="4"/>
      <c r="V3271" s="4"/>
      <c r="X3271" s="4"/>
      <c r="Y3271" s="4"/>
    </row>
    <row r="3272" spans="20:25" x14ac:dyDescent="0.3">
      <c r="T3272" s="12"/>
      <c r="U3272" s="4"/>
      <c r="V3272" s="4"/>
      <c r="X3272" s="4"/>
      <c r="Y3272" s="4"/>
    </row>
    <row r="3273" spans="20:25" x14ac:dyDescent="0.3">
      <c r="T3273" s="12"/>
      <c r="U3273" s="4"/>
      <c r="V3273" s="4"/>
      <c r="X3273" s="4"/>
      <c r="Y3273" s="4"/>
    </row>
    <row r="3274" spans="20:25" x14ac:dyDescent="0.3">
      <c r="T3274" s="12"/>
      <c r="U3274" s="4"/>
      <c r="V3274" s="4"/>
      <c r="X3274" s="4"/>
      <c r="Y3274" s="4"/>
    </row>
    <row r="3275" spans="20:25" x14ac:dyDescent="0.3">
      <c r="T3275" s="12"/>
      <c r="U3275" s="4"/>
      <c r="V3275" s="4"/>
      <c r="X3275" s="4"/>
      <c r="Y3275" s="4"/>
    </row>
    <row r="3276" spans="20:25" x14ac:dyDescent="0.3">
      <c r="T3276" s="12"/>
      <c r="U3276" s="4"/>
      <c r="V3276" s="4"/>
      <c r="X3276" s="4"/>
      <c r="Y3276" s="4"/>
    </row>
    <row r="3277" spans="20:25" x14ac:dyDescent="0.3">
      <c r="T3277" s="12"/>
      <c r="U3277" s="4"/>
      <c r="V3277" s="4"/>
      <c r="X3277" s="4"/>
      <c r="Y3277" s="4"/>
    </row>
    <row r="3278" spans="20:25" x14ac:dyDescent="0.3">
      <c r="T3278" s="12"/>
      <c r="U3278" s="4"/>
      <c r="V3278" s="4"/>
      <c r="X3278" s="4"/>
      <c r="Y3278" s="4"/>
    </row>
    <row r="3279" spans="20:25" x14ac:dyDescent="0.3">
      <c r="T3279" s="12"/>
      <c r="U3279" s="4"/>
      <c r="V3279" s="4"/>
      <c r="X3279" s="4"/>
      <c r="Y3279" s="4"/>
    </row>
    <row r="3280" spans="20:25" x14ac:dyDescent="0.3">
      <c r="T3280" s="12"/>
      <c r="U3280" s="4"/>
      <c r="V3280" s="4"/>
      <c r="X3280" s="4"/>
      <c r="Y3280" s="4"/>
    </row>
    <row r="3281" spans="20:25" x14ac:dyDescent="0.3">
      <c r="T3281" s="12"/>
      <c r="U3281" s="4"/>
      <c r="V3281" s="4"/>
      <c r="X3281" s="4"/>
      <c r="Y3281" s="4"/>
    </row>
    <row r="3282" spans="20:25" x14ac:dyDescent="0.3">
      <c r="T3282" s="12"/>
      <c r="U3282" s="4"/>
      <c r="V3282" s="4"/>
      <c r="X3282" s="4"/>
      <c r="Y3282" s="4"/>
    </row>
    <row r="3283" spans="20:25" x14ac:dyDescent="0.3">
      <c r="T3283" s="12"/>
      <c r="U3283" s="4"/>
      <c r="V3283" s="4"/>
      <c r="X3283" s="4"/>
      <c r="Y3283" s="4"/>
    </row>
    <row r="3284" spans="20:25" x14ac:dyDescent="0.3">
      <c r="T3284" s="12"/>
      <c r="U3284" s="4"/>
      <c r="V3284" s="4"/>
      <c r="X3284" s="4"/>
      <c r="Y3284" s="4"/>
    </row>
    <row r="3285" spans="20:25" x14ac:dyDescent="0.3">
      <c r="T3285" s="12"/>
      <c r="U3285" s="4"/>
      <c r="V3285" s="4"/>
      <c r="X3285" s="4"/>
      <c r="Y3285" s="4"/>
    </row>
    <row r="3286" spans="20:25" x14ac:dyDescent="0.3">
      <c r="T3286" s="12"/>
      <c r="U3286" s="4"/>
      <c r="V3286" s="4"/>
      <c r="X3286" s="4"/>
      <c r="Y3286" s="4"/>
    </row>
    <row r="3287" spans="20:25" x14ac:dyDescent="0.3">
      <c r="T3287" s="12"/>
      <c r="U3287" s="4"/>
      <c r="V3287" s="4"/>
      <c r="X3287" s="4"/>
      <c r="Y3287" s="4"/>
    </row>
    <row r="3288" spans="20:25" x14ac:dyDescent="0.3">
      <c r="T3288" s="12"/>
      <c r="U3288" s="4"/>
      <c r="V3288" s="4"/>
      <c r="X3288" s="4"/>
      <c r="Y3288" s="4"/>
    </row>
    <row r="3289" spans="20:25" x14ac:dyDescent="0.3">
      <c r="T3289" s="12"/>
      <c r="U3289" s="4"/>
      <c r="V3289" s="4"/>
      <c r="X3289" s="4"/>
      <c r="Y3289" s="4"/>
    </row>
    <row r="3290" spans="20:25" x14ac:dyDescent="0.3">
      <c r="T3290" s="12"/>
      <c r="U3290" s="4"/>
      <c r="V3290" s="4"/>
      <c r="X3290" s="4"/>
      <c r="Y3290" s="4"/>
    </row>
    <row r="3291" spans="20:25" x14ac:dyDescent="0.3">
      <c r="T3291" s="12"/>
      <c r="U3291" s="4"/>
      <c r="V3291" s="4"/>
      <c r="X3291" s="4"/>
      <c r="Y3291" s="4"/>
    </row>
    <row r="3292" spans="20:25" x14ac:dyDescent="0.3">
      <c r="T3292" s="12"/>
      <c r="U3292" s="4"/>
      <c r="V3292" s="4"/>
      <c r="X3292" s="4"/>
      <c r="Y3292" s="4"/>
    </row>
    <row r="3293" spans="20:25" x14ac:dyDescent="0.3">
      <c r="T3293" s="12"/>
      <c r="U3293" s="4"/>
      <c r="V3293" s="4"/>
      <c r="X3293" s="4"/>
      <c r="Y3293" s="4"/>
    </row>
    <row r="3294" spans="20:25" x14ac:dyDescent="0.3">
      <c r="T3294" s="12"/>
      <c r="U3294" s="4"/>
      <c r="V3294" s="4"/>
      <c r="X3294" s="4"/>
      <c r="Y3294" s="4"/>
    </row>
    <row r="3295" spans="20:25" x14ac:dyDescent="0.3">
      <c r="T3295" s="12"/>
      <c r="U3295" s="4"/>
      <c r="V3295" s="4"/>
      <c r="X3295" s="4"/>
      <c r="Y3295" s="4"/>
    </row>
    <row r="3296" spans="20:25" x14ac:dyDescent="0.3">
      <c r="T3296" s="12"/>
      <c r="U3296" s="4"/>
      <c r="V3296" s="4"/>
      <c r="X3296" s="4"/>
      <c r="Y3296" s="4"/>
    </row>
    <row r="3297" spans="20:25" x14ac:dyDescent="0.3">
      <c r="T3297" s="12"/>
      <c r="U3297" s="4"/>
      <c r="V3297" s="4"/>
      <c r="X3297" s="4"/>
      <c r="Y3297" s="4"/>
    </row>
    <row r="3298" spans="20:25" x14ac:dyDescent="0.3">
      <c r="T3298" s="12"/>
      <c r="U3298" s="4"/>
      <c r="V3298" s="4"/>
      <c r="X3298" s="4"/>
      <c r="Y3298" s="4"/>
    </row>
    <row r="3299" spans="20:25" x14ac:dyDescent="0.3">
      <c r="T3299" s="12"/>
      <c r="U3299" s="4"/>
      <c r="V3299" s="4"/>
      <c r="X3299" s="4"/>
      <c r="Y3299" s="4"/>
    </row>
    <row r="3300" spans="20:25" x14ac:dyDescent="0.3">
      <c r="T3300" s="12"/>
      <c r="U3300" s="4"/>
      <c r="V3300" s="4"/>
      <c r="X3300" s="4"/>
      <c r="Y3300" s="4"/>
    </row>
    <row r="3301" spans="20:25" x14ac:dyDescent="0.3">
      <c r="T3301" s="12"/>
      <c r="U3301" s="4"/>
      <c r="V3301" s="4"/>
      <c r="X3301" s="4"/>
      <c r="Y3301" s="4"/>
    </row>
    <row r="3302" spans="20:25" x14ac:dyDescent="0.3">
      <c r="T3302" s="12"/>
      <c r="U3302" s="4"/>
      <c r="V3302" s="4"/>
      <c r="X3302" s="4"/>
      <c r="Y3302" s="4"/>
    </row>
    <row r="3303" spans="20:25" x14ac:dyDescent="0.3">
      <c r="T3303" s="12"/>
      <c r="U3303" s="4"/>
      <c r="V3303" s="4"/>
      <c r="X3303" s="4"/>
      <c r="Y3303" s="4"/>
    </row>
    <row r="3304" spans="20:25" x14ac:dyDescent="0.3">
      <c r="T3304" s="12"/>
      <c r="U3304" s="4"/>
      <c r="V3304" s="4"/>
      <c r="X3304" s="4"/>
      <c r="Y3304" s="4"/>
    </row>
    <row r="3305" spans="20:25" x14ac:dyDescent="0.3">
      <c r="T3305" s="12"/>
      <c r="U3305" s="4"/>
      <c r="V3305" s="4"/>
      <c r="X3305" s="4"/>
      <c r="Y3305" s="4"/>
    </row>
    <row r="3306" spans="20:25" x14ac:dyDescent="0.3">
      <c r="T3306" s="12"/>
      <c r="U3306" s="4"/>
      <c r="V3306" s="4"/>
      <c r="X3306" s="4"/>
      <c r="Y3306" s="4"/>
    </row>
    <row r="3307" spans="20:25" x14ac:dyDescent="0.3">
      <c r="T3307" s="12"/>
      <c r="U3307" s="4"/>
      <c r="V3307" s="4"/>
      <c r="X3307" s="4"/>
      <c r="Y3307" s="4"/>
    </row>
    <row r="3308" spans="20:25" x14ac:dyDescent="0.3">
      <c r="T3308" s="12"/>
      <c r="U3308" s="4"/>
      <c r="V3308" s="4"/>
      <c r="X3308" s="4"/>
      <c r="Y3308" s="4"/>
    </row>
    <row r="3309" spans="20:25" x14ac:dyDescent="0.3">
      <c r="T3309" s="12"/>
      <c r="U3309" s="4"/>
      <c r="V3309" s="4"/>
      <c r="X3309" s="4"/>
      <c r="Y3309" s="4"/>
    </row>
    <row r="3310" spans="20:25" x14ac:dyDescent="0.3">
      <c r="T3310" s="12"/>
      <c r="U3310" s="4"/>
      <c r="V3310" s="4"/>
      <c r="X3310" s="4"/>
      <c r="Y3310" s="4"/>
    </row>
    <row r="3311" spans="20:25" x14ac:dyDescent="0.3">
      <c r="T3311" s="12"/>
      <c r="U3311" s="4"/>
      <c r="V3311" s="4"/>
      <c r="X3311" s="4"/>
      <c r="Y3311" s="4"/>
    </row>
    <row r="3312" spans="20:25" x14ac:dyDescent="0.3">
      <c r="T3312" s="12"/>
      <c r="U3312" s="4"/>
      <c r="V3312" s="4"/>
      <c r="X3312" s="4"/>
      <c r="Y3312" s="4"/>
    </row>
    <row r="3313" spans="20:25" x14ac:dyDescent="0.3">
      <c r="T3313" s="12"/>
      <c r="U3313" s="4"/>
      <c r="V3313" s="4"/>
      <c r="X3313" s="4"/>
      <c r="Y3313" s="4"/>
    </row>
    <row r="3314" spans="20:25" x14ac:dyDescent="0.3">
      <c r="T3314" s="12"/>
      <c r="U3314" s="4"/>
      <c r="V3314" s="4"/>
      <c r="X3314" s="4"/>
      <c r="Y3314" s="4"/>
    </row>
    <row r="3315" spans="20:25" x14ac:dyDescent="0.3">
      <c r="T3315" s="12"/>
      <c r="U3315" s="4"/>
      <c r="V3315" s="4"/>
      <c r="X3315" s="4"/>
      <c r="Y3315" s="4"/>
    </row>
    <row r="3316" spans="20:25" x14ac:dyDescent="0.3">
      <c r="T3316" s="12"/>
      <c r="U3316" s="4"/>
      <c r="V3316" s="4"/>
      <c r="X3316" s="4"/>
      <c r="Y3316" s="4"/>
    </row>
    <row r="3317" spans="20:25" x14ac:dyDescent="0.3">
      <c r="T3317" s="12"/>
      <c r="U3317" s="4"/>
      <c r="V3317" s="4"/>
      <c r="X3317" s="4"/>
      <c r="Y3317" s="4"/>
    </row>
    <row r="3318" spans="20:25" x14ac:dyDescent="0.3">
      <c r="T3318" s="12"/>
      <c r="U3318" s="4"/>
      <c r="V3318" s="4"/>
      <c r="X3318" s="4"/>
      <c r="Y3318" s="4"/>
    </row>
    <row r="3319" spans="20:25" x14ac:dyDescent="0.3">
      <c r="T3319" s="12"/>
      <c r="U3319" s="4"/>
      <c r="V3319" s="4"/>
      <c r="X3319" s="4"/>
      <c r="Y3319" s="4"/>
    </row>
    <row r="3320" spans="20:25" x14ac:dyDescent="0.3">
      <c r="T3320" s="12"/>
      <c r="U3320" s="4"/>
      <c r="V3320" s="4"/>
      <c r="X3320" s="4"/>
      <c r="Y3320" s="4"/>
    </row>
    <row r="3321" spans="20:25" x14ac:dyDescent="0.3">
      <c r="T3321" s="12"/>
      <c r="U3321" s="4"/>
      <c r="V3321" s="4"/>
      <c r="X3321" s="4"/>
      <c r="Y3321" s="4"/>
    </row>
    <row r="3322" spans="20:25" x14ac:dyDescent="0.3">
      <c r="T3322" s="12"/>
      <c r="U3322" s="4"/>
      <c r="V3322" s="4"/>
      <c r="X3322" s="4"/>
      <c r="Y3322" s="4"/>
    </row>
    <row r="3323" spans="20:25" x14ac:dyDescent="0.3">
      <c r="T3323" s="12"/>
      <c r="U3323" s="4"/>
      <c r="V3323" s="4"/>
      <c r="X3323" s="4"/>
      <c r="Y3323" s="4"/>
    </row>
    <row r="3324" spans="20:25" x14ac:dyDescent="0.3">
      <c r="T3324" s="12"/>
      <c r="U3324" s="4"/>
      <c r="V3324" s="4"/>
      <c r="X3324" s="4"/>
      <c r="Y3324" s="4"/>
    </row>
    <row r="3325" spans="20:25" x14ac:dyDescent="0.3">
      <c r="T3325" s="12"/>
      <c r="U3325" s="4"/>
      <c r="V3325" s="4"/>
      <c r="X3325" s="4"/>
      <c r="Y3325" s="4"/>
    </row>
    <row r="3326" spans="20:25" x14ac:dyDescent="0.3">
      <c r="T3326" s="12"/>
      <c r="U3326" s="4"/>
      <c r="V3326" s="4"/>
      <c r="X3326" s="4"/>
      <c r="Y3326" s="4"/>
    </row>
    <row r="3327" spans="20:25" x14ac:dyDescent="0.3">
      <c r="T3327" s="12"/>
      <c r="U3327" s="4"/>
      <c r="V3327" s="4"/>
      <c r="X3327" s="4"/>
      <c r="Y3327" s="4"/>
    </row>
    <row r="3328" spans="20:25" x14ac:dyDescent="0.3">
      <c r="T3328" s="12"/>
      <c r="U3328" s="4"/>
      <c r="V3328" s="4"/>
      <c r="X3328" s="4"/>
      <c r="Y3328" s="4"/>
    </row>
    <row r="3329" spans="20:25" x14ac:dyDescent="0.3">
      <c r="T3329" s="12"/>
      <c r="U3329" s="4"/>
      <c r="V3329" s="4"/>
      <c r="X3329" s="4"/>
      <c r="Y3329" s="4"/>
    </row>
    <row r="3330" spans="20:25" x14ac:dyDescent="0.3">
      <c r="T3330" s="12"/>
      <c r="U3330" s="4"/>
      <c r="V3330" s="4"/>
      <c r="X3330" s="4"/>
      <c r="Y3330" s="4"/>
    </row>
    <row r="3331" spans="20:25" x14ac:dyDescent="0.3">
      <c r="T3331" s="12"/>
      <c r="U3331" s="4"/>
      <c r="V3331" s="4"/>
      <c r="X3331" s="4"/>
      <c r="Y3331" s="4"/>
    </row>
    <row r="3332" spans="20:25" x14ac:dyDescent="0.3">
      <c r="T3332" s="12"/>
      <c r="U3332" s="4"/>
      <c r="V3332" s="4"/>
      <c r="X3332" s="4"/>
      <c r="Y3332" s="4"/>
    </row>
    <row r="3333" spans="20:25" x14ac:dyDescent="0.3">
      <c r="T3333" s="12"/>
      <c r="U3333" s="4"/>
      <c r="V3333" s="4"/>
      <c r="X3333" s="4"/>
      <c r="Y3333" s="4"/>
    </row>
    <row r="3334" spans="20:25" x14ac:dyDescent="0.3">
      <c r="T3334" s="12"/>
      <c r="U3334" s="4"/>
      <c r="V3334" s="4"/>
      <c r="X3334" s="4"/>
      <c r="Y3334" s="4"/>
    </row>
    <row r="3335" spans="20:25" x14ac:dyDescent="0.3">
      <c r="T3335" s="12"/>
      <c r="U3335" s="4"/>
      <c r="V3335" s="4"/>
      <c r="X3335" s="4"/>
      <c r="Y3335" s="4"/>
    </row>
    <row r="3336" spans="20:25" x14ac:dyDescent="0.3">
      <c r="T3336" s="12"/>
      <c r="U3336" s="4"/>
      <c r="V3336" s="4"/>
      <c r="X3336" s="4"/>
      <c r="Y3336" s="4"/>
    </row>
    <row r="3337" spans="20:25" x14ac:dyDescent="0.3">
      <c r="T3337" s="12"/>
      <c r="U3337" s="4"/>
      <c r="V3337" s="4"/>
      <c r="X3337" s="4"/>
      <c r="Y3337" s="4"/>
    </row>
    <row r="3338" spans="20:25" x14ac:dyDescent="0.3">
      <c r="T3338" s="12"/>
      <c r="U3338" s="4"/>
      <c r="V3338" s="4"/>
      <c r="X3338" s="4"/>
      <c r="Y3338" s="4"/>
    </row>
    <row r="3339" spans="20:25" x14ac:dyDescent="0.3">
      <c r="T3339" s="12"/>
      <c r="U3339" s="4"/>
      <c r="V3339" s="4"/>
      <c r="X3339" s="4"/>
      <c r="Y3339" s="4"/>
    </row>
    <row r="3340" spans="20:25" x14ac:dyDescent="0.3">
      <c r="T3340" s="12"/>
      <c r="U3340" s="4"/>
      <c r="V3340" s="4"/>
      <c r="X3340" s="4"/>
      <c r="Y3340" s="4"/>
    </row>
    <row r="3341" spans="20:25" x14ac:dyDescent="0.3">
      <c r="T3341" s="12"/>
      <c r="U3341" s="4"/>
      <c r="V3341" s="4"/>
      <c r="X3341" s="4"/>
      <c r="Y3341" s="4"/>
    </row>
    <row r="3342" spans="20:25" x14ac:dyDescent="0.3">
      <c r="T3342" s="12"/>
      <c r="U3342" s="4"/>
      <c r="V3342" s="4"/>
      <c r="X3342" s="4"/>
      <c r="Y3342" s="4"/>
    </row>
    <row r="3343" spans="20:25" x14ac:dyDescent="0.3">
      <c r="T3343" s="12"/>
      <c r="U3343" s="4"/>
      <c r="V3343" s="4"/>
      <c r="X3343" s="4"/>
      <c r="Y3343" s="4"/>
    </row>
    <row r="3344" spans="20:25" x14ac:dyDescent="0.3">
      <c r="T3344" s="12"/>
      <c r="U3344" s="4"/>
      <c r="V3344" s="4"/>
      <c r="X3344" s="4"/>
      <c r="Y3344" s="4"/>
    </row>
    <row r="3345" spans="20:25" x14ac:dyDescent="0.3">
      <c r="T3345" s="12"/>
      <c r="U3345" s="4"/>
      <c r="V3345" s="4"/>
      <c r="X3345" s="4"/>
      <c r="Y3345" s="4"/>
    </row>
    <row r="3346" spans="20:25" x14ac:dyDescent="0.3">
      <c r="T3346" s="12"/>
      <c r="U3346" s="4"/>
      <c r="V3346" s="4"/>
      <c r="X3346" s="4"/>
      <c r="Y3346" s="4"/>
    </row>
    <row r="3347" spans="20:25" x14ac:dyDescent="0.3">
      <c r="T3347" s="12"/>
      <c r="U3347" s="4"/>
      <c r="V3347" s="4"/>
      <c r="X3347" s="4"/>
      <c r="Y3347" s="4"/>
    </row>
    <row r="3348" spans="20:25" x14ac:dyDescent="0.3">
      <c r="T3348" s="12"/>
      <c r="U3348" s="4"/>
      <c r="V3348" s="4"/>
      <c r="X3348" s="4"/>
      <c r="Y3348" s="4"/>
    </row>
    <row r="3349" spans="20:25" x14ac:dyDescent="0.3">
      <c r="T3349" s="12"/>
      <c r="U3349" s="4"/>
      <c r="V3349" s="4"/>
      <c r="X3349" s="4"/>
      <c r="Y3349" s="4"/>
    </row>
    <row r="3350" spans="20:25" x14ac:dyDescent="0.3">
      <c r="T3350" s="12"/>
      <c r="U3350" s="4"/>
      <c r="V3350" s="4"/>
      <c r="X3350" s="4"/>
      <c r="Y3350" s="4"/>
    </row>
    <row r="3351" spans="20:25" x14ac:dyDescent="0.3">
      <c r="T3351" s="12"/>
      <c r="U3351" s="4"/>
      <c r="V3351" s="4"/>
      <c r="X3351" s="4"/>
      <c r="Y3351" s="4"/>
    </row>
    <row r="3352" spans="20:25" x14ac:dyDescent="0.3">
      <c r="T3352" s="12"/>
      <c r="U3352" s="4"/>
      <c r="V3352" s="4"/>
      <c r="X3352" s="4"/>
      <c r="Y3352" s="4"/>
    </row>
    <row r="3353" spans="20:25" x14ac:dyDescent="0.3">
      <c r="T3353" s="12"/>
      <c r="U3353" s="4"/>
      <c r="V3353" s="4"/>
      <c r="X3353" s="4"/>
      <c r="Y3353" s="4"/>
    </row>
    <row r="3354" spans="20:25" x14ac:dyDescent="0.3">
      <c r="T3354" s="12"/>
      <c r="U3354" s="4"/>
      <c r="V3354" s="4"/>
      <c r="X3354" s="4"/>
      <c r="Y3354" s="4"/>
    </row>
    <row r="3355" spans="20:25" x14ac:dyDescent="0.3">
      <c r="T3355" s="12"/>
      <c r="U3355" s="4"/>
      <c r="V3355" s="4"/>
      <c r="X3355" s="4"/>
      <c r="Y3355" s="4"/>
    </row>
    <row r="3356" spans="20:25" x14ac:dyDescent="0.3">
      <c r="T3356" s="12"/>
      <c r="U3356" s="4"/>
      <c r="V3356" s="4"/>
      <c r="X3356" s="4"/>
      <c r="Y3356" s="4"/>
    </row>
    <row r="3357" spans="20:25" x14ac:dyDescent="0.3">
      <c r="T3357" s="12"/>
      <c r="U3357" s="4"/>
      <c r="V3357" s="4"/>
      <c r="X3357" s="4"/>
      <c r="Y3357" s="4"/>
    </row>
    <row r="3358" spans="20:25" x14ac:dyDescent="0.3">
      <c r="T3358" s="12"/>
      <c r="U3358" s="4"/>
      <c r="V3358" s="4"/>
      <c r="X3358" s="4"/>
      <c r="Y3358" s="4"/>
    </row>
    <row r="3359" spans="20:25" x14ac:dyDescent="0.3">
      <c r="T3359" s="12"/>
      <c r="U3359" s="4"/>
      <c r="V3359" s="4"/>
      <c r="X3359" s="4"/>
      <c r="Y3359" s="4"/>
    </row>
    <row r="3360" spans="20:25" x14ac:dyDescent="0.3">
      <c r="T3360" s="12"/>
      <c r="U3360" s="4"/>
      <c r="V3360" s="4"/>
      <c r="X3360" s="4"/>
      <c r="Y3360" s="4"/>
    </row>
    <row r="3361" spans="20:25" x14ac:dyDescent="0.3">
      <c r="T3361" s="12"/>
      <c r="U3361" s="4"/>
      <c r="V3361" s="4"/>
      <c r="X3361" s="4"/>
      <c r="Y3361" s="4"/>
    </row>
    <row r="3362" spans="20:25" x14ac:dyDescent="0.3">
      <c r="T3362" s="12"/>
      <c r="U3362" s="4"/>
      <c r="V3362" s="4"/>
      <c r="X3362" s="4"/>
      <c r="Y3362" s="4"/>
    </row>
    <row r="3363" spans="20:25" x14ac:dyDescent="0.3">
      <c r="T3363" s="12"/>
      <c r="U3363" s="4"/>
      <c r="V3363" s="4"/>
      <c r="X3363" s="4"/>
      <c r="Y3363" s="4"/>
    </row>
    <row r="3364" spans="20:25" x14ac:dyDescent="0.3">
      <c r="T3364" s="12"/>
      <c r="U3364" s="4"/>
      <c r="V3364" s="4"/>
      <c r="X3364" s="4"/>
      <c r="Y3364" s="4"/>
    </row>
    <row r="3365" spans="20:25" x14ac:dyDescent="0.3">
      <c r="T3365" s="12"/>
      <c r="U3365" s="4"/>
      <c r="V3365" s="4"/>
      <c r="X3365" s="4"/>
      <c r="Y3365" s="4"/>
    </row>
    <row r="3366" spans="20:25" x14ac:dyDescent="0.3">
      <c r="T3366" s="12"/>
      <c r="U3366" s="4"/>
      <c r="V3366" s="4"/>
      <c r="X3366" s="4"/>
      <c r="Y3366" s="4"/>
    </row>
    <row r="3367" spans="20:25" x14ac:dyDescent="0.3">
      <c r="T3367" s="12"/>
      <c r="U3367" s="4"/>
      <c r="V3367" s="4"/>
      <c r="X3367" s="4"/>
      <c r="Y3367" s="4"/>
    </row>
    <row r="3368" spans="20:25" x14ac:dyDescent="0.3">
      <c r="T3368" s="12"/>
      <c r="U3368" s="4"/>
      <c r="V3368" s="4"/>
      <c r="X3368" s="4"/>
      <c r="Y3368" s="4"/>
    </row>
    <row r="3369" spans="20:25" x14ac:dyDescent="0.3">
      <c r="T3369" s="12"/>
      <c r="U3369" s="4"/>
      <c r="V3369" s="4"/>
      <c r="X3369" s="4"/>
      <c r="Y3369" s="4"/>
    </row>
    <row r="3370" spans="20:25" x14ac:dyDescent="0.3">
      <c r="T3370" s="12"/>
      <c r="U3370" s="4"/>
      <c r="V3370" s="4"/>
      <c r="X3370" s="4"/>
      <c r="Y3370" s="4"/>
    </row>
    <row r="3371" spans="20:25" x14ac:dyDescent="0.3">
      <c r="T3371" s="12"/>
      <c r="U3371" s="4"/>
      <c r="V3371" s="4"/>
      <c r="X3371" s="4"/>
      <c r="Y3371" s="4"/>
    </row>
    <row r="3372" spans="20:25" x14ac:dyDescent="0.3">
      <c r="T3372" s="12"/>
      <c r="U3372" s="4"/>
      <c r="V3372" s="4"/>
      <c r="X3372" s="4"/>
      <c r="Y3372" s="4"/>
    </row>
    <row r="3373" spans="20:25" x14ac:dyDescent="0.3">
      <c r="T3373" s="12"/>
      <c r="U3373" s="4"/>
      <c r="V3373" s="4"/>
      <c r="X3373" s="4"/>
      <c r="Y3373" s="4"/>
    </row>
    <row r="3374" spans="20:25" x14ac:dyDescent="0.3">
      <c r="T3374" s="12"/>
      <c r="U3374" s="4"/>
      <c r="V3374" s="4"/>
      <c r="X3374" s="4"/>
      <c r="Y3374" s="4"/>
    </row>
    <row r="3375" spans="20:25" x14ac:dyDescent="0.3">
      <c r="T3375" s="12"/>
      <c r="U3375" s="4"/>
      <c r="V3375" s="4"/>
      <c r="X3375" s="4"/>
      <c r="Y3375" s="4"/>
    </row>
    <row r="3376" spans="20:25" x14ac:dyDescent="0.3">
      <c r="T3376" s="12"/>
      <c r="U3376" s="4"/>
      <c r="V3376" s="4"/>
      <c r="X3376" s="4"/>
      <c r="Y3376" s="4"/>
    </row>
    <row r="3377" spans="20:25" x14ac:dyDescent="0.3">
      <c r="T3377" s="12"/>
      <c r="U3377" s="4"/>
      <c r="V3377" s="4"/>
      <c r="X3377" s="4"/>
      <c r="Y3377" s="4"/>
    </row>
    <row r="3378" spans="20:25" x14ac:dyDescent="0.3">
      <c r="T3378" s="12"/>
      <c r="U3378" s="4"/>
      <c r="V3378" s="4"/>
      <c r="X3378" s="4"/>
      <c r="Y3378" s="4"/>
    </row>
    <row r="3379" spans="20:25" x14ac:dyDescent="0.3">
      <c r="T3379" s="12"/>
      <c r="U3379" s="4"/>
      <c r="V3379" s="4"/>
      <c r="X3379" s="4"/>
      <c r="Y3379" s="4"/>
    </row>
    <row r="3380" spans="20:25" x14ac:dyDescent="0.3">
      <c r="T3380" s="12"/>
      <c r="U3380" s="4"/>
      <c r="V3380" s="4"/>
      <c r="X3380" s="4"/>
      <c r="Y3380" s="4"/>
    </row>
    <row r="3381" spans="20:25" x14ac:dyDescent="0.3">
      <c r="T3381" s="12"/>
      <c r="U3381" s="4"/>
      <c r="V3381" s="4"/>
      <c r="X3381" s="4"/>
      <c r="Y3381" s="4"/>
    </row>
    <row r="3382" spans="20:25" x14ac:dyDescent="0.3">
      <c r="T3382" s="12"/>
      <c r="U3382" s="4"/>
      <c r="V3382" s="4"/>
      <c r="X3382" s="4"/>
      <c r="Y3382" s="4"/>
    </row>
    <row r="3383" spans="20:25" x14ac:dyDescent="0.3">
      <c r="T3383" s="12"/>
      <c r="U3383" s="4"/>
      <c r="V3383" s="4"/>
      <c r="X3383" s="4"/>
      <c r="Y3383" s="4"/>
    </row>
    <row r="3384" spans="20:25" x14ac:dyDescent="0.3">
      <c r="T3384" s="12"/>
      <c r="U3384" s="4"/>
      <c r="V3384" s="4"/>
      <c r="X3384" s="4"/>
      <c r="Y3384" s="4"/>
    </row>
    <row r="3385" spans="20:25" x14ac:dyDescent="0.3">
      <c r="T3385" s="12"/>
      <c r="U3385" s="4"/>
      <c r="V3385" s="4"/>
      <c r="X3385" s="4"/>
      <c r="Y3385" s="4"/>
    </row>
    <row r="3386" spans="20:25" x14ac:dyDescent="0.3">
      <c r="T3386" s="12"/>
      <c r="U3386" s="4"/>
      <c r="V3386" s="4"/>
      <c r="X3386" s="4"/>
      <c r="Y3386" s="4"/>
    </row>
    <row r="3387" spans="20:25" x14ac:dyDescent="0.3">
      <c r="T3387" s="12"/>
      <c r="U3387" s="4"/>
      <c r="V3387" s="4"/>
      <c r="X3387" s="4"/>
      <c r="Y3387" s="4"/>
    </row>
    <row r="3388" spans="20:25" x14ac:dyDescent="0.3">
      <c r="T3388" s="12"/>
      <c r="U3388" s="4"/>
      <c r="V3388" s="4"/>
      <c r="X3388" s="4"/>
      <c r="Y3388" s="4"/>
    </row>
    <row r="3389" spans="20:25" x14ac:dyDescent="0.3">
      <c r="T3389" s="12"/>
      <c r="U3389" s="4"/>
      <c r="V3389" s="4"/>
      <c r="X3389" s="4"/>
      <c r="Y3389" s="4"/>
    </row>
    <row r="3390" spans="20:25" x14ac:dyDescent="0.3">
      <c r="T3390" s="12"/>
      <c r="U3390" s="4"/>
      <c r="V3390" s="4"/>
      <c r="X3390" s="4"/>
      <c r="Y3390" s="4"/>
    </row>
    <row r="3391" spans="20:25" x14ac:dyDescent="0.3">
      <c r="T3391" s="12"/>
      <c r="U3391" s="4"/>
      <c r="V3391" s="4"/>
      <c r="X3391" s="4"/>
      <c r="Y3391" s="4"/>
    </row>
    <row r="3392" spans="20:25" x14ac:dyDescent="0.3">
      <c r="T3392" s="12"/>
      <c r="U3392" s="4"/>
      <c r="V3392" s="4"/>
      <c r="X3392" s="4"/>
      <c r="Y3392" s="4"/>
    </row>
    <row r="3393" spans="20:25" x14ac:dyDescent="0.3">
      <c r="T3393" s="12"/>
      <c r="U3393" s="4"/>
      <c r="V3393" s="4"/>
      <c r="X3393" s="4"/>
      <c r="Y3393" s="4"/>
    </row>
    <row r="3394" spans="20:25" x14ac:dyDescent="0.3">
      <c r="T3394" s="12"/>
      <c r="U3394" s="4"/>
      <c r="V3394" s="4"/>
      <c r="X3394" s="4"/>
      <c r="Y3394" s="4"/>
    </row>
    <row r="3395" spans="20:25" x14ac:dyDescent="0.3">
      <c r="T3395" s="12"/>
      <c r="U3395" s="4"/>
      <c r="V3395" s="4"/>
      <c r="X3395" s="4"/>
      <c r="Y3395" s="4"/>
    </row>
    <row r="3396" spans="20:25" x14ac:dyDescent="0.3">
      <c r="T3396" s="12"/>
      <c r="U3396" s="4"/>
      <c r="V3396" s="4"/>
      <c r="X3396" s="4"/>
      <c r="Y3396" s="4"/>
    </row>
    <row r="3397" spans="20:25" x14ac:dyDescent="0.3">
      <c r="T3397" s="12"/>
      <c r="U3397" s="4"/>
      <c r="V3397" s="4"/>
      <c r="X3397" s="4"/>
      <c r="Y3397" s="4"/>
    </row>
    <row r="3398" spans="20:25" x14ac:dyDescent="0.3">
      <c r="T3398" s="12"/>
      <c r="U3398" s="4"/>
      <c r="V3398" s="4"/>
      <c r="X3398" s="4"/>
      <c r="Y3398" s="4"/>
    </row>
    <row r="3399" spans="20:25" x14ac:dyDescent="0.3">
      <c r="T3399" s="12"/>
      <c r="U3399" s="4"/>
      <c r="V3399" s="4"/>
      <c r="X3399" s="4"/>
      <c r="Y3399" s="4"/>
    </row>
    <row r="3400" spans="20:25" x14ac:dyDescent="0.3">
      <c r="T3400" s="12"/>
      <c r="U3400" s="4"/>
      <c r="V3400" s="4"/>
      <c r="X3400" s="4"/>
      <c r="Y3400" s="4"/>
    </row>
    <row r="3401" spans="20:25" x14ac:dyDescent="0.3">
      <c r="T3401" s="12"/>
      <c r="U3401" s="4"/>
      <c r="V3401" s="4"/>
      <c r="X3401" s="4"/>
      <c r="Y3401" s="4"/>
    </row>
    <row r="3402" spans="20:25" x14ac:dyDescent="0.3">
      <c r="T3402" s="12"/>
      <c r="U3402" s="4"/>
      <c r="V3402" s="4"/>
      <c r="X3402" s="4"/>
      <c r="Y3402" s="4"/>
    </row>
    <row r="3403" spans="20:25" x14ac:dyDescent="0.3">
      <c r="T3403" s="12"/>
      <c r="U3403" s="4"/>
      <c r="V3403" s="4"/>
      <c r="X3403" s="4"/>
      <c r="Y3403" s="4"/>
    </row>
    <row r="3404" spans="20:25" x14ac:dyDescent="0.3">
      <c r="T3404" s="12"/>
      <c r="U3404" s="4"/>
      <c r="V3404" s="4"/>
      <c r="X3404" s="4"/>
      <c r="Y3404" s="4"/>
    </row>
    <row r="3405" spans="20:25" x14ac:dyDescent="0.3">
      <c r="T3405" s="12"/>
      <c r="U3405" s="4"/>
      <c r="V3405" s="4"/>
      <c r="X3405" s="4"/>
      <c r="Y3405" s="4"/>
    </row>
    <row r="3406" spans="20:25" x14ac:dyDescent="0.3">
      <c r="T3406" s="12"/>
      <c r="U3406" s="4"/>
      <c r="V3406" s="4"/>
      <c r="X3406" s="4"/>
      <c r="Y3406" s="4"/>
    </row>
    <row r="3407" spans="20:25" x14ac:dyDescent="0.3">
      <c r="T3407" s="12"/>
      <c r="U3407" s="4"/>
      <c r="V3407" s="4"/>
      <c r="X3407" s="4"/>
      <c r="Y3407" s="4"/>
    </row>
    <row r="3408" spans="20:25" x14ac:dyDescent="0.3">
      <c r="T3408" s="12"/>
      <c r="U3408" s="4"/>
      <c r="V3408" s="4"/>
      <c r="X3408" s="4"/>
      <c r="Y3408" s="4"/>
    </row>
    <row r="3409" spans="20:25" x14ac:dyDescent="0.3">
      <c r="T3409" s="12"/>
      <c r="U3409" s="4"/>
      <c r="V3409" s="4"/>
      <c r="X3409" s="4"/>
      <c r="Y3409" s="4"/>
    </row>
    <row r="3410" spans="20:25" x14ac:dyDescent="0.3">
      <c r="T3410" s="12"/>
      <c r="U3410" s="4"/>
      <c r="V3410" s="4"/>
      <c r="X3410" s="4"/>
      <c r="Y3410" s="4"/>
    </row>
    <row r="3411" spans="20:25" x14ac:dyDescent="0.3">
      <c r="T3411" s="12"/>
      <c r="U3411" s="4"/>
      <c r="V3411" s="4"/>
      <c r="X3411" s="4"/>
      <c r="Y3411" s="4"/>
    </row>
    <row r="3412" spans="20:25" x14ac:dyDescent="0.3">
      <c r="T3412" s="12"/>
      <c r="U3412" s="4"/>
      <c r="V3412" s="4"/>
      <c r="X3412" s="4"/>
      <c r="Y3412" s="4"/>
    </row>
    <row r="3413" spans="20:25" x14ac:dyDescent="0.3">
      <c r="T3413" s="12"/>
      <c r="U3413" s="4"/>
      <c r="V3413" s="4"/>
      <c r="X3413" s="4"/>
      <c r="Y3413" s="4"/>
    </row>
    <row r="3414" spans="20:25" x14ac:dyDescent="0.3">
      <c r="T3414" s="12"/>
      <c r="U3414" s="4"/>
      <c r="V3414" s="4"/>
      <c r="X3414" s="4"/>
      <c r="Y3414" s="4"/>
    </row>
    <row r="3415" spans="20:25" x14ac:dyDescent="0.3">
      <c r="T3415" s="12"/>
      <c r="U3415" s="4"/>
      <c r="V3415" s="4"/>
      <c r="X3415" s="4"/>
      <c r="Y3415" s="4"/>
    </row>
    <row r="3416" spans="20:25" x14ac:dyDescent="0.3">
      <c r="T3416" s="12"/>
      <c r="U3416" s="4"/>
      <c r="V3416" s="4"/>
      <c r="X3416" s="4"/>
      <c r="Y3416" s="4"/>
    </row>
    <row r="3417" spans="20:25" x14ac:dyDescent="0.3">
      <c r="T3417" s="12"/>
      <c r="U3417" s="4"/>
      <c r="V3417" s="4"/>
      <c r="X3417" s="4"/>
      <c r="Y3417" s="4"/>
    </row>
    <row r="3418" spans="20:25" x14ac:dyDescent="0.3">
      <c r="T3418" s="12"/>
      <c r="U3418" s="4"/>
      <c r="V3418" s="4"/>
      <c r="X3418" s="4"/>
      <c r="Y3418" s="4"/>
    </row>
    <row r="3419" spans="20:25" x14ac:dyDescent="0.3">
      <c r="T3419" s="12"/>
      <c r="U3419" s="4"/>
      <c r="V3419" s="4"/>
      <c r="X3419" s="4"/>
      <c r="Y3419" s="4"/>
    </row>
    <row r="3420" spans="20:25" x14ac:dyDescent="0.3">
      <c r="T3420" s="12"/>
      <c r="U3420" s="4"/>
      <c r="V3420" s="4"/>
      <c r="X3420" s="4"/>
      <c r="Y3420" s="4"/>
    </row>
    <row r="3421" spans="20:25" x14ac:dyDescent="0.3">
      <c r="T3421" s="12"/>
      <c r="U3421" s="4"/>
      <c r="V3421" s="4"/>
      <c r="X3421" s="4"/>
      <c r="Y3421" s="4"/>
    </row>
    <row r="3422" spans="20:25" x14ac:dyDescent="0.3">
      <c r="T3422" s="12"/>
      <c r="U3422" s="4"/>
      <c r="V3422" s="4"/>
      <c r="X3422" s="4"/>
      <c r="Y3422" s="4"/>
    </row>
    <row r="3423" spans="20:25" x14ac:dyDescent="0.3">
      <c r="T3423" s="12"/>
      <c r="U3423" s="4"/>
      <c r="V3423" s="4"/>
      <c r="X3423" s="4"/>
      <c r="Y3423" s="4"/>
    </row>
    <row r="3424" spans="20:25" x14ac:dyDescent="0.3">
      <c r="T3424" s="12"/>
      <c r="U3424" s="4"/>
      <c r="V3424" s="4"/>
      <c r="X3424" s="4"/>
      <c r="Y3424" s="4"/>
    </row>
    <row r="3425" spans="20:25" x14ac:dyDescent="0.3">
      <c r="T3425" s="12"/>
      <c r="U3425" s="4"/>
      <c r="V3425" s="4"/>
      <c r="X3425" s="4"/>
      <c r="Y3425" s="4"/>
    </row>
    <row r="3426" spans="20:25" x14ac:dyDescent="0.3">
      <c r="T3426" s="12"/>
      <c r="U3426" s="4"/>
      <c r="V3426" s="4"/>
      <c r="X3426" s="4"/>
      <c r="Y3426" s="4"/>
    </row>
    <row r="3427" spans="20:25" x14ac:dyDescent="0.3">
      <c r="T3427" s="12"/>
      <c r="U3427" s="4"/>
      <c r="V3427" s="4"/>
      <c r="X3427" s="4"/>
      <c r="Y3427" s="4"/>
    </row>
    <row r="3428" spans="20:25" x14ac:dyDescent="0.3">
      <c r="T3428" s="12"/>
      <c r="U3428" s="4"/>
      <c r="V3428" s="4"/>
      <c r="X3428" s="4"/>
      <c r="Y3428" s="4"/>
    </row>
    <row r="3429" spans="20:25" x14ac:dyDescent="0.3">
      <c r="T3429" s="12"/>
      <c r="U3429" s="4"/>
      <c r="V3429" s="4"/>
      <c r="X3429" s="4"/>
      <c r="Y3429" s="4"/>
    </row>
    <row r="3430" spans="20:25" x14ac:dyDescent="0.3">
      <c r="T3430" s="12"/>
      <c r="U3430" s="4"/>
      <c r="V3430" s="4"/>
      <c r="X3430" s="4"/>
      <c r="Y3430" s="4"/>
    </row>
    <row r="3431" spans="20:25" x14ac:dyDescent="0.3">
      <c r="T3431" s="12"/>
      <c r="U3431" s="4"/>
      <c r="V3431" s="4"/>
      <c r="X3431" s="4"/>
      <c r="Y3431" s="4"/>
    </row>
    <row r="3432" spans="20:25" x14ac:dyDescent="0.3">
      <c r="T3432" s="12"/>
      <c r="U3432" s="4"/>
      <c r="V3432" s="4"/>
      <c r="X3432" s="4"/>
      <c r="Y3432" s="4"/>
    </row>
    <row r="3433" spans="20:25" x14ac:dyDescent="0.3">
      <c r="T3433" s="12"/>
      <c r="U3433" s="4"/>
      <c r="V3433" s="4"/>
      <c r="X3433" s="4"/>
      <c r="Y3433" s="4"/>
    </row>
    <row r="3434" spans="20:25" x14ac:dyDescent="0.3">
      <c r="T3434" s="12"/>
      <c r="U3434" s="4"/>
      <c r="V3434" s="4"/>
      <c r="X3434" s="4"/>
      <c r="Y3434" s="4"/>
    </row>
    <row r="3435" spans="20:25" x14ac:dyDescent="0.3">
      <c r="T3435" s="12"/>
      <c r="U3435" s="4"/>
      <c r="V3435" s="4"/>
      <c r="X3435" s="4"/>
      <c r="Y3435" s="4"/>
    </row>
    <row r="3436" spans="20:25" x14ac:dyDescent="0.3">
      <c r="T3436" s="12"/>
      <c r="U3436" s="4"/>
      <c r="V3436" s="4"/>
      <c r="X3436" s="4"/>
      <c r="Y3436" s="4"/>
    </row>
    <row r="3437" spans="20:25" x14ac:dyDescent="0.3">
      <c r="T3437" s="12"/>
      <c r="U3437" s="4"/>
      <c r="V3437" s="4"/>
      <c r="X3437" s="4"/>
      <c r="Y3437" s="4"/>
    </row>
    <row r="3438" spans="20:25" x14ac:dyDescent="0.3">
      <c r="T3438" s="12"/>
      <c r="U3438" s="4"/>
      <c r="V3438" s="4"/>
      <c r="X3438" s="4"/>
      <c r="Y3438" s="4"/>
    </row>
    <row r="3439" spans="20:25" x14ac:dyDescent="0.3">
      <c r="T3439" s="12"/>
      <c r="U3439" s="4"/>
      <c r="V3439" s="4"/>
      <c r="X3439" s="4"/>
      <c r="Y3439" s="4"/>
    </row>
    <row r="3440" spans="20:25" x14ac:dyDescent="0.3">
      <c r="T3440" s="12"/>
      <c r="U3440" s="4"/>
      <c r="V3440" s="4"/>
      <c r="X3440" s="4"/>
      <c r="Y3440" s="4"/>
    </row>
    <row r="3441" spans="20:25" x14ac:dyDescent="0.3">
      <c r="T3441" s="12"/>
      <c r="U3441" s="4"/>
      <c r="V3441" s="4"/>
      <c r="X3441" s="4"/>
      <c r="Y3441" s="4"/>
    </row>
    <row r="3442" spans="20:25" x14ac:dyDescent="0.3">
      <c r="T3442" s="12"/>
      <c r="U3442" s="4"/>
      <c r="V3442" s="4"/>
      <c r="X3442" s="4"/>
      <c r="Y3442" s="4"/>
    </row>
    <row r="3443" spans="20:25" x14ac:dyDescent="0.3">
      <c r="T3443" s="12"/>
      <c r="U3443" s="4"/>
      <c r="V3443" s="4"/>
      <c r="X3443" s="4"/>
      <c r="Y3443" s="4"/>
    </row>
    <row r="3444" spans="20:25" x14ac:dyDescent="0.3">
      <c r="T3444" s="12"/>
      <c r="U3444" s="4"/>
      <c r="V3444" s="4"/>
      <c r="X3444" s="4"/>
      <c r="Y3444" s="4"/>
    </row>
    <row r="3445" spans="20:25" x14ac:dyDescent="0.3">
      <c r="T3445" s="12"/>
      <c r="U3445" s="4"/>
      <c r="V3445" s="4"/>
      <c r="X3445" s="4"/>
      <c r="Y3445" s="4"/>
    </row>
    <row r="3446" spans="20:25" x14ac:dyDescent="0.3">
      <c r="T3446" s="12"/>
      <c r="U3446" s="4"/>
      <c r="V3446" s="4"/>
      <c r="X3446" s="4"/>
      <c r="Y3446" s="4"/>
    </row>
    <row r="3447" spans="20:25" x14ac:dyDescent="0.3">
      <c r="T3447" s="12"/>
      <c r="U3447" s="4"/>
      <c r="V3447" s="4"/>
      <c r="X3447" s="4"/>
      <c r="Y3447" s="4"/>
    </row>
    <row r="3448" spans="20:25" x14ac:dyDescent="0.3">
      <c r="T3448" s="12"/>
      <c r="U3448" s="4"/>
      <c r="V3448" s="4"/>
      <c r="X3448" s="4"/>
      <c r="Y3448" s="4"/>
    </row>
    <row r="3449" spans="20:25" x14ac:dyDescent="0.3">
      <c r="T3449" s="12"/>
      <c r="U3449" s="4"/>
      <c r="V3449" s="4"/>
      <c r="X3449" s="4"/>
      <c r="Y3449" s="4"/>
    </row>
    <row r="3450" spans="20:25" x14ac:dyDescent="0.3">
      <c r="T3450" s="12"/>
      <c r="U3450" s="4"/>
      <c r="V3450" s="4"/>
      <c r="X3450" s="4"/>
      <c r="Y3450" s="4"/>
    </row>
    <row r="3451" spans="20:25" x14ac:dyDescent="0.3">
      <c r="T3451" s="12"/>
      <c r="U3451" s="4"/>
      <c r="V3451" s="4"/>
      <c r="X3451" s="4"/>
      <c r="Y3451" s="4"/>
    </row>
    <row r="3452" spans="20:25" x14ac:dyDescent="0.3">
      <c r="T3452" s="12"/>
      <c r="U3452" s="4"/>
      <c r="V3452" s="4"/>
      <c r="X3452" s="4"/>
      <c r="Y3452" s="4"/>
    </row>
    <row r="3453" spans="20:25" x14ac:dyDescent="0.3">
      <c r="T3453" s="12"/>
      <c r="U3453" s="4"/>
      <c r="V3453" s="4"/>
      <c r="X3453" s="4"/>
      <c r="Y3453" s="4"/>
    </row>
    <row r="3454" spans="20:25" x14ac:dyDescent="0.3">
      <c r="T3454" s="12"/>
      <c r="U3454" s="4"/>
      <c r="V3454" s="4"/>
      <c r="X3454" s="4"/>
      <c r="Y3454" s="4"/>
    </row>
    <row r="3455" spans="20:25" x14ac:dyDescent="0.3">
      <c r="T3455" s="12"/>
      <c r="U3455" s="4"/>
      <c r="V3455" s="4"/>
      <c r="X3455" s="4"/>
      <c r="Y3455" s="4"/>
    </row>
    <row r="3456" spans="20:25" x14ac:dyDescent="0.3">
      <c r="T3456" s="12"/>
      <c r="U3456" s="4"/>
      <c r="V3456" s="4"/>
      <c r="X3456" s="4"/>
      <c r="Y3456" s="4"/>
    </row>
    <row r="3457" spans="20:25" x14ac:dyDescent="0.3">
      <c r="T3457" s="12"/>
      <c r="U3457" s="4"/>
      <c r="V3457" s="4"/>
      <c r="X3457" s="4"/>
      <c r="Y3457" s="4"/>
    </row>
    <row r="3458" spans="20:25" x14ac:dyDescent="0.3">
      <c r="T3458" s="12"/>
      <c r="U3458" s="4"/>
      <c r="V3458" s="4"/>
      <c r="X3458" s="4"/>
      <c r="Y3458" s="4"/>
    </row>
    <row r="3459" spans="20:25" x14ac:dyDescent="0.3">
      <c r="T3459" s="12"/>
      <c r="U3459" s="4"/>
      <c r="V3459" s="4"/>
      <c r="X3459" s="4"/>
      <c r="Y3459" s="4"/>
    </row>
    <row r="3460" spans="20:25" x14ac:dyDescent="0.3">
      <c r="T3460" s="12"/>
      <c r="U3460" s="4"/>
      <c r="V3460" s="4"/>
      <c r="X3460" s="4"/>
      <c r="Y3460" s="4"/>
    </row>
    <row r="3461" spans="20:25" x14ac:dyDescent="0.3">
      <c r="T3461" s="12"/>
      <c r="U3461" s="4"/>
      <c r="V3461" s="4"/>
      <c r="X3461" s="4"/>
      <c r="Y3461" s="4"/>
    </row>
    <row r="3462" spans="20:25" x14ac:dyDescent="0.3">
      <c r="T3462" s="12"/>
      <c r="U3462" s="4"/>
      <c r="V3462" s="4"/>
      <c r="X3462" s="4"/>
      <c r="Y3462" s="4"/>
    </row>
    <row r="3463" spans="20:25" x14ac:dyDescent="0.3">
      <c r="T3463" s="12"/>
      <c r="U3463" s="4"/>
      <c r="V3463" s="4"/>
      <c r="X3463" s="4"/>
      <c r="Y3463" s="4"/>
    </row>
    <row r="3464" spans="20:25" x14ac:dyDescent="0.3">
      <c r="T3464" s="12"/>
      <c r="U3464" s="4"/>
      <c r="V3464" s="4"/>
      <c r="X3464" s="4"/>
      <c r="Y3464" s="4"/>
    </row>
    <row r="3465" spans="20:25" x14ac:dyDescent="0.3">
      <c r="T3465" s="12"/>
      <c r="U3465" s="4"/>
      <c r="V3465" s="4"/>
      <c r="X3465" s="4"/>
      <c r="Y3465" s="4"/>
    </row>
    <row r="3466" spans="20:25" x14ac:dyDescent="0.3">
      <c r="T3466" s="12"/>
      <c r="U3466" s="4"/>
      <c r="V3466" s="4"/>
      <c r="X3466" s="4"/>
      <c r="Y3466" s="4"/>
    </row>
    <row r="3467" spans="20:25" x14ac:dyDescent="0.3">
      <c r="T3467" s="12"/>
      <c r="U3467" s="4"/>
      <c r="V3467" s="4"/>
      <c r="X3467" s="4"/>
      <c r="Y3467" s="4"/>
    </row>
    <row r="3468" spans="20:25" x14ac:dyDescent="0.3">
      <c r="T3468" s="12"/>
      <c r="U3468" s="4"/>
      <c r="V3468" s="4"/>
      <c r="X3468" s="4"/>
      <c r="Y3468" s="4"/>
    </row>
    <row r="3469" spans="20:25" x14ac:dyDescent="0.3">
      <c r="T3469" s="12"/>
      <c r="U3469" s="4"/>
      <c r="V3469" s="4"/>
      <c r="X3469" s="4"/>
      <c r="Y3469" s="4"/>
    </row>
    <row r="3470" spans="20:25" x14ac:dyDescent="0.3">
      <c r="T3470" s="12"/>
      <c r="U3470" s="4"/>
      <c r="V3470" s="4"/>
      <c r="X3470" s="4"/>
      <c r="Y3470" s="4"/>
    </row>
    <row r="3471" spans="20:25" x14ac:dyDescent="0.3">
      <c r="T3471" s="12"/>
      <c r="U3471" s="4"/>
      <c r="V3471" s="4"/>
      <c r="X3471" s="4"/>
      <c r="Y3471" s="4"/>
    </row>
    <row r="3472" spans="20:25" x14ac:dyDescent="0.3">
      <c r="T3472" s="12"/>
      <c r="U3472" s="4"/>
      <c r="V3472" s="4"/>
      <c r="X3472" s="4"/>
      <c r="Y3472" s="4"/>
    </row>
    <row r="3473" spans="20:25" x14ac:dyDescent="0.3">
      <c r="T3473" s="12"/>
      <c r="U3473" s="4"/>
      <c r="V3473" s="4"/>
      <c r="X3473" s="4"/>
      <c r="Y3473" s="4"/>
    </row>
    <row r="3474" spans="20:25" x14ac:dyDescent="0.3">
      <c r="T3474" s="12"/>
      <c r="U3474" s="4"/>
      <c r="V3474" s="4"/>
      <c r="X3474" s="4"/>
      <c r="Y3474" s="4"/>
    </row>
    <row r="3475" spans="20:25" x14ac:dyDescent="0.3">
      <c r="T3475" s="12"/>
      <c r="U3475" s="4"/>
      <c r="V3475" s="4"/>
      <c r="X3475" s="4"/>
      <c r="Y3475" s="4"/>
    </row>
    <row r="3476" spans="20:25" x14ac:dyDescent="0.3">
      <c r="T3476" s="12"/>
      <c r="U3476" s="4"/>
      <c r="V3476" s="4"/>
      <c r="X3476" s="4"/>
      <c r="Y3476" s="4"/>
    </row>
    <row r="3477" spans="20:25" x14ac:dyDescent="0.3">
      <c r="T3477" s="12"/>
      <c r="U3477" s="4"/>
      <c r="V3477" s="4"/>
      <c r="X3477" s="4"/>
      <c r="Y3477" s="4"/>
    </row>
    <row r="3478" spans="20:25" x14ac:dyDescent="0.3">
      <c r="T3478" s="12"/>
      <c r="U3478" s="4"/>
      <c r="V3478" s="4"/>
      <c r="X3478" s="4"/>
      <c r="Y3478" s="4"/>
    </row>
    <row r="3479" spans="20:25" x14ac:dyDescent="0.3">
      <c r="T3479" s="12"/>
      <c r="U3479" s="4"/>
      <c r="V3479" s="4"/>
      <c r="X3479" s="4"/>
      <c r="Y3479" s="4"/>
    </row>
    <row r="3480" spans="20:25" x14ac:dyDescent="0.3">
      <c r="T3480" s="12"/>
      <c r="U3480" s="4"/>
      <c r="V3480" s="4"/>
      <c r="X3480" s="4"/>
      <c r="Y3480" s="4"/>
    </row>
    <row r="3481" spans="20:25" x14ac:dyDescent="0.3">
      <c r="T3481" s="12"/>
      <c r="U3481" s="4"/>
      <c r="V3481" s="4"/>
      <c r="X3481" s="4"/>
      <c r="Y3481" s="4"/>
    </row>
    <row r="3482" spans="20:25" x14ac:dyDescent="0.3">
      <c r="T3482" s="12"/>
      <c r="U3482" s="4"/>
      <c r="V3482" s="4"/>
      <c r="X3482" s="4"/>
      <c r="Y3482" s="4"/>
    </row>
    <row r="3483" spans="20:25" x14ac:dyDescent="0.3">
      <c r="T3483" s="12"/>
      <c r="U3483" s="4"/>
      <c r="V3483" s="4"/>
      <c r="X3483" s="4"/>
      <c r="Y3483" s="4"/>
    </row>
    <row r="3484" spans="20:25" x14ac:dyDescent="0.3">
      <c r="T3484" s="12"/>
      <c r="U3484" s="4"/>
      <c r="V3484" s="4"/>
      <c r="X3484" s="4"/>
      <c r="Y3484" s="4"/>
    </row>
    <row r="3485" spans="20:25" x14ac:dyDescent="0.3">
      <c r="T3485" s="12"/>
      <c r="U3485" s="4"/>
      <c r="V3485" s="4"/>
      <c r="X3485" s="4"/>
      <c r="Y3485" s="4"/>
    </row>
    <row r="3486" spans="20:25" x14ac:dyDescent="0.3">
      <c r="T3486" s="12"/>
      <c r="U3486" s="4"/>
      <c r="V3486" s="4"/>
      <c r="X3486" s="4"/>
      <c r="Y3486" s="4"/>
    </row>
    <row r="3487" spans="20:25" x14ac:dyDescent="0.3">
      <c r="T3487" s="12"/>
      <c r="U3487" s="4"/>
      <c r="V3487" s="4"/>
      <c r="X3487" s="4"/>
      <c r="Y3487" s="4"/>
    </row>
    <row r="3488" spans="20:25" x14ac:dyDescent="0.3">
      <c r="T3488" s="12"/>
      <c r="U3488" s="4"/>
      <c r="V3488" s="4"/>
      <c r="X3488" s="4"/>
      <c r="Y3488" s="4"/>
    </row>
    <row r="3489" spans="20:25" x14ac:dyDescent="0.3">
      <c r="T3489" s="12"/>
      <c r="U3489" s="4"/>
      <c r="V3489" s="4"/>
      <c r="X3489" s="4"/>
      <c r="Y3489" s="4"/>
    </row>
    <row r="3490" spans="20:25" x14ac:dyDescent="0.3">
      <c r="T3490" s="12"/>
      <c r="U3490" s="4"/>
      <c r="V3490" s="4"/>
      <c r="X3490" s="4"/>
      <c r="Y3490" s="4"/>
    </row>
    <row r="3491" spans="20:25" x14ac:dyDescent="0.3">
      <c r="T3491" s="12"/>
      <c r="U3491" s="4"/>
      <c r="V3491" s="4"/>
      <c r="X3491" s="4"/>
      <c r="Y3491" s="4"/>
    </row>
    <row r="3492" spans="20:25" x14ac:dyDescent="0.3">
      <c r="T3492" s="12"/>
      <c r="U3492" s="4"/>
      <c r="V3492" s="4"/>
      <c r="X3492" s="4"/>
      <c r="Y3492" s="4"/>
    </row>
    <row r="3493" spans="20:25" x14ac:dyDescent="0.3">
      <c r="T3493" s="12"/>
      <c r="U3493" s="4"/>
      <c r="V3493" s="4"/>
      <c r="X3493" s="4"/>
      <c r="Y3493" s="4"/>
    </row>
    <row r="3494" spans="20:25" x14ac:dyDescent="0.3">
      <c r="T3494" s="12"/>
      <c r="U3494" s="4"/>
      <c r="V3494" s="4"/>
      <c r="X3494" s="4"/>
      <c r="Y3494" s="4"/>
    </row>
    <row r="3495" spans="20:25" x14ac:dyDescent="0.3">
      <c r="T3495" s="12"/>
      <c r="U3495" s="4"/>
      <c r="V3495" s="4"/>
      <c r="X3495" s="4"/>
      <c r="Y3495" s="4"/>
    </row>
    <row r="3496" spans="20:25" x14ac:dyDescent="0.3">
      <c r="T3496" s="12"/>
      <c r="U3496" s="4"/>
      <c r="V3496" s="4"/>
      <c r="X3496" s="4"/>
      <c r="Y3496" s="4"/>
    </row>
    <row r="3497" spans="20:25" x14ac:dyDescent="0.3">
      <c r="T3497" s="12"/>
      <c r="U3497" s="4"/>
      <c r="V3497" s="4"/>
      <c r="X3497" s="4"/>
      <c r="Y3497" s="4"/>
    </row>
    <row r="3498" spans="20:25" x14ac:dyDescent="0.3">
      <c r="T3498" s="12"/>
      <c r="U3498" s="4"/>
      <c r="V3498" s="4"/>
      <c r="X3498" s="4"/>
      <c r="Y3498" s="4"/>
    </row>
    <row r="3499" spans="20:25" x14ac:dyDescent="0.3">
      <c r="T3499" s="12"/>
      <c r="U3499" s="4"/>
      <c r="V3499" s="4"/>
      <c r="X3499" s="4"/>
      <c r="Y3499" s="4"/>
    </row>
    <row r="3500" spans="20:25" x14ac:dyDescent="0.3">
      <c r="T3500" s="12"/>
      <c r="U3500" s="4"/>
      <c r="V3500" s="4"/>
      <c r="X3500" s="4"/>
      <c r="Y3500" s="4"/>
    </row>
    <row r="3501" spans="20:25" x14ac:dyDescent="0.3">
      <c r="T3501" s="12"/>
      <c r="U3501" s="4"/>
      <c r="V3501" s="4"/>
      <c r="X3501" s="4"/>
      <c r="Y3501" s="4"/>
    </row>
    <row r="3502" spans="20:25" x14ac:dyDescent="0.3">
      <c r="T3502" s="12"/>
      <c r="U3502" s="4"/>
      <c r="V3502" s="4"/>
      <c r="X3502" s="4"/>
      <c r="Y3502" s="4"/>
    </row>
    <row r="3503" spans="20:25" x14ac:dyDescent="0.3">
      <c r="T3503" s="12"/>
      <c r="U3503" s="4"/>
      <c r="V3503" s="4"/>
      <c r="X3503" s="4"/>
      <c r="Y3503" s="4"/>
    </row>
    <row r="3504" spans="20:25" x14ac:dyDescent="0.3">
      <c r="T3504" s="12"/>
      <c r="U3504" s="4"/>
      <c r="V3504" s="4"/>
      <c r="X3504" s="4"/>
      <c r="Y3504" s="4"/>
    </row>
    <row r="3505" spans="20:25" x14ac:dyDescent="0.3">
      <c r="T3505" s="12"/>
      <c r="U3505" s="4"/>
      <c r="V3505" s="4"/>
      <c r="X3505" s="4"/>
      <c r="Y3505" s="4"/>
    </row>
    <row r="3506" spans="20:25" x14ac:dyDescent="0.3">
      <c r="T3506" s="12"/>
      <c r="U3506" s="4"/>
      <c r="V3506" s="4"/>
      <c r="X3506" s="4"/>
      <c r="Y3506" s="4"/>
    </row>
    <row r="3507" spans="20:25" x14ac:dyDescent="0.3">
      <c r="T3507" s="12"/>
      <c r="U3507" s="4"/>
      <c r="V3507" s="4"/>
      <c r="X3507" s="4"/>
      <c r="Y3507" s="4"/>
    </row>
    <row r="3508" spans="20:25" x14ac:dyDescent="0.3">
      <c r="T3508" s="12"/>
      <c r="U3508" s="4"/>
      <c r="V3508" s="4"/>
      <c r="X3508" s="4"/>
      <c r="Y3508" s="4"/>
    </row>
    <row r="3509" spans="20:25" x14ac:dyDescent="0.3">
      <c r="T3509" s="12"/>
      <c r="U3509" s="4"/>
      <c r="V3509" s="4"/>
      <c r="X3509" s="4"/>
      <c r="Y3509" s="4"/>
    </row>
    <row r="3510" spans="20:25" x14ac:dyDescent="0.3">
      <c r="T3510" s="12"/>
      <c r="U3510" s="4"/>
      <c r="V3510" s="4"/>
      <c r="X3510" s="4"/>
      <c r="Y3510" s="4"/>
    </row>
    <row r="3511" spans="20:25" x14ac:dyDescent="0.3">
      <c r="T3511" s="12"/>
      <c r="U3511" s="4"/>
      <c r="V3511" s="4"/>
      <c r="X3511" s="4"/>
      <c r="Y3511" s="4"/>
    </row>
    <row r="3512" spans="20:25" x14ac:dyDescent="0.3">
      <c r="T3512" s="12"/>
      <c r="U3512" s="4"/>
      <c r="V3512" s="4"/>
      <c r="X3512" s="4"/>
      <c r="Y3512" s="4"/>
    </row>
    <row r="3513" spans="20:25" x14ac:dyDescent="0.3">
      <c r="T3513" s="12"/>
      <c r="U3513" s="4"/>
      <c r="V3513" s="4"/>
      <c r="X3513" s="4"/>
      <c r="Y3513" s="4"/>
    </row>
    <row r="3514" spans="20:25" x14ac:dyDescent="0.3">
      <c r="T3514" s="12"/>
      <c r="U3514" s="4"/>
      <c r="V3514" s="4"/>
      <c r="X3514" s="4"/>
      <c r="Y3514" s="4"/>
    </row>
    <row r="3515" spans="20:25" x14ac:dyDescent="0.3">
      <c r="T3515" s="12"/>
      <c r="U3515" s="4"/>
      <c r="V3515" s="4"/>
      <c r="X3515" s="4"/>
      <c r="Y3515" s="4"/>
    </row>
    <row r="3516" spans="20:25" x14ac:dyDescent="0.3">
      <c r="T3516" s="12"/>
      <c r="U3516" s="4"/>
      <c r="V3516" s="4"/>
      <c r="X3516" s="4"/>
      <c r="Y3516" s="4"/>
    </row>
    <row r="3517" spans="20:25" x14ac:dyDescent="0.3">
      <c r="T3517" s="12"/>
      <c r="U3517" s="4"/>
      <c r="V3517" s="4"/>
      <c r="X3517" s="4"/>
      <c r="Y3517" s="4"/>
    </row>
    <row r="3518" spans="20:25" x14ac:dyDescent="0.3">
      <c r="T3518" s="12"/>
      <c r="U3518" s="4"/>
      <c r="V3518" s="4"/>
      <c r="X3518" s="4"/>
      <c r="Y3518" s="4"/>
    </row>
    <row r="3519" spans="20:25" x14ac:dyDescent="0.3">
      <c r="T3519" s="12"/>
      <c r="U3519" s="4"/>
      <c r="V3519" s="4"/>
      <c r="X3519" s="4"/>
      <c r="Y3519" s="4"/>
    </row>
    <row r="3520" spans="20:25" x14ac:dyDescent="0.3">
      <c r="T3520" s="12"/>
      <c r="U3520" s="4"/>
      <c r="V3520" s="4"/>
      <c r="X3520" s="4"/>
      <c r="Y3520" s="4"/>
    </row>
    <row r="3521" spans="20:25" x14ac:dyDescent="0.3">
      <c r="T3521" s="12"/>
      <c r="U3521" s="4"/>
      <c r="V3521" s="4"/>
      <c r="X3521" s="4"/>
      <c r="Y3521" s="4"/>
    </row>
    <row r="3522" spans="20:25" x14ac:dyDescent="0.3">
      <c r="T3522" s="12"/>
      <c r="U3522" s="4"/>
      <c r="V3522" s="4"/>
      <c r="X3522" s="4"/>
      <c r="Y3522" s="4"/>
    </row>
    <row r="3523" spans="20:25" x14ac:dyDescent="0.3">
      <c r="T3523" s="12"/>
      <c r="U3523" s="4"/>
      <c r="V3523" s="4"/>
      <c r="X3523" s="4"/>
      <c r="Y3523" s="4"/>
    </row>
    <row r="3524" spans="20:25" x14ac:dyDescent="0.3">
      <c r="T3524" s="12"/>
      <c r="U3524" s="4"/>
      <c r="V3524" s="4"/>
      <c r="X3524" s="4"/>
      <c r="Y3524" s="4"/>
    </row>
    <row r="3525" spans="20:25" x14ac:dyDescent="0.3">
      <c r="T3525" s="12"/>
      <c r="U3525" s="4"/>
      <c r="V3525" s="4"/>
      <c r="X3525" s="4"/>
      <c r="Y3525" s="4"/>
    </row>
    <row r="3526" spans="20:25" x14ac:dyDescent="0.3">
      <c r="T3526" s="12"/>
      <c r="U3526" s="4"/>
      <c r="V3526" s="4"/>
      <c r="X3526" s="4"/>
      <c r="Y3526" s="4"/>
    </row>
    <row r="3527" spans="20:25" x14ac:dyDescent="0.3">
      <c r="T3527" s="12"/>
      <c r="U3527" s="4"/>
      <c r="V3527" s="4"/>
      <c r="X3527" s="4"/>
      <c r="Y3527" s="4"/>
    </row>
    <row r="3528" spans="20:25" x14ac:dyDescent="0.3">
      <c r="T3528" s="12"/>
      <c r="U3528" s="4"/>
      <c r="V3528" s="4"/>
      <c r="X3528" s="4"/>
      <c r="Y3528" s="4"/>
    </row>
    <row r="3529" spans="20:25" x14ac:dyDescent="0.3">
      <c r="T3529" s="12"/>
      <c r="U3529" s="4"/>
      <c r="V3529" s="4"/>
      <c r="X3529" s="4"/>
      <c r="Y3529" s="4"/>
    </row>
    <row r="3530" spans="20:25" x14ac:dyDescent="0.3">
      <c r="T3530" s="12"/>
      <c r="U3530" s="4"/>
      <c r="V3530" s="4"/>
      <c r="X3530" s="4"/>
      <c r="Y3530" s="4"/>
    </row>
    <row r="3531" spans="20:25" x14ac:dyDescent="0.3">
      <c r="T3531" s="12"/>
      <c r="U3531" s="4"/>
      <c r="V3531" s="4"/>
      <c r="X3531" s="4"/>
      <c r="Y3531" s="4"/>
    </row>
    <row r="3532" spans="20:25" x14ac:dyDescent="0.3">
      <c r="T3532" s="12"/>
      <c r="U3532" s="4"/>
      <c r="V3532" s="4"/>
      <c r="X3532" s="4"/>
      <c r="Y3532" s="4"/>
    </row>
    <row r="3533" spans="20:25" x14ac:dyDescent="0.3">
      <c r="T3533" s="12"/>
      <c r="U3533" s="4"/>
      <c r="V3533" s="4"/>
      <c r="X3533" s="4"/>
      <c r="Y3533" s="4"/>
    </row>
    <row r="3534" spans="20:25" x14ac:dyDescent="0.3">
      <c r="T3534" s="12"/>
      <c r="U3534" s="4"/>
      <c r="V3534" s="4"/>
      <c r="X3534" s="4"/>
      <c r="Y3534" s="4"/>
    </row>
    <row r="3535" spans="20:25" x14ac:dyDescent="0.3">
      <c r="T3535" s="12"/>
      <c r="U3535" s="4"/>
      <c r="V3535" s="4"/>
      <c r="X3535" s="4"/>
      <c r="Y3535" s="4"/>
    </row>
    <row r="3536" spans="20:25" x14ac:dyDescent="0.3">
      <c r="T3536" s="12"/>
      <c r="U3536" s="4"/>
      <c r="V3536" s="4"/>
      <c r="X3536" s="4"/>
      <c r="Y3536" s="4"/>
    </row>
    <row r="3537" spans="20:25" x14ac:dyDescent="0.3">
      <c r="T3537" s="12"/>
      <c r="U3537" s="4"/>
      <c r="V3537" s="4"/>
      <c r="X3537" s="4"/>
      <c r="Y3537" s="4"/>
    </row>
    <row r="3538" spans="20:25" x14ac:dyDescent="0.3">
      <c r="T3538" s="12"/>
      <c r="U3538" s="4"/>
      <c r="V3538" s="4"/>
      <c r="X3538" s="4"/>
      <c r="Y3538" s="4"/>
    </row>
    <row r="3539" spans="20:25" x14ac:dyDescent="0.3">
      <c r="T3539" s="12"/>
      <c r="U3539" s="4"/>
      <c r="V3539" s="4"/>
      <c r="X3539" s="4"/>
      <c r="Y3539" s="4"/>
    </row>
    <row r="3540" spans="20:25" x14ac:dyDescent="0.3">
      <c r="T3540" s="12"/>
      <c r="U3540" s="4"/>
      <c r="V3540" s="4"/>
      <c r="X3540" s="4"/>
      <c r="Y3540" s="4"/>
    </row>
    <row r="3541" spans="20:25" x14ac:dyDescent="0.3">
      <c r="T3541" s="12"/>
      <c r="U3541" s="4"/>
      <c r="V3541" s="4"/>
      <c r="X3541" s="4"/>
      <c r="Y3541" s="4"/>
    </row>
    <row r="3542" spans="20:25" x14ac:dyDescent="0.3">
      <c r="T3542" s="12"/>
      <c r="U3542" s="4"/>
      <c r="V3542" s="4"/>
      <c r="X3542" s="4"/>
      <c r="Y3542" s="4"/>
    </row>
    <row r="3543" spans="20:25" x14ac:dyDescent="0.3">
      <c r="T3543" s="12"/>
      <c r="U3543" s="4"/>
      <c r="V3543" s="4"/>
      <c r="X3543" s="4"/>
      <c r="Y3543" s="4"/>
    </row>
    <row r="3544" spans="20:25" x14ac:dyDescent="0.3">
      <c r="T3544" s="12"/>
      <c r="U3544" s="4"/>
      <c r="V3544" s="4"/>
      <c r="X3544" s="4"/>
      <c r="Y3544" s="4"/>
    </row>
    <row r="3545" spans="20:25" x14ac:dyDescent="0.3">
      <c r="T3545" s="12"/>
      <c r="U3545" s="4"/>
      <c r="V3545" s="4"/>
      <c r="X3545" s="4"/>
      <c r="Y3545" s="4"/>
    </row>
    <row r="3546" spans="20:25" x14ac:dyDescent="0.3">
      <c r="T3546" s="12"/>
      <c r="U3546" s="4"/>
      <c r="V3546" s="4"/>
      <c r="X3546" s="4"/>
      <c r="Y3546" s="4"/>
    </row>
    <row r="3547" spans="20:25" x14ac:dyDescent="0.3">
      <c r="T3547" s="12"/>
      <c r="U3547" s="4"/>
      <c r="V3547" s="4"/>
      <c r="X3547" s="4"/>
      <c r="Y3547" s="4"/>
    </row>
    <row r="3548" spans="20:25" x14ac:dyDescent="0.3">
      <c r="T3548" s="12"/>
      <c r="U3548" s="4"/>
      <c r="V3548" s="4"/>
      <c r="X3548" s="4"/>
      <c r="Y3548" s="4"/>
    </row>
    <row r="3549" spans="20:25" x14ac:dyDescent="0.3">
      <c r="T3549" s="12"/>
      <c r="U3549" s="4"/>
      <c r="V3549" s="4"/>
      <c r="X3549" s="4"/>
      <c r="Y3549" s="4"/>
    </row>
    <row r="3550" spans="20:25" x14ac:dyDescent="0.3">
      <c r="T3550" s="12"/>
      <c r="U3550" s="4"/>
      <c r="V3550" s="4"/>
      <c r="X3550" s="4"/>
      <c r="Y3550" s="4"/>
    </row>
    <row r="3551" spans="20:25" x14ac:dyDescent="0.3">
      <c r="T3551" s="12"/>
      <c r="U3551" s="4"/>
      <c r="V3551" s="4"/>
      <c r="X3551" s="4"/>
      <c r="Y3551" s="4"/>
    </row>
    <row r="3552" spans="20:25" x14ac:dyDescent="0.3">
      <c r="T3552" s="12"/>
      <c r="U3552" s="4"/>
      <c r="V3552" s="4"/>
      <c r="X3552" s="4"/>
      <c r="Y3552" s="4"/>
    </row>
    <row r="3553" spans="20:25" x14ac:dyDescent="0.3">
      <c r="T3553" s="12"/>
      <c r="U3553" s="4"/>
      <c r="V3553" s="4"/>
      <c r="X3553" s="4"/>
      <c r="Y3553" s="4"/>
    </row>
    <row r="3554" spans="20:25" x14ac:dyDescent="0.3">
      <c r="T3554" s="12"/>
      <c r="U3554" s="4"/>
      <c r="V3554" s="4"/>
      <c r="X3554" s="4"/>
      <c r="Y3554" s="4"/>
    </row>
    <row r="3555" spans="20:25" x14ac:dyDescent="0.3">
      <c r="T3555" s="12"/>
      <c r="U3555" s="4"/>
      <c r="V3555" s="4"/>
      <c r="X3555" s="4"/>
      <c r="Y3555" s="4"/>
    </row>
    <row r="3556" spans="20:25" x14ac:dyDescent="0.3">
      <c r="T3556" s="12"/>
      <c r="U3556" s="4"/>
      <c r="V3556" s="4"/>
      <c r="X3556" s="4"/>
      <c r="Y3556" s="4"/>
    </row>
    <row r="3557" spans="20:25" x14ac:dyDescent="0.3">
      <c r="T3557" s="12"/>
      <c r="U3557" s="4"/>
      <c r="V3557" s="4"/>
      <c r="X3557" s="4"/>
      <c r="Y3557" s="4"/>
    </row>
    <row r="3558" spans="20:25" x14ac:dyDescent="0.3">
      <c r="T3558" s="12"/>
      <c r="U3558" s="4"/>
      <c r="V3558" s="4"/>
      <c r="X3558" s="4"/>
      <c r="Y3558" s="4"/>
    </row>
    <row r="3559" spans="20:25" x14ac:dyDescent="0.3">
      <c r="T3559" s="12"/>
      <c r="U3559" s="4"/>
      <c r="V3559" s="4"/>
      <c r="X3559" s="4"/>
      <c r="Y3559" s="4"/>
    </row>
    <row r="3560" spans="20:25" x14ac:dyDescent="0.3">
      <c r="T3560" s="12"/>
      <c r="U3560" s="4"/>
      <c r="V3560" s="4"/>
      <c r="X3560" s="4"/>
      <c r="Y3560" s="4"/>
    </row>
    <row r="3561" spans="20:25" x14ac:dyDescent="0.3">
      <c r="T3561" s="12"/>
      <c r="U3561" s="4"/>
      <c r="V3561" s="4"/>
      <c r="X3561" s="4"/>
      <c r="Y3561" s="4"/>
    </row>
    <row r="3562" spans="20:25" x14ac:dyDescent="0.3">
      <c r="T3562" s="12"/>
      <c r="U3562" s="4"/>
      <c r="V3562" s="4"/>
      <c r="X3562" s="4"/>
      <c r="Y3562" s="4"/>
    </row>
    <row r="3563" spans="20:25" x14ac:dyDescent="0.3">
      <c r="T3563" s="12"/>
      <c r="U3563" s="4"/>
      <c r="V3563" s="4"/>
      <c r="X3563" s="4"/>
      <c r="Y3563" s="4"/>
    </row>
    <row r="3564" spans="20:25" x14ac:dyDescent="0.3">
      <c r="T3564" s="12"/>
      <c r="U3564" s="4"/>
      <c r="V3564" s="4"/>
      <c r="X3564" s="4"/>
      <c r="Y3564" s="4"/>
    </row>
    <row r="3565" spans="20:25" x14ac:dyDescent="0.3">
      <c r="T3565" s="12"/>
      <c r="U3565" s="4"/>
      <c r="V3565" s="4"/>
      <c r="X3565" s="4"/>
      <c r="Y3565" s="4"/>
    </row>
    <row r="3566" spans="20:25" x14ac:dyDescent="0.3">
      <c r="T3566" s="12"/>
      <c r="U3566" s="4"/>
      <c r="V3566" s="4"/>
      <c r="X3566" s="4"/>
      <c r="Y3566" s="4"/>
    </row>
    <row r="3567" spans="20:25" x14ac:dyDescent="0.3">
      <c r="T3567" s="12"/>
      <c r="U3567" s="4"/>
      <c r="V3567" s="4"/>
      <c r="X3567" s="4"/>
      <c r="Y3567" s="4"/>
    </row>
    <row r="3568" spans="20:25" x14ac:dyDescent="0.3">
      <c r="T3568" s="12"/>
      <c r="U3568" s="4"/>
      <c r="V3568" s="4"/>
      <c r="X3568" s="4"/>
      <c r="Y3568" s="4"/>
    </row>
    <row r="3569" spans="20:25" x14ac:dyDescent="0.3">
      <c r="T3569" s="12"/>
      <c r="U3569" s="4"/>
      <c r="V3569" s="4"/>
      <c r="X3569" s="4"/>
      <c r="Y3569" s="4"/>
    </row>
    <row r="3570" spans="20:25" x14ac:dyDescent="0.3">
      <c r="T3570" s="12"/>
      <c r="U3570" s="4"/>
      <c r="V3570" s="4"/>
      <c r="X3570" s="4"/>
      <c r="Y3570" s="4"/>
    </row>
    <row r="3571" spans="20:25" x14ac:dyDescent="0.3">
      <c r="T3571" s="12"/>
      <c r="U3571" s="4"/>
      <c r="V3571" s="4"/>
      <c r="X3571" s="4"/>
      <c r="Y3571" s="4"/>
    </row>
    <row r="3572" spans="20:25" x14ac:dyDescent="0.3">
      <c r="T3572" s="12"/>
      <c r="U3572" s="4"/>
      <c r="V3572" s="4"/>
      <c r="X3572" s="4"/>
      <c r="Y3572" s="4"/>
    </row>
    <row r="3573" spans="20:25" x14ac:dyDescent="0.3">
      <c r="T3573" s="12"/>
      <c r="U3573" s="4"/>
      <c r="V3573" s="4"/>
      <c r="X3573" s="4"/>
      <c r="Y3573" s="4"/>
    </row>
    <row r="3574" spans="20:25" x14ac:dyDescent="0.3">
      <c r="T3574" s="12"/>
      <c r="U3574" s="4"/>
      <c r="V3574" s="4"/>
      <c r="X3574" s="4"/>
      <c r="Y3574" s="4"/>
    </row>
    <row r="3575" spans="20:25" x14ac:dyDescent="0.3">
      <c r="T3575" s="12"/>
      <c r="U3575" s="4"/>
      <c r="V3575" s="4"/>
      <c r="X3575" s="4"/>
      <c r="Y3575" s="4"/>
    </row>
    <row r="3576" spans="20:25" x14ac:dyDescent="0.3">
      <c r="T3576" s="12"/>
      <c r="U3576" s="4"/>
      <c r="V3576" s="4"/>
      <c r="X3576" s="4"/>
      <c r="Y3576" s="4"/>
    </row>
    <row r="3577" spans="20:25" x14ac:dyDescent="0.3">
      <c r="T3577" s="12"/>
      <c r="U3577" s="4"/>
      <c r="V3577" s="4"/>
      <c r="X3577" s="4"/>
      <c r="Y3577" s="4"/>
    </row>
    <row r="3578" spans="20:25" x14ac:dyDescent="0.3">
      <c r="T3578" s="12"/>
      <c r="U3578" s="4"/>
      <c r="V3578" s="4"/>
      <c r="X3578" s="4"/>
      <c r="Y3578" s="4"/>
    </row>
    <row r="3579" spans="20:25" x14ac:dyDescent="0.3">
      <c r="T3579" s="12"/>
      <c r="U3579" s="4"/>
      <c r="V3579" s="4"/>
      <c r="X3579" s="4"/>
      <c r="Y3579" s="4"/>
    </row>
    <row r="3580" spans="20:25" x14ac:dyDescent="0.3">
      <c r="T3580" s="12"/>
      <c r="U3580" s="4"/>
      <c r="V3580" s="4"/>
      <c r="X3580" s="4"/>
      <c r="Y3580" s="4"/>
    </row>
    <row r="3581" spans="20:25" x14ac:dyDescent="0.3">
      <c r="T3581" s="12"/>
      <c r="U3581" s="4"/>
      <c r="V3581" s="4"/>
      <c r="X3581" s="4"/>
      <c r="Y3581" s="4"/>
    </row>
    <row r="3582" spans="20:25" x14ac:dyDescent="0.3">
      <c r="T3582" s="12"/>
      <c r="U3582" s="4"/>
      <c r="V3582" s="4"/>
      <c r="X3582" s="4"/>
      <c r="Y3582" s="4"/>
    </row>
    <row r="3583" spans="20:25" x14ac:dyDescent="0.3">
      <c r="T3583" s="12"/>
      <c r="U3583" s="4"/>
      <c r="V3583" s="4"/>
      <c r="X3583" s="4"/>
      <c r="Y3583" s="4"/>
    </row>
    <row r="3584" spans="20:25" x14ac:dyDescent="0.3">
      <c r="T3584" s="12"/>
      <c r="U3584" s="4"/>
      <c r="V3584" s="4"/>
      <c r="X3584" s="4"/>
      <c r="Y3584" s="4"/>
    </row>
    <row r="3585" spans="20:25" x14ac:dyDescent="0.3">
      <c r="T3585" s="12"/>
      <c r="U3585" s="4"/>
      <c r="V3585" s="4"/>
      <c r="X3585" s="4"/>
      <c r="Y3585" s="4"/>
    </row>
    <row r="3586" spans="20:25" x14ac:dyDescent="0.3">
      <c r="T3586" s="12"/>
      <c r="U3586" s="4"/>
      <c r="V3586" s="4"/>
      <c r="X3586" s="4"/>
      <c r="Y3586" s="4"/>
    </row>
    <row r="3587" spans="20:25" x14ac:dyDescent="0.3">
      <c r="T3587" s="12"/>
      <c r="U3587" s="4"/>
      <c r="V3587" s="4"/>
      <c r="X3587" s="4"/>
      <c r="Y3587" s="4"/>
    </row>
    <row r="3588" spans="20:25" x14ac:dyDescent="0.3">
      <c r="T3588" s="12"/>
      <c r="U3588" s="4"/>
      <c r="V3588" s="4"/>
      <c r="X3588" s="4"/>
      <c r="Y3588" s="4"/>
    </row>
    <row r="3589" spans="20:25" x14ac:dyDescent="0.3">
      <c r="T3589" s="12"/>
      <c r="U3589" s="4"/>
      <c r="V3589" s="4"/>
      <c r="X3589" s="4"/>
      <c r="Y3589" s="4"/>
    </row>
    <row r="3590" spans="20:25" x14ac:dyDescent="0.3">
      <c r="T3590" s="12"/>
      <c r="U3590" s="4"/>
      <c r="V3590" s="4"/>
      <c r="X3590" s="4"/>
      <c r="Y3590" s="4"/>
    </row>
    <row r="3591" spans="20:25" x14ac:dyDescent="0.3">
      <c r="T3591" s="12"/>
      <c r="U3591" s="4"/>
      <c r="V3591" s="4"/>
      <c r="X3591" s="4"/>
      <c r="Y3591" s="4"/>
    </row>
    <row r="3592" spans="20:25" x14ac:dyDescent="0.3">
      <c r="T3592" s="12"/>
      <c r="U3592" s="4"/>
      <c r="V3592" s="4"/>
      <c r="X3592" s="4"/>
      <c r="Y3592" s="4"/>
    </row>
    <row r="3593" spans="20:25" x14ac:dyDescent="0.3">
      <c r="T3593" s="12"/>
      <c r="U3593" s="4"/>
      <c r="V3593" s="4"/>
      <c r="X3593" s="4"/>
      <c r="Y3593" s="4"/>
    </row>
    <row r="3594" spans="20:25" x14ac:dyDescent="0.3">
      <c r="T3594" s="12"/>
      <c r="U3594" s="4"/>
      <c r="V3594" s="4"/>
      <c r="X3594" s="4"/>
      <c r="Y3594" s="4"/>
    </row>
    <row r="3595" spans="20:25" x14ac:dyDescent="0.3">
      <c r="T3595" s="12"/>
      <c r="U3595" s="4"/>
      <c r="V3595" s="4"/>
      <c r="X3595" s="4"/>
      <c r="Y3595" s="4"/>
    </row>
    <row r="3596" spans="20:25" x14ac:dyDescent="0.3">
      <c r="T3596" s="12"/>
      <c r="U3596" s="4"/>
      <c r="V3596" s="4"/>
      <c r="X3596" s="4"/>
      <c r="Y3596" s="4"/>
    </row>
    <row r="3597" spans="20:25" x14ac:dyDescent="0.3">
      <c r="T3597" s="12"/>
      <c r="U3597" s="4"/>
      <c r="V3597" s="4"/>
      <c r="X3597" s="4"/>
      <c r="Y3597" s="4"/>
    </row>
    <row r="3598" spans="20:25" x14ac:dyDescent="0.3">
      <c r="T3598" s="12"/>
      <c r="U3598" s="4"/>
      <c r="V3598" s="4"/>
      <c r="X3598" s="4"/>
      <c r="Y3598" s="4"/>
    </row>
    <row r="3599" spans="20:25" x14ac:dyDescent="0.3">
      <c r="T3599" s="12"/>
      <c r="U3599" s="4"/>
      <c r="V3599" s="4"/>
      <c r="X3599" s="4"/>
      <c r="Y3599" s="4"/>
    </row>
    <row r="3600" spans="20:25" x14ac:dyDescent="0.3">
      <c r="T3600" s="12"/>
      <c r="U3600" s="4"/>
      <c r="V3600" s="4"/>
      <c r="X3600" s="4"/>
      <c r="Y3600" s="4"/>
    </row>
    <row r="3601" spans="20:25" x14ac:dyDescent="0.3">
      <c r="T3601" s="12"/>
      <c r="U3601" s="4"/>
      <c r="V3601" s="4"/>
      <c r="X3601" s="4"/>
      <c r="Y3601" s="4"/>
    </row>
    <row r="3602" spans="20:25" x14ac:dyDescent="0.3">
      <c r="T3602" s="12"/>
      <c r="U3602" s="4"/>
      <c r="V3602" s="4"/>
      <c r="X3602" s="4"/>
      <c r="Y3602" s="4"/>
    </row>
    <row r="3603" spans="20:25" x14ac:dyDescent="0.3">
      <c r="T3603" s="12"/>
      <c r="U3603" s="4"/>
      <c r="V3603" s="4"/>
      <c r="X3603" s="4"/>
      <c r="Y3603" s="4"/>
    </row>
    <row r="3604" spans="20:25" x14ac:dyDescent="0.3">
      <c r="T3604" s="12"/>
      <c r="U3604" s="4"/>
      <c r="V3604" s="4"/>
      <c r="X3604" s="4"/>
      <c r="Y3604" s="4"/>
    </row>
    <row r="3605" spans="20:25" x14ac:dyDescent="0.3">
      <c r="T3605" s="12"/>
      <c r="U3605" s="4"/>
      <c r="V3605" s="4"/>
      <c r="X3605" s="4"/>
      <c r="Y3605" s="4"/>
    </row>
    <row r="3606" spans="20:25" x14ac:dyDescent="0.3">
      <c r="T3606" s="12"/>
      <c r="U3606" s="4"/>
      <c r="V3606" s="4"/>
      <c r="X3606" s="4"/>
      <c r="Y3606" s="4"/>
    </row>
    <row r="3607" spans="20:25" x14ac:dyDescent="0.3">
      <c r="T3607" s="12"/>
      <c r="U3607" s="4"/>
      <c r="V3607" s="4"/>
      <c r="X3607" s="4"/>
      <c r="Y3607" s="4"/>
    </row>
    <row r="3608" spans="20:25" x14ac:dyDescent="0.3">
      <c r="T3608" s="12"/>
      <c r="U3608" s="4"/>
      <c r="V3608" s="4"/>
      <c r="X3608" s="4"/>
      <c r="Y3608" s="4"/>
    </row>
    <row r="3609" spans="20:25" x14ac:dyDescent="0.3">
      <c r="T3609" s="12"/>
      <c r="U3609" s="4"/>
      <c r="V3609" s="4"/>
      <c r="X3609" s="4"/>
      <c r="Y3609" s="4"/>
    </row>
    <row r="3610" spans="20:25" x14ac:dyDescent="0.3">
      <c r="T3610" s="12"/>
      <c r="U3610" s="4"/>
      <c r="V3610" s="4"/>
      <c r="X3610" s="4"/>
      <c r="Y3610" s="4"/>
    </row>
    <row r="3611" spans="20:25" x14ac:dyDescent="0.3">
      <c r="T3611" s="12"/>
      <c r="U3611" s="4"/>
      <c r="V3611" s="4"/>
      <c r="X3611" s="4"/>
      <c r="Y3611" s="4"/>
    </row>
    <row r="3612" spans="20:25" x14ac:dyDescent="0.3">
      <c r="T3612" s="12"/>
      <c r="U3612" s="4"/>
      <c r="V3612" s="4"/>
      <c r="X3612" s="4"/>
      <c r="Y3612" s="4"/>
    </row>
    <row r="3613" spans="20:25" x14ac:dyDescent="0.3">
      <c r="T3613" s="12"/>
      <c r="U3613" s="4"/>
      <c r="V3613" s="4"/>
      <c r="X3613" s="4"/>
      <c r="Y3613" s="4"/>
    </row>
    <row r="3614" spans="20:25" x14ac:dyDescent="0.3">
      <c r="T3614" s="12"/>
      <c r="U3614" s="4"/>
      <c r="V3614" s="4"/>
      <c r="X3614" s="4"/>
      <c r="Y3614" s="4"/>
    </row>
    <row r="3615" spans="20:25" x14ac:dyDescent="0.3">
      <c r="T3615" s="12"/>
      <c r="U3615" s="4"/>
      <c r="V3615" s="4"/>
      <c r="X3615" s="4"/>
      <c r="Y3615" s="4"/>
    </row>
    <row r="3616" spans="20:25" x14ac:dyDescent="0.3">
      <c r="T3616" s="12"/>
      <c r="U3616" s="4"/>
      <c r="V3616" s="4"/>
      <c r="X3616" s="4"/>
      <c r="Y3616" s="4"/>
    </row>
    <row r="3617" spans="20:25" x14ac:dyDescent="0.3">
      <c r="T3617" s="12"/>
      <c r="U3617" s="4"/>
      <c r="V3617" s="4"/>
      <c r="X3617" s="4"/>
      <c r="Y3617" s="4"/>
    </row>
    <row r="3618" spans="20:25" x14ac:dyDescent="0.3">
      <c r="T3618" s="12"/>
      <c r="U3618" s="4"/>
      <c r="V3618" s="4"/>
      <c r="X3618" s="4"/>
      <c r="Y3618" s="4"/>
    </row>
    <row r="3619" spans="20:25" x14ac:dyDescent="0.3">
      <c r="T3619" s="12"/>
      <c r="U3619" s="4"/>
      <c r="V3619" s="4"/>
      <c r="X3619" s="4"/>
      <c r="Y3619" s="4"/>
    </row>
    <row r="3620" spans="20:25" x14ac:dyDescent="0.3">
      <c r="T3620" s="12"/>
      <c r="U3620" s="4"/>
      <c r="V3620" s="4"/>
      <c r="X3620" s="4"/>
      <c r="Y3620" s="4"/>
    </row>
    <row r="3621" spans="20:25" x14ac:dyDescent="0.3">
      <c r="T3621" s="12"/>
      <c r="U3621" s="4"/>
      <c r="V3621" s="4"/>
      <c r="X3621" s="4"/>
      <c r="Y3621" s="4"/>
    </row>
    <row r="3622" spans="20:25" x14ac:dyDescent="0.3">
      <c r="T3622" s="12"/>
      <c r="U3622" s="4"/>
      <c r="V3622" s="4"/>
      <c r="X3622" s="4"/>
      <c r="Y3622" s="4"/>
    </row>
    <row r="3623" spans="20:25" x14ac:dyDescent="0.3">
      <c r="T3623" s="12"/>
      <c r="U3623" s="4"/>
      <c r="V3623" s="4"/>
      <c r="X3623" s="4"/>
      <c r="Y3623" s="4"/>
    </row>
    <row r="3624" spans="20:25" x14ac:dyDescent="0.3">
      <c r="T3624" s="12"/>
      <c r="U3624" s="4"/>
      <c r="V3624" s="4"/>
      <c r="X3624" s="4"/>
      <c r="Y3624" s="4"/>
    </row>
    <row r="3625" spans="20:25" x14ac:dyDescent="0.3">
      <c r="T3625" s="12"/>
      <c r="U3625" s="4"/>
      <c r="V3625" s="4"/>
      <c r="X3625" s="4"/>
      <c r="Y3625" s="4"/>
    </row>
    <row r="3626" spans="20:25" x14ac:dyDescent="0.3">
      <c r="T3626" s="12"/>
      <c r="U3626" s="4"/>
      <c r="V3626" s="4"/>
      <c r="X3626" s="4"/>
      <c r="Y3626" s="4"/>
    </row>
    <row r="3627" spans="20:25" x14ac:dyDescent="0.3">
      <c r="T3627" s="12"/>
      <c r="U3627" s="4"/>
      <c r="V3627" s="4"/>
      <c r="X3627" s="4"/>
      <c r="Y3627" s="4"/>
    </row>
    <row r="3628" spans="20:25" x14ac:dyDescent="0.3">
      <c r="T3628" s="12"/>
      <c r="U3628" s="4"/>
      <c r="V3628" s="4"/>
      <c r="X3628" s="4"/>
      <c r="Y3628" s="4"/>
    </row>
    <row r="3629" spans="20:25" x14ac:dyDescent="0.3">
      <c r="T3629" s="12"/>
      <c r="U3629" s="4"/>
      <c r="V3629" s="4"/>
      <c r="X3629" s="4"/>
      <c r="Y3629" s="4"/>
    </row>
    <row r="3630" spans="20:25" x14ac:dyDescent="0.3">
      <c r="T3630" s="12"/>
      <c r="U3630" s="4"/>
      <c r="V3630" s="4"/>
      <c r="X3630" s="4"/>
      <c r="Y3630" s="4"/>
    </row>
    <row r="3631" spans="20:25" x14ac:dyDescent="0.3">
      <c r="T3631" s="12"/>
      <c r="U3631" s="4"/>
      <c r="V3631" s="4"/>
      <c r="X3631" s="4"/>
      <c r="Y3631" s="4"/>
    </row>
    <row r="3632" spans="20:25" x14ac:dyDescent="0.3">
      <c r="T3632" s="12"/>
      <c r="U3632" s="4"/>
      <c r="V3632" s="4"/>
      <c r="X3632" s="4"/>
      <c r="Y3632" s="4"/>
    </row>
    <row r="3633" spans="20:25" x14ac:dyDescent="0.3">
      <c r="T3633" s="12"/>
      <c r="U3633" s="4"/>
      <c r="V3633" s="4"/>
      <c r="X3633" s="4"/>
      <c r="Y3633" s="4"/>
    </row>
    <row r="3634" spans="20:25" x14ac:dyDescent="0.3">
      <c r="T3634" s="12"/>
      <c r="U3634" s="4"/>
      <c r="V3634" s="4"/>
      <c r="X3634" s="4"/>
      <c r="Y3634" s="4"/>
    </row>
    <row r="3635" spans="20:25" x14ac:dyDescent="0.3">
      <c r="T3635" s="12"/>
      <c r="U3635" s="4"/>
      <c r="V3635" s="4"/>
      <c r="X3635" s="4"/>
      <c r="Y3635" s="4"/>
    </row>
    <row r="3636" spans="20:25" x14ac:dyDescent="0.3">
      <c r="T3636" s="12"/>
      <c r="U3636" s="4"/>
      <c r="V3636" s="4"/>
      <c r="X3636" s="4"/>
      <c r="Y3636" s="4"/>
    </row>
    <row r="3637" spans="20:25" x14ac:dyDescent="0.3">
      <c r="T3637" s="12"/>
      <c r="U3637" s="4"/>
      <c r="V3637" s="4"/>
      <c r="X3637" s="4"/>
      <c r="Y3637" s="4"/>
    </row>
    <row r="3638" spans="20:25" x14ac:dyDescent="0.3">
      <c r="T3638" s="12"/>
      <c r="U3638" s="4"/>
      <c r="V3638" s="4"/>
      <c r="X3638" s="4"/>
      <c r="Y3638" s="4"/>
    </row>
    <row r="3639" spans="20:25" x14ac:dyDescent="0.3">
      <c r="T3639" s="12"/>
      <c r="U3639" s="4"/>
      <c r="V3639" s="4"/>
      <c r="X3639" s="4"/>
      <c r="Y3639" s="4"/>
    </row>
    <row r="3640" spans="20:25" x14ac:dyDescent="0.3">
      <c r="T3640" s="12"/>
      <c r="U3640" s="4"/>
      <c r="V3640" s="4"/>
      <c r="X3640" s="4"/>
      <c r="Y3640" s="4"/>
    </row>
    <row r="3641" spans="20:25" x14ac:dyDescent="0.3">
      <c r="T3641" s="12"/>
      <c r="U3641" s="4"/>
      <c r="V3641" s="4"/>
      <c r="X3641" s="4"/>
      <c r="Y3641" s="4"/>
    </row>
    <row r="3642" spans="20:25" x14ac:dyDescent="0.3">
      <c r="T3642" s="12"/>
      <c r="U3642" s="4"/>
      <c r="V3642" s="4"/>
      <c r="X3642" s="4"/>
      <c r="Y3642" s="4"/>
    </row>
    <row r="3643" spans="20:25" x14ac:dyDescent="0.3">
      <c r="T3643" s="12"/>
      <c r="U3643" s="4"/>
      <c r="V3643" s="4"/>
      <c r="X3643" s="4"/>
      <c r="Y3643" s="4"/>
    </row>
    <row r="3644" spans="20:25" x14ac:dyDescent="0.3">
      <c r="T3644" s="12"/>
      <c r="U3644" s="4"/>
      <c r="V3644" s="4"/>
      <c r="X3644" s="4"/>
      <c r="Y3644" s="4"/>
    </row>
    <row r="3645" spans="20:25" x14ac:dyDescent="0.3">
      <c r="T3645" s="12"/>
      <c r="U3645" s="4"/>
      <c r="V3645" s="4"/>
      <c r="X3645" s="4"/>
      <c r="Y3645" s="4"/>
    </row>
    <row r="3646" spans="20:25" x14ac:dyDescent="0.3">
      <c r="T3646" s="12"/>
      <c r="U3646" s="4"/>
      <c r="V3646" s="4"/>
      <c r="X3646" s="4"/>
      <c r="Y3646" s="4"/>
    </row>
    <row r="3647" spans="20:25" x14ac:dyDescent="0.3">
      <c r="T3647" s="12"/>
      <c r="U3647" s="4"/>
      <c r="V3647" s="4"/>
      <c r="X3647" s="4"/>
      <c r="Y3647" s="4"/>
    </row>
    <row r="3648" spans="20:25" x14ac:dyDescent="0.3">
      <c r="T3648" s="12"/>
      <c r="U3648" s="4"/>
      <c r="V3648" s="4"/>
      <c r="X3648" s="4"/>
      <c r="Y3648" s="4"/>
    </row>
    <row r="3649" spans="20:25" x14ac:dyDescent="0.3">
      <c r="T3649" s="12"/>
      <c r="U3649" s="4"/>
      <c r="V3649" s="4"/>
      <c r="X3649" s="4"/>
      <c r="Y3649" s="4"/>
    </row>
    <row r="3650" spans="20:25" x14ac:dyDescent="0.3">
      <c r="T3650" s="12"/>
      <c r="U3650" s="4"/>
      <c r="V3650" s="4"/>
      <c r="X3650" s="4"/>
      <c r="Y3650" s="4"/>
    </row>
    <row r="3651" spans="20:25" x14ac:dyDescent="0.3">
      <c r="T3651" s="12"/>
      <c r="U3651" s="4"/>
      <c r="V3651" s="4"/>
      <c r="X3651" s="4"/>
      <c r="Y3651" s="4"/>
    </row>
    <row r="3652" spans="20:25" x14ac:dyDescent="0.3">
      <c r="T3652" s="12"/>
      <c r="U3652" s="4"/>
      <c r="V3652" s="4"/>
      <c r="X3652" s="4"/>
      <c r="Y3652" s="4"/>
    </row>
    <row r="3653" spans="20:25" x14ac:dyDescent="0.3">
      <c r="T3653" s="12"/>
      <c r="U3653" s="4"/>
      <c r="V3653" s="4"/>
      <c r="X3653" s="4"/>
      <c r="Y3653" s="4"/>
    </row>
    <row r="3654" spans="20:25" x14ac:dyDescent="0.3">
      <c r="T3654" s="12"/>
      <c r="U3654" s="4"/>
      <c r="V3654" s="4"/>
      <c r="X3654" s="4"/>
      <c r="Y3654" s="4"/>
    </row>
    <row r="3655" spans="20:25" x14ac:dyDescent="0.3">
      <c r="T3655" s="12"/>
      <c r="U3655" s="4"/>
      <c r="V3655" s="4"/>
      <c r="X3655" s="4"/>
      <c r="Y3655" s="4"/>
    </row>
    <row r="3656" spans="20:25" x14ac:dyDescent="0.3">
      <c r="T3656" s="12"/>
      <c r="U3656" s="4"/>
      <c r="V3656" s="4"/>
      <c r="X3656" s="4"/>
      <c r="Y3656" s="4"/>
    </row>
    <row r="3657" spans="20:25" x14ac:dyDescent="0.3">
      <c r="T3657" s="12"/>
      <c r="U3657" s="4"/>
      <c r="V3657" s="4"/>
      <c r="X3657" s="4"/>
      <c r="Y3657" s="4"/>
    </row>
    <row r="3658" spans="20:25" x14ac:dyDescent="0.3">
      <c r="T3658" s="12"/>
      <c r="U3658" s="4"/>
      <c r="V3658" s="4"/>
      <c r="X3658" s="4"/>
      <c r="Y3658" s="4"/>
    </row>
    <row r="3659" spans="20:25" x14ac:dyDescent="0.3">
      <c r="T3659" s="12"/>
      <c r="U3659" s="4"/>
      <c r="V3659" s="4"/>
      <c r="X3659" s="4"/>
      <c r="Y3659" s="4"/>
    </row>
    <row r="3660" spans="20:25" x14ac:dyDescent="0.3">
      <c r="T3660" s="12"/>
      <c r="U3660" s="4"/>
      <c r="V3660" s="4"/>
      <c r="X3660" s="4"/>
      <c r="Y3660" s="4"/>
    </row>
    <row r="3661" spans="20:25" x14ac:dyDescent="0.3">
      <c r="T3661" s="12"/>
      <c r="U3661" s="4"/>
      <c r="V3661" s="4"/>
      <c r="X3661" s="4"/>
      <c r="Y3661" s="4"/>
    </row>
    <row r="3662" spans="20:25" x14ac:dyDescent="0.3">
      <c r="T3662" s="12"/>
      <c r="U3662" s="4"/>
      <c r="V3662" s="4"/>
      <c r="X3662" s="4"/>
      <c r="Y3662" s="4"/>
    </row>
    <row r="3663" spans="20:25" x14ac:dyDescent="0.3">
      <c r="T3663" s="12"/>
      <c r="U3663" s="4"/>
      <c r="V3663" s="4"/>
      <c r="X3663" s="4"/>
      <c r="Y3663" s="4"/>
    </row>
    <row r="3664" spans="20:25" x14ac:dyDescent="0.3">
      <c r="T3664" s="12"/>
      <c r="U3664" s="4"/>
      <c r="V3664" s="4"/>
      <c r="X3664" s="4"/>
      <c r="Y3664" s="4"/>
    </row>
    <row r="3665" spans="20:25" x14ac:dyDescent="0.3">
      <c r="T3665" s="12"/>
      <c r="U3665" s="4"/>
      <c r="V3665" s="4"/>
      <c r="X3665" s="4"/>
      <c r="Y3665" s="4"/>
    </row>
    <row r="3666" spans="20:25" x14ac:dyDescent="0.3">
      <c r="T3666" s="12"/>
      <c r="U3666" s="4"/>
      <c r="V3666" s="4"/>
      <c r="X3666" s="4"/>
      <c r="Y3666" s="4"/>
    </row>
    <row r="3667" spans="20:25" x14ac:dyDescent="0.3">
      <c r="T3667" s="12"/>
      <c r="U3667" s="4"/>
      <c r="V3667" s="4"/>
      <c r="X3667" s="4"/>
      <c r="Y3667" s="4"/>
    </row>
    <row r="3668" spans="20:25" x14ac:dyDescent="0.3">
      <c r="T3668" s="12"/>
      <c r="U3668" s="4"/>
      <c r="V3668" s="4"/>
      <c r="X3668" s="4"/>
      <c r="Y3668" s="4"/>
    </row>
    <row r="3669" spans="20:25" x14ac:dyDescent="0.3">
      <c r="T3669" s="12"/>
      <c r="U3669" s="4"/>
      <c r="V3669" s="4"/>
      <c r="X3669" s="4"/>
      <c r="Y3669" s="4"/>
    </row>
    <row r="3670" spans="20:25" x14ac:dyDescent="0.3">
      <c r="T3670" s="12"/>
      <c r="U3670" s="4"/>
      <c r="V3670" s="4"/>
      <c r="X3670" s="4"/>
      <c r="Y3670" s="4"/>
    </row>
    <row r="3671" spans="20:25" x14ac:dyDescent="0.3">
      <c r="T3671" s="12"/>
      <c r="U3671" s="4"/>
      <c r="V3671" s="4"/>
      <c r="X3671" s="4"/>
      <c r="Y3671" s="4"/>
    </row>
    <row r="3672" spans="20:25" x14ac:dyDescent="0.3">
      <c r="T3672" s="12"/>
      <c r="U3672" s="4"/>
      <c r="V3672" s="4"/>
      <c r="X3672" s="4"/>
      <c r="Y3672" s="4"/>
    </row>
    <row r="3673" spans="20:25" x14ac:dyDescent="0.3">
      <c r="T3673" s="12"/>
      <c r="U3673" s="4"/>
      <c r="V3673" s="4"/>
      <c r="X3673" s="4"/>
      <c r="Y3673" s="4"/>
    </row>
    <row r="3674" spans="20:25" x14ac:dyDescent="0.3">
      <c r="T3674" s="12"/>
      <c r="U3674" s="4"/>
      <c r="V3674" s="4"/>
      <c r="X3674" s="4"/>
      <c r="Y3674" s="4"/>
    </row>
    <row r="3675" spans="20:25" x14ac:dyDescent="0.3">
      <c r="T3675" s="12"/>
      <c r="U3675" s="4"/>
      <c r="V3675" s="4"/>
      <c r="X3675" s="4"/>
      <c r="Y3675" s="4"/>
    </row>
    <row r="3676" spans="20:25" x14ac:dyDescent="0.3">
      <c r="T3676" s="12"/>
      <c r="U3676" s="4"/>
      <c r="V3676" s="4"/>
      <c r="X3676" s="4"/>
      <c r="Y3676" s="4"/>
    </row>
    <row r="3677" spans="20:25" x14ac:dyDescent="0.3">
      <c r="T3677" s="12"/>
      <c r="U3677" s="4"/>
      <c r="V3677" s="4"/>
      <c r="X3677" s="4"/>
      <c r="Y3677" s="4"/>
    </row>
    <row r="3678" spans="20:25" x14ac:dyDescent="0.3">
      <c r="T3678" s="12"/>
      <c r="U3678" s="4"/>
      <c r="V3678" s="4"/>
      <c r="X3678" s="4"/>
      <c r="Y3678" s="4"/>
    </row>
    <row r="3679" spans="20:25" x14ac:dyDescent="0.3">
      <c r="T3679" s="12"/>
      <c r="U3679" s="4"/>
      <c r="V3679" s="4"/>
      <c r="X3679" s="4"/>
      <c r="Y3679" s="4"/>
    </row>
    <row r="3680" spans="20:25" x14ac:dyDescent="0.3">
      <c r="T3680" s="12"/>
      <c r="U3680" s="4"/>
      <c r="V3680" s="4"/>
      <c r="X3680" s="4"/>
      <c r="Y3680" s="4"/>
    </row>
    <row r="3681" spans="20:25" x14ac:dyDescent="0.3">
      <c r="T3681" s="12"/>
      <c r="U3681" s="4"/>
      <c r="V3681" s="4"/>
      <c r="X3681" s="4"/>
      <c r="Y3681" s="4"/>
    </row>
    <row r="3682" spans="20:25" x14ac:dyDescent="0.3">
      <c r="T3682" s="12"/>
      <c r="U3682" s="4"/>
      <c r="V3682" s="4"/>
      <c r="X3682" s="4"/>
      <c r="Y3682" s="4"/>
    </row>
    <row r="3683" spans="20:25" x14ac:dyDescent="0.3">
      <c r="T3683" s="12"/>
      <c r="U3683" s="4"/>
      <c r="V3683" s="4"/>
      <c r="X3683" s="4"/>
      <c r="Y3683" s="4"/>
    </row>
    <row r="3684" spans="20:25" x14ac:dyDescent="0.3">
      <c r="T3684" s="12"/>
      <c r="U3684" s="4"/>
      <c r="V3684" s="4"/>
      <c r="X3684" s="4"/>
      <c r="Y3684" s="4"/>
    </row>
    <row r="3685" spans="20:25" x14ac:dyDescent="0.3">
      <c r="T3685" s="12"/>
      <c r="U3685" s="4"/>
      <c r="V3685" s="4"/>
      <c r="X3685" s="4"/>
      <c r="Y3685" s="4"/>
    </row>
    <row r="3686" spans="20:25" x14ac:dyDescent="0.3">
      <c r="T3686" s="12"/>
      <c r="U3686" s="4"/>
      <c r="V3686" s="4"/>
      <c r="X3686" s="4"/>
      <c r="Y3686" s="4"/>
    </row>
    <row r="3687" spans="20:25" x14ac:dyDescent="0.3">
      <c r="T3687" s="12"/>
      <c r="U3687" s="4"/>
      <c r="V3687" s="4"/>
      <c r="X3687" s="4"/>
      <c r="Y3687" s="4"/>
    </row>
    <row r="3688" spans="20:25" x14ac:dyDescent="0.3">
      <c r="T3688" s="12"/>
      <c r="U3688" s="4"/>
      <c r="V3688" s="4"/>
      <c r="X3688" s="4"/>
      <c r="Y3688" s="4"/>
    </row>
    <row r="3689" spans="20:25" x14ac:dyDescent="0.3">
      <c r="T3689" s="12"/>
      <c r="U3689" s="4"/>
      <c r="V3689" s="4"/>
      <c r="X3689" s="4"/>
      <c r="Y3689" s="4"/>
    </row>
    <row r="3690" spans="20:25" x14ac:dyDescent="0.3">
      <c r="T3690" s="12"/>
      <c r="U3690" s="4"/>
      <c r="V3690" s="4"/>
      <c r="X3690" s="4"/>
      <c r="Y3690" s="4"/>
    </row>
    <row r="3691" spans="20:25" x14ac:dyDescent="0.3">
      <c r="T3691" s="12"/>
      <c r="U3691" s="4"/>
      <c r="V3691" s="4"/>
      <c r="X3691" s="4"/>
      <c r="Y3691" s="4"/>
    </row>
    <row r="3692" spans="20:25" x14ac:dyDescent="0.3">
      <c r="T3692" s="12"/>
      <c r="U3692" s="4"/>
      <c r="V3692" s="4"/>
      <c r="X3692" s="4"/>
      <c r="Y3692" s="4"/>
    </row>
    <row r="3693" spans="20:25" x14ac:dyDescent="0.3">
      <c r="T3693" s="12"/>
      <c r="U3693" s="4"/>
      <c r="V3693" s="4"/>
      <c r="X3693" s="4"/>
      <c r="Y3693" s="4"/>
    </row>
    <row r="3694" spans="20:25" x14ac:dyDescent="0.3">
      <c r="T3694" s="12"/>
      <c r="U3694" s="4"/>
      <c r="V3694" s="4"/>
      <c r="X3694" s="4"/>
      <c r="Y3694" s="4"/>
    </row>
    <row r="3695" spans="20:25" x14ac:dyDescent="0.3">
      <c r="T3695" s="12"/>
      <c r="U3695" s="4"/>
      <c r="V3695" s="4"/>
      <c r="X3695" s="4"/>
      <c r="Y3695" s="4"/>
    </row>
    <row r="3696" spans="20:25" x14ac:dyDescent="0.3">
      <c r="T3696" s="12"/>
      <c r="U3696" s="4"/>
      <c r="V3696" s="4"/>
      <c r="X3696" s="4"/>
      <c r="Y3696" s="4"/>
    </row>
    <row r="3697" spans="20:25" x14ac:dyDescent="0.3">
      <c r="T3697" s="12"/>
      <c r="U3697" s="4"/>
      <c r="V3697" s="4"/>
      <c r="X3697" s="4"/>
      <c r="Y3697" s="4"/>
    </row>
    <row r="3698" spans="20:25" x14ac:dyDescent="0.3">
      <c r="T3698" s="12"/>
      <c r="U3698" s="4"/>
      <c r="V3698" s="4"/>
      <c r="X3698" s="4"/>
      <c r="Y3698" s="4"/>
    </row>
    <row r="3699" spans="20:25" x14ac:dyDescent="0.3">
      <c r="T3699" s="12"/>
      <c r="U3699" s="4"/>
      <c r="V3699" s="4"/>
      <c r="X3699" s="4"/>
      <c r="Y3699" s="4"/>
    </row>
    <row r="3700" spans="20:25" x14ac:dyDescent="0.3">
      <c r="T3700" s="12"/>
      <c r="U3700" s="4"/>
      <c r="V3700" s="4"/>
      <c r="X3700" s="4"/>
      <c r="Y3700" s="4"/>
    </row>
    <row r="3701" spans="20:25" x14ac:dyDescent="0.3">
      <c r="T3701" s="12"/>
      <c r="U3701" s="4"/>
      <c r="V3701" s="4"/>
      <c r="X3701" s="4"/>
      <c r="Y3701" s="4"/>
    </row>
    <row r="3702" spans="20:25" x14ac:dyDescent="0.3">
      <c r="T3702" s="12"/>
      <c r="U3702" s="4"/>
      <c r="V3702" s="4"/>
      <c r="X3702" s="4"/>
      <c r="Y3702" s="4"/>
    </row>
    <row r="3703" spans="20:25" x14ac:dyDescent="0.3">
      <c r="T3703" s="12"/>
      <c r="U3703" s="4"/>
      <c r="V3703" s="4"/>
      <c r="X3703" s="4"/>
      <c r="Y3703" s="4"/>
    </row>
    <row r="3704" spans="20:25" x14ac:dyDescent="0.3">
      <c r="T3704" s="12"/>
      <c r="U3704" s="4"/>
      <c r="V3704" s="4"/>
      <c r="X3704" s="4"/>
      <c r="Y3704" s="4"/>
    </row>
    <row r="3705" spans="20:25" x14ac:dyDescent="0.3">
      <c r="T3705" s="12"/>
      <c r="U3705" s="4"/>
      <c r="V3705" s="4"/>
      <c r="X3705" s="4"/>
      <c r="Y3705" s="4"/>
    </row>
    <row r="3706" spans="20:25" x14ac:dyDescent="0.3">
      <c r="T3706" s="12"/>
      <c r="U3706" s="4"/>
      <c r="V3706" s="4"/>
      <c r="X3706" s="4"/>
      <c r="Y3706" s="4"/>
    </row>
    <row r="3707" spans="20:25" x14ac:dyDescent="0.3">
      <c r="T3707" s="12"/>
      <c r="U3707" s="4"/>
      <c r="V3707" s="4"/>
      <c r="X3707" s="4"/>
      <c r="Y3707" s="4"/>
    </row>
    <row r="3708" spans="20:25" x14ac:dyDescent="0.3">
      <c r="T3708" s="12"/>
      <c r="U3708" s="4"/>
      <c r="V3708" s="4"/>
      <c r="X3708" s="4"/>
      <c r="Y3708" s="4"/>
    </row>
    <row r="3709" spans="20:25" x14ac:dyDescent="0.3">
      <c r="T3709" s="12"/>
      <c r="U3709" s="4"/>
      <c r="V3709" s="4"/>
      <c r="X3709" s="4"/>
      <c r="Y3709" s="4"/>
    </row>
    <row r="3710" spans="20:25" x14ac:dyDescent="0.3">
      <c r="T3710" s="12"/>
      <c r="U3710" s="4"/>
      <c r="V3710" s="4"/>
      <c r="X3710" s="4"/>
      <c r="Y3710" s="4"/>
    </row>
    <row r="3711" spans="20:25" x14ac:dyDescent="0.3">
      <c r="T3711" s="12"/>
      <c r="U3711" s="4"/>
      <c r="V3711" s="4"/>
      <c r="X3711" s="4"/>
      <c r="Y3711" s="4"/>
    </row>
    <row r="3712" spans="20:25" x14ac:dyDescent="0.3">
      <c r="T3712" s="12"/>
      <c r="U3712" s="4"/>
      <c r="V3712" s="4"/>
      <c r="X3712" s="4"/>
      <c r="Y3712" s="4"/>
    </row>
    <row r="3713" spans="20:25" x14ac:dyDescent="0.3">
      <c r="T3713" s="12"/>
      <c r="U3713" s="4"/>
      <c r="V3713" s="4"/>
      <c r="X3713" s="4"/>
      <c r="Y3713" s="4"/>
    </row>
    <row r="3714" spans="20:25" x14ac:dyDescent="0.3">
      <c r="T3714" s="12"/>
      <c r="U3714" s="4"/>
      <c r="V3714" s="4"/>
      <c r="X3714" s="4"/>
      <c r="Y3714" s="4"/>
    </row>
    <row r="3715" spans="20:25" x14ac:dyDescent="0.3">
      <c r="T3715" s="12"/>
      <c r="U3715" s="4"/>
      <c r="V3715" s="4"/>
      <c r="X3715" s="4"/>
      <c r="Y3715" s="4"/>
    </row>
    <row r="3716" spans="20:25" x14ac:dyDescent="0.3">
      <c r="T3716" s="12"/>
      <c r="U3716" s="4"/>
      <c r="V3716" s="4"/>
      <c r="X3716" s="4"/>
      <c r="Y3716" s="4"/>
    </row>
    <row r="3717" spans="20:25" x14ac:dyDescent="0.3">
      <c r="T3717" s="12"/>
      <c r="U3717" s="4"/>
      <c r="V3717" s="4"/>
      <c r="X3717" s="4"/>
      <c r="Y3717" s="4"/>
    </row>
    <row r="3718" spans="20:25" x14ac:dyDescent="0.3">
      <c r="T3718" s="12"/>
      <c r="U3718" s="4"/>
      <c r="V3718" s="4"/>
      <c r="X3718" s="4"/>
      <c r="Y3718" s="4"/>
    </row>
    <row r="3719" spans="20:25" x14ac:dyDescent="0.3">
      <c r="T3719" s="12"/>
      <c r="U3719" s="4"/>
      <c r="V3719" s="4"/>
      <c r="X3719" s="4"/>
      <c r="Y3719" s="4"/>
    </row>
    <row r="3720" spans="20:25" x14ac:dyDescent="0.3">
      <c r="T3720" s="12"/>
      <c r="U3720" s="4"/>
      <c r="V3720" s="4"/>
      <c r="X3720" s="4"/>
      <c r="Y3720" s="4"/>
    </row>
    <row r="3721" spans="20:25" x14ac:dyDescent="0.3">
      <c r="T3721" s="12"/>
      <c r="U3721" s="4"/>
      <c r="V3721" s="4"/>
      <c r="X3721" s="4"/>
      <c r="Y3721" s="4"/>
    </row>
    <row r="3722" spans="20:25" x14ac:dyDescent="0.3">
      <c r="T3722" s="12"/>
      <c r="U3722" s="4"/>
      <c r="V3722" s="4"/>
      <c r="X3722" s="4"/>
      <c r="Y3722" s="4"/>
    </row>
    <row r="3723" spans="20:25" x14ac:dyDescent="0.3">
      <c r="T3723" s="12"/>
      <c r="U3723" s="4"/>
      <c r="V3723" s="4"/>
      <c r="X3723" s="4"/>
      <c r="Y3723" s="4"/>
    </row>
    <row r="3724" spans="20:25" x14ac:dyDescent="0.3">
      <c r="T3724" s="12"/>
      <c r="U3724" s="4"/>
      <c r="V3724" s="4"/>
      <c r="X3724" s="4"/>
      <c r="Y3724" s="4"/>
    </row>
    <row r="3725" spans="20:25" x14ac:dyDescent="0.3">
      <c r="T3725" s="12"/>
      <c r="U3725" s="4"/>
      <c r="V3725" s="4"/>
      <c r="X3725" s="4"/>
      <c r="Y3725" s="4"/>
    </row>
    <row r="3726" spans="20:25" x14ac:dyDescent="0.3">
      <c r="T3726" s="12"/>
      <c r="U3726" s="4"/>
      <c r="V3726" s="4"/>
      <c r="X3726" s="4"/>
      <c r="Y3726" s="4"/>
    </row>
    <row r="3727" spans="20:25" x14ac:dyDescent="0.3">
      <c r="T3727" s="12"/>
      <c r="U3727" s="4"/>
      <c r="V3727" s="4"/>
      <c r="X3727" s="4"/>
      <c r="Y3727" s="4"/>
    </row>
    <row r="3728" spans="20:25" x14ac:dyDescent="0.3">
      <c r="T3728" s="12"/>
      <c r="U3728" s="4"/>
      <c r="V3728" s="4"/>
      <c r="X3728" s="4"/>
      <c r="Y3728" s="4"/>
    </row>
    <row r="3729" spans="20:25" x14ac:dyDescent="0.3">
      <c r="T3729" s="12"/>
      <c r="U3729" s="4"/>
      <c r="V3729" s="4"/>
      <c r="X3729" s="4"/>
      <c r="Y3729" s="4"/>
    </row>
    <row r="3730" spans="20:25" x14ac:dyDescent="0.3">
      <c r="T3730" s="12"/>
      <c r="U3730" s="4"/>
      <c r="V3730" s="4"/>
      <c r="X3730" s="4"/>
      <c r="Y3730" s="4"/>
    </row>
    <row r="3731" spans="20:25" x14ac:dyDescent="0.3">
      <c r="T3731" s="12"/>
      <c r="U3731" s="4"/>
      <c r="V3731" s="4"/>
      <c r="X3731" s="4"/>
      <c r="Y3731" s="4"/>
    </row>
    <row r="3732" spans="20:25" x14ac:dyDescent="0.3">
      <c r="T3732" s="12"/>
      <c r="U3732" s="4"/>
      <c r="V3732" s="4"/>
      <c r="X3732" s="4"/>
      <c r="Y3732" s="4"/>
    </row>
    <row r="3733" spans="20:25" x14ac:dyDescent="0.3">
      <c r="T3733" s="12"/>
      <c r="U3733" s="4"/>
      <c r="V3733" s="4"/>
      <c r="X3733" s="4"/>
      <c r="Y3733" s="4"/>
    </row>
    <row r="3734" spans="20:25" x14ac:dyDescent="0.3">
      <c r="T3734" s="12"/>
      <c r="U3734" s="4"/>
      <c r="V3734" s="4"/>
      <c r="X3734" s="4"/>
      <c r="Y3734" s="4"/>
    </row>
    <row r="3735" spans="20:25" x14ac:dyDescent="0.3">
      <c r="T3735" s="12"/>
      <c r="U3735" s="4"/>
      <c r="V3735" s="4"/>
      <c r="X3735" s="4"/>
      <c r="Y3735" s="4"/>
    </row>
    <row r="3736" spans="20:25" x14ac:dyDescent="0.3">
      <c r="T3736" s="12"/>
      <c r="U3736" s="4"/>
      <c r="V3736" s="4"/>
      <c r="X3736" s="4"/>
      <c r="Y3736" s="4"/>
    </row>
    <row r="3737" spans="20:25" x14ac:dyDescent="0.3">
      <c r="T3737" s="12"/>
      <c r="U3737" s="4"/>
      <c r="V3737" s="4"/>
      <c r="X3737" s="4"/>
      <c r="Y3737" s="4"/>
    </row>
    <row r="3738" spans="20:25" x14ac:dyDescent="0.3">
      <c r="T3738" s="12"/>
      <c r="U3738" s="4"/>
      <c r="V3738" s="4"/>
      <c r="X3738" s="4"/>
      <c r="Y3738" s="4"/>
    </row>
    <row r="3739" spans="20:25" x14ac:dyDescent="0.3">
      <c r="T3739" s="12"/>
      <c r="U3739" s="4"/>
      <c r="V3739" s="4"/>
      <c r="X3739" s="4"/>
      <c r="Y3739" s="4"/>
    </row>
    <row r="3740" spans="20:25" x14ac:dyDescent="0.3">
      <c r="T3740" s="12"/>
      <c r="U3740" s="4"/>
      <c r="V3740" s="4"/>
      <c r="X3740" s="4"/>
      <c r="Y3740" s="4"/>
    </row>
    <row r="3741" spans="20:25" x14ac:dyDescent="0.3">
      <c r="T3741" s="12"/>
      <c r="U3741" s="4"/>
      <c r="V3741" s="4"/>
      <c r="X3741" s="4"/>
      <c r="Y3741" s="4"/>
    </row>
    <row r="3742" spans="20:25" x14ac:dyDescent="0.3">
      <c r="T3742" s="12"/>
      <c r="U3742" s="4"/>
      <c r="V3742" s="4"/>
      <c r="X3742" s="4"/>
      <c r="Y3742" s="4"/>
    </row>
    <row r="3743" spans="20:25" x14ac:dyDescent="0.3">
      <c r="T3743" s="12"/>
      <c r="U3743" s="4"/>
      <c r="V3743" s="4"/>
      <c r="X3743" s="4"/>
      <c r="Y3743" s="4"/>
    </row>
    <row r="3744" spans="20:25" x14ac:dyDescent="0.3">
      <c r="T3744" s="12"/>
      <c r="U3744" s="4"/>
      <c r="V3744" s="4"/>
      <c r="X3744" s="4"/>
      <c r="Y3744" s="4"/>
    </row>
    <row r="3745" spans="20:25" x14ac:dyDescent="0.3">
      <c r="T3745" s="12"/>
      <c r="U3745" s="4"/>
      <c r="V3745" s="4"/>
      <c r="X3745" s="4"/>
      <c r="Y3745" s="4"/>
    </row>
    <row r="3746" spans="20:25" x14ac:dyDescent="0.3">
      <c r="T3746" s="12"/>
      <c r="U3746" s="4"/>
      <c r="V3746" s="4"/>
      <c r="X3746" s="4"/>
      <c r="Y3746" s="4"/>
    </row>
    <row r="3747" spans="20:25" x14ac:dyDescent="0.3">
      <c r="T3747" s="12"/>
      <c r="U3747" s="4"/>
      <c r="V3747" s="4"/>
      <c r="X3747" s="4"/>
      <c r="Y3747" s="4"/>
    </row>
    <row r="3748" spans="20:25" x14ac:dyDescent="0.3">
      <c r="T3748" s="12"/>
      <c r="U3748" s="4"/>
      <c r="V3748" s="4"/>
      <c r="X3748" s="4"/>
      <c r="Y3748" s="4"/>
    </row>
    <row r="3749" spans="20:25" x14ac:dyDescent="0.3">
      <c r="T3749" s="12"/>
      <c r="U3749" s="4"/>
      <c r="V3749" s="4"/>
      <c r="X3749" s="4"/>
      <c r="Y3749" s="4"/>
    </row>
    <row r="3750" spans="20:25" x14ac:dyDescent="0.3">
      <c r="T3750" s="12"/>
      <c r="U3750" s="4"/>
      <c r="V3750" s="4"/>
      <c r="X3750" s="4"/>
      <c r="Y3750" s="4"/>
    </row>
    <row r="3751" spans="20:25" x14ac:dyDescent="0.3">
      <c r="T3751" s="12"/>
      <c r="U3751" s="4"/>
      <c r="V3751" s="4"/>
      <c r="X3751" s="4"/>
      <c r="Y3751" s="4"/>
    </row>
    <row r="3752" spans="20:25" x14ac:dyDescent="0.3">
      <c r="T3752" s="12"/>
      <c r="U3752" s="4"/>
      <c r="V3752" s="4"/>
      <c r="X3752" s="4"/>
      <c r="Y3752" s="4"/>
    </row>
    <row r="3753" spans="20:25" x14ac:dyDescent="0.3">
      <c r="T3753" s="12"/>
      <c r="U3753" s="4"/>
      <c r="V3753" s="4"/>
      <c r="X3753" s="4"/>
      <c r="Y3753" s="4"/>
    </row>
    <row r="3754" spans="20:25" x14ac:dyDescent="0.3">
      <c r="T3754" s="12"/>
      <c r="U3754" s="4"/>
      <c r="V3754" s="4"/>
      <c r="X3754" s="4"/>
      <c r="Y3754" s="4"/>
    </row>
    <row r="3755" spans="20:25" x14ac:dyDescent="0.3">
      <c r="T3755" s="12"/>
      <c r="U3755" s="4"/>
      <c r="V3755" s="4"/>
      <c r="X3755" s="4"/>
      <c r="Y3755" s="4"/>
    </row>
    <row r="3756" spans="20:25" x14ac:dyDescent="0.3">
      <c r="T3756" s="12"/>
      <c r="U3756" s="4"/>
      <c r="V3756" s="4"/>
      <c r="X3756" s="4"/>
      <c r="Y3756" s="4"/>
    </row>
    <row r="3757" spans="20:25" x14ac:dyDescent="0.3">
      <c r="T3757" s="12"/>
      <c r="U3757" s="4"/>
      <c r="V3757" s="4"/>
      <c r="X3757" s="4"/>
      <c r="Y3757" s="4"/>
    </row>
    <row r="3758" spans="20:25" x14ac:dyDescent="0.3">
      <c r="T3758" s="12"/>
      <c r="U3758" s="4"/>
      <c r="V3758" s="4"/>
      <c r="X3758" s="4"/>
      <c r="Y3758" s="4"/>
    </row>
    <row r="3759" spans="20:25" x14ac:dyDescent="0.3">
      <c r="T3759" s="12"/>
      <c r="U3759" s="4"/>
      <c r="V3759" s="4"/>
      <c r="X3759" s="4"/>
      <c r="Y3759" s="4"/>
    </row>
    <row r="3760" spans="20:25" x14ac:dyDescent="0.3">
      <c r="T3760" s="12"/>
      <c r="U3760" s="4"/>
      <c r="V3760" s="4"/>
      <c r="X3760" s="4"/>
      <c r="Y3760" s="4"/>
    </row>
    <row r="3761" spans="20:25" x14ac:dyDescent="0.3">
      <c r="T3761" s="12"/>
      <c r="U3761" s="4"/>
      <c r="V3761" s="4"/>
      <c r="X3761" s="4"/>
      <c r="Y3761" s="4"/>
    </row>
    <row r="3762" spans="20:25" x14ac:dyDescent="0.3">
      <c r="T3762" s="12"/>
      <c r="U3762" s="4"/>
      <c r="V3762" s="4"/>
      <c r="X3762" s="4"/>
      <c r="Y3762" s="4"/>
    </row>
    <row r="3763" spans="20:25" x14ac:dyDescent="0.3">
      <c r="T3763" s="12"/>
      <c r="U3763" s="4"/>
      <c r="V3763" s="4"/>
      <c r="X3763" s="4"/>
      <c r="Y3763" s="4"/>
    </row>
    <row r="3764" spans="20:25" x14ac:dyDescent="0.3">
      <c r="T3764" s="12"/>
      <c r="U3764" s="4"/>
      <c r="V3764" s="4"/>
      <c r="X3764" s="4"/>
      <c r="Y3764" s="4"/>
    </row>
    <row r="3765" spans="20:25" x14ac:dyDescent="0.3">
      <c r="T3765" s="12"/>
      <c r="U3765" s="4"/>
      <c r="V3765" s="4"/>
      <c r="X3765" s="4"/>
      <c r="Y3765" s="4"/>
    </row>
    <row r="3766" spans="20:25" x14ac:dyDescent="0.3">
      <c r="T3766" s="12"/>
      <c r="U3766" s="4"/>
      <c r="V3766" s="4"/>
      <c r="X3766" s="4"/>
      <c r="Y3766" s="4"/>
    </row>
    <row r="3767" spans="20:25" x14ac:dyDescent="0.3">
      <c r="T3767" s="12"/>
      <c r="U3767" s="4"/>
      <c r="V3767" s="4"/>
      <c r="X3767" s="4"/>
      <c r="Y3767" s="4"/>
    </row>
    <row r="3768" spans="20:25" x14ac:dyDescent="0.3">
      <c r="T3768" s="12"/>
      <c r="U3768" s="4"/>
      <c r="V3768" s="4"/>
      <c r="X3768" s="4"/>
      <c r="Y3768" s="4"/>
    </row>
    <row r="3769" spans="20:25" x14ac:dyDescent="0.3">
      <c r="T3769" s="12"/>
      <c r="U3769" s="4"/>
      <c r="V3769" s="4"/>
      <c r="X3769" s="4"/>
      <c r="Y3769" s="4"/>
    </row>
    <row r="3770" spans="20:25" x14ac:dyDescent="0.3">
      <c r="T3770" s="12"/>
      <c r="U3770" s="4"/>
      <c r="V3770" s="4"/>
      <c r="X3770" s="4"/>
      <c r="Y3770" s="4"/>
    </row>
    <row r="3771" spans="20:25" x14ac:dyDescent="0.3">
      <c r="T3771" s="12"/>
      <c r="U3771" s="4"/>
      <c r="V3771" s="4"/>
      <c r="X3771" s="4"/>
      <c r="Y3771" s="4"/>
    </row>
    <row r="3772" spans="20:25" x14ac:dyDescent="0.3">
      <c r="T3772" s="12"/>
      <c r="U3772" s="4"/>
      <c r="V3772" s="4"/>
      <c r="X3772" s="4"/>
      <c r="Y3772" s="4"/>
    </row>
    <row r="3773" spans="20:25" x14ac:dyDescent="0.3">
      <c r="T3773" s="12"/>
      <c r="U3773" s="4"/>
      <c r="V3773" s="4"/>
      <c r="X3773" s="4"/>
      <c r="Y3773" s="4"/>
    </row>
    <row r="3774" spans="20:25" x14ac:dyDescent="0.3">
      <c r="T3774" s="12"/>
      <c r="U3774" s="4"/>
      <c r="V3774" s="4"/>
      <c r="X3774" s="4"/>
      <c r="Y3774" s="4"/>
    </row>
    <row r="3775" spans="20:25" x14ac:dyDescent="0.3">
      <c r="T3775" s="12"/>
      <c r="U3775" s="4"/>
      <c r="V3775" s="4"/>
      <c r="X3775" s="4"/>
      <c r="Y3775" s="4"/>
    </row>
    <row r="3776" spans="20:25" x14ac:dyDescent="0.3">
      <c r="T3776" s="12"/>
      <c r="U3776" s="4"/>
      <c r="V3776" s="4"/>
      <c r="X3776" s="4"/>
      <c r="Y3776" s="4"/>
    </row>
    <row r="3777" spans="20:25" x14ac:dyDescent="0.3">
      <c r="T3777" s="12"/>
      <c r="U3777" s="4"/>
      <c r="V3777" s="4"/>
      <c r="X3777" s="4"/>
      <c r="Y3777" s="4"/>
    </row>
    <row r="3778" spans="20:25" x14ac:dyDescent="0.3">
      <c r="T3778" s="12"/>
      <c r="U3778" s="4"/>
      <c r="V3778" s="4"/>
      <c r="X3778" s="4"/>
      <c r="Y3778" s="4"/>
    </row>
    <row r="3779" spans="20:25" x14ac:dyDescent="0.3">
      <c r="T3779" s="12"/>
      <c r="U3779" s="4"/>
      <c r="V3779" s="4"/>
      <c r="X3779" s="4"/>
      <c r="Y3779" s="4"/>
    </row>
    <row r="3780" spans="20:25" x14ac:dyDescent="0.3">
      <c r="T3780" s="12"/>
      <c r="U3780" s="4"/>
      <c r="V3780" s="4"/>
      <c r="X3780" s="4"/>
      <c r="Y3780" s="4"/>
    </row>
    <row r="3781" spans="20:25" x14ac:dyDescent="0.3">
      <c r="T3781" s="12"/>
      <c r="U3781" s="4"/>
      <c r="V3781" s="4"/>
      <c r="X3781" s="4"/>
      <c r="Y3781" s="4"/>
    </row>
    <row r="3782" spans="20:25" x14ac:dyDescent="0.3">
      <c r="T3782" s="12"/>
      <c r="U3782" s="4"/>
      <c r="V3782" s="4"/>
      <c r="X3782" s="4"/>
      <c r="Y3782" s="4"/>
    </row>
    <row r="3783" spans="20:25" x14ac:dyDescent="0.3">
      <c r="T3783" s="12"/>
      <c r="U3783" s="4"/>
      <c r="V3783" s="4"/>
      <c r="X3783" s="4"/>
      <c r="Y3783" s="4"/>
    </row>
    <row r="3784" spans="20:25" x14ac:dyDescent="0.3">
      <c r="T3784" s="12"/>
      <c r="U3784" s="4"/>
      <c r="V3784" s="4"/>
      <c r="X3784" s="4"/>
      <c r="Y3784" s="4"/>
    </row>
    <row r="3785" spans="20:25" x14ac:dyDescent="0.3">
      <c r="T3785" s="12"/>
      <c r="U3785" s="4"/>
      <c r="V3785" s="4"/>
      <c r="X3785" s="4"/>
      <c r="Y3785" s="4"/>
    </row>
    <row r="3786" spans="20:25" x14ac:dyDescent="0.3">
      <c r="T3786" s="12"/>
      <c r="U3786" s="4"/>
      <c r="V3786" s="4"/>
      <c r="X3786" s="4"/>
      <c r="Y3786" s="4"/>
    </row>
    <row r="3787" spans="20:25" x14ac:dyDescent="0.3">
      <c r="T3787" s="12"/>
      <c r="U3787" s="4"/>
      <c r="V3787" s="4"/>
      <c r="X3787" s="4"/>
      <c r="Y3787" s="4"/>
    </row>
    <row r="3788" spans="20:25" x14ac:dyDescent="0.3">
      <c r="T3788" s="12"/>
      <c r="U3788" s="4"/>
      <c r="V3788" s="4"/>
      <c r="X3788" s="4"/>
      <c r="Y3788" s="4"/>
    </row>
    <row r="3789" spans="20:25" x14ac:dyDescent="0.3">
      <c r="T3789" s="12"/>
      <c r="U3789" s="4"/>
      <c r="V3789" s="4"/>
      <c r="X3789" s="4"/>
      <c r="Y3789" s="4"/>
    </row>
    <row r="3790" spans="20:25" x14ac:dyDescent="0.3">
      <c r="T3790" s="12"/>
      <c r="U3790" s="4"/>
      <c r="V3790" s="4"/>
      <c r="X3790" s="4"/>
      <c r="Y3790" s="4"/>
    </row>
    <row r="3791" spans="20:25" x14ac:dyDescent="0.3">
      <c r="T3791" s="12"/>
      <c r="U3791" s="4"/>
      <c r="V3791" s="4"/>
      <c r="X3791" s="4"/>
      <c r="Y3791" s="4"/>
    </row>
    <row r="3792" spans="20:25" x14ac:dyDescent="0.3">
      <c r="T3792" s="12"/>
      <c r="U3792" s="4"/>
      <c r="V3792" s="4"/>
      <c r="X3792" s="4"/>
      <c r="Y3792" s="4"/>
    </row>
    <row r="3793" spans="20:25" x14ac:dyDescent="0.3">
      <c r="T3793" s="12"/>
      <c r="U3793" s="4"/>
      <c r="V3793" s="4"/>
      <c r="X3793" s="4"/>
      <c r="Y3793" s="4"/>
    </row>
    <row r="3794" spans="20:25" x14ac:dyDescent="0.3">
      <c r="T3794" s="12"/>
      <c r="U3794" s="4"/>
      <c r="V3794" s="4"/>
      <c r="X3794" s="4"/>
      <c r="Y3794" s="4"/>
    </row>
    <row r="3795" spans="20:25" x14ac:dyDescent="0.3">
      <c r="T3795" s="12"/>
      <c r="U3795" s="4"/>
      <c r="V3795" s="4"/>
      <c r="X3795" s="4"/>
      <c r="Y3795" s="4"/>
    </row>
    <row r="3796" spans="20:25" x14ac:dyDescent="0.3">
      <c r="T3796" s="12"/>
      <c r="U3796" s="4"/>
      <c r="V3796" s="4"/>
      <c r="X3796" s="4"/>
      <c r="Y3796" s="4"/>
    </row>
    <row r="3797" spans="20:25" x14ac:dyDescent="0.3">
      <c r="T3797" s="12"/>
      <c r="U3797" s="4"/>
      <c r="V3797" s="4"/>
      <c r="X3797" s="4"/>
      <c r="Y3797" s="4"/>
    </row>
    <row r="3798" spans="20:25" x14ac:dyDescent="0.3">
      <c r="T3798" s="12"/>
      <c r="U3798" s="4"/>
      <c r="V3798" s="4"/>
      <c r="X3798" s="4"/>
      <c r="Y3798" s="4"/>
    </row>
    <row r="3799" spans="20:25" x14ac:dyDescent="0.3">
      <c r="T3799" s="12"/>
      <c r="U3799" s="4"/>
      <c r="V3799" s="4"/>
      <c r="X3799" s="4"/>
      <c r="Y3799" s="4"/>
    </row>
    <row r="3800" spans="20:25" x14ac:dyDescent="0.3">
      <c r="T3800" s="12"/>
      <c r="U3800" s="4"/>
      <c r="V3800" s="4"/>
      <c r="X3800" s="4"/>
      <c r="Y3800" s="4"/>
    </row>
    <row r="3801" spans="20:25" x14ac:dyDescent="0.3">
      <c r="T3801" s="12"/>
      <c r="U3801" s="4"/>
      <c r="V3801" s="4"/>
      <c r="X3801" s="4"/>
      <c r="Y3801" s="4"/>
    </row>
    <row r="3802" spans="20:25" x14ac:dyDescent="0.3">
      <c r="T3802" s="12"/>
      <c r="U3802" s="4"/>
      <c r="V3802" s="4"/>
      <c r="X3802" s="4"/>
      <c r="Y3802" s="4"/>
    </row>
    <row r="3803" spans="20:25" x14ac:dyDescent="0.3">
      <c r="T3803" s="12"/>
      <c r="U3803" s="4"/>
      <c r="V3803" s="4"/>
      <c r="X3803" s="4"/>
      <c r="Y3803" s="4"/>
    </row>
    <row r="3804" spans="20:25" x14ac:dyDescent="0.3">
      <c r="T3804" s="12"/>
      <c r="U3804" s="4"/>
      <c r="V3804" s="4"/>
      <c r="X3804" s="4"/>
      <c r="Y3804" s="4"/>
    </row>
    <row r="3805" spans="20:25" x14ac:dyDescent="0.3">
      <c r="T3805" s="12"/>
      <c r="U3805" s="4"/>
      <c r="V3805" s="4"/>
      <c r="X3805" s="4"/>
      <c r="Y3805" s="4"/>
    </row>
    <row r="3806" spans="20:25" x14ac:dyDescent="0.3">
      <c r="T3806" s="12"/>
      <c r="U3806" s="4"/>
      <c r="V3806" s="4"/>
      <c r="X3806" s="4"/>
      <c r="Y3806" s="4"/>
    </row>
    <row r="3807" spans="20:25" x14ac:dyDescent="0.3">
      <c r="T3807" s="12"/>
      <c r="U3807" s="4"/>
      <c r="V3807" s="4"/>
      <c r="X3807" s="4"/>
      <c r="Y3807" s="4"/>
    </row>
    <row r="3808" spans="20:25" x14ac:dyDescent="0.3">
      <c r="T3808" s="12"/>
      <c r="U3808" s="4"/>
      <c r="V3808" s="4"/>
      <c r="X3808" s="4"/>
      <c r="Y3808" s="4"/>
    </row>
    <row r="3809" spans="20:25" x14ac:dyDescent="0.3">
      <c r="T3809" s="12"/>
      <c r="U3809" s="4"/>
      <c r="V3809" s="4"/>
      <c r="X3809" s="4"/>
      <c r="Y3809" s="4"/>
    </row>
    <row r="3810" spans="20:25" x14ac:dyDescent="0.3">
      <c r="T3810" s="12"/>
      <c r="U3810" s="4"/>
      <c r="V3810" s="4"/>
      <c r="X3810" s="4"/>
      <c r="Y3810" s="4"/>
    </row>
    <row r="3811" spans="20:25" x14ac:dyDescent="0.3">
      <c r="T3811" s="12"/>
      <c r="U3811" s="4"/>
      <c r="V3811" s="4"/>
      <c r="X3811" s="4"/>
      <c r="Y3811" s="4"/>
    </row>
    <row r="3812" spans="20:25" x14ac:dyDescent="0.3">
      <c r="T3812" s="12"/>
      <c r="U3812" s="4"/>
      <c r="V3812" s="4"/>
      <c r="X3812" s="4"/>
      <c r="Y3812" s="4"/>
    </row>
    <row r="3813" spans="20:25" x14ac:dyDescent="0.3">
      <c r="T3813" s="12"/>
      <c r="U3813" s="4"/>
      <c r="V3813" s="4"/>
      <c r="X3813" s="4"/>
      <c r="Y3813" s="4"/>
    </row>
    <row r="3814" spans="20:25" x14ac:dyDescent="0.3">
      <c r="T3814" s="12"/>
      <c r="U3814" s="4"/>
      <c r="V3814" s="4"/>
      <c r="X3814" s="4"/>
      <c r="Y3814" s="4"/>
    </row>
    <row r="3815" spans="20:25" x14ac:dyDescent="0.3">
      <c r="T3815" s="12"/>
      <c r="U3815" s="4"/>
      <c r="V3815" s="4"/>
      <c r="X3815" s="4"/>
      <c r="Y3815" s="4"/>
    </row>
    <row r="3816" spans="20:25" x14ac:dyDescent="0.3">
      <c r="T3816" s="12"/>
      <c r="U3816" s="4"/>
      <c r="V3816" s="4"/>
      <c r="X3816" s="4"/>
      <c r="Y3816" s="4"/>
    </row>
    <row r="3817" spans="20:25" x14ac:dyDescent="0.3">
      <c r="T3817" s="12"/>
      <c r="U3817" s="4"/>
      <c r="V3817" s="4"/>
      <c r="X3817" s="4"/>
      <c r="Y3817" s="4"/>
    </row>
    <row r="3818" spans="20:25" x14ac:dyDescent="0.3">
      <c r="T3818" s="12"/>
      <c r="U3818" s="4"/>
      <c r="V3818" s="4"/>
      <c r="X3818" s="4"/>
      <c r="Y3818" s="4"/>
    </row>
    <row r="3819" spans="20:25" x14ac:dyDescent="0.3">
      <c r="T3819" s="12"/>
      <c r="U3819" s="4"/>
      <c r="V3819" s="4"/>
      <c r="X3819" s="4"/>
      <c r="Y3819" s="4"/>
    </row>
    <row r="3820" spans="20:25" x14ac:dyDescent="0.3">
      <c r="T3820" s="12"/>
      <c r="U3820" s="4"/>
      <c r="V3820" s="4"/>
      <c r="X3820" s="4"/>
      <c r="Y3820" s="4"/>
    </row>
    <row r="3821" spans="20:25" x14ac:dyDescent="0.3">
      <c r="T3821" s="12"/>
      <c r="U3821" s="4"/>
      <c r="V3821" s="4"/>
      <c r="X3821" s="4"/>
      <c r="Y3821" s="4"/>
    </row>
    <row r="3822" spans="20:25" x14ac:dyDescent="0.3">
      <c r="T3822" s="12"/>
      <c r="U3822" s="4"/>
      <c r="V3822" s="4"/>
      <c r="X3822" s="4"/>
      <c r="Y3822" s="4"/>
    </row>
    <row r="3823" spans="20:25" x14ac:dyDescent="0.3">
      <c r="T3823" s="12"/>
      <c r="U3823" s="4"/>
      <c r="V3823" s="4"/>
      <c r="X3823" s="4"/>
      <c r="Y3823" s="4"/>
    </row>
    <row r="3824" spans="20:25" x14ac:dyDescent="0.3">
      <c r="T3824" s="12"/>
      <c r="U3824" s="4"/>
      <c r="V3824" s="4"/>
      <c r="X3824" s="4"/>
      <c r="Y3824" s="4"/>
    </row>
    <row r="3825" spans="20:25" x14ac:dyDescent="0.3">
      <c r="T3825" s="12"/>
      <c r="U3825" s="4"/>
      <c r="V3825" s="4"/>
      <c r="X3825" s="4"/>
      <c r="Y3825" s="4"/>
    </row>
    <row r="3826" spans="20:25" x14ac:dyDescent="0.3">
      <c r="T3826" s="12"/>
      <c r="U3826" s="4"/>
      <c r="V3826" s="4"/>
      <c r="X3826" s="4"/>
      <c r="Y3826" s="4"/>
    </row>
    <row r="3827" spans="20:25" x14ac:dyDescent="0.3">
      <c r="T3827" s="12"/>
      <c r="U3827" s="4"/>
      <c r="V3827" s="4"/>
      <c r="X3827" s="4"/>
      <c r="Y3827" s="4"/>
    </row>
    <row r="3828" spans="20:25" x14ac:dyDescent="0.3">
      <c r="T3828" s="12"/>
      <c r="U3828" s="4"/>
      <c r="V3828" s="4"/>
      <c r="X3828" s="4"/>
      <c r="Y3828" s="4"/>
    </row>
    <row r="3829" spans="20:25" x14ac:dyDescent="0.3">
      <c r="T3829" s="12"/>
      <c r="U3829" s="4"/>
      <c r="V3829" s="4"/>
      <c r="X3829" s="4"/>
      <c r="Y3829" s="4"/>
    </row>
    <row r="3830" spans="20:25" x14ac:dyDescent="0.3">
      <c r="T3830" s="12"/>
      <c r="U3830" s="4"/>
      <c r="V3830" s="4"/>
      <c r="X3830" s="4"/>
      <c r="Y3830" s="4"/>
    </row>
    <row r="3831" spans="20:25" x14ac:dyDescent="0.3">
      <c r="T3831" s="12"/>
      <c r="U3831" s="4"/>
      <c r="V3831" s="4"/>
      <c r="X3831" s="4"/>
      <c r="Y3831" s="4"/>
    </row>
    <row r="3832" spans="20:25" x14ac:dyDescent="0.3">
      <c r="T3832" s="12"/>
      <c r="U3832" s="4"/>
      <c r="V3832" s="4"/>
      <c r="X3832" s="4"/>
      <c r="Y3832" s="4"/>
    </row>
    <row r="3833" spans="20:25" x14ac:dyDescent="0.3">
      <c r="T3833" s="12"/>
      <c r="U3833" s="4"/>
      <c r="V3833" s="4"/>
      <c r="X3833" s="4"/>
      <c r="Y3833" s="4"/>
    </row>
    <row r="3834" spans="20:25" x14ac:dyDescent="0.3">
      <c r="T3834" s="12"/>
      <c r="U3834" s="4"/>
      <c r="V3834" s="4"/>
      <c r="X3834" s="4"/>
      <c r="Y3834" s="4"/>
    </row>
    <row r="3835" spans="20:25" x14ac:dyDescent="0.3">
      <c r="T3835" s="12"/>
      <c r="U3835" s="4"/>
      <c r="V3835" s="4"/>
      <c r="X3835" s="4"/>
      <c r="Y3835" s="4"/>
    </row>
    <row r="3836" spans="20:25" x14ac:dyDescent="0.3">
      <c r="T3836" s="12"/>
      <c r="U3836" s="4"/>
      <c r="V3836" s="4"/>
      <c r="X3836" s="4"/>
      <c r="Y3836" s="4"/>
    </row>
    <row r="3837" spans="20:25" x14ac:dyDescent="0.3">
      <c r="T3837" s="12"/>
      <c r="U3837" s="4"/>
      <c r="V3837" s="4"/>
      <c r="X3837" s="4"/>
      <c r="Y3837" s="4"/>
    </row>
    <row r="3838" spans="20:25" x14ac:dyDescent="0.3">
      <c r="T3838" s="12"/>
      <c r="U3838" s="4"/>
      <c r="V3838" s="4"/>
      <c r="X3838" s="4"/>
      <c r="Y3838" s="4"/>
    </row>
    <row r="3839" spans="20:25" x14ac:dyDescent="0.3">
      <c r="T3839" s="12"/>
      <c r="U3839" s="4"/>
      <c r="V3839" s="4"/>
      <c r="X3839" s="4"/>
      <c r="Y3839" s="4"/>
    </row>
    <row r="3840" spans="20:25" x14ac:dyDescent="0.3">
      <c r="T3840" s="12"/>
      <c r="U3840" s="4"/>
      <c r="V3840" s="4"/>
      <c r="X3840" s="4"/>
      <c r="Y3840" s="4"/>
    </row>
    <row r="3841" spans="20:25" x14ac:dyDescent="0.3">
      <c r="T3841" s="12"/>
      <c r="U3841" s="4"/>
      <c r="V3841" s="4"/>
      <c r="X3841" s="4"/>
      <c r="Y3841" s="4"/>
    </row>
    <row r="3842" spans="20:25" x14ac:dyDescent="0.3">
      <c r="T3842" s="12"/>
      <c r="U3842" s="4"/>
      <c r="V3842" s="4"/>
      <c r="X3842" s="4"/>
      <c r="Y3842" s="4"/>
    </row>
    <row r="3843" spans="20:25" x14ac:dyDescent="0.3">
      <c r="T3843" s="12"/>
      <c r="U3843" s="4"/>
      <c r="V3843" s="4"/>
      <c r="X3843" s="4"/>
      <c r="Y3843" s="4"/>
    </row>
    <row r="3844" spans="20:25" x14ac:dyDescent="0.3">
      <c r="T3844" s="12"/>
      <c r="U3844" s="4"/>
      <c r="V3844" s="4"/>
      <c r="X3844" s="4"/>
      <c r="Y3844" s="4"/>
    </row>
    <row r="3845" spans="20:25" x14ac:dyDescent="0.3">
      <c r="T3845" s="12"/>
      <c r="U3845" s="4"/>
      <c r="V3845" s="4"/>
      <c r="X3845" s="4"/>
      <c r="Y3845" s="4"/>
    </row>
    <row r="3846" spans="20:25" x14ac:dyDescent="0.3">
      <c r="T3846" s="12"/>
      <c r="U3846" s="4"/>
      <c r="V3846" s="4"/>
      <c r="X3846" s="4"/>
      <c r="Y3846" s="4"/>
    </row>
    <row r="3847" spans="20:25" x14ac:dyDescent="0.3">
      <c r="T3847" s="12"/>
      <c r="U3847" s="4"/>
      <c r="V3847" s="4"/>
      <c r="X3847" s="4"/>
      <c r="Y3847" s="4"/>
    </row>
    <row r="3848" spans="20:25" x14ac:dyDescent="0.3">
      <c r="T3848" s="12"/>
      <c r="U3848" s="4"/>
      <c r="V3848" s="4"/>
      <c r="X3848" s="4"/>
      <c r="Y3848" s="4"/>
    </row>
    <row r="3849" spans="20:25" x14ac:dyDescent="0.3">
      <c r="T3849" s="12"/>
      <c r="U3849" s="4"/>
      <c r="V3849" s="4"/>
      <c r="X3849" s="4"/>
      <c r="Y3849" s="4"/>
    </row>
    <row r="3850" spans="20:25" x14ac:dyDescent="0.3">
      <c r="T3850" s="12"/>
      <c r="U3850" s="4"/>
      <c r="V3850" s="4"/>
      <c r="X3850" s="4"/>
      <c r="Y3850" s="4"/>
    </row>
    <row r="3851" spans="20:25" x14ac:dyDescent="0.3">
      <c r="T3851" s="12"/>
      <c r="U3851" s="4"/>
      <c r="V3851" s="4"/>
      <c r="X3851" s="4"/>
      <c r="Y3851" s="4"/>
    </row>
    <row r="3852" spans="20:25" x14ac:dyDescent="0.3">
      <c r="T3852" s="12"/>
      <c r="U3852" s="4"/>
      <c r="V3852" s="4"/>
      <c r="X3852" s="4"/>
      <c r="Y3852" s="4"/>
    </row>
    <row r="3853" spans="20:25" x14ac:dyDescent="0.3">
      <c r="T3853" s="12"/>
      <c r="U3853" s="4"/>
      <c r="V3853" s="4"/>
      <c r="X3853" s="4"/>
      <c r="Y3853" s="4"/>
    </row>
    <row r="3854" spans="20:25" x14ac:dyDescent="0.3">
      <c r="T3854" s="12"/>
      <c r="U3854" s="4"/>
      <c r="V3854" s="4"/>
      <c r="X3854" s="4"/>
      <c r="Y3854" s="4"/>
    </row>
    <row r="3855" spans="20:25" x14ac:dyDescent="0.3">
      <c r="T3855" s="12"/>
      <c r="U3855" s="4"/>
      <c r="V3855" s="4"/>
      <c r="X3855" s="4"/>
      <c r="Y3855" s="4"/>
    </row>
    <row r="3856" spans="20:25" x14ac:dyDescent="0.3">
      <c r="T3856" s="12"/>
      <c r="U3856" s="4"/>
      <c r="V3856" s="4"/>
      <c r="X3856" s="4"/>
      <c r="Y3856" s="4"/>
    </row>
    <row r="3857" spans="20:25" x14ac:dyDescent="0.3">
      <c r="T3857" s="12"/>
      <c r="U3857" s="4"/>
      <c r="V3857" s="4"/>
      <c r="X3857" s="4"/>
      <c r="Y3857" s="4"/>
    </row>
    <row r="3858" spans="20:25" x14ac:dyDescent="0.3">
      <c r="T3858" s="12"/>
      <c r="U3858" s="4"/>
      <c r="V3858" s="4"/>
      <c r="X3858" s="4"/>
      <c r="Y3858" s="4"/>
    </row>
    <row r="3859" spans="20:25" x14ac:dyDescent="0.3">
      <c r="T3859" s="12"/>
      <c r="U3859" s="4"/>
      <c r="V3859" s="4"/>
      <c r="X3859" s="4"/>
      <c r="Y3859" s="4"/>
    </row>
    <row r="3860" spans="20:25" x14ac:dyDescent="0.3">
      <c r="T3860" s="12"/>
      <c r="U3860" s="4"/>
      <c r="V3860" s="4"/>
      <c r="X3860" s="4"/>
      <c r="Y3860" s="4"/>
    </row>
    <row r="3861" spans="20:25" x14ac:dyDescent="0.3">
      <c r="T3861" s="12"/>
      <c r="U3861" s="4"/>
      <c r="V3861" s="4"/>
      <c r="X3861" s="4"/>
      <c r="Y3861" s="4"/>
    </row>
    <row r="3862" spans="20:25" x14ac:dyDescent="0.3">
      <c r="T3862" s="12"/>
      <c r="U3862" s="4"/>
      <c r="V3862" s="4"/>
      <c r="X3862" s="4"/>
      <c r="Y3862" s="4"/>
    </row>
    <row r="3863" spans="20:25" x14ac:dyDescent="0.3">
      <c r="T3863" s="12"/>
      <c r="U3863" s="4"/>
      <c r="V3863" s="4"/>
      <c r="X3863" s="4"/>
      <c r="Y3863" s="4"/>
    </row>
    <row r="3864" spans="20:25" x14ac:dyDescent="0.3">
      <c r="T3864" s="12"/>
      <c r="U3864" s="4"/>
      <c r="V3864" s="4"/>
      <c r="X3864" s="4"/>
      <c r="Y3864" s="4"/>
    </row>
    <row r="3865" spans="20:25" x14ac:dyDescent="0.3">
      <c r="T3865" s="12"/>
      <c r="U3865" s="4"/>
      <c r="V3865" s="4"/>
      <c r="X3865" s="4"/>
      <c r="Y3865" s="4"/>
    </row>
    <row r="3866" spans="20:25" x14ac:dyDescent="0.3">
      <c r="T3866" s="12"/>
      <c r="U3866" s="4"/>
      <c r="V3866" s="4"/>
      <c r="X3866" s="4"/>
      <c r="Y3866" s="4"/>
    </row>
    <row r="3867" spans="20:25" x14ac:dyDescent="0.3">
      <c r="T3867" s="12"/>
      <c r="U3867" s="4"/>
      <c r="V3867" s="4"/>
      <c r="X3867" s="4"/>
      <c r="Y3867" s="4"/>
    </row>
    <row r="3868" spans="20:25" x14ac:dyDescent="0.3">
      <c r="T3868" s="12"/>
      <c r="U3868" s="4"/>
      <c r="V3868" s="4"/>
      <c r="X3868" s="4"/>
      <c r="Y3868" s="4"/>
    </row>
    <row r="3869" spans="20:25" x14ac:dyDescent="0.3">
      <c r="T3869" s="12"/>
      <c r="U3869" s="4"/>
      <c r="V3869" s="4"/>
      <c r="X3869" s="4"/>
      <c r="Y3869" s="4"/>
    </row>
    <row r="3870" spans="20:25" x14ac:dyDescent="0.3">
      <c r="T3870" s="12"/>
      <c r="U3870" s="4"/>
      <c r="V3870" s="4"/>
      <c r="X3870" s="4"/>
      <c r="Y3870" s="4"/>
    </row>
    <row r="3871" spans="20:25" x14ac:dyDescent="0.3">
      <c r="T3871" s="12"/>
      <c r="U3871" s="4"/>
      <c r="V3871" s="4"/>
      <c r="X3871" s="4"/>
      <c r="Y3871" s="4"/>
    </row>
    <row r="3872" spans="20:25" x14ac:dyDescent="0.3">
      <c r="T3872" s="12"/>
      <c r="U3872" s="4"/>
      <c r="V3872" s="4"/>
      <c r="X3872" s="4"/>
      <c r="Y3872" s="4"/>
    </row>
    <row r="3873" spans="20:25" x14ac:dyDescent="0.3">
      <c r="T3873" s="12"/>
      <c r="U3873" s="4"/>
      <c r="V3873" s="4"/>
      <c r="X3873" s="4"/>
      <c r="Y3873" s="4"/>
    </row>
    <row r="3874" spans="20:25" x14ac:dyDescent="0.3">
      <c r="T3874" s="12"/>
      <c r="U3874" s="4"/>
      <c r="V3874" s="4"/>
      <c r="X3874" s="4"/>
      <c r="Y3874" s="4"/>
    </row>
    <row r="3875" spans="20:25" x14ac:dyDescent="0.3">
      <c r="T3875" s="12"/>
      <c r="U3875" s="4"/>
      <c r="V3875" s="4"/>
      <c r="X3875" s="4"/>
      <c r="Y3875" s="4"/>
    </row>
    <row r="3876" spans="20:25" x14ac:dyDescent="0.3">
      <c r="T3876" s="12"/>
      <c r="U3876" s="4"/>
      <c r="V3876" s="4"/>
      <c r="X3876" s="4"/>
      <c r="Y3876" s="4"/>
    </row>
    <row r="3877" spans="20:25" x14ac:dyDescent="0.3">
      <c r="T3877" s="12"/>
      <c r="U3877" s="4"/>
      <c r="V3877" s="4"/>
      <c r="X3877" s="4"/>
      <c r="Y3877" s="4"/>
    </row>
    <row r="3878" spans="20:25" x14ac:dyDescent="0.3">
      <c r="T3878" s="12"/>
      <c r="U3878" s="4"/>
      <c r="V3878" s="4"/>
      <c r="X3878" s="4"/>
      <c r="Y3878" s="4"/>
    </row>
    <row r="3879" spans="20:25" x14ac:dyDescent="0.3">
      <c r="T3879" s="12"/>
      <c r="U3879" s="4"/>
      <c r="V3879" s="4"/>
      <c r="X3879" s="4"/>
      <c r="Y3879" s="4"/>
    </row>
    <row r="3880" spans="20:25" x14ac:dyDescent="0.3">
      <c r="T3880" s="12"/>
      <c r="U3880" s="4"/>
      <c r="V3880" s="4"/>
      <c r="X3880" s="4"/>
      <c r="Y3880" s="4"/>
    </row>
    <row r="3881" spans="20:25" x14ac:dyDescent="0.3">
      <c r="T3881" s="12"/>
      <c r="U3881" s="4"/>
      <c r="V3881" s="4"/>
      <c r="X3881" s="4"/>
      <c r="Y3881" s="4"/>
    </row>
    <row r="3882" spans="20:25" x14ac:dyDescent="0.3">
      <c r="T3882" s="12"/>
      <c r="U3882" s="4"/>
      <c r="V3882" s="4"/>
      <c r="X3882" s="4"/>
      <c r="Y3882" s="4"/>
    </row>
    <row r="3883" spans="20:25" x14ac:dyDescent="0.3">
      <c r="T3883" s="12"/>
      <c r="U3883" s="4"/>
      <c r="V3883" s="4"/>
      <c r="X3883" s="4"/>
      <c r="Y3883" s="4"/>
    </row>
    <row r="3884" spans="20:25" x14ac:dyDescent="0.3">
      <c r="T3884" s="12"/>
      <c r="U3884" s="4"/>
      <c r="V3884" s="4"/>
      <c r="X3884" s="4"/>
      <c r="Y3884" s="4"/>
    </row>
    <row r="3885" spans="20:25" x14ac:dyDescent="0.3">
      <c r="T3885" s="12"/>
      <c r="U3885" s="4"/>
      <c r="V3885" s="4"/>
      <c r="X3885" s="4"/>
      <c r="Y3885" s="4"/>
    </row>
    <row r="3886" spans="20:25" x14ac:dyDescent="0.3">
      <c r="T3886" s="12"/>
      <c r="U3886" s="4"/>
      <c r="V3886" s="4"/>
      <c r="X3886" s="4"/>
      <c r="Y3886" s="4"/>
    </row>
    <row r="3887" spans="20:25" x14ac:dyDescent="0.3">
      <c r="T3887" s="12"/>
      <c r="U3887" s="4"/>
      <c r="V3887" s="4"/>
      <c r="X3887" s="4"/>
      <c r="Y3887" s="4"/>
    </row>
    <row r="3888" spans="20:25" x14ac:dyDescent="0.3">
      <c r="T3888" s="12"/>
      <c r="U3888" s="4"/>
      <c r="V3888" s="4"/>
      <c r="X3888" s="4"/>
      <c r="Y3888" s="4"/>
    </row>
    <row r="3889" spans="20:25" x14ac:dyDescent="0.3">
      <c r="T3889" s="12"/>
      <c r="U3889" s="4"/>
      <c r="V3889" s="4"/>
      <c r="X3889" s="4"/>
      <c r="Y3889" s="4"/>
    </row>
    <row r="3890" spans="20:25" x14ac:dyDescent="0.3">
      <c r="T3890" s="12"/>
      <c r="U3890" s="4"/>
      <c r="V3890" s="4"/>
      <c r="X3890" s="4"/>
      <c r="Y3890" s="4"/>
    </row>
    <row r="3891" spans="20:25" x14ac:dyDescent="0.3">
      <c r="T3891" s="12"/>
      <c r="U3891" s="4"/>
      <c r="V3891" s="4"/>
      <c r="X3891" s="4"/>
      <c r="Y3891" s="4"/>
    </row>
    <row r="3892" spans="20:25" x14ac:dyDescent="0.3">
      <c r="T3892" s="12"/>
      <c r="U3892" s="4"/>
      <c r="V3892" s="4"/>
      <c r="X3892" s="4"/>
      <c r="Y3892" s="4"/>
    </row>
    <row r="3893" spans="20:25" x14ac:dyDescent="0.3">
      <c r="T3893" s="12"/>
      <c r="U3893" s="4"/>
      <c r="V3893" s="4"/>
      <c r="X3893" s="4"/>
      <c r="Y3893" s="4"/>
    </row>
    <row r="3894" spans="20:25" x14ac:dyDescent="0.3">
      <c r="T3894" s="12"/>
      <c r="U3894" s="4"/>
      <c r="V3894" s="4"/>
      <c r="X3894" s="4"/>
      <c r="Y3894" s="4"/>
    </row>
    <row r="3895" spans="20:25" x14ac:dyDescent="0.3">
      <c r="T3895" s="12"/>
      <c r="U3895" s="4"/>
      <c r="V3895" s="4"/>
      <c r="X3895" s="4"/>
      <c r="Y3895" s="4"/>
    </row>
    <row r="3896" spans="20:25" x14ac:dyDescent="0.3">
      <c r="T3896" s="12"/>
      <c r="U3896" s="4"/>
      <c r="V3896" s="4"/>
      <c r="X3896" s="4"/>
      <c r="Y3896" s="4"/>
    </row>
    <row r="3897" spans="20:25" x14ac:dyDescent="0.3">
      <c r="T3897" s="12"/>
      <c r="U3897" s="4"/>
      <c r="V3897" s="4"/>
      <c r="X3897" s="4"/>
      <c r="Y3897" s="4"/>
    </row>
    <row r="3898" spans="20:25" x14ac:dyDescent="0.3">
      <c r="T3898" s="12"/>
      <c r="U3898" s="4"/>
      <c r="V3898" s="4"/>
      <c r="X3898" s="4"/>
      <c r="Y3898" s="4"/>
    </row>
    <row r="3899" spans="20:25" x14ac:dyDescent="0.3">
      <c r="T3899" s="12"/>
      <c r="U3899" s="4"/>
      <c r="V3899" s="4"/>
      <c r="X3899" s="4"/>
      <c r="Y3899" s="4"/>
    </row>
    <row r="3900" spans="20:25" x14ac:dyDescent="0.3">
      <c r="T3900" s="12"/>
      <c r="U3900" s="4"/>
      <c r="V3900" s="4"/>
      <c r="X3900" s="4"/>
      <c r="Y3900" s="4"/>
    </row>
    <row r="3901" spans="20:25" x14ac:dyDescent="0.3">
      <c r="T3901" s="12"/>
      <c r="U3901" s="4"/>
      <c r="V3901" s="4"/>
      <c r="X3901" s="4"/>
      <c r="Y3901" s="4"/>
    </row>
    <row r="3902" spans="20:25" x14ac:dyDescent="0.3">
      <c r="T3902" s="12"/>
      <c r="U3902" s="4"/>
      <c r="V3902" s="4"/>
      <c r="X3902" s="4"/>
      <c r="Y3902" s="4"/>
    </row>
    <row r="3903" spans="20:25" x14ac:dyDescent="0.3">
      <c r="T3903" s="12"/>
      <c r="U3903" s="4"/>
      <c r="V3903" s="4"/>
      <c r="X3903" s="4"/>
      <c r="Y3903" s="4"/>
    </row>
    <row r="3904" spans="20:25" x14ac:dyDescent="0.3">
      <c r="T3904" s="12"/>
      <c r="U3904" s="4"/>
      <c r="V3904" s="4"/>
      <c r="X3904" s="4"/>
      <c r="Y3904" s="4"/>
    </row>
    <row r="3905" spans="20:25" x14ac:dyDescent="0.3">
      <c r="T3905" s="12"/>
      <c r="U3905" s="4"/>
      <c r="V3905" s="4"/>
      <c r="X3905" s="4"/>
      <c r="Y3905" s="4"/>
    </row>
    <row r="3906" spans="20:25" x14ac:dyDescent="0.3">
      <c r="T3906" s="12"/>
      <c r="U3906" s="4"/>
      <c r="V3906" s="4"/>
      <c r="X3906" s="4"/>
      <c r="Y3906" s="4"/>
    </row>
    <row r="3907" spans="20:25" x14ac:dyDescent="0.3">
      <c r="T3907" s="12"/>
      <c r="U3907" s="4"/>
      <c r="V3907" s="4"/>
      <c r="X3907" s="4"/>
      <c r="Y3907" s="4"/>
    </row>
    <row r="3908" spans="20:25" x14ac:dyDescent="0.3">
      <c r="T3908" s="12"/>
      <c r="U3908" s="4"/>
      <c r="V3908" s="4"/>
      <c r="X3908" s="4"/>
      <c r="Y3908" s="4"/>
    </row>
    <row r="3909" spans="20:25" x14ac:dyDescent="0.3">
      <c r="T3909" s="12"/>
      <c r="U3909" s="4"/>
      <c r="V3909" s="4"/>
      <c r="X3909" s="4"/>
      <c r="Y3909" s="4"/>
    </row>
    <row r="3910" spans="20:25" x14ac:dyDescent="0.3">
      <c r="T3910" s="12"/>
      <c r="U3910" s="4"/>
      <c r="V3910" s="4"/>
      <c r="X3910" s="4"/>
      <c r="Y3910" s="4"/>
    </row>
    <row r="3911" spans="20:25" x14ac:dyDescent="0.3">
      <c r="T3911" s="12"/>
      <c r="U3911" s="4"/>
      <c r="V3911" s="4"/>
      <c r="X3911" s="4"/>
      <c r="Y3911" s="4"/>
    </row>
    <row r="3912" spans="20:25" x14ac:dyDescent="0.3">
      <c r="T3912" s="12"/>
      <c r="U3912" s="4"/>
      <c r="V3912" s="4"/>
      <c r="X3912" s="4"/>
      <c r="Y3912" s="4"/>
    </row>
    <row r="3913" spans="20:25" x14ac:dyDescent="0.3">
      <c r="T3913" s="12"/>
      <c r="U3913" s="4"/>
      <c r="V3913" s="4"/>
      <c r="X3913" s="4"/>
      <c r="Y3913" s="4"/>
    </row>
    <row r="3914" spans="20:25" x14ac:dyDescent="0.3">
      <c r="T3914" s="12"/>
      <c r="U3914" s="4"/>
      <c r="V3914" s="4"/>
      <c r="X3914" s="4"/>
      <c r="Y3914" s="4"/>
    </row>
    <row r="3915" spans="20:25" x14ac:dyDescent="0.3">
      <c r="T3915" s="12"/>
      <c r="U3915" s="4"/>
      <c r="V3915" s="4"/>
      <c r="X3915" s="4"/>
      <c r="Y3915" s="4"/>
    </row>
    <row r="3916" spans="20:25" x14ac:dyDescent="0.3">
      <c r="T3916" s="12"/>
      <c r="U3916" s="4"/>
      <c r="V3916" s="4"/>
      <c r="X3916" s="4"/>
      <c r="Y3916" s="4"/>
    </row>
    <row r="3917" spans="20:25" x14ac:dyDescent="0.3">
      <c r="T3917" s="12"/>
      <c r="U3917" s="4"/>
      <c r="V3917" s="4"/>
      <c r="X3917" s="4"/>
      <c r="Y3917" s="4"/>
    </row>
    <row r="3918" spans="20:25" x14ac:dyDescent="0.3">
      <c r="T3918" s="12"/>
      <c r="U3918" s="4"/>
      <c r="V3918" s="4"/>
      <c r="X3918" s="4"/>
      <c r="Y3918" s="4"/>
    </row>
    <row r="3919" spans="20:25" x14ac:dyDescent="0.3">
      <c r="T3919" s="12"/>
      <c r="U3919" s="4"/>
      <c r="V3919" s="4"/>
      <c r="X3919" s="4"/>
      <c r="Y3919" s="4"/>
    </row>
    <row r="3920" spans="20:25" x14ac:dyDescent="0.3">
      <c r="T3920" s="12"/>
      <c r="U3920" s="4"/>
      <c r="V3920" s="4"/>
      <c r="X3920" s="4"/>
      <c r="Y3920" s="4"/>
    </row>
    <row r="3921" spans="20:25" x14ac:dyDescent="0.3">
      <c r="T3921" s="12"/>
      <c r="U3921" s="4"/>
      <c r="V3921" s="4"/>
      <c r="X3921" s="4"/>
      <c r="Y3921" s="4"/>
    </row>
    <row r="3922" spans="20:25" x14ac:dyDescent="0.3">
      <c r="T3922" s="12"/>
      <c r="U3922" s="4"/>
      <c r="V3922" s="4"/>
      <c r="X3922" s="4"/>
      <c r="Y3922" s="4"/>
    </row>
    <row r="3923" spans="20:25" x14ac:dyDescent="0.3">
      <c r="T3923" s="12"/>
      <c r="U3923" s="4"/>
      <c r="V3923" s="4"/>
      <c r="X3923" s="4"/>
      <c r="Y3923" s="4"/>
    </row>
    <row r="3924" spans="20:25" x14ac:dyDescent="0.3">
      <c r="T3924" s="12"/>
      <c r="U3924" s="4"/>
      <c r="V3924" s="4"/>
      <c r="X3924" s="4"/>
      <c r="Y3924" s="4"/>
    </row>
    <row r="3925" spans="20:25" x14ac:dyDescent="0.3">
      <c r="T3925" s="12"/>
      <c r="U3925" s="4"/>
      <c r="V3925" s="4"/>
      <c r="X3925" s="4"/>
      <c r="Y3925" s="4"/>
    </row>
    <row r="3926" spans="20:25" x14ac:dyDescent="0.3">
      <c r="T3926" s="12"/>
      <c r="U3926" s="4"/>
      <c r="V3926" s="4"/>
      <c r="X3926" s="4"/>
      <c r="Y3926" s="4"/>
    </row>
    <row r="3927" spans="20:25" x14ac:dyDescent="0.3">
      <c r="T3927" s="12"/>
      <c r="U3927" s="4"/>
      <c r="V3927" s="4"/>
      <c r="X3927" s="4"/>
      <c r="Y3927" s="4"/>
    </row>
    <row r="3928" spans="20:25" x14ac:dyDescent="0.3">
      <c r="T3928" s="12"/>
      <c r="U3928" s="4"/>
      <c r="V3928" s="4"/>
      <c r="X3928" s="4"/>
      <c r="Y3928" s="4"/>
    </row>
    <row r="3929" spans="20:25" x14ac:dyDescent="0.3">
      <c r="T3929" s="12"/>
      <c r="U3929" s="4"/>
      <c r="V3929" s="4"/>
      <c r="X3929" s="4"/>
      <c r="Y3929" s="4"/>
    </row>
    <row r="3930" spans="20:25" x14ac:dyDescent="0.3">
      <c r="T3930" s="12"/>
      <c r="U3930" s="4"/>
      <c r="V3930" s="4"/>
      <c r="X3930" s="4"/>
      <c r="Y3930" s="4"/>
    </row>
    <row r="3931" spans="20:25" x14ac:dyDescent="0.3">
      <c r="T3931" s="12"/>
      <c r="U3931" s="4"/>
      <c r="V3931" s="4"/>
      <c r="X3931" s="4"/>
      <c r="Y3931" s="4"/>
    </row>
    <row r="3932" spans="20:25" x14ac:dyDescent="0.3">
      <c r="T3932" s="12"/>
      <c r="U3932" s="4"/>
      <c r="V3932" s="4"/>
      <c r="X3932" s="4"/>
      <c r="Y3932" s="4"/>
    </row>
    <row r="3933" spans="20:25" x14ac:dyDescent="0.3">
      <c r="T3933" s="12"/>
      <c r="U3933" s="4"/>
      <c r="V3933" s="4"/>
      <c r="X3933" s="4"/>
      <c r="Y3933" s="4"/>
    </row>
    <row r="3934" spans="20:25" x14ac:dyDescent="0.3">
      <c r="T3934" s="12"/>
      <c r="U3934" s="4"/>
      <c r="V3934" s="4"/>
      <c r="X3934" s="4"/>
      <c r="Y3934" s="4"/>
    </row>
    <row r="3935" spans="20:25" x14ac:dyDescent="0.3">
      <c r="T3935" s="12"/>
      <c r="U3935" s="4"/>
      <c r="V3935" s="4"/>
      <c r="X3935" s="4"/>
      <c r="Y3935" s="4"/>
    </row>
    <row r="3936" spans="20:25" x14ac:dyDescent="0.3">
      <c r="T3936" s="12"/>
      <c r="U3936" s="4"/>
      <c r="V3936" s="4"/>
      <c r="X3936" s="4"/>
      <c r="Y3936" s="4"/>
    </row>
    <row r="3937" spans="20:25" x14ac:dyDescent="0.3">
      <c r="T3937" s="12"/>
      <c r="U3937" s="4"/>
      <c r="V3937" s="4"/>
      <c r="X3937" s="4"/>
      <c r="Y3937" s="4"/>
    </row>
    <row r="3938" spans="20:25" x14ac:dyDescent="0.3">
      <c r="T3938" s="12"/>
      <c r="U3938" s="4"/>
      <c r="V3938" s="4"/>
      <c r="X3938" s="4"/>
      <c r="Y3938" s="4"/>
    </row>
    <row r="3939" spans="20:25" x14ac:dyDescent="0.3">
      <c r="T3939" s="12"/>
      <c r="U3939" s="4"/>
      <c r="V3939" s="4"/>
      <c r="X3939" s="4"/>
      <c r="Y3939" s="4"/>
    </row>
    <row r="3940" spans="20:25" x14ac:dyDescent="0.3">
      <c r="T3940" s="12"/>
      <c r="U3940" s="4"/>
      <c r="V3940" s="4"/>
      <c r="X3940" s="4"/>
      <c r="Y3940" s="4"/>
    </row>
    <row r="3941" spans="20:25" x14ac:dyDescent="0.3">
      <c r="T3941" s="12"/>
      <c r="U3941" s="4"/>
      <c r="V3941" s="4"/>
      <c r="X3941" s="4"/>
      <c r="Y3941" s="4"/>
    </row>
    <row r="3942" spans="20:25" x14ac:dyDescent="0.3">
      <c r="T3942" s="12"/>
      <c r="U3942" s="4"/>
      <c r="V3942" s="4"/>
      <c r="X3942" s="4"/>
      <c r="Y3942" s="4"/>
    </row>
    <row r="3943" spans="20:25" x14ac:dyDescent="0.3">
      <c r="T3943" s="12"/>
      <c r="U3943" s="4"/>
      <c r="V3943" s="4"/>
      <c r="X3943" s="4"/>
      <c r="Y3943" s="4"/>
    </row>
    <row r="3944" spans="20:25" x14ac:dyDescent="0.3">
      <c r="T3944" s="12"/>
      <c r="U3944" s="4"/>
      <c r="V3944" s="4"/>
      <c r="X3944" s="4"/>
      <c r="Y3944" s="4"/>
    </row>
    <row r="3945" spans="20:25" x14ac:dyDescent="0.3">
      <c r="T3945" s="12"/>
      <c r="U3945" s="4"/>
      <c r="V3945" s="4"/>
      <c r="X3945" s="4"/>
      <c r="Y3945" s="4"/>
    </row>
    <row r="3946" spans="20:25" x14ac:dyDescent="0.3">
      <c r="T3946" s="12"/>
      <c r="U3946" s="4"/>
      <c r="V3946" s="4"/>
      <c r="X3946" s="4"/>
      <c r="Y3946" s="4"/>
    </row>
    <row r="3947" spans="20:25" x14ac:dyDescent="0.3">
      <c r="T3947" s="12"/>
      <c r="U3947" s="4"/>
      <c r="V3947" s="4"/>
      <c r="X3947" s="4"/>
      <c r="Y3947" s="4"/>
    </row>
    <row r="3948" spans="20:25" x14ac:dyDescent="0.3">
      <c r="T3948" s="12"/>
      <c r="U3948" s="4"/>
      <c r="V3948" s="4"/>
      <c r="X3948" s="4"/>
      <c r="Y3948" s="4"/>
    </row>
    <row r="3949" spans="20:25" x14ac:dyDescent="0.3">
      <c r="T3949" s="12"/>
      <c r="U3949" s="4"/>
      <c r="V3949" s="4"/>
      <c r="X3949" s="4"/>
      <c r="Y3949" s="4"/>
    </row>
    <row r="3950" spans="20:25" x14ac:dyDescent="0.3">
      <c r="T3950" s="12"/>
      <c r="U3950" s="4"/>
      <c r="V3950" s="4"/>
      <c r="X3950" s="4"/>
      <c r="Y3950" s="4"/>
    </row>
    <row r="3951" spans="20:25" x14ac:dyDescent="0.3">
      <c r="T3951" s="12"/>
      <c r="U3951" s="4"/>
      <c r="V3951" s="4"/>
      <c r="X3951" s="4"/>
      <c r="Y3951" s="4"/>
    </row>
    <row r="3952" spans="20:25" x14ac:dyDescent="0.3">
      <c r="T3952" s="12"/>
      <c r="U3952" s="4"/>
      <c r="V3952" s="4"/>
      <c r="X3952" s="4"/>
      <c r="Y3952" s="4"/>
    </row>
    <row r="3953" spans="20:25" x14ac:dyDescent="0.3">
      <c r="T3953" s="12"/>
      <c r="U3953" s="4"/>
      <c r="V3953" s="4"/>
      <c r="X3953" s="4"/>
      <c r="Y3953" s="4"/>
    </row>
    <row r="3954" spans="20:25" x14ac:dyDescent="0.3">
      <c r="T3954" s="12"/>
      <c r="U3954" s="4"/>
      <c r="V3954" s="4"/>
      <c r="X3954" s="4"/>
      <c r="Y3954" s="4"/>
    </row>
    <row r="3955" spans="20:25" x14ac:dyDescent="0.3">
      <c r="T3955" s="12"/>
      <c r="U3955" s="4"/>
      <c r="V3955" s="4"/>
      <c r="X3955" s="4"/>
      <c r="Y3955" s="4"/>
    </row>
    <row r="3956" spans="20:25" x14ac:dyDescent="0.3">
      <c r="T3956" s="12"/>
      <c r="U3956" s="4"/>
      <c r="V3956" s="4"/>
      <c r="X3956" s="4"/>
      <c r="Y3956" s="4"/>
    </row>
    <row r="3957" spans="20:25" x14ac:dyDescent="0.3">
      <c r="T3957" s="12"/>
      <c r="U3957" s="4"/>
      <c r="V3957" s="4"/>
      <c r="X3957" s="4"/>
      <c r="Y3957" s="4"/>
    </row>
    <row r="3958" spans="20:25" x14ac:dyDescent="0.3">
      <c r="T3958" s="12"/>
      <c r="U3958" s="4"/>
      <c r="V3958" s="4"/>
      <c r="X3958" s="4"/>
      <c r="Y3958" s="4"/>
    </row>
    <row r="3959" spans="20:25" x14ac:dyDescent="0.3">
      <c r="T3959" s="12"/>
      <c r="U3959" s="4"/>
      <c r="V3959" s="4"/>
      <c r="X3959" s="4"/>
      <c r="Y3959" s="4"/>
    </row>
    <row r="3960" spans="20:25" x14ac:dyDescent="0.3">
      <c r="T3960" s="12"/>
      <c r="U3960" s="4"/>
      <c r="V3960" s="4"/>
      <c r="X3960" s="4"/>
      <c r="Y3960" s="4"/>
    </row>
    <row r="3961" spans="20:25" x14ac:dyDescent="0.3">
      <c r="T3961" s="12"/>
      <c r="U3961" s="4"/>
      <c r="V3961" s="4"/>
      <c r="X3961" s="4"/>
      <c r="Y3961" s="4"/>
    </row>
    <row r="3962" spans="20:25" x14ac:dyDescent="0.3">
      <c r="T3962" s="12"/>
      <c r="U3962" s="4"/>
      <c r="V3962" s="4"/>
      <c r="X3962" s="4"/>
      <c r="Y3962" s="4"/>
    </row>
    <row r="3963" spans="20:25" x14ac:dyDescent="0.3">
      <c r="T3963" s="12"/>
      <c r="U3963" s="4"/>
      <c r="V3963" s="4"/>
      <c r="X3963" s="4"/>
      <c r="Y3963" s="4"/>
    </row>
    <row r="3964" spans="20:25" x14ac:dyDescent="0.3">
      <c r="T3964" s="12"/>
      <c r="U3964" s="4"/>
      <c r="V3964" s="4"/>
      <c r="X3964" s="4"/>
      <c r="Y3964" s="4"/>
    </row>
    <row r="3965" spans="20:25" x14ac:dyDescent="0.3">
      <c r="T3965" s="12"/>
      <c r="U3965" s="4"/>
      <c r="V3965" s="4"/>
      <c r="X3965" s="4"/>
      <c r="Y3965" s="4"/>
    </row>
    <row r="3966" spans="20:25" x14ac:dyDescent="0.3">
      <c r="T3966" s="12"/>
      <c r="U3966" s="4"/>
      <c r="V3966" s="4"/>
      <c r="X3966" s="4"/>
      <c r="Y3966" s="4"/>
    </row>
    <row r="3967" spans="20:25" x14ac:dyDescent="0.3">
      <c r="T3967" s="12"/>
      <c r="U3967" s="4"/>
      <c r="V3967" s="4"/>
      <c r="X3967" s="4"/>
      <c r="Y3967" s="4"/>
    </row>
    <row r="3968" spans="20:25" x14ac:dyDescent="0.3">
      <c r="T3968" s="12"/>
      <c r="U3968" s="4"/>
      <c r="V3968" s="4"/>
      <c r="X3968" s="4"/>
      <c r="Y3968" s="4"/>
    </row>
    <row r="3969" spans="20:25" x14ac:dyDescent="0.3">
      <c r="T3969" s="12"/>
      <c r="U3969" s="4"/>
      <c r="V3969" s="4"/>
      <c r="X3969" s="4"/>
      <c r="Y3969" s="4"/>
    </row>
    <row r="3970" spans="20:25" x14ac:dyDescent="0.3">
      <c r="T3970" s="12"/>
      <c r="U3970" s="4"/>
      <c r="V3970" s="4"/>
      <c r="X3970" s="4"/>
      <c r="Y3970" s="4"/>
    </row>
    <row r="3971" spans="20:25" x14ac:dyDescent="0.3">
      <c r="T3971" s="12"/>
      <c r="U3971" s="4"/>
      <c r="V3971" s="4"/>
      <c r="X3971" s="4"/>
      <c r="Y3971" s="4"/>
    </row>
    <row r="3972" spans="20:25" x14ac:dyDescent="0.3">
      <c r="T3972" s="12"/>
      <c r="U3972" s="4"/>
      <c r="V3972" s="4"/>
      <c r="X3972" s="4"/>
      <c r="Y3972" s="4"/>
    </row>
    <row r="3973" spans="20:25" x14ac:dyDescent="0.3">
      <c r="T3973" s="12"/>
      <c r="U3973" s="4"/>
      <c r="V3973" s="4"/>
      <c r="X3973" s="4"/>
      <c r="Y3973" s="4"/>
    </row>
    <row r="3974" spans="20:25" x14ac:dyDescent="0.3">
      <c r="T3974" s="12"/>
      <c r="U3974" s="4"/>
      <c r="V3974" s="4"/>
      <c r="X3974" s="4"/>
      <c r="Y3974" s="4"/>
    </row>
    <row r="3975" spans="20:25" x14ac:dyDescent="0.3">
      <c r="T3975" s="12"/>
      <c r="U3975" s="4"/>
      <c r="V3975" s="4"/>
      <c r="X3975" s="4"/>
      <c r="Y3975" s="4"/>
    </row>
    <row r="3976" spans="20:25" x14ac:dyDescent="0.3">
      <c r="T3976" s="12"/>
      <c r="U3976" s="4"/>
      <c r="V3976" s="4"/>
      <c r="X3976" s="4"/>
      <c r="Y3976" s="4"/>
    </row>
    <row r="3977" spans="20:25" x14ac:dyDescent="0.3">
      <c r="T3977" s="12"/>
      <c r="U3977" s="4"/>
      <c r="V3977" s="4"/>
      <c r="X3977" s="4"/>
      <c r="Y3977" s="4"/>
    </row>
    <row r="3978" spans="20:25" x14ac:dyDescent="0.3">
      <c r="T3978" s="12"/>
      <c r="U3978" s="4"/>
      <c r="V3978" s="4"/>
      <c r="X3978" s="4"/>
      <c r="Y3978" s="4"/>
    </row>
    <row r="3979" spans="20:25" x14ac:dyDescent="0.3">
      <c r="T3979" s="12"/>
      <c r="U3979" s="4"/>
      <c r="V3979" s="4"/>
      <c r="X3979" s="4"/>
      <c r="Y3979" s="4"/>
    </row>
    <row r="3980" spans="20:25" x14ac:dyDescent="0.3">
      <c r="T3980" s="12"/>
      <c r="U3980" s="4"/>
      <c r="V3980" s="4"/>
      <c r="X3980" s="4"/>
      <c r="Y3980" s="4"/>
    </row>
    <row r="3981" spans="20:25" x14ac:dyDescent="0.3">
      <c r="T3981" s="12"/>
      <c r="U3981" s="4"/>
      <c r="V3981" s="4"/>
      <c r="X3981" s="4"/>
      <c r="Y3981" s="4"/>
    </row>
    <row r="3982" spans="20:25" x14ac:dyDescent="0.3">
      <c r="T3982" s="12"/>
      <c r="U3982" s="4"/>
      <c r="V3982" s="4"/>
      <c r="X3982" s="4"/>
      <c r="Y3982" s="4"/>
    </row>
    <row r="3983" spans="20:25" x14ac:dyDescent="0.3">
      <c r="T3983" s="12"/>
      <c r="U3983" s="4"/>
      <c r="V3983" s="4"/>
      <c r="X3983" s="4"/>
      <c r="Y3983" s="4"/>
    </row>
    <row r="3984" spans="20:25" x14ac:dyDescent="0.3">
      <c r="T3984" s="12"/>
      <c r="U3984" s="4"/>
      <c r="V3984" s="4"/>
      <c r="X3984" s="4"/>
      <c r="Y3984" s="4"/>
    </row>
    <row r="3985" spans="20:25" x14ac:dyDescent="0.3">
      <c r="T3985" s="12"/>
      <c r="U3985" s="4"/>
      <c r="V3985" s="4"/>
      <c r="X3985" s="4"/>
      <c r="Y3985" s="4"/>
    </row>
    <row r="3986" spans="20:25" x14ac:dyDescent="0.3">
      <c r="T3986" s="12"/>
      <c r="U3986" s="4"/>
      <c r="V3986" s="4"/>
      <c r="X3986" s="4"/>
      <c r="Y3986" s="4"/>
    </row>
    <row r="3987" spans="20:25" x14ac:dyDescent="0.3">
      <c r="T3987" s="12"/>
      <c r="U3987" s="4"/>
      <c r="V3987" s="4"/>
      <c r="X3987" s="4"/>
      <c r="Y3987" s="4"/>
    </row>
    <row r="3988" spans="20:25" x14ac:dyDescent="0.3">
      <c r="T3988" s="12"/>
      <c r="U3988" s="4"/>
      <c r="V3988" s="4"/>
      <c r="X3988" s="4"/>
      <c r="Y3988" s="4"/>
    </row>
    <row r="3989" spans="20:25" x14ac:dyDescent="0.3">
      <c r="T3989" s="12"/>
      <c r="U3989" s="4"/>
      <c r="V3989" s="4"/>
      <c r="X3989" s="4"/>
      <c r="Y3989" s="4"/>
    </row>
    <row r="3990" spans="20:25" x14ac:dyDescent="0.3">
      <c r="T3990" s="12"/>
      <c r="U3990" s="4"/>
      <c r="V3990" s="4"/>
      <c r="X3990" s="4"/>
      <c r="Y3990" s="4"/>
    </row>
    <row r="3991" spans="20:25" x14ac:dyDescent="0.3">
      <c r="T3991" s="12"/>
      <c r="U3991" s="4"/>
      <c r="V3991" s="4"/>
      <c r="X3991" s="4"/>
      <c r="Y3991" s="4"/>
    </row>
    <row r="3992" spans="20:25" x14ac:dyDescent="0.3">
      <c r="T3992" s="12"/>
      <c r="U3992" s="4"/>
      <c r="V3992" s="4"/>
      <c r="X3992" s="4"/>
      <c r="Y3992" s="4"/>
    </row>
    <row r="3993" spans="20:25" x14ac:dyDescent="0.3">
      <c r="T3993" s="12"/>
      <c r="U3993" s="4"/>
      <c r="V3993" s="4"/>
      <c r="X3993" s="4"/>
      <c r="Y3993" s="4"/>
    </row>
    <row r="3994" spans="20:25" x14ac:dyDescent="0.3">
      <c r="T3994" s="12"/>
      <c r="U3994" s="4"/>
      <c r="V3994" s="4"/>
      <c r="X3994" s="4"/>
      <c r="Y3994" s="4"/>
    </row>
    <row r="3995" spans="20:25" x14ac:dyDescent="0.3">
      <c r="T3995" s="12"/>
      <c r="U3995" s="4"/>
      <c r="V3995" s="4"/>
      <c r="X3995" s="4"/>
      <c r="Y3995" s="4"/>
    </row>
    <row r="3996" spans="20:25" x14ac:dyDescent="0.3">
      <c r="T3996" s="12"/>
      <c r="U3996" s="4"/>
      <c r="V3996" s="4"/>
      <c r="X3996" s="4"/>
      <c r="Y3996" s="4"/>
    </row>
    <row r="3997" spans="20:25" x14ac:dyDescent="0.3">
      <c r="T3997" s="12"/>
      <c r="U3997" s="4"/>
      <c r="V3997" s="4"/>
      <c r="X3997" s="4"/>
      <c r="Y3997" s="4"/>
    </row>
    <row r="3998" spans="20:25" x14ac:dyDescent="0.3">
      <c r="T3998" s="12"/>
      <c r="U3998" s="4"/>
      <c r="V3998" s="4"/>
      <c r="X3998" s="4"/>
      <c r="Y3998" s="4"/>
    </row>
    <row r="3999" spans="20:25" x14ac:dyDescent="0.3">
      <c r="T3999" s="12"/>
      <c r="U3999" s="4"/>
      <c r="V3999" s="4"/>
      <c r="X3999" s="4"/>
      <c r="Y3999" s="4"/>
    </row>
    <row r="4000" spans="20:25" x14ac:dyDescent="0.3">
      <c r="T4000" s="12"/>
      <c r="U4000" s="4"/>
      <c r="V4000" s="4"/>
      <c r="X4000" s="4"/>
      <c r="Y4000" s="4"/>
    </row>
    <row r="4001" spans="20:25" x14ac:dyDescent="0.3">
      <c r="T4001" s="12"/>
      <c r="U4001" s="4"/>
      <c r="V4001" s="4"/>
      <c r="X4001" s="4"/>
      <c r="Y4001" s="4"/>
    </row>
    <row r="4002" spans="20:25" x14ac:dyDescent="0.3">
      <c r="T4002" s="12"/>
      <c r="U4002" s="4"/>
      <c r="V4002" s="4"/>
      <c r="X4002" s="4"/>
      <c r="Y4002" s="4"/>
    </row>
    <row r="4003" spans="20:25" x14ac:dyDescent="0.3">
      <c r="T4003" s="12"/>
      <c r="U4003" s="4"/>
      <c r="V4003" s="4"/>
      <c r="X4003" s="4"/>
      <c r="Y4003" s="4"/>
    </row>
    <row r="4004" spans="20:25" x14ac:dyDescent="0.3">
      <c r="T4004" s="12"/>
      <c r="U4004" s="4"/>
      <c r="V4004" s="4"/>
      <c r="X4004" s="4"/>
      <c r="Y4004" s="4"/>
    </row>
    <row r="4005" spans="20:25" x14ac:dyDescent="0.3">
      <c r="T4005" s="12"/>
      <c r="U4005" s="4"/>
      <c r="V4005" s="4"/>
      <c r="X4005" s="4"/>
      <c r="Y4005" s="4"/>
    </row>
    <row r="4006" spans="20:25" x14ac:dyDescent="0.3">
      <c r="T4006" s="12"/>
      <c r="U4006" s="4"/>
      <c r="V4006" s="4"/>
      <c r="X4006" s="4"/>
      <c r="Y4006" s="4"/>
    </row>
    <row r="4007" spans="20:25" x14ac:dyDescent="0.3">
      <c r="T4007" s="12"/>
      <c r="U4007" s="4"/>
      <c r="V4007" s="4"/>
      <c r="X4007" s="4"/>
      <c r="Y4007" s="4"/>
    </row>
    <row r="4008" spans="20:25" x14ac:dyDescent="0.3">
      <c r="T4008" s="12"/>
      <c r="U4008" s="4"/>
      <c r="V4008" s="4"/>
      <c r="X4008" s="4"/>
      <c r="Y4008" s="4"/>
    </row>
    <row r="4009" spans="20:25" x14ac:dyDescent="0.3">
      <c r="T4009" s="12"/>
      <c r="U4009" s="4"/>
      <c r="V4009" s="4"/>
      <c r="X4009" s="4"/>
      <c r="Y4009" s="4"/>
    </row>
    <row r="4010" spans="20:25" x14ac:dyDescent="0.3">
      <c r="T4010" s="12"/>
      <c r="U4010" s="4"/>
      <c r="V4010" s="4"/>
      <c r="X4010" s="4"/>
      <c r="Y4010" s="4"/>
    </row>
    <row r="4011" spans="20:25" x14ac:dyDescent="0.3">
      <c r="T4011" s="12"/>
      <c r="U4011" s="4"/>
      <c r="V4011" s="4"/>
      <c r="X4011" s="4"/>
      <c r="Y4011" s="4"/>
    </row>
    <row r="4012" spans="20:25" x14ac:dyDescent="0.3">
      <c r="T4012" s="12"/>
      <c r="U4012" s="4"/>
      <c r="V4012" s="4"/>
      <c r="X4012" s="4"/>
      <c r="Y4012" s="4"/>
    </row>
    <row r="4013" spans="20:25" x14ac:dyDescent="0.3">
      <c r="T4013" s="12"/>
      <c r="U4013" s="4"/>
      <c r="V4013" s="4"/>
      <c r="X4013" s="4"/>
      <c r="Y4013" s="4"/>
    </row>
    <row r="4014" spans="20:25" x14ac:dyDescent="0.3">
      <c r="T4014" s="12"/>
      <c r="U4014" s="4"/>
      <c r="V4014" s="4"/>
      <c r="X4014" s="4"/>
      <c r="Y4014" s="4"/>
    </row>
    <row r="4015" spans="20:25" x14ac:dyDescent="0.3">
      <c r="T4015" s="12"/>
      <c r="U4015" s="4"/>
      <c r="V4015" s="4"/>
      <c r="X4015" s="4"/>
      <c r="Y4015" s="4"/>
    </row>
    <row r="4016" spans="20:25" x14ac:dyDescent="0.3">
      <c r="T4016" s="12"/>
      <c r="U4016" s="4"/>
      <c r="V4016" s="4"/>
      <c r="X4016" s="4"/>
      <c r="Y4016" s="4"/>
    </row>
    <row r="4017" spans="20:25" x14ac:dyDescent="0.3">
      <c r="T4017" s="12"/>
      <c r="U4017" s="4"/>
      <c r="V4017" s="4"/>
      <c r="X4017" s="4"/>
      <c r="Y4017" s="4"/>
    </row>
    <row r="4018" spans="20:25" x14ac:dyDescent="0.3">
      <c r="T4018" s="12"/>
      <c r="U4018" s="4"/>
      <c r="V4018" s="4"/>
      <c r="X4018" s="4"/>
      <c r="Y4018" s="4"/>
    </row>
    <row r="4019" spans="20:25" x14ac:dyDescent="0.3">
      <c r="T4019" s="12"/>
      <c r="U4019" s="4"/>
      <c r="V4019" s="4"/>
      <c r="X4019" s="4"/>
      <c r="Y4019" s="4"/>
    </row>
    <row r="4020" spans="20:25" x14ac:dyDescent="0.3">
      <c r="T4020" s="12"/>
      <c r="U4020" s="4"/>
      <c r="V4020" s="4"/>
      <c r="X4020" s="4"/>
      <c r="Y4020" s="4"/>
    </row>
    <row r="4021" spans="20:25" x14ac:dyDescent="0.3">
      <c r="T4021" s="12"/>
      <c r="U4021" s="4"/>
      <c r="V4021" s="4"/>
      <c r="X4021" s="4"/>
      <c r="Y4021" s="4"/>
    </row>
    <row r="4022" spans="20:25" x14ac:dyDescent="0.3">
      <c r="T4022" s="12"/>
      <c r="U4022" s="4"/>
      <c r="V4022" s="4"/>
      <c r="X4022" s="4"/>
      <c r="Y4022" s="4"/>
    </row>
    <row r="4023" spans="20:25" x14ac:dyDescent="0.3">
      <c r="T4023" s="12"/>
      <c r="U4023" s="4"/>
      <c r="V4023" s="4"/>
      <c r="X4023" s="4"/>
      <c r="Y4023" s="4"/>
    </row>
    <row r="4024" spans="20:25" x14ac:dyDescent="0.3">
      <c r="T4024" s="12"/>
      <c r="U4024" s="4"/>
      <c r="V4024" s="4"/>
      <c r="X4024" s="4"/>
      <c r="Y4024" s="4"/>
    </row>
    <row r="4025" spans="20:25" x14ac:dyDescent="0.3">
      <c r="T4025" s="12"/>
      <c r="U4025" s="4"/>
      <c r="V4025" s="4"/>
      <c r="X4025" s="4"/>
      <c r="Y4025" s="4"/>
    </row>
    <row r="4026" spans="20:25" x14ac:dyDescent="0.3">
      <c r="T4026" s="12"/>
      <c r="U4026" s="4"/>
      <c r="V4026" s="4"/>
      <c r="X4026" s="4"/>
      <c r="Y4026" s="4"/>
    </row>
    <row r="4027" spans="20:25" x14ac:dyDescent="0.3">
      <c r="T4027" s="12"/>
      <c r="U4027" s="4"/>
      <c r="V4027" s="4"/>
      <c r="X4027" s="4"/>
      <c r="Y4027" s="4"/>
    </row>
    <row r="4028" spans="20:25" x14ac:dyDescent="0.3">
      <c r="T4028" s="12"/>
      <c r="U4028" s="4"/>
      <c r="V4028" s="4"/>
      <c r="X4028" s="4"/>
      <c r="Y4028" s="4"/>
    </row>
    <row r="4029" spans="20:25" x14ac:dyDescent="0.3">
      <c r="T4029" s="12"/>
      <c r="U4029" s="4"/>
      <c r="V4029" s="4"/>
      <c r="X4029" s="4"/>
      <c r="Y4029" s="4"/>
    </row>
    <row r="4030" spans="20:25" x14ac:dyDescent="0.3">
      <c r="T4030" s="12"/>
      <c r="U4030" s="4"/>
      <c r="V4030" s="4"/>
      <c r="X4030" s="4"/>
      <c r="Y4030" s="4"/>
    </row>
    <row r="4031" spans="20:25" x14ac:dyDescent="0.3">
      <c r="T4031" s="12"/>
      <c r="U4031" s="4"/>
      <c r="V4031" s="4"/>
      <c r="X4031" s="4"/>
      <c r="Y4031" s="4"/>
    </row>
    <row r="4032" spans="20:25" x14ac:dyDescent="0.3">
      <c r="T4032" s="12"/>
      <c r="U4032" s="4"/>
      <c r="V4032" s="4"/>
      <c r="X4032" s="4"/>
      <c r="Y4032" s="4"/>
    </row>
    <row r="4033" spans="20:25" x14ac:dyDescent="0.3">
      <c r="T4033" s="12"/>
      <c r="U4033" s="4"/>
      <c r="V4033" s="4"/>
      <c r="X4033" s="4"/>
      <c r="Y4033" s="4"/>
    </row>
    <row r="4034" spans="20:25" x14ac:dyDescent="0.3">
      <c r="T4034" s="12"/>
      <c r="U4034" s="4"/>
      <c r="V4034" s="4"/>
      <c r="X4034" s="4"/>
      <c r="Y4034" s="4"/>
    </row>
    <row r="4035" spans="20:25" x14ac:dyDescent="0.3">
      <c r="T4035" s="12"/>
      <c r="U4035" s="4"/>
      <c r="V4035" s="4"/>
      <c r="X4035" s="4"/>
      <c r="Y4035" s="4"/>
    </row>
    <row r="4036" spans="20:25" x14ac:dyDescent="0.3">
      <c r="T4036" s="12"/>
      <c r="U4036" s="4"/>
      <c r="V4036" s="4"/>
      <c r="X4036" s="4"/>
      <c r="Y4036" s="4"/>
    </row>
    <row r="4037" spans="20:25" x14ac:dyDescent="0.3">
      <c r="T4037" s="12"/>
      <c r="U4037" s="4"/>
      <c r="V4037" s="4"/>
      <c r="X4037" s="4"/>
      <c r="Y4037" s="4"/>
    </row>
    <row r="4038" spans="20:25" x14ac:dyDescent="0.3">
      <c r="T4038" s="12"/>
      <c r="U4038" s="4"/>
      <c r="V4038" s="4"/>
      <c r="X4038" s="4"/>
      <c r="Y4038" s="4"/>
    </row>
    <row r="4039" spans="20:25" x14ac:dyDescent="0.3">
      <c r="T4039" s="12"/>
      <c r="U4039" s="4"/>
      <c r="V4039" s="4"/>
      <c r="X4039" s="4"/>
      <c r="Y4039" s="4"/>
    </row>
    <row r="4040" spans="20:25" x14ac:dyDescent="0.3">
      <c r="T4040" s="12"/>
      <c r="U4040" s="4"/>
      <c r="V4040" s="4"/>
      <c r="X4040" s="4"/>
      <c r="Y4040" s="4"/>
    </row>
    <row r="4041" spans="20:25" x14ac:dyDescent="0.3">
      <c r="T4041" s="12"/>
      <c r="U4041" s="4"/>
      <c r="V4041" s="4"/>
      <c r="X4041" s="4"/>
      <c r="Y4041" s="4"/>
    </row>
    <row r="4042" spans="20:25" x14ac:dyDescent="0.3">
      <c r="T4042" s="12"/>
      <c r="U4042" s="4"/>
      <c r="V4042" s="4"/>
      <c r="X4042" s="4"/>
      <c r="Y4042" s="4"/>
    </row>
    <row r="4043" spans="20:25" x14ac:dyDescent="0.3">
      <c r="T4043" s="12"/>
      <c r="U4043" s="4"/>
      <c r="V4043" s="4"/>
      <c r="X4043" s="4"/>
      <c r="Y4043" s="4"/>
    </row>
    <row r="4044" spans="20:25" x14ac:dyDescent="0.3">
      <c r="T4044" s="12"/>
      <c r="U4044" s="4"/>
      <c r="V4044" s="4"/>
      <c r="X4044" s="4"/>
      <c r="Y4044" s="4"/>
    </row>
    <row r="4045" spans="20:25" x14ac:dyDescent="0.3">
      <c r="T4045" s="12"/>
      <c r="U4045" s="4"/>
      <c r="V4045" s="4"/>
      <c r="X4045" s="4"/>
      <c r="Y4045" s="4"/>
    </row>
    <row r="4046" spans="20:25" x14ac:dyDescent="0.3">
      <c r="T4046" s="12"/>
      <c r="U4046" s="4"/>
      <c r="V4046" s="4"/>
      <c r="X4046" s="4"/>
      <c r="Y4046" s="4"/>
    </row>
    <row r="4047" spans="20:25" x14ac:dyDescent="0.3">
      <c r="T4047" s="12"/>
      <c r="U4047" s="4"/>
      <c r="V4047" s="4"/>
      <c r="X4047" s="4"/>
      <c r="Y4047" s="4"/>
    </row>
    <row r="4048" spans="20:25" x14ac:dyDescent="0.3">
      <c r="T4048" s="12"/>
      <c r="U4048" s="4"/>
      <c r="V4048" s="4"/>
      <c r="X4048" s="4"/>
      <c r="Y4048" s="4"/>
    </row>
    <row r="4049" spans="20:25" x14ac:dyDescent="0.3">
      <c r="T4049" s="12"/>
      <c r="U4049" s="4"/>
      <c r="V4049" s="4"/>
      <c r="X4049" s="4"/>
      <c r="Y4049" s="4"/>
    </row>
    <row r="4050" spans="20:25" x14ac:dyDescent="0.3">
      <c r="T4050" s="12"/>
      <c r="U4050" s="4"/>
      <c r="V4050" s="4"/>
      <c r="X4050" s="4"/>
      <c r="Y4050" s="4"/>
    </row>
    <row r="4051" spans="20:25" x14ac:dyDescent="0.3">
      <c r="T4051" s="12"/>
      <c r="U4051" s="4"/>
      <c r="V4051" s="4"/>
      <c r="X4051" s="4"/>
      <c r="Y4051" s="4"/>
    </row>
    <row r="4052" spans="20:25" x14ac:dyDescent="0.3">
      <c r="T4052" s="12"/>
      <c r="U4052" s="4"/>
      <c r="V4052" s="4"/>
      <c r="X4052" s="4"/>
      <c r="Y4052" s="4"/>
    </row>
    <row r="4053" spans="20:25" x14ac:dyDescent="0.3">
      <c r="T4053" s="12"/>
      <c r="U4053" s="4"/>
      <c r="V4053" s="4"/>
      <c r="X4053" s="4"/>
      <c r="Y4053" s="4"/>
    </row>
    <row r="4054" spans="20:25" x14ac:dyDescent="0.3">
      <c r="T4054" s="12"/>
      <c r="U4054" s="4"/>
      <c r="V4054" s="4"/>
      <c r="X4054" s="4"/>
      <c r="Y4054" s="4"/>
    </row>
    <row r="4055" spans="20:25" x14ac:dyDescent="0.3">
      <c r="T4055" s="12"/>
      <c r="U4055" s="4"/>
      <c r="V4055" s="4"/>
      <c r="X4055" s="4"/>
      <c r="Y4055" s="4"/>
    </row>
    <row r="4056" spans="20:25" x14ac:dyDescent="0.3">
      <c r="T4056" s="12"/>
      <c r="U4056" s="4"/>
      <c r="V4056" s="4"/>
      <c r="X4056" s="4"/>
      <c r="Y4056" s="4"/>
    </row>
    <row r="4057" spans="20:25" x14ac:dyDescent="0.3">
      <c r="T4057" s="12"/>
      <c r="U4057" s="4"/>
      <c r="V4057" s="4"/>
      <c r="X4057" s="4"/>
      <c r="Y4057" s="4"/>
    </row>
    <row r="4058" spans="20:25" x14ac:dyDescent="0.3">
      <c r="T4058" s="12"/>
      <c r="U4058" s="4"/>
      <c r="V4058" s="4"/>
      <c r="X4058" s="4"/>
      <c r="Y4058" s="4"/>
    </row>
    <row r="4059" spans="20:25" x14ac:dyDescent="0.3">
      <c r="T4059" s="12"/>
      <c r="U4059" s="4"/>
      <c r="V4059" s="4"/>
      <c r="X4059" s="4"/>
      <c r="Y4059" s="4"/>
    </row>
    <row r="4060" spans="20:25" x14ac:dyDescent="0.3">
      <c r="T4060" s="12"/>
      <c r="U4060" s="4"/>
      <c r="V4060" s="4"/>
      <c r="X4060" s="4"/>
      <c r="Y4060" s="4"/>
    </row>
    <row r="4061" spans="20:25" x14ac:dyDescent="0.3">
      <c r="T4061" s="12"/>
      <c r="U4061" s="4"/>
      <c r="V4061" s="4"/>
      <c r="X4061" s="4"/>
      <c r="Y4061" s="4"/>
    </row>
    <row r="4062" spans="20:25" x14ac:dyDescent="0.3">
      <c r="T4062" s="12"/>
      <c r="U4062" s="4"/>
      <c r="V4062" s="4"/>
      <c r="X4062" s="4"/>
      <c r="Y4062" s="4"/>
    </row>
    <row r="4063" spans="20:25" x14ac:dyDescent="0.3">
      <c r="T4063" s="12"/>
      <c r="U4063" s="4"/>
      <c r="V4063" s="4"/>
      <c r="X4063" s="4"/>
      <c r="Y4063" s="4"/>
    </row>
    <row r="4064" spans="20:25" x14ac:dyDescent="0.3">
      <c r="T4064" s="12"/>
      <c r="U4064" s="4"/>
      <c r="V4064" s="4"/>
      <c r="X4064" s="4"/>
      <c r="Y4064" s="4"/>
    </row>
    <row r="4065" spans="20:25" x14ac:dyDescent="0.3">
      <c r="T4065" s="12"/>
      <c r="U4065" s="4"/>
      <c r="V4065" s="4"/>
      <c r="X4065" s="4"/>
      <c r="Y4065" s="4"/>
    </row>
    <row r="4066" spans="20:25" x14ac:dyDescent="0.3">
      <c r="T4066" s="12"/>
      <c r="U4066" s="4"/>
      <c r="V4066" s="4"/>
      <c r="X4066" s="4"/>
      <c r="Y4066" s="4"/>
    </row>
    <row r="4067" spans="20:25" x14ac:dyDescent="0.3">
      <c r="T4067" s="12"/>
      <c r="U4067" s="4"/>
      <c r="V4067" s="4"/>
      <c r="X4067" s="4"/>
      <c r="Y4067" s="4"/>
    </row>
    <row r="4068" spans="20:25" x14ac:dyDescent="0.3">
      <c r="T4068" s="12"/>
      <c r="U4068" s="4"/>
      <c r="V4068" s="4"/>
      <c r="X4068" s="4"/>
      <c r="Y4068" s="4"/>
    </row>
    <row r="4069" spans="20:25" x14ac:dyDescent="0.3">
      <c r="T4069" s="12"/>
      <c r="U4069" s="4"/>
      <c r="V4069" s="4"/>
      <c r="X4069" s="4"/>
      <c r="Y4069" s="4"/>
    </row>
    <row r="4070" spans="20:25" x14ac:dyDescent="0.3">
      <c r="T4070" s="12"/>
      <c r="U4070" s="4"/>
      <c r="V4070" s="4"/>
      <c r="X4070" s="4"/>
      <c r="Y4070" s="4"/>
    </row>
    <row r="4071" spans="20:25" x14ac:dyDescent="0.3">
      <c r="T4071" s="12"/>
      <c r="U4071" s="4"/>
      <c r="V4071" s="4"/>
      <c r="X4071" s="4"/>
      <c r="Y4071" s="4"/>
    </row>
    <row r="4072" spans="20:25" x14ac:dyDescent="0.3">
      <c r="T4072" s="12"/>
      <c r="U4072" s="4"/>
      <c r="V4072" s="4"/>
      <c r="X4072" s="4"/>
      <c r="Y4072" s="4"/>
    </row>
    <row r="4073" spans="20:25" x14ac:dyDescent="0.3">
      <c r="T4073" s="12"/>
      <c r="U4073" s="4"/>
      <c r="V4073" s="4"/>
      <c r="X4073" s="4"/>
      <c r="Y4073" s="4"/>
    </row>
    <row r="4074" spans="20:25" x14ac:dyDescent="0.3">
      <c r="T4074" s="12"/>
      <c r="U4074" s="4"/>
      <c r="V4074" s="4"/>
      <c r="X4074" s="4"/>
      <c r="Y4074" s="4"/>
    </row>
    <row r="4075" spans="20:25" x14ac:dyDescent="0.3">
      <c r="T4075" s="12"/>
      <c r="U4075" s="4"/>
      <c r="V4075" s="4"/>
      <c r="X4075" s="4"/>
      <c r="Y4075" s="4"/>
    </row>
    <row r="4076" spans="20:25" x14ac:dyDescent="0.3">
      <c r="T4076" s="12"/>
      <c r="U4076" s="4"/>
      <c r="V4076" s="4"/>
      <c r="X4076" s="4"/>
      <c r="Y4076" s="4"/>
    </row>
    <row r="4077" spans="20:25" x14ac:dyDescent="0.3">
      <c r="T4077" s="12"/>
      <c r="U4077" s="4"/>
      <c r="V4077" s="4"/>
      <c r="X4077" s="4"/>
      <c r="Y4077" s="4"/>
    </row>
    <row r="4078" spans="20:25" x14ac:dyDescent="0.3">
      <c r="T4078" s="12"/>
      <c r="U4078" s="4"/>
      <c r="V4078" s="4"/>
      <c r="X4078" s="4"/>
      <c r="Y4078" s="4"/>
    </row>
    <row r="4079" spans="20:25" x14ac:dyDescent="0.3">
      <c r="T4079" s="12"/>
      <c r="U4079" s="4"/>
      <c r="V4079" s="4"/>
      <c r="X4079" s="4"/>
      <c r="Y4079" s="4"/>
    </row>
    <row r="4080" spans="20:25" x14ac:dyDescent="0.3">
      <c r="T4080" s="12"/>
      <c r="U4080" s="4"/>
      <c r="V4080" s="4"/>
      <c r="X4080" s="4"/>
      <c r="Y4080" s="4"/>
    </row>
    <row r="4081" spans="20:25" x14ac:dyDescent="0.3">
      <c r="T4081" s="12"/>
      <c r="U4081" s="4"/>
      <c r="V4081" s="4"/>
      <c r="X4081" s="4"/>
      <c r="Y4081" s="4"/>
    </row>
    <row r="4082" spans="20:25" x14ac:dyDescent="0.3">
      <c r="T4082" s="12"/>
      <c r="U4082" s="4"/>
      <c r="V4082" s="4"/>
      <c r="X4082" s="4"/>
      <c r="Y4082" s="4"/>
    </row>
    <row r="4083" spans="20:25" x14ac:dyDescent="0.3">
      <c r="T4083" s="12"/>
      <c r="U4083" s="4"/>
      <c r="V4083" s="4"/>
      <c r="X4083" s="4"/>
      <c r="Y4083" s="4"/>
    </row>
    <row r="4084" spans="20:25" x14ac:dyDescent="0.3">
      <c r="T4084" s="12"/>
      <c r="U4084" s="4"/>
      <c r="V4084" s="4"/>
      <c r="X4084" s="4"/>
      <c r="Y4084" s="4"/>
    </row>
    <row r="4085" spans="20:25" x14ac:dyDescent="0.3">
      <c r="T4085" s="12"/>
      <c r="U4085" s="4"/>
      <c r="V4085" s="4"/>
      <c r="X4085" s="4"/>
      <c r="Y4085" s="4"/>
    </row>
    <row r="4086" spans="20:25" x14ac:dyDescent="0.3">
      <c r="T4086" s="12"/>
      <c r="U4086" s="4"/>
      <c r="V4086" s="4"/>
      <c r="X4086" s="4"/>
      <c r="Y4086" s="4"/>
    </row>
    <row r="4087" spans="20:25" x14ac:dyDescent="0.3">
      <c r="T4087" s="12"/>
      <c r="U4087" s="4"/>
      <c r="V4087" s="4"/>
      <c r="X4087" s="4"/>
      <c r="Y4087" s="4"/>
    </row>
    <row r="4088" spans="20:25" x14ac:dyDescent="0.3">
      <c r="T4088" s="12"/>
      <c r="U4088" s="4"/>
      <c r="V4088" s="4"/>
      <c r="X4088" s="4"/>
      <c r="Y4088" s="4"/>
    </row>
    <row r="4089" spans="20:25" x14ac:dyDescent="0.3">
      <c r="T4089" s="12"/>
      <c r="U4089" s="4"/>
      <c r="V4089" s="4"/>
      <c r="X4089" s="4"/>
      <c r="Y4089" s="4"/>
    </row>
    <row r="4090" spans="20:25" x14ac:dyDescent="0.3">
      <c r="T4090" s="12"/>
      <c r="U4090" s="4"/>
      <c r="V4090" s="4"/>
      <c r="X4090" s="4"/>
      <c r="Y4090" s="4"/>
    </row>
    <row r="4091" spans="20:25" x14ac:dyDescent="0.3">
      <c r="T4091" s="12"/>
      <c r="U4091" s="4"/>
      <c r="V4091" s="4"/>
      <c r="X4091" s="4"/>
      <c r="Y4091" s="4"/>
    </row>
    <row r="4092" spans="20:25" x14ac:dyDescent="0.3">
      <c r="T4092" s="12"/>
      <c r="U4092" s="4"/>
      <c r="V4092" s="4"/>
      <c r="X4092" s="4"/>
      <c r="Y4092" s="4"/>
    </row>
    <row r="4093" spans="20:25" x14ac:dyDescent="0.3">
      <c r="T4093" s="12"/>
      <c r="U4093" s="4"/>
      <c r="V4093" s="4"/>
      <c r="X4093" s="4"/>
      <c r="Y4093" s="4"/>
    </row>
    <row r="4094" spans="20:25" x14ac:dyDescent="0.3">
      <c r="T4094" s="12"/>
      <c r="U4094" s="4"/>
      <c r="V4094" s="4"/>
      <c r="X4094" s="4"/>
      <c r="Y4094" s="4"/>
    </row>
    <row r="4095" spans="20:25" x14ac:dyDescent="0.3">
      <c r="T4095" s="12"/>
      <c r="U4095" s="4"/>
      <c r="V4095" s="4"/>
      <c r="X4095" s="4"/>
      <c r="Y4095" s="4"/>
    </row>
    <row r="4096" spans="20:25" x14ac:dyDescent="0.3">
      <c r="T4096" s="12"/>
      <c r="U4096" s="4"/>
      <c r="V4096" s="4"/>
      <c r="X4096" s="4"/>
      <c r="Y4096" s="4"/>
    </row>
    <row r="4097" spans="20:25" x14ac:dyDescent="0.3">
      <c r="T4097" s="12"/>
      <c r="U4097" s="4"/>
      <c r="V4097" s="4"/>
      <c r="X4097" s="4"/>
      <c r="Y4097" s="4"/>
    </row>
    <row r="4098" spans="20:25" x14ac:dyDescent="0.3">
      <c r="T4098" s="12"/>
      <c r="U4098" s="4"/>
      <c r="V4098" s="4"/>
      <c r="X4098" s="4"/>
      <c r="Y4098" s="4"/>
    </row>
    <row r="4099" spans="20:25" x14ac:dyDescent="0.3">
      <c r="T4099" s="12"/>
      <c r="U4099" s="4"/>
      <c r="V4099" s="4"/>
      <c r="X4099" s="4"/>
      <c r="Y4099" s="4"/>
    </row>
    <row r="4100" spans="20:25" x14ac:dyDescent="0.3">
      <c r="T4100" s="12"/>
      <c r="U4100" s="4"/>
      <c r="V4100" s="4"/>
      <c r="X4100" s="4"/>
      <c r="Y4100" s="4"/>
    </row>
    <row r="4101" spans="20:25" x14ac:dyDescent="0.3">
      <c r="T4101" s="12"/>
      <c r="U4101" s="4"/>
      <c r="V4101" s="4"/>
      <c r="X4101" s="4"/>
      <c r="Y4101" s="4"/>
    </row>
    <row r="4102" spans="20:25" x14ac:dyDescent="0.3">
      <c r="T4102" s="12"/>
      <c r="U4102" s="4"/>
      <c r="V4102" s="4"/>
      <c r="X4102" s="4"/>
      <c r="Y4102" s="4"/>
    </row>
    <row r="4103" spans="20:25" x14ac:dyDescent="0.3">
      <c r="T4103" s="12"/>
      <c r="U4103" s="4"/>
      <c r="V4103" s="4"/>
      <c r="X4103" s="4"/>
      <c r="Y4103" s="4"/>
    </row>
    <row r="4104" spans="20:25" x14ac:dyDescent="0.3">
      <c r="T4104" s="12"/>
      <c r="U4104" s="4"/>
      <c r="V4104" s="4"/>
      <c r="X4104" s="4"/>
      <c r="Y4104" s="4"/>
    </row>
    <row r="4105" spans="20:25" x14ac:dyDescent="0.3">
      <c r="T4105" s="12"/>
      <c r="U4105" s="4"/>
      <c r="V4105" s="4"/>
      <c r="X4105" s="4"/>
      <c r="Y4105" s="4"/>
    </row>
    <row r="4106" spans="20:25" x14ac:dyDescent="0.3">
      <c r="T4106" s="12"/>
      <c r="U4106" s="4"/>
      <c r="V4106" s="4"/>
      <c r="X4106" s="4"/>
      <c r="Y4106" s="4"/>
    </row>
    <row r="4107" spans="20:25" x14ac:dyDescent="0.3">
      <c r="T4107" s="12"/>
      <c r="U4107" s="4"/>
      <c r="V4107" s="4"/>
      <c r="X4107" s="4"/>
      <c r="Y4107" s="4"/>
    </row>
    <row r="4108" spans="20:25" x14ac:dyDescent="0.3">
      <c r="T4108" s="12"/>
      <c r="U4108" s="4"/>
      <c r="V4108" s="4"/>
      <c r="X4108" s="4"/>
      <c r="Y4108" s="4"/>
    </row>
    <row r="4109" spans="20:25" x14ac:dyDescent="0.3">
      <c r="T4109" s="12"/>
      <c r="U4109" s="4"/>
      <c r="V4109" s="4"/>
      <c r="X4109" s="4"/>
      <c r="Y4109" s="4"/>
    </row>
    <row r="4110" spans="20:25" x14ac:dyDescent="0.3">
      <c r="T4110" s="12"/>
      <c r="U4110" s="4"/>
      <c r="V4110" s="4"/>
      <c r="X4110" s="4"/>
      <c r="Y4110" s="4"/>
    </row>
    <row r="4111" spans="20:25" x14ac:dyDescent="0.3">
      <c r="T4111" s="12"/>
      <c r="U4111" s="4"/>
      <c r="V4111" s="4"/>
      <c r="X4111" s="4"/>
      <c r="Y4111" s="4"/>
    </row>
    <row r="4112" spans="20:25" x14ac:dyDescent="0.3">
      <c r="T4112" s="12"/>
      <c r="U4112" s="4"/>
      <c r="V4112" s="4"/>
      <c r="X4112" s="4"/>
      <c r="Y4112" s="4"/>
    </row>
    <row r="4113" spans="20:25" x14ac:dyDescent="0.3">
      <c r="T4113" s="12"/>
      <c r="U4113" s="4"/>
      <c r="V4113" s="4"/>
      <c r="X4113" s="4"/>
      <c r="Y4113" s="4"/>
    </row>
    <row r="4114" spans="20:25" x14ac:dyDescent="0.3">
      <c r="T4114" s="12"/>
      <c r="U4114" s="4"/>
      <c r="V4114" s="4"/>
      <c r="X4114" s="4"/>
      <c r="Y4114" s="4"/>
    </row>
    <row r="4115" spans="20:25" x14ac:dyDescent="0.3">
      <c r="T4115" s="12"/>
      <c r="U4115" s="4"/>
      <c r="V4115" s="4"/>
      <c r="X4115" s="4"/>
      <c r="Y4115" s="4"/>
    </row>
    <row r="4116" spans="20:25" x14ac:dyDescent="0.3">
      <c r="T4116" s="12"/>
      <c r="U4116" s="4"/>
      <c r="V4116" s="4"/>
      <c r="X4116" s="4"/>
      <c r="Y4116" s="4"/>
    </row>
    <row r="4117" spans="20:25" x14ac:dyDescent="0.3">
      <c r="T4117" s="12"/>
      <c r="U4117" s="4"/>
      <c r="V4117" s="4"/>
      <c r="X4117" s="4"/>
      <c r="Y4117" s="4"/>
    </row>
    <row r="4118" spans="20:25" x14ac:dyDescent="0.3">
      <c r="T4118" s="12"/>
      <c r="U4118" s="4"/>
      <c r="V4118" s="4"/>
      <c r="X4118" s="4"/>
      <c r="Y4118" s="4"/>
    </row>
    <row r="4119" spans="20:25" x14ac:dyDescent="0.3">
      <c r="T4119" s="12"/>
      <c r="U4119" s="4"/>
      <c r="V4119" s="4"/>
      <c r="X4119" s="4"/>
      <c r="Y4119" s="4"/>
    </row>
    <row r="4120" spans="20:25" x14ac:dyDescent="0.3">
      <c r="T4120" s="12"/>
      <c r="U4120" s="4"/>
      <c r="V4120" s="4"/>
      <c r="X4120" s="4"/>
      <c r="Y4120" s="4"/>
    </row>
    <row r="4121" spans="20:25" x14ac:dyDescent="0.3">
      <c r="T4121" s="12"/>
      <c r="U4121" s="4"/>
      <c r="V4121" s="4"/>
      <c r="X4121" s="4"/>
      <c r="Y4121" s="4"/>
    </row>
    <row r="4122" spans="20:25" x14ac:dyDescent="0.3">
      <c r="T4122" s="12"/>
      <c r="U4122" s="4"/>
      <c r="V4122" s="4"/>
      <c r="X4122" s="4"/>
      <c r="Y4122" s="4"/>
    </row>
    <row r="4123" spans="20:25" x14ac:dyDescent="0.3">
      <c r="T4123" s="12"/>
      <c r="U4123" s="4"/>
      <c r="V4123" s="4"/>
      <c r="X4123" s="4"/>
      <c r="Y4123" s="4"/>
    </row>
    <row r="4124" spans="20:25" x14ac:dyDescent="0.3">
      <c r="T4124" s="12"/>
      <c r="U4124" s="4"/>
      <c r="V4124" s="4"/>
      <c r="X4124" s="4"/>
      <c r="Y4124" s="4"/>
    </row>
    <row r="4125" spans="20:25" x14ac:dyDescent="0.3">
      <c r="T4125" s="12"/>
      <c r="U4125" s="4"/>
      <c r="V4125" s="4"/>
      <c r="X4125" s="4"/>
      <c r="Y4125" s="4"/>
    </row>
    <row r="4126" spans="20:25" x14ac:dyDescent="0.3">
      <c r="T4126" s="12"/>
      <c r="U4126" s="4"/>
      <c r="V4126" s="4"/>
      <c r="X4126" s="4"/>
      <c r="Y4126" s="4"/>
    </row>
    <row r="4127" spans="20:25" x14ac:dyDescent="0.3">
      <c r="T4127" s="12"/>
      <c r="U4127" s="4"/>
      <c r="V4127" s="4"/>
      <c r="X4127" s="4"/>
      <c r="Y4127" s="4"/>
    </row>
    <row r="4128" spans="20:25" x14ac:dyDescent="0.3">
      <c r="T4128" s="12"/>
      <c r="U4128" s="4"/>
      <c r="V4128" s="4"/>
      <c r="X4128" s="4"/>
      <c r="Y4128" s="4"/>
    </row>
    <row r="4129" spans="20:25" x14ac:dyDescent="0.3">
      <c r="T4129" s="12"/>
      <c r="U4129" s="4"/>
      <c r="V4129" s="4"/>
      <c r="X4129" s="4"/>
      <c r="Y4129" s="4"/>
    </row>
    <row r="4130" spans="20:25" x14ac:dyDescent="0.3">
      <c r="T4130" s="12"/>
      <c r="U4130" s="4"/>
      <c r="V4130" s="4"/>
      <c r="X4130" s="4"/>
      <c r="Y4130" s="4"/>
    </row>
    <row r="4131" spans="20:25" x14ac:dyDescent="0.3">
      <c r="T4131" s="12"/>
      <c r="U4131" s="4"/>
      <c r="V4131" s="4"/>
      <c r="X4131" s="4"/>
      <c r="Y4131" s="4"/>
    </row>
    <row r="4132" spans="20:25" x14ac:dyDescent="0.3">
      <c r="T4132" s="12"/>
      <c r="U4132" s="4"/>
      <c r="V4132" s="4"/>
      <c r="X4132" s="4"/>
      <c r="Y4132" s="4"/>
    </row>
    <row r="4133" spans="20:25" x14ac:dyDescent="0.3">
      <c r="T4133" s="12"/>
      <c r="U4133" s="4"/>
      <c r="V4133" s="4"/>
      <c r="X4133" s="4"/>
      <c r="Y4133" s="4"/>
    </row>
    <row r="4134" spans="20:25" x14ac:dyDescent="0.3">
      <c r="T4134" s="12"/>
      <c r="U4134" s="4"/>
      <c r="V4134" s="4"/>
      <c r="X4134" s="4"/>
      <c r="Y4134" s="4"/>
    </row>
    <row r="4135" spans="20:25" x14ac:dyDescent="0.3">
      <c r="T4135" s="12"/>
      <c r="U4135" s="4"/>
      <c r="V4135" s="4"/>
      <c r="X4135" s="4"/>
      <c r="Y4135" s="4"/>
    </row>
    <row r="4136" spans="20:25" x14ac:dyDescent="0.3">
      <c r="T4136" s="12"/>
      <c r="U4136" s="4"/>
      <c r="V4136" s="4"/>
      <c r="X4136" s="4"/>
      <c r="Y4136" s="4"/>
    </row>
    <row r="4137" spans="20:25" x14ac:dyDescent="0.3">
      <c r="T4137" s="12"/>
      <c r="U4137" s="4"/>
      <c r="V4137" s="4"/>
      <c r="X4137" s="4"/>
      <c r="Y4137" s="4"/>
    </row>
    <row r="4138" spans="20:25" x14ac:dyDescent="0.3">
      <c r="T4138" s="12"/>
      <c r="U4138" s="4"/>
      <c r="V4138" s="4"/>
      <c r="X4138" s="4"/>
      <c r="Y4138" s="4"/>
    </row>
    <row r="4139" spans="20:25" x14ac:dyDescent="0.3">
      <c r="T4139" s="12"/>
      <c r="U4139" s="4"/>
      <c r="V4139" s="4"/>
      <c r="X4139" s="4"/>
      <c r="Y4139" s="4"/>
    </row>
    <row r="4140" spans="20:25" x14ac:dyDescent="0.3">
      <c r="T4140" s="12"/>
      <c r="U4140" s="4"/>
      <c r="V4140" s="4"/>
      <c r="X4140" s="4"/>
      <c r="Y4140" s="4"/>
    </row>
    <row r="4141" spans="20:25" x14ac:dyDescent="0.3">
      <c r="T4141" s="12"/>
      <c r="U4141" s="4"/>
      <c r="V4141" s="4"/>
      <c r="X4141" s="4"/>
      <c r="Y4141" s="4"/>
    </row>
    <row r="4142" spans="20:25" x14ac:dyDescent="0.3">
      <c r="T4142" s="12"/>
      <c r="U4142" s="4"/>
      <c r="V4142" s="4"/>
      <c r="X4142" s="4"/>
      <c r="Y4142" s="4"/>
    </row>
    <row r="4143" spans="20:25" x14ac:dyDescent="0.3">
      <c r="T4143" s="12"/>
      <c r="U4143" s="4"/>
      <c r="V4143" s="4"/>
      <c r="X4143" s="4"/>
      <c r="Y4143" s="4"/>
    </row>
    <row r="4144" spans="20:25" x14ac:dyDescent="0.3">
      <c r="T4144" s="12"/>
      <c r="U4144" s="4"/>
      <c r="V4144" s="4"/>
      <c r="X4144" s="4"/>
      <c r="Y4144" s="4"/>
    </row>
    <row r="4145" spans="20:25" x14ac:dyDescent="0.3">
      <c r="T4145" s="12"/>
      <c r="U4145" s="4"/>
      <c r="V4145" s="4"/>
      <c r="X4145" s="4"/>
      <c r="Y4145" s="4"/>
    </row>
    <row r="4146" spans="20:25" x14ac:dyDescent="0.3">
      <c r="T4146" s="12"/>
      <c r="U4146" s="4"/>
      <c r="V4146" s="4"/>
      <c r="X4146" s="4"/>
      <c r="Y4146" s="4"/>
    </row>
    <row r="4147" spans="20:25" x14ac:dyDescent="0.3">
      <c r="T4147" s="12"/>
      <c r="U4147" s="4"/>
      <c r="V4147" s="4"/>
      <c r="X4147" s="4"/>
      <c r="Y4147" s="4"/>
    </row>
    <row r="4148" spans="20:25" x14ac:dyDescent="0.3">
      <c r="T4148" s="12"/>
      <c r="U4148" s="4"/>
      <c r="V4148" s="4"/>
      <c r="X4148" s="4"/>
      <c r="Y4148" s="4"/>
    </row>
    <row r="4149" spans="20:25" x14ac:dyDescent="0.3">
      <c r="T4149" s="12"/>
      <c r="U4149" s="4"/>
      <c r="V4149" s="4"/>
      <c r="X4149" s="4"/>
      <c r="Y4149" s="4"/>
    </row>
    <row r="4150" spans="20:25" x14ac:dyDescent="0.3">
      <c r="T4150" s="12"/>
      <c r="U4150" s="4"/>
      <c r="V4150" s="4"/>
      <c r="X4150" s="4"/>
      <c r="Y4150" s="4"/>
    </row>
    <row r="4151" spans="20:25" x14ac:dyDescent="0.3">
      <c r="T4151" s="12"/>
      <c r="U4151" s="4"/>
      <c r="V4151" s="4"/>
      <c r="X4151" s="4"/>
      <c r="Y4151" s="4"/>
    </row>
    <row r="4152" spans="20:25" x14ac:dyDescent="0.3">
      <c r="T4152" s="12"/>
      <c r="U4152" s="4"/>
      <c r="V4152" s="4"/>
      <c r="X4152" s="4"/>
      <c r="Y4152" s="4"/>
    </row>
    <row r="4153" spans="20:25" x14ac:dyDescent="0.3">
      <c r="T4153" s="12"/>
      <c r="U4153" s="4"/>
      <c r="V4153" s="4"/>
      <c r="X4153" s="4"/>
      <c r="Y4153" s="4"/>
    </row>
    <row r="4154" spans="20:25" x14ac:dyDescent="0.3">
      <c r="T4154" s="12"/>
      <c r="U4154" s="4"/>
      <c r="V4154" s="4"/>
      <c r="X4154" s="4"/>
      <c r="Y4154" s="4"/>
    </row>
    <row r="4155" spans="20:25" x14ac:dyDescent="0.3">
      <c r="T4155" s="12"/>
      <c r="U4155" s="4"/>
      <c r="V4155" s="4"/>
      <c r="X4155" s="4"/>
      <c r="Y4155" s="4"/>
    </row>
    <row r="4156" spans="20:25" x14ac:dyDescent="0.3">
      <c r="T4156" s="12"/>
      <c r="U4156" s="4"/>
      <c r="V4156" s="4"/>
      <c r="X4156" s="4"/>
      <c r="Y4156" s="4"/>
    </row>
    <row r="4157" spans="20:25" x14ac:dyDescent="0.3">
      <c r="T4157" s="12"/>
      <c r="U4157" s="4"/>
      <c r="V4157" s="4"/>
      <c r="X4157" s="4"/>
      <c r="Y4157" s="4"/>
    </row>
    <row r="4158" spans="20:25" x14ac:dyDescent="0.3">
      <c r="T4158" s="12"/>
      <c r="U4158" s="4"/>
      <c r="V4158" s="4"/>
      <c r="X4158" s="4"/>
      <c r="Y4158" s="4"/>
    </row>
    <row r="4159" spans="20:25" x14ac:dyDescent="0.3">
      <c r="T4159" s="12"/>
      <c r="U4159" s="4"/>
      <c r="V4159" s="4"/>
      <c r="X4159" s="4"/>
      <c r="Y4159" s="4"/>
    </row>
    <row r="4160" spans="20:25" x14ac:dyDescent="0.3">
      <c r="T4160" s="12"/>
      <c r="U4160" s="4"/>
      <c r="V4160" s="4"/>
      <c r="X4160" s="4"/>
      <c r="Y4160" s="4"/>
    </row>
    <row r="4161" spans="20:25" x14ac:dyDescent="0.3">
      <c r="T4161" s="12"/>
      <c r="U4161" s="4"/>
      <c r="V4161" s="4"/>
      <c r="X4161" s="4"/>
      <c r="Y4161" s="4"/>
    </row>
    <row r="4162" spans="20:25" x14ac:dyDescent="0.3">
      <c r="T4162" s="12"/>
      <c r="U4162" s="4"/>
      <c r="V4162" s="4"/>
      <c r="X4162" s="4"/>
      <c r="Y4162" s="4"/>
    </row>
    <row r="4163" spans="20:25" x14ac:dyDescent="0.3">
      <c r="T4163" s="12"/>
      <c r="U4163" s="4"/>
      <c r="V4163" s="4"/>
      <c r="X4163" s="4"/>
      <c r="Y4163" s="4"/>
    </row>
    <row r="4164" spans="20:25" x14ac:dyDescent="0.3">
      <c r="T4164" s="12"/>
      <c r="U4164" s="4"/>
      <c r="V4164" s="4"/>
      <c r="X4164" s="4"/>
      <c r="Y4164" s="4"/>
    </row>
    <row r="4165" spans="20:25" x14ac:dyDescent="0.3">
      <c r="T4165" s="12"/>
      <c r="U4165" s="4"/>
      <c r="V4165" s="4"/>
      <c r="X4165" s="4"/>
      <c r="Y4165" s="4"/>
    </row>
    <row r="4166" spans="20:25" x14ac:dyDescent="0.3">
      <c r="T4166" s="12"/>
      <c r="U4166" s="4"/>
      <c r="V4166" s="4"/>
      <c r="X4166" s="4"/>
      <c r="Y4166" s="4"/>
    </row>
    <row r="4167" spans="20:25" x14ac:dyDescent="0.3">
      <c r="T4167" s="12"/>
      <c r="U4167" s="4"/>
      <c r="V4167" s="4"/>
      <c r="X4167" s="4"/>
      <c r="Y4167" s="4"/>
    </row>
    <row r="4168" spans="20:25" x14ac:dyDescent="0.3">
      <c r="T4168" s="12"/>
      <c r="U4168" s="4"/>
      <c r="V4168" s="4"/>
      <c r="X4168" s="4"/>
      <c r="Y4168" s="4"/>
    </row>
    <row r="4169" spans="20:25" x14ac:dyDescent="0.3">
      <c r="T4169" s="12"/>
      <c r="U4169" s="4"/>
      <c r="V4169" s="4"/>
      <c r="X4169" s="4"/>
      <c r="Y4169" s="4"/>
    </row>
    <row r="4170" spans="20:25" x14ac:dyDescent="0.3">
      <c r="T4170" s="12"/>
      <c r="U4170" s="4"/>
      <c r="V4170" s="4"/>
      <c r="X4170" s="4"/>
      <c r="Y4170" s="4"/>
    </row>
    <row r="4171" spans="20:25" x14ac:dyDescent="0.3">
      <c r="T4171" s="12"/>
      <c r="U4171" s="4"/>
      <c r="V4171" s="4"/>
      <c r="X4171" s="4"/>
      <c r="Y4171" s="4"/>
    </row>
    <row r="4172" spans="20:25" x14ac:dyDescent="0.3">
      <c r="T4172" s="12"/>
      <c r="U4172" s="4"/>
      <c r="V4172" s="4"/>
      <c r="X4172" s="4"/>
      <c r="Y4172" s="4"/>
    </row>
    <row r="4173" spans="20:25" x14ac:dyDescent="0.3">
      <c r="T4173" s="12"/>
      <c r="U4173" s="4"/>
      <c r="V4173" s="4"/>
      <c r="X4173" s="4"/>
      <c r="Y4173" s="4"/>
    </row>
    <row r="4174" spans="20:25" x14ac:dyDescent="0.3">
      <c r="T4174" s="12"/>
      <c r="U4174" s="4"/>
      <c r="V4174" s="4"/>
      <c r="X4174" s="4"/>
      <c r="Y4174" s="4"/>
    </row>
    <row r="4175" spans="20:25" x14ac:dyDescent="0.3">
      <c r="T4175" s="12"/>
      <c r="U4175" s="4"/>
      <c r="V4175" s="4"/>
      <c r="X4175" s="4"/>
      <c r="Y4175" s="4"/>
    </row>
    <row r="4176" spans="20:25" x14ac:dyDescent="0.3">
      <c r="T4176" s="12"/>
      <c r="U4176" s="4"/>
      <c r="V4176" s="4"/>
      <c r="X4176" s="4"/>
      <c r="Y4176" s="4"/>
    </row>
    <row r="4177" spans="20:25" x14ac:dyDescent="0.3">
      <c r="T4177" s="12"/>
      <c r="U4177" s="4"/>
      <c r="V4177" s="4"/>
      <c r="X4177" s="4"/>
      <c r="Y4177" s="4"/>
    </row>
    <row r="4178" spans="20:25" x14ac:dyDescent="0.3">
      <c r="T4178" s="12"/>
      <c r="U4178" s="4"/>
      <c r="V4178" s="4"/>
      <c r="X4178" s="4"/>
      <c r="Y4178" s="4"/>
    </row>
    <row r="4179" spans="20:25" x14ac:dyDescent="0.3">
      <c r="T4179" s="12"/>
      <c r="U4179" s="4"/>
      <c r="V4179" s="4"/>
      <c r="X4179" s="4"/>
      <c r="Y4179" s="4"/>
    </row>
    <row r="4180" spans="20:25" x14ac:dyDescent="0.3">
      <c r="T4180" s="12"/>
      <c r="U4180" s="4"/>
      <c r="V4180" s="4"/>
      <c r="X4180" s="4"/>
      <c r="Y4180" s="4"/>
    </row>
    <row r="4181" spans="20:25" x14ac:dyDescent="0.3">
      <c r="T4181" s="12"/>
      <c r="U4181" s="4"/>
      <c r="V4181" s="4"/>
      <c r="X4181" s="4"/>
      <c r="Y4181" s="4"/>
    </row>
    <row r="4182" spans="20:25" x14ac:dyDescent="0.3">
      <c r="T4182" s="12"/>
      <c r="U4182" s="4"/>
      <c r="V4182" s="4"/>
      <c r="X4182" s="4"/>
      <c r="Y4182" s="4"/>
    </row>
    <row r="4183" spans="20:25" x14ac:dyDescent="0.3">
      <c r="T4183" s="12"/>
      <c r="U4183" s="4"/>
      <c r="V4183" s="4"/>
      <c r="X4183" s="4"/>
      <c r="Y4183" s="4"/>
    </row>
    <row r="4184" spans="20:25" x14ac:dyDescent="0.3">
      <c r="T4184" s="12"/>
      <c r="U4184" s="4"/>
      <c r="V4184" s="4"/>
      <c r="X4184" s="4"/>
      <c r="Y4184" s="4"/>
    </row>
    <row r="4185" spans="20:25" x14ac:dyDescent="0.3">
      <c r="T4185" s="12"/>
      <c r="U4185" s="4"/>
      <c r="V4185" s="4"/>
      <c r="X4185" s="4"/>
      <c r="Y4185" s="4"/>
    </row>
    <row r="4186" spans="20:25" x14ac:dyDescent="0.3">
      <c r="T4186" s="12"/>
      <c r="U4186" s="4"/>
      <c r="V4186" s="4"/>
      <c r="X4186" s="4"/>
      <c r="Y4186" s="4"/>
    </row>
    <row r="4187" spans="20:25" x14ac:dyDescent="0.3">
      <c r="T4187" s="12"/>
      <c r="U4187" s="4"/>
      <c r="V4187" s="4"/>
      <c r="X4187" s="4"/>
      <c r="Y4187" s="4"/>
    </row>
    <row r="4188" spans="20:25" x14ac:dyDescent="0.3">
      <c r="T4188" s="12"/>
      <c r="U4188" s="4"/>
      <c r="V4188" s="4"/>
      <c r="X4188" s="4"/>
      <c r="Y4188" s="4"/>
    </row>
    <row r="4189" spans="20:25" x14ac:dyDescent="0.3">
      <c r="T4189" s="12"/>
      <c r="U4189" s="4"/>
      <c r="V4189" s="4"/>
      <c r="X4189" s="4"/>
      <c r="Y4189" s="4"/>
    </row>
    <row r="4190" spans="20:25" x14ac:dyDescent="0.3">
      <c r="T4190" s="12"/>
      <c r="U4190" s="4"/>
      <c r="V4190" s="4"/>
      <c r="X4190" s="4"/>
      <c r="Y4190" s="4"/>
    </row>
    <row r="4191" spans="20:25" x14ac:dyDescent="0.3">
      <c r="T4191" s="12"/>
      <c r="U4191" s="4"/>
      <c r="V4191" s="4"/>
      <c r="X4191" s="4"/>
      <c r="Y4191" s="4"/>
    </row>
    <row r="4192" spans="20:25" x14ac:dyDescent="0.3">
      <c r="T4192" s="12"/>
      <c r="U4192" s="4"/>
      <c r="V4192" s="4"/>
      <c r="X4192" s="4"/>
      <c r="Y4192" s="4"/>
    </row>
    <row r="4193" spans="20:25" x14ac:dyDescent="0.3">
      <c r="T4193" s="12"/>
      <c r="U4193" s="4"/>
      <c r="V4193" s="4"/>
      <c r="X4193" s="4"/>
      <c r="Y4193" s="4"/>
    </row>
    <row r="4194" spans="20:25" x14ac:dyDescent="0.3">
      <c r="T4194" s="12"/>
      <c r="U4194" s="4"/>
      <c r="V4194" s="4"/>
      <c r="X4194" s="4"/>
      <c r="Y4194" s="4"/>
    </row>
    <row r="4195" spans="20:25" x14ac:dyDescent="0.3">
      <c r="T4195" s="12"/>
      <c r="U4195" s="4"/>
      <c r="V4195" s="4"/>
      <c r="X4195" s="4"/>
      <c r="Y4195" s="4"/>
    </row>
    <row r="4196" spans="20:25" x14ac:dyDescent="0.3">
      <c r="T4196" s="12"/>
      <c r="U4196" s="4"/>
      <c r="V4196" s="4"/>
      <c r="X4196" s="4"/>
      <c r="Y4196" s="4"/>
    </row>
    <row r="4197" spans="20:25" x14ac:dyDescent="0.3">
      <c r="T4197" s="12"/>
      <c r="U4197" s="4"/>
      <c r="V4197" s="4"/>
      <c r="X4197" s="4"/>
      <c r="Y4197" s="4"/>
    </row>
    <row r="4198" spans="20:25" x14ac:dyDescent="0.3">
      <c r="T4198" s="12"/>
      <c r="U4198" s="4"/>
      <c r="V4198" s="4"/>
      <c r="X4198" s="4"/>
      <c r="Y4198" s="4"/>
    </row>
    <row r="4199" spans="20:25" x14ac:dyDescent="0.3">
      <c r="T4199" s="12"/>
      <c r="U4199" s="4"/>
      <c r="V4199" s="4"/>
      <c r="X4199" s="4"/>
      <c r="Y4199" s="4"/>
    </row>
    <row r="4200" spans="20:25" x14ac:dyDescent="0.3">
      <c r="T4200" s="12"/>
      <c r="U4200" s="4"/>
      <c r="V4200" s="4"/>
      <c r="X4200" s="4"/>
      <c r="Y4200" s="4"/>
    </row>
    <row r="4201" spans="20:25" x14ac:dyDescent="0.3">
      <c r="T4201" s="12"/>
      <c r="U4201" s="4"/>
      <c r="V4201" s="4"/>
      <c r="X4201" s="4"/>
      <c r="Y4201" s="4"/>
    </row>
    <row r="4202" spans="20:25" x14ac:dyDescent="0.3">
      <c r="T4202" s="12"/>
      <c r="U4202" s="4"/>
      <c r="V4202" s="4"/>
      <c r="X4202" s="4"/>
      <c r="Y4202" s="4"/>
    </row>
    <row r="4203" spans="20:25" x14ac:dyDescent="0.3">
      <c r="T4203" s="12"/>
      <c r="U4203" s="4"/>
      <c r="V4203" s="4"/>
      <c r="X4203" s="4"/>
      <c r="Y4203" s="4"/>
    </row>
    <row r="4204" spans="20:25" x14ac:dyDescent="0.3">
      <c r="T4204" s="12"/>
      <c r="U4204" s="4"/>
      <c r="V4204" s="4"/>
      <c r="X4204" s="4"/>
      <c r="Y4204" s="4"/>
    </row>
    <row r="4205" spans="20:25" x14ac:dyDescent="0.3">
      <c r="T4205" s="12"/>
      <c r="U4205" s="4"/>
      <c r="V4205" s="4"/>
      <c r="X4205" s="4"/>
      <c r="Y4205" s="4"/>
    </row>
    <row r="4206" spans="20:25" x14ac:dyDescent="0.3">
      <c r="T4206" s="12"/>
      <c r="U4206" s="4"/>
      <c r="V4206" s="4"/>
      <c r="X4206" s="4"/>
      <c r="Y4206" s="4"/>
    </row>
    <row r="4207" spans="20:25" x14ac:dyDescent="0.3">
      <c r="T4207" s="12"/>
      <c r="U4207" s="4"/>
      <c r="V4207" s="4"/>
      <c r="X4207" s="4"/>
      <c r="Y4207" s="4"/>
    </row>
    <row r="4208" spans="20:25" x14ac:dyDescent="0.3">
      <c r="T4208" s="12"/>
      <c r="U4208" s="4"/>
      <c r="V4208" s="4"/>
      <c r="X4208" s="4"/>
      <c r="Y4208" s="4"/>
    </row>
    <row r="4209" spans="20:25" x14ac:dyDescent="0.3">
      <c r="T4209" s="12"/>
      <c r="U4209" s="4"/>
      <c r="V4209" s="4"/>
      <c r="X4209" s="4"/>
      <c r="Y4209" s="4"/>
    </row>
    <row r="4210" spans="20:25" x14ac:dyDescent="0.3">
      <c r="T4210" s="12"/>
      <c r="U4210" s="4"/>
      <c r="V4210" s="4"/>
      <c r="X4210" s="4"/>
      <c r="Y4210" s="4"/>
    </row>
    <row r="4211" spans="20:25" x14ac:dyDescent="0.3">
      <c r="T4211" s="12"/>
      <c r="U4211" s="4"/>
      <c r="V4211" s="4"/>
      <c r="X4211" s="4"/>
      <c r="Y4211" s="4"/>
    </row>
    <row r="4212" spans="20:25" x14ac:dyDescent="0.3">
      <c r="T4212" s="12"/>
      <c r="U4212" s="4"/>
      <c r="V4212" s="4"/>
      <c r="X4212" s="4"/>
      <c r="Y4212" s="4"/>
    </row>
    <row r="4213" spans="20:25" x14ac:dyDescent="0.3">
      <c r="T4213" s="12"/>
      <c r="U4213" s="4"/>
      <c r="V4213" s="4"/>
      <c r="X4213" s="4"/>
      <c r="Y4213" s="4"/>
    </row>
    <row r="4214" spans="20:25" x14ac:dyDescent="0.3">
      <c r="T4214" s="12"/>
      <c r="U4214" s="4"/>
      <c r="V4214" s="4"/>
      <c r="X4214" s="4"/>
      <c r="Y4214" s="4"/>
    </row>
    <row r="4215" spans="20:25" x14ac:dyDescent="0.3">
      <c r="T4215" s="12"/>
      <c r="U4215" s="4"/>
      <c r="V4215" s="4"/>
      <c r="X4215" s="4"/>
      <c r="Y4215" s="4"/>
    </row>
    <row r="4216" spans="20:25" x14ac:dyDescent="0.3">
      <c r="T4216" s="12"/>
      <c r="U4216" s="4"/>
      <c r="V4216" s="4"/>
      <c r="X4216" s="4"/>
      <c r="Y4216" s="4"/>
    </row>
    <row r="4217" spans="20:25" x14ac:dyDescent="0.3">
      <c r="T4217" s="12"/>
      <c r="U4217" s="4"/>
      <c r="V4217" s="4"/>
      <c r="X4217" s="4"/>
      <c r="Y4217" s="4"/>
    </row>
    <row r="4218" spans="20:25" x14ac:dyDescent="0.3">
      <c r="T4218" s="12"/>
      <c r="U4218" s="4"/>
      <c r="V4218" s="4"/>
      <c r="X4218" s="4"/>
      <c r="Y4218" s="4"/>
    </row>
    <row r="4219" spans="20:25" x14ac:dyDescent="0.3">
      <c r="T4219" s="12"/>
      <c r="U4219" s="4"/>
      <c r="V4219" s="4"/>
      <c r="X4219" s="4"/>
      <c r="Y4219" s="4"/>
    </row>
    <row r="4220" spans="20:25" x14ac:dyDescent="0.3">
      <c r="T4220" s="12"/>
      <c r="U4220" s="4"/>
      <c r="V4220" s="4"/>
      <c r="X4220" s="4"/>
      <c r="Y4220" s="4"/>
    </row>
    <row r="4221" spans="20:25" x14ac:dyDescent="0.3">
      <c r="T4221" s="12"/>
      <c r="U4221" s="4"/>
      <c r="V4221" s="4"/>
      <c r="X4221" s="4"/>
      <c r="Y4221" s="4"/>
    </row>
    <row r="4222" spans="20:25" x14ac:dyDescent="0.3">
      <c r="T4222" s="12"/>
      <c r="U4222" s="4"/>
      <c r="V4222" s="4"/>
      <c r="X4222" s="4"/>
      <c r="Y4222" s="4"/>
    </row>
    <row r="4223" spans="20:25" x14ac:dyDescent="0.3">
      <c r="T4223" s="12"/>
      <c r="U4223" s="4"/>
      <c r="V4223" s="4"/>
      <c r="X4223" s="4"/>
      <c r="Y4223" s="4"/>
    </row>
    <row r="4224" spans="20:25" x14ac:dyDescent="0.3">
      <c r="T4224" s="12"/>
      <c r="U4224" s="4"/>
      <c r="V4224" s="4"/>
      <c r="X4224" s="4"/>
      <c r="Y4224" s="4"/>
    </row>
    <row r="4225" spans="20:25" x14ac:dyDescent="0.3">
      <c r="T4225" s="12"/>
      <c r="U4225" s="4"/>
      <c r="V4225" s="4"/>
      <c r="X4225" s="4"/>
      <c r="Y4225" s="4"/>
    </row>
    <row r="4226" spans="20:25" x14ac:dyDescent="0.3">
      <c r="T4226" s="12"/>
      <c r="U4226" s="4"/>
      <c r="V4226" s="4"/>
      <c r="X4226" s="4"/>
      <c r="Y4226" s="4"/>
    </row>
    <row r="4227" spans="20:25" x14ac:dyDescent="0.3">
      <c r="T4227" s="12"/>
      <c r="U4227" s="4"/>
      <c r="V4227" s="4"/>
      <c r="X4227" s="4"/>
      <c r="Y4227" s="4"/>
    </row>
    <row r="4228" spans="20:25" x14ac:dyDescent="0.3">
      <c r="T4228" s="12"/>
      <c r="U4228" s="4"/>
      <c r="V4228" s="4"/>
      <c r="X4228" s="4"/>
      <c r="Y4228" s="4"/>
    </row>
    <row r="4229" spans="20:25" x14ac:dyDescent="0.3">
      <c r="T4229" s="12"/>
      <c r="U4229" s="4"/>
      <c r="V4229" s="4"/>
      <c r="X4229" s="4"/>
      <c r="Y4229" s="4"/>
    </row>
    <row r="4230" spans="20:25" x14ac:dyDescent="0.3">
      <c r="T4230" s="12"/>
      <c r="U4230" s="4"/>
      <c r="V4230" s="4"/>
      <c r="X4230" s="4"/>
      <c r="Y4230" s="4"/>
    </row>
    <row r="4231" spans="20:25" x14ac:dyDescent="0.3">
      <c r="T4231" s="12"/>
      <c r="U4231" s="4"/>
      <c r="V4231" s="4"/>
      <c r="X4231" s="4"/>
      <c r="Y4231" s="4"/>
    </row>
    <row r="4232" spans="20:25" x14ac:dyDescent="0.3">
      <c r="T4232" s="12"/>
      <c r="U4232" s="4"/>
      <c r="V4232" s="4"/>
      <c r="X4232" s="4"/>
      <c r="Y4232" s="4"/>
    </row>
    <row r="4233" spans="20:25" x14ac:dyDescent="0.3">
      <c r="T4233" s="12"/>
      <c r="U4233" s="4"/>
      <c r="V4233" s="4"/>
      <c r="X4233" s="4"/>
      <c r="Y4233" s="4"/>
    </row>
    <row r="4234" spans="20:25" x14ac:dyDescent="0.3">
      <c r="T4234" s="12"/>
      <c r="U4234" s="4"/>
      <c r="V4234" s="4"/>
      <c r="X4234" s="4"/>
      <c r="Y4234" s="4"/>
    </row>
    <row r="4235" spans="20:25" x14ac:dyDescent="0.3">
      <c r="T4235" s="12"/>
      <c r="U4235" s="4"/>
      <c r="V4235" s="4"/>
      <c r="X4235" s="4"/>
      <c r="Y4235" s="4"/>
    </row>
    <row r="4236" spans="20:25" x14ac:dyDescent="0.3">
      <c r="T4236" s="12"/>
      <c r="U4236" s="4"/>
      <c r="V4236" s="4"/>
      <c r="X4236" s="4"/>
      <c r="Y4236" s="4"/>
    </row>
    <row r="4237" spans="20:25" x14ac:dyDescent="0.3">
      <c r="T4237" s="12"/>
      <c r="U4237" s="4"/>
      <c r="V4237" s="4"/>
      <c r="X4237" s="4"/>
      <c r="Y4237" s="4"/>
    </row>
    <row r="4238" spans="20:25" x14ac:dyDescent="0.3">
      <c r="T4238" s="12"/>
      <c r="U4238" s="4"/>
      <c r="V4238" s="4"/>
      <c r="X4238" s="4"/>
      <c r="Y4238" s="4"/>
    </row>
    <row r="4239" spans="20:25" x14ac:dyDescent="0.3">
      <c r="T4239" s="12"/>
      <c r="U4239" s="4"/>
      <c r="V4239" s="4"/>
      <c r="X4239" s="4"/>
      <c r="Y4239" s="4"/>
    </row>
    <row r="4240" spans="20:25" x14ac:dyDescent="0.3">
      <c r="T4240" s="12"/>
      <c r="U4240" s="4"/>
      <c r="V4240" s="4"/>
      <c r="X4240" s="4"/>
      <c r="Y4240" s="4"/>
    </row>
    <row r="4241" spans="20:25" x14ac:dyDescent="0.3">
      <c r="T4241" s="12"/>
      <c r="U4241" s="4"/>
      <c r="V4241" s="4"/>
      <c r="X4241" s="4"/>
      <c r="Y4241" s="4"/>
    </row>
    <row r="4242" spans="20:25" x14ac:dyDescent="0.3">
      <c r="T4242" s="12"/>
      <c r="U4242" s="4"/>
      <c r="V4242" s="4"/>
      <c r="X4242" s="4"/>
      <c r="Y4242" s="4"/>
    </row>
    <row r="4243" spans="20:25" x14ac:dyDescent="0.3">
      <c r="T4243" s="12"/>
      <c r="U4243" s="4"/>
      <c r="V4243" s="4"/>
      <c r="X4243" s="4"/>
      <c r="Y4243" s="4"/>
    </row>
    <row r="4244" spans="20:25" x14ac:dyDescent="0.3">
      <c r="T4244" s="12"/>
      <c r="U4244" s="4"/>
      <c r="V4244" s="4"/>
      <c r="X4244" s="4"/>
      <c r="Y4244" s="4"/>
    </row>
    <row r="4245" spans="20:25" x14ac:dyDescent="0.3">
      <c r="T4245" s="12"/>
      <c r="U4245" s="4"/>
      <c r="V4245" s="4"/>
      <c r="X4245" s="4"/>
      <c r="Y4245" s="4"/>
    </row>
    <row r="4246" spans="20:25" x14ac:dyDescent="0.3">
      <c r="T4246" s="12"/>
      <c r="U4246" s="4"/>
      <c r="V4246" s="4"/>
      <c r="X4246" s="4"/>
      <c r="Y4246" s="4"/>
    </row>
    <row r="4247" spans="20:25" x14ac:dyDescent="0.3">
      <c r="T4247" s="12"/>
      <c r="U4247" s="4"/>
      <c r="V4247" s="4"/>
      <c r="X4247" s="4"/>
      <c r="Y4247" s="4"/>
    </row>
    <row r="4248" spans="20:25" x14ac:dyDescent="0.3">
      <c r="T4248" s="12"/>
      <c r="U4248" s="4"/>
      <c r="V4248" s="4"/>
      <c r="X4248" s="4"/>
      <c r="Y4248" s="4"/>
    </row>
    <row r="4249" spans="20:25" x14ac:dyDescent="0.3">
      <c r="T4249" s="12"/>
      <c r="U4249" s="4"/>
      <c r="V4249" s="4"/>
      <c r="X4249" s="4"/>
      <c r="Y4249" s="4"/>
    </row>
    <row r="4250" spans="20:25" x14ac:dyDescent="0.3">
      <c r="T4250" s="12"/>
      <c r="U4250" s="4"/>
      <c r="V4250" s="4"/>
      <c r="X4250" s="4"/>
      <c r="Y4250" s="4"/>
    </row>
    <row r="4251" spans="20:25" x14ac:dyDescent="0.3">
      <c r="T4251" s="12"/>
      <c r="U4251" s="4"/>
      <c r="V4251" s="4"/>
      <c r="X4251" s="4"/>
      <c r="Y4251" s="4"/>
    </row>
    <row r="4252" spans="20:25" x14ac:dyDescent="0.3">
      <c r="T4252" s="12"/>
      <c r="U4252" s="4"/>
      <c r="V4252" s="4"/>
      <c r="X4252" s="4"/>
      <c r="Y4252" s="4"/>
    </row>
    <row r="4253" spans="20:25" x14ac:dyDescent="0.3">
      <c r="T4253" s="12"/>
      <c r="U4253" s="4"/>
      <c r="V4253" s="4"/>
      <c r="X4253" s="4"/>
      <c r="Y4253" s="4"/>
    </row>
    <row r="4254" spans="20:25" x14ac:dyDescent="0.3">
      <c r="T4254" s="12"/>
      <c r="U4254" s="4"/>
      <c r="V4254" s="4"/>
      <c r="X4254" s="4"/>
      <c r="Y4254" s="4"/>
    </row>
    <row r="4255" spans="20:25" x14ac:dyDescent="0.3">
      <c r="T4255" s="12"/>
      <c r="U4255" s="4"/>
      <c r="V4255" s="4"/>
      <c r="X4255" s="4"/>
      <c r="Y4255" s="4"/>
    </row>
    <row r="4256" spans="20:25" x14ac:dyDescent="0.3">
      <c r="T4256" s="12"/>
      <c r="U4256" s="4"/>
      <c r="V4256" s="4"/>
      <c r="X4256" s="4"/>
      <c r="Y4256" s="4"/>
    </row>
    <row r="4257" spans="20:25" x14ac:dyDescent="0.3">
      <c r="T4257" s="12"/>
      <c r="U4257" s="4"/>
      <c r="V4257" s="4"/>
      <c r="X4257" s="4"/>
      <c r="Y4257" s="4"/>
    </row>
    <row r="4258" spans="20:25" x14ac:dyDescent="0.3">
      <c r="T4258" s="12"/>
      <c r="U4258" s="4"/>
      <c r="V4258" s="4"/>
      <c r="X4258" s="4"/>
      <c r="Y4258" s="4"/>
    </row>
    <row r="4259" spans="20:25" x14ac:dyDescent="0.3">
      <c r="T4259" s="12"/>
      <c r="U4259" s="4"/>
      <c r="V4259" s="4"/>
      <c r="X4259" s="4"/>
      <c r="Y4259" s="4"/>
    </row>
    <row r="4260" spans="20:25" x14ac:dyDescent="0.3">
      <c r="T4260" s="12"/>
      <c r="U4260" s="4"/>
      <c r="V4260" s="4"/>
      <c r="X4260" s="4"/>
      <c r="Y4260" s="4"/>
    </row>
    <row r="4261" spans="20:25" x14ac:dyDescent="0.3">
      <c r="T4261" s="12"/>
      <c r="U4261" s="4"/>
      <c r="V4261" s="4"/>
      <c r="X4261" s="4"/>
      <c r="Y4261" s="4"/>
    </row>
    <row r="4262" spans="20:25" x14ac:dyDescent="0.3">
      <c r="T4262" s="12"/>
      <c r="U4262" s="4"/>
      <c r="V4262" s="4"/>
      <c r="X4262" s="4"/>
      <c r="Y4262" s="4"/>
    </row>
    <row r="4263" spans="20:25" x14ac:dyDescent="0.3">
      <c r="T4263" s="12"/>
      <c r="U4263" s="4"/>
      <c r="V4263" s="4"/>
      <c r="X4263" s="4"/>
      <c r="Y4263" s="4"/>
    </row>
    <row r="4264" spans="20:25" x14ac:dyDescent="0.3">
      <c r="T4264" s="12"/>
      <c r="U4264" s="4"/>
      <c r="V4264" s="4"/>
      <c r="X4264" s="4"/>
      <c r="Y4264" s="4"/>
    </row>
    <row r="4265" spans="20:25" x14ac:dyDescent="0.3">
      <c r="T4265" s="12"/>
      <c r="U4265" s="4"/>
      <c r="V4265" s="4"/>
      <c r="X4265" s="4"/>
      <c r="Y4265" s="4"/>
    </row>
    <row r="4266" spans="20:25" x14ac:dyDescent="0.3">
      <c r="T4266" s="12"/>
      <c r="U4266" s="4"/>
      <c r="V4266" s="4"/>
      <c r="X4266" s="4"/>
      <c r="Y4266" s="4"/>
    </row>
    <row r="4267" spans="20:25" x14ac:dyDescent="0.3">
      <c r="T4267" s="12"/>
      <c r="U4267" s="4"/>
      <c r="V4267" s="4"/>
      <c r="X4267" s="4"/>
      <c r="Y4267" s="4"/>
    </row>
    <row r="4268" spans="20:25" x14ac:dyDescent="0.3">
      <c r="T4268" s="12"/>
      <c r="U4268" s="4"/>
      <c r="V4268" s="4"/>
      <c r="X4268" s="4"/>
      <c r="Y4268" s="4"/>
    </row>
    <row r="4269" spans="20:25" x14ac:dyDescent="0.3">
      <c r="T4269" s="12"/>
      <c r="U4269" s="4"/>
      <c r="V4269" s="4"/>
      <c r="X4269" s="4"/>
      <c r="Y4269" s="4"/>
    </row>
    <row r="4270" spans="20:25" x14ac:dyDescent="0.3">
      <c r="T4270" s="12"/>
      <c r="U4270" s="4"/>
      <c r="V4270" s="4"/>
      <c r="X4270" s="4"/>
      <c r="Y4270" s="4"/>
    </row>
    <row r="4271" spans="20:25" x14ac:dyDescent="0.3">
      <c r="T4271" s="12"/>
      <c r="U4271" s="4"/>
      <c r="V4271" s="4"/>
      <c r="X4271" s="4"/>
      <c r="Y4271" s="4"/>
    </row>
    <row r="4272" spans="20:25" x14ac:dyDescent="0.3">
      <c r="T4272" s="12"/>
      <c r="U4272" s="4"/>
      <c r="V4272" s="4"/>
      <c r="X4272" s="4"/>
      <c r="Y4272" s="4"/>
    </row>
    <row r="4273" spans="20:25" x14ac:dyDescent="0.3">
      <c r="T4273" s="12"/>
      <c r="U4273" s="4"/>
      <c r="V4273" s="4"/>
      <c r="X4273" s="4"/>
      <c r="Y4273" s="4"/>
    </row>
    <row r="4274" spans="20:25" x14ac:dyDescent="0.3">
      <c r="T4274" s="12"/>
      <c r="U4274" s="4"/>
      <c r="V4274" s="4"/>
      <c r="X4274" s="4"/>
      <c r="Y4274" s="4"/>
    </row>
    <row r="4275" spans="20:25" x14ac:dyDescent="0.3">
      <c r="T4275" s="12"/>
      <c r="U4275" s="4"/>
      <c r="V4275" s="4"/>
      <c r="X4275" s="4"/>
      <c r="Y4275" s="4"/>
    </row>
    <row r="4276" spans="20:25" x14ac:dyDescent="0.3">
      <c r="T4276" s="12"/>
      <c r="U4276" s="4"/>
      <c r="V4276" s="4"/>
      <c r="X4276" s="4"/>
      <c r="Y4276" s="4"/>
    </row>
    <row r="4277" spans="20:25" x14ac:dyDescent="0.3">
      <c r="T4277" s="12"/>
      <c r="U4277" s="4"/>
      <c r="V4277" s="4"/>
      <c r="X4277" s="4"/>
      <c r="Y4277" s="4"/>
    </row>
    <row r="4278" spans="20:25" x14ac:dyDescent="0.3">
      <c r="T4278" s="12"/>
      <c r="U4278" s="4"/>
      <c r="V4278" s="4"/>
      <c r="X4278" s="4"/>
      <c r="Y4278" s="4"/>
    </row>
    <row r="4279" spans="20:25" x14ac:dyDescent="0.3">
      <c r="T4279" s="12"/>
      <c r="U4279" s="4"/>
      <c r="V4279" s="4"/>
      <c r="X4279" s="4"/>
      <c r="Y4279" s="4"/>
    </row>
    <row r="4280" spans="20:25" x14ac:dyDescent="0.3">
      <c r="T4280" s="12"/>
      <c r="U4280" s="4"/>
      <c r="V4280" s="4"/>
      <c r="X4280" s="4"/>
      <c r="Y4280" s="4"/>
    </row>
    <row r="4281" spans="20:25" x14ac:dyDescent="0.3">
      <c r="T4281" s="12"/>
      <c r="U4281" s="4"/>
      <c r="V4281" s="4"/>
      <c r="X4281" s="4"/>
      <c r="Y4281" s="4"/>
    </row>
    <row r="4282" spans="20:25" x14ac:dyDescent="0.3">
      <c r="T4282" s="12"/>
      <c r="U4282" s="4"/>
      <c r="V4282" s="4"/>
      <c r="X4282" s="4"/>
      <c r="Y4282" s="4"/>
    </row>
    <row r="4283" spans="20:25" x14ac:dyDescent="0.3">
      <c r="T4283" s="12"/>
      <c r="U4283" s="4"/>
      <c r="V4283" s="4"/>
      <c r="X4283" s="4"/>
      <c r="Y4283" s="4"/>
    </row>
    <row r="4284" spans="20:25" x14ac:dyDescent="0.3">
      <c r="T4284" s="12"/>
      <c r="U4284" s="4"/>
      <c r="V4284" s="4"/>
      <c r="X4284" s="4"/>
      <c r="Y4284" s="4"/>
    </row>
    <row r="4285" spans="20:25" x14ac:dyDescent="0.3">
      <c r="T4285" s="12"/>
      <c r="U4285" s="4"/>
      <c r="V4285" s="4"/>
      <c r="X4285" s="4"/>
      <c r="Y4285" s="4"/>
    </row>
    <row r="4286" spans="20:25" x14ac:dyDescent="0.3">
      <c r="T4286" s="12"/>
      <c r="U4286" s="4"/>
      <c r="V4286" s="4"/>
      <c r="X4286" s="4"/>
      <c r="Y4286" s="4"/>
    </row>
    <row r="4287" spans="20:25" x14ac:dyDescent="0.3">
      <c r="T4287" s="12"/>
      <c r="U4287" s="4"/>
      <c r="V4287" s="4"/>
      <c r="X4287" s="4"/>
      <c r="Y4287" s="4"/>
    </row>
    <row r="4288" spans="20:25" x14ac:dyDescent="0.3">
      <c r="T4288" s="12"/>
      <c r="U4288" s="4"/>
      <c r="V4288" s="4"/>
      <c r="X4288" s="4"/>
      <c r="Y4288" s="4"/>
    </row>
    <row r="4289" spans="20:25" x14ac:dyDescent="0.3">
      <c r="T4289" s="12"/>
      <c r="U4289" s="4"/>
      <c r="V4289" s="4"/>
      <c r="X4289" s="4"/>
      <c r="Y4289" s="4"/>
    </row>
    <row r="4290" spans="20:25" x14ac:dyDescent="0.3">
      <c r="T4290" s="12"/>
      <c r="U4290" s="4"/>
      <c r="V4290" s="4"/>
      <c r="X4290" s="4"/>
      <c r="Y4290" s="4"/>
    </row>
    <row r="4291" spans="20:25" x14ac:dyDescent="0.3">
      <c r="T4291" s="12"/>
      <c r="U4291" s="4"/>
      <c r="V4291" s="4"/>
      <c r="X4291" s="4"/>
      <c r="Y4291" s="4"/>
    </row>
    <row r="4292" spans="20:25" x14ac:dyDescent="0.3">
      <c r="T4292" s="12"/>
      <c r="U4292" s="4"/>
      <c r="V4292" s="4"/>
      <c r="X4292" s="4"/>
      <c r="Y4292" s="4"/>
    </row>
    <row r="4293" spans="20:25" x14ac:dyDescent="0.3">
      <c r="T4293" s="12"/>
      <c r="U4293" s="4"/>
      <c r="V4293" s="4"/>
      <c r="X4293" s="4"/>
      <c r="Y4293" s="4"/>
    </row>
    <row r="4294" spans="20:25" x14ac:dyDescent="0.3">
      <c r="T4294" s="12"/>
      <c r="U4294" s="4"/>
      <c r="V4294" s="4"/>
      <c r="X4294" s="4"/>
      <c r="Y4294" s="4"/>
    </row>
    <row r="4295" spans="20:25" x14ac:dyDescent="0.3">
      <c r="T4295" s="12"/>
      <c r="U4295" s="4"/>
      <c r="V4295" s="4"/>
      <c r="X4295" s="4"/>
      <c r="Y4295" s="4"/>
    </row>
    <row r="4296" spans="20:25" x14ac:dyDescent="0.3">
      <c r="T4296" s="12"/>
      <c r="U4296" s="4"/>
      <c r="V4296" s="4"/>
      <c r="X4296" s="4"/>
      <c r="Y4296" s="4"/>
    </row>
    <row r="4297" spans="20:25" x14ac:dyDescent="0.3">
      <c r="T4297" s="12"/>
      <c r="U4297" s="4"/>
      <c r="V4297" s="4"/>
      <c r="X4297" s="4"/>
      <c r="Y4297" s="4"/>
    </row>
    <row r="4298" spans="20:25" x14ac:dyDescent="0.3">
      <c r="T4298" s="12"/>
      <c r="U4298" s="4"/>
      <c r="V4298" s="4"/>
      <c r="X4298" s="4"/>
      <c r="Y4298" s="4"/>
    </row>
    <row r="4299" spans="20:25" x14ac:dyDescent="0.3">
      <c r="T4299" s="12"/>
      <c r="U4299" s="4"/>
      <c r="V4299" s="4"/>
      <c r="X4299" s="4"/>
      <c r="Y4299" s="4"/>
    </row>
    <row r="4300" spans="20:25" x14ac:dyDescent="0.3">
      <c r="T4300" s="12"/>
      <c r="U4300" s="4"/>
      <c r="V4300" s="4"/>
      <c r="X4300" s="4"/>
      <c r="Y4300" s="4"/>
    </row>
    <row r="4301" spans="20:25" x14ac:dyDescent="0.3">
      <c r="T4301" s="12"/>
      <c r="U4301" s="4"/>
      <c r="V4301" s="4"/>
      <c r="X4301" s="4"/>
      <c r="Y4301" s="4"/>
    </row>
    <row r="4302" spans="20:25" x14ac:dyDescent="0.3">
      <c r="T4302" s="12"/>
      <c r="U4302" s="4"/>
      <c r="V4302" s="4"/>
      <c r="X4302" s="4"/>
      <c r="Y4302" s="4"/>
    </row>
    <row r="4303" spans="20:25" x14ac:dyDescent="0.3">
      <c r="T4303" s="12"/>
      <c r="U4303" s="4"/>
      <c r="V4303" s="4"/>
      <c r="X4303" s="4"/>
      <c r="Y4303" s="4"/>
    </row>
    <row r="4304" spans="20:25" x14ac:dyDescent="0.3">
      <c r="T4304" s="12"/>
      <c r="U4304" s="4"/>
      <c r="V4304" s="4"/>
      <c r="X4304" s="4"/>
      <c r="Y4304" s="4"/>
    </row>
    <row r="4305" spans="20:25" x14ac:dyDescent="0.3">
      <c r="T4305" s="12"/>
      <c r="U4305" s="4"/>
      <c r="V4305" s="4"/>
      <c r="X4305" s="4"/>
      <c r="Y4305" s="4"/>
    </row>
    <row r="4306" spans="20:25" x14ac:dyDescent="0.3">
      <c r="T4306" s="12"/>
      <c r="U4306" s="4"/>
      <c r="V4306" s="4"/>
      <c r="X4306" s="4"/>
      <c r="Y4306" s="4"/>
    </row>
    <row r="4307" spans="20:25" x14ac:dyDescent="0.3">
      <c r="T4307" s="12"/>
      <c r="U4307" s="4"/>
      <c r="V4307" s="4"/>
      <c r="X4307" s="4"/>
      <c r="Y4307" s="4"/>
    </row>
    <row r="4308" spans="20:25" x14ac:dyDescent="0.3">
      <c r="T4308" s="12"/>
      <c r="U4308" s="4"/>
      <c r="V4308" s="4"/>
      <c r="X4308" s="4"/>
      <c r="Y4308" s="4"/>
    </row>
    <row r="4309" spans="20:25" x14ac:dyDescent="0.3">
      <c r="T4309" s="12"/>
      <c r="U4309" s="4"/>
      <c r="V4309" s="4"/>
      <c r="X4309" s="4"/>
      <c r="Y4309" s="4"/>
    </row>
    <row r="4310" spans="20:25" x14ac:dyDescent="0.3">
      <c r="T4310" s="12"/>
      <c r="U4310" s="4"/>
      <c r="V4310" s="4"/>
      <c r="X4310" s="4"/>
      <c r="Y4310" s="4"/>
    </row>
    <row r="4311" spans="20:25" x14ac:dyDescent="0.3">
      <c r="T4311" s="12"/>
      <c r="U4311" s="4"/>
      <c r="V4311" s="4"/>
      <c r="X4311" s="4"/>
      <c r="Y4311" s="4"/>
    </row>
    <row r="4312" spans="20:25" x14ac:dyDescent="0.3">
      <c r="T4312" s="12"/>
      <c r="U4312" s="4"/>
      <c r="V4312" s="4"/>
      <c r="X4312" s="4"/>
      <c r="Y4312" s="4"/>
    </row>
    <row r="4313" spans="20:25" x14ac:dyDescent="0.3">
      <c r="T4313" s="12"/>
      <c r="U4313" s="4"/>
      <c r="V4313" s="4"/>
      <c r="X4313" s="4"/>
      <c r="Y4313" s="4"/>
    </row>
    <row r="4314" spans="20:25" x14ac:dyDescent="0.3">
      <c r="T4314" s="12"/>
      <c r="U4314" s="4"/>
      <c r="V4314" s="4"/>
      <c r="X4314" s="4"/>
      <c r="Y4314" s="4"/>
    </row>
    <row r="4315" spans="20:25" x14ac:dyDescent="0.3">
      <c r="T4315" s="12"/>
      <c r="U4315" s="4"/>
      <c r="V4315" s="4"/>
      <c r="X4315" s="4"/>
      <c r="Y4315" s="4"/>
    </row>
    <row r="4316" spans="20:25" x14ac:dyDescent="0.3">
      <c r="T4316" s="12"/>
      <c r="U4316" s="4"/>
      <c r="V4316" s="4"/>
      <c r="X4316" s="4"/>
      <c r="Y4316" s="4"/>
    </row>
    <row r="4317" spans="20:25" x14ac:dyDescent="0.3">
      <c r="T4317" s="12"/>
      <c r="U4317" s="4"/>
      <c r="V4317" s="4"/>
      <c r="X4317" s="4"/>
      <c r="Y4317" s="4"/>
    </row>
    <row r="4318" spans="20:25" x14ac:dyDescent="0.3">
      <c r="T4318" s="12"/>
      <c r="U4318" s="4"/>
      <c r="V4318" s="4"/>
      <c r="X4318" s="4"/>
      <c r="Y4318" s="4"/>
    </row>
    <row r="4319" spans="20:25" x14ac:dyDescent="0.3">
      <c r="T4319" s="12"/>
      <c r="U4319" s="4"/>
      <c r="V4319" s="4"/>
      <c r="X4319" s="4"/>
      <c r="Y4319" s="4"/>
    </row>
    <row r="4320" spans="20:25" x14ac:dyDescent="0.3">
      <c r="T4320" s="12"/>
      <c r="U4320" s="4"/>
      <c r="V4320" s="4"/>
      <c r="X4320" s="4"/>
      <c r="Y4320" s="4"/>
    </row>
    <row r="4321" spans="20:25" x14ac:dyDescent="0.3">
      <c r="T4321" s="12"/>
      <c r="U4321" s="4"/>
      <c r="V4321" s="4"/>
      <c r="X4321" s="4"/>
      <c r="Y4321" s="4"/>
    </row>
    <row r="4322" spans="20:25" x14ac:dyDescent="0.3">
      <c r="T4322" s="12"/>
      <c r="U4322" s="4"/>
      <c r="V4322" s="4"/>
      <c r="X4322" s="4"/>
      <c r="Y4322" s="4"/>
    </row>
    <row r="4323" spans="20:25" x14ac:dyDescent="0.3">
      <c r="T4323" s="12"/>
      <c r="U4323" s="4"/>
      <c r="V4323" s="4"/>
      <c r="X4323" s="4"/>
      <c r="Y4323" s="4"/>
    </row>
    <row r="4324" spans="20:25" x14ac:dyDescent="0.3">
      <c r="T4324" s="12"/>
      <c r="U4324" s="4"/>
      <c r="V4324" s="4"/>
      <c r="X4324" s="4"/>
      <c r="Y4324" s="4"/>
    </row>
    <row r="4325" spans="20:25" x14ac:dyDescent="0.3">
      <c r="T4325" s="12"/>
      <c r="U4325" s="4"/>
      <c r="V4325" s="4"/>
      <c r="X4325" s="4"/>
      <c r="Y4325" s="4"/>
    </row>
    <row r="4326" spans="20:25" x14ac:dyDescent="0.3">
      <c r="T4326" s="12"/>
      <c r="U4326" s="4"/>
      <c r="V4326" s="4"/>
      <c r="X4326" s="4"/>
      <c r="Y4326" s="4"/>
    </row>
    <row r="4327" spans="20:25" x14ac:dyDescent="0.3">
      <c r="T4327" s="12"/>
      <c r="U4327" s="4"/>
      <c r="V4327" s="4"/>
      <c r="X4327" s="4"/>
      <c r="Y4327" s="4"/>
    </row>
    <row r="4328" spans="20:25" x14ac:dyDescent="0.3">
      <c r="T4328" s="12"/>
      <c r="U4328" s="4"/>
      <c r="V4328" s="4"/>
      <c r="X4328" s="4"/>
      <c r="Y4328" s="4"/>
    </row>
    <row r="4329" spans="20:25" x14ac:dyDescent="0.3">
      <c r="T4329" s="12"/>
      <c r="U4329" s="4"/>
      <c r="V4329" s="4"/>
      <c r="X4329" s="4"/>
      <c r="Y4329" s="4"/>
    </row>
    <row r="4330" spans="20:25" x14ac:dyDescent="0.3">
      <c r="T4330" s="12"/>
      <c r="U4330" s="4"/>
      <c r="V4330" s="4"/>
      <c r="X4330" s="4"/>
      <c r="Y4330" s="4"/>
    </row>
    <row r="4331" spans="20:25" x14ac:dyDescent="0.3">
      <c r="T4331" s="12"/>
      <c r="U4331" s="4"/>
      <c r="V4331" s="4"/>
      <c r="X4331" s="4"/>
      <c r="Y4331" s="4"/>
    </row>
    <row r="4332" spans="20:25" x14ac:dyDescent="0.3">
      <c r="T4332" s="12"/>
      <c r="U4332" s="4"/>
      <c r="V4332" s="4"/>
      <c r="X4332" s="4"/>
      <c r="Y4332" s="4"/>
    </row>
    <row r="4333" spans="20:25" x14ac:dyDescent="0.3">
      <c r="T4333" s="12"/>
      <c r="U4333" s="4"/>
      <c r="V4333" s="4"/>
      <c r="X4333" s="4"/>
      <c r="Y4333" s="4"/>
    </row>
    <row r="4334" spans="20:25" x14ac:dyDescent="0.3">
      <c r="T4334" s="12"/>
      <c r="U4334" s="4"/>
      <c r="V4334" s="4"/>
      <c r="X4334" s="4"/>
      <c r="Y4334" s="4"/>
    </row>
    <row r="4335" spans="20:25" x14ac:dyDescent="0.3">
      <c r="T4335" s="12"/>
      <c r="U4335" s="4"/>
      <c r="V4335" s="4"/>
      <c r="X4335" s="4"/>
      <c r="Y4335" s="4"/>
    </row>
    <row r="4336" spans="20:25" x14ac:dyDescent="0.3">
      <c r="T4336" s="12"/>
      <c r="U4336" s="4"/>
      <c r="V4336" s="4"/>
      <c r="X4336" s="4"/>
      <c r="Y4336" s="4"/>
    </row>
    <row r="4337" spans="20:25" x14ac:dyDescent="0.3">
      <c r="T4337" s="12"/>
      <c r="U4337" s="4"/>
      <c r="V4337" s="4"/>
      <c r="X4337" s="4"/>
      <c r="Y4337" s="4"/>
    </row>
    <row r="4338" spans="20:25" x14ac:dyDescent="0.3">
      <c r="T4338" s="12"/>
      <c r="U4338" s="4"/>
      <c r="V4338" s="4"/>
      <c r="X4338" s="4"/>
      <c r="Y4338" s="4"/>
    </row>
    <row r="4339" spans="20:25" x14ac:dyDescent="0.3">
      <c r="T4339" s="12"/>
      <c r="U4339" s="4"/>
      <c r="V4339" s="4"/>
      <c r="X4339" s="4"/>
      <c r="Y4339" s="4"/>
    </row>
    <row r="4340" spans="20:25" x14ac:dyDescent="0.3">
      <c r="T4340" s="12"/>
      <c r="U4340" s="4"/>
      <c r="V4340" s="4"/>
      <c r="X4340" s="4"/>
      <c r="Y4340" s="4"/>
    </row>
    <row r="4341" spans="20:25" x14ac:dyDescent="0.3">
      <c r="T4341" s="12"/>
      <c r="U4341" s="4"/>
      <c r="V4341" s="4"/>
      <c r="X4341" s="4"/>
      <c r="Y4341" s="4"/>
    </row>
    <row r="4342" spans="20:25" x14ac:dyDescent="0.3">
      <c r="T4342" s="12"/>
      <c r="U4342" s="4"/>
      <c r="V4342" s="4"/>
      <c r="X4342" s="4"/>
      <c r="Y4342" s="4"/>
    </row>
    <row r="4343" spans="20:25" x14ac:dyDescent="0.3">
      <c r="T4343" s="12"/>
      <c r="U4343" s="4"/>
      <c r="V4343" s="4"/>
      <c r="X4343" s="4"/>
      <c r="Y4343" s="4"/>
    </row>
    <row r="4344" spans="20:25" x14ac:dyDescent="0.3">
      <c r="T4344" s="12"/>
      <c r="U4344" s="4"/>
      <c r="V4344" s="4"/>
      <c r="X4344" s="4"/>
      <c r="Y4344" s="4"/>
    </row>
    <row r="4345" spans="20:25" x14ac:dyDescent="0.3">
      <c r="T4345" s="12"/>
      <c r="U4345" s="4"/>
      <c r="V4345" s="4"/>
      <c r="X4345" s="4"/>
      <c r="Y4345" s="4"/>
    </row>
    <row r="4346" spans="20:25" x14ac:dyDescent="0.3">
      <c r="T4346" s="12"/>
      <c r="U4346" s="4"/>
      <c r="V4346" s="4"/>
      <c r="X4346" s="4"/>
      <c r="Y4346" s="4"/>
    </row>
    <row r="4347" spans="20:25" x14ac:dyDescent="0.3">
      <c r="T4347" s="12"/>
      <c r="U4347" s="4"/>
      <c r="V4347" s="4"/>
      <c r="X4347" s="4"/>
      <c r="Y4347" s="4"/>
    </row>
    <row r="4348" spans="20:25" x14ac:dyDescent="0.3">
      <c r="T4348" s="12"/>
      <c r="U4348" s="4"/>
      <c r="V4348" s="4"/>
      <c r="X4348" s="4"/>
      <c r="Y4348" s="4"/>
    </row>
    <row r="4349" spans="20:25" x14ac:dyDescent="0.3">
      <c r="T4349" s="12"/>
      <c r="U4349" s="4"/>
      <c r="V4349" s="4"/>
      <c r="X4349" s="4"/>
      <c r="Y4349" s="4"/>
    </row>
    <row r="4350" spans="20:25" x14ac:dyDescent="0.3">
      <c r="T4350" s="12"/>
      <c r="U4350" s="4"/>
      <c r="V4350" s="4"/>
      <c r="X4350" s="4"/>
      <c r="Y4350" s="4"/>
    </row>
    <row r="4351" spans="20:25" x14ac:dyDescent="0.3">
      <c r="T4351" s="12"/>
      <c r="U4351" s="4"/>
      <c r="V4351" s="4"/>
      <c r="X4351" s="4"/>
      <c r="Y4351" s="4"/>
    </row>
    <row r="4352" spans="20:25" x14ac:dyDescent="0.3">
      <c r="T4352" s="12"/>
      <c r="U4352" s="4"/>
      <c r="V4352" s="4"/>
      <c r="X4352" s="4"/>
      <c r="Y4352" s="4"/>
    </row>
    <row r="4353" spans="20:25" x14ac:dyDescent="0.3">
      <c r="T4353" s="12"/>
      <c r="U4353" s="4"/>
      <c r="V4353" s="4"/>
      <c r="X4353" s="4"/>
      <c r="Y4353" s="4"/>
    </row>
    <row r="4354" spans="20:25" x14ac:dyDescent="0.3">
      <c r="T4354" s="12"/>
      <c r="U4354" s="4"/>
      <c r="V4354" s="4"/>
      <c r="X4354" s="4"/>
      <c r="Y4354" s="4"/>
    </row>
    <row r="4355" spans="20:25" x14ac:dyDescent="0.3">
      <c r="T4355" s="12"/>
      <c r="U4355" s="4"/>
      <c r="V4355" s="4"/>
      <c r="X4355" s="4"/>
      <c r="Y4355" s="4"/>
    </row>
    <row r="4356" spans="20:25" x14ac:dyDescent="0.3">
      <c r="T4356" s="12"/>
      <c r="U4356" s="4"/>
      <c r="V4356" s="4"/>
      <c r="X4356" s="4"/>
      <c r="Y4356" s="4"/>
    </row>
    <row r="4357" spans="20:25" x14ac:dyDescent="0.3">
      <c r="T4357" s="12"/>
      <c r="U4357" s="4"/>
      <c r="V4357" s="4"/>
      <c r="X4357" s="4"/>
      <c r="Y4357" s="4"/>
    </row>
    <row r="4358" spans="20:25" x14ac:dyDescent="0.3">
      <c r="T4358" s="12"/>
      <c r="U4358" s="4"/>
      <c r="V4358" s="4"/>
      <c r="X4358" s="4"/>
      <c r="Y4358" s="4"/>
    </row>
    <row r="4359" spans="20:25" x14ac:dyDescent="0.3">
      <c r="T4359" s="12"/>
      <c r="U4359" s="4"/>
      <c r="V4359" s="4"/>
      <c r="X4359" s="4"/>
      <c r="Y4359" s="4"/>
    </row>
    <row r="4360" spans="20:25" x14ac:dyDescent="0.3">
      <c r="T4360" s="12"/>
      <c r="U4360" s="4"/>
      <c r="V4360" s="4"/>
      <c r="X4360" s="4"/>
      <c r="Y4360" s="4"/>
    </row>
    <row r="4361" spans="20:25" x14ac:dyDescent="0.3">
      <c r="T4361" s="12"/>
      <c r="U4361" s="4"/>
      <c r="V4361" s="4"/>
      <c r="X4361" s="4"/>
      <c r="Y4361" s="4"/>
    </row>
    <row r="4362" spans="20:25" x14ac:dyDescent="0.3">
      <c r="T4362" s="12"/>
      <c r="U4362" s="4"/>
      <c r="V4362" s="4"/>
      <c r="X4362" s="4"/>
      <c r="Y4362" s="4"/>
    </row>
    <row r="4363" spans="20:25" x14ac:dyDescent="0.3">
      <c r="T4363" s="12"/>
      <c r="U4363" s="4"/>
      <c r="V4363" s="4"/>
      <c r="X4363" s="4"/>
      <c r="Y4363" s="4"/>
    </row>
    <row r="4364" spans="20:25" x14ac:dyDescent="0.3">
      <c r="T4364" s="12"/>
      <c r="U4364" s="4"/>
      <c r="V4364" s="4"/>
      <c r="X4364" s="4"/>
      <c r="Y4364" s="4"/>
    </row>
    <row r="4365" spans="20:25" x14ac:dyDescent="0.3">
      <c r="T4365" s="12"/>
      <c r="U4365" s="4"/>
      <c r="V4365" s="4"/>
      <c r="X4365" s="4"/>
      <c r="Y4365" s="4"/>
    </row>
    <row r="4366" spans="20:25" x14ac:dyDescent="0.3">
      <c r="T4366" s="12"/>
      <c r="U4366" s="4"/>
      <c r="V4366" s="4"/>
      <c r="X4366" s="4"/>
      <c r="Y4366" s="4"/>
    </row>
    <row r="4367" spans="20:25" x14ac:dyDescent="0.3">
      <c r="T4367" s="12"/>
      <c r="U4367" s="4"/>
      <c r="V4367" s="4"/>
      <c r="X4367" s="4"/>
      <c r="Y4367" s="4"/>
    </row>
    <row r="4368" spans="20:25" x14ac:dyDescent="0.3">
      <c r="T4368" s="12"/>
      <c r="U4368" s="4"/>
      <c r="V4368" s="4"/>
      <c r="X4368" s="4"/>
      <c r="Y4368" s="4"/>
    </row>
    <row r="4369" spans="20:25" x14ac:dyDescent="0.3">
      <c r="T4369" s="12"/>
      <c r="U4369" s="4"/>
      <c r="V4369" s="4"/>
      <c r="X4369" s="4"/>
      <c r="Y4369" s="4"/>
    </row>
    <row r="4370" spans="20:25" x14ac:dyDescent="0.3">
      <c r="T4370" s="12"/>
      <c r="U4370" s="4"/>
      <c r="V4370" s="4"/>
      <c r="X4370" s="4"/>
      <c r="Y4370" s="4"/>
    </row>
    <row r="4371" spans="20:25" x14ac:dyDescent="0.3">
      <c r="T4371" s="12"/>
      <c r="U4371" s="4"/>
      <c r="V4371" s="4"/>
      <c r="X4371" s="4"/>
      <c r="Y4371" s="4"/>
    </row>
    <row r="4372" spans="20:25" x14ac:dyDescent="0.3">
      <c r="T4372" s="12"/>
      <c r="U4372" s="4"/>
      <c r="V4372" s="4"/>
      <c r="X4372" s="4"/>
      <c r="Y4372" s="4"/>
    </row>
    <row r="4373" spans="20:25" x14ac:dyDescent="0.3">
      <c r="T4373" s="12"/>
      <c r="U4373" s="4"/>
      <c r="V4373" s="4"/>
      <c r="X4373" s="4"/>
      <c r="Y4373" s="4"/>
    </row>
    <row r="4374" spans="20:25" x14ac:dyDescent="0.3">
      <c r="T4374" s="12"/>
      <c r="U4374" s="4"/>
      <c r="V4374" s="4"/>
      <c r="X4374" s="4"/>
      <c r="Y4374" s="4"/>
    </row>
    <row r="4375" spans="20:25" x14ac:dyDescent="0.3">
      <c r="T4375" s="12"/>
      <c r="U4375" s="4"/>
      <c r="V4375" s="4"/>
      <c r="X4375" s="4"/>
      <c r="Y4375" s="4"/>
    </row>
    <row r="4376" spans="20:25" x14ac:dyDescent="0.3">
      <c r="T4376" s="12"/>
      <c r="U4376" s="4"/>
      <c r="V4376" s="4"/>
      <c r="X4376" s="4"/>
      <c r="Y4376" s="4"/>
    </row>
    <row r="4377" spans="20:25" x14ac:dyDescent="0.3">
      <c r="T4377" s="12"/>
      <c r="U4377" s="4"/>
      <c r="V4377" s="4"/>
      <c r="X4377" s="4"/>
      <c r="Y4377" s="4"/>
    </row>
    <row r="4378" spans="20:25" x14ac:dyDescent="0.3">
      <c r="T4378" s="12"/>
      <c r="U4378" s="4"/>
      <c r="V4378" s="4"/>
      <c r="X4378" s="4"/>
      <c r="Y4378" s="4"/>
    </row>
    <row r="4379" spans="20:25" x14ac:dyDescent="0.3">
      <c r="T4379" s="12"/>
      <c r="U4379" s="4"/>
      <c r="V4379" s="4"/>
      <c r="X4379" s="4"/>
      <c r="Y4379" s="4"/>
    </row>
    <row r="4380" spans="20:25" x14ac:dyDescent="0.3">
      <c r="T4380" s="12"/>
      <c r="U4380" s="4"/>
      <c r="V4380" s="4"/>
      <c r="X4380" s="4"/>
      <c r="Y4380" s="4"/>
    </row>
    <row r="4381" spans="20:25" x14ac:dyDescent="0.3">
      <c r="T4381" s="12"/>
      <c r="U4381" s="4"/>
      <c r="V4381" s="4"/>
      <c r="X4381" s="4"/>
      <c r="Y4381" s="4"/>
    </row>
    <row r="4382" spans="20:25" x14ac:dyDescent="0.3">
      <c r="T4382" s="12"/>
      <c r="U4382" s="4"/>
      <c r="V4382" s="4"/>
      <c r="X4382" s="4"/>
      <c r="Y4382" s="4"/>
    </row>
    <row r="4383" spans="20:25" x14ac:dyDescent="0.3">
      <c r="T4383" s="12"/>
      <c r="U4383" s="4"/>
      <c r="V4383" s="4"/>
      <c r="X4383" s="4"/>
      <c r="Y4383" s="4"/>
    </row>
    <row r="4384" spans="20:25" x14ac:dyDescent="0.3">
      <c r="T4384" s="12"/>
      <c r="U4384" s="4"/>
      <c r="V4384" s="4"/>
      <c r="X4384" s="4"/>
      <c r="Y4384" s="4"/>
    </row>
    <row r="4385" spans="20:25" x14ac:dyDescent="0.3">
      <c r="T4385" s="12"/>
      <c r="U4385" s="4"/>
      <c r="V4385" s="4"/>
      <c r="X4385" s="4"/>
      <c r="Y4385" s="4"/>
    </row>
    <row r="4386" spans="20:25" x14ac:dyDescent="0.3">
      <c r="T4386" s="12"/>
      <c r="U4386" s="4"/>
      <c r="V4386" s="4"/>
      <c r="X4386" s="4"/>
      <c r="Y4386" s="4"/>
    </row>
    <row r="4387" spans="20:25" x14ac:dyDescent="0.3">
      <c r="T4387" s="12"/>
      <c r="U4387" s="4"/>
      <c r="V4387" s="4"/>
      <c r="X4387" s="4"/>
      <c r="Y4387" s="4"/>
    </row>
    <row r="4388" spans="20:25" x14ac:dyDescent="0.3">
      <c r="T4388" s="12"/>
      <c r="U4388" s="4"/>
      <c r="V4388" s="4"/>
      <c r="X4388" s="4"/>
      <c r="Y4388" s="4"/>
    </row>
    <row r="4389" spans="20:25" x14ac:dyDescent="0.3">
      <c r="T4389" s="12"/>
      <c r="U4389" s="4"/>
      <c r="V4389" s="4"/>
      <c r="X4389" s="4"/>
      <c r="Y4389" s="4"/>
    </row>
    <row r="4390" spans="20:25" x14ac:dyDescent="0.3">
      <c r="T4390" s="12"/>
      <c r="U4390" s="4"/>
      <c r="V4390" s="4"/>
      <c r="X4390" s="4"/>
      <c r="Y4390" s="4"/>
    </row>
    <row r="4391" spans="20:25" x14ac:dyDescent="0.3">
      <c r="T4391" s="12"/>
      <c r="U4391" s="4"/>
      <c r="V4391" s="4"/>
      <c r="X4391" s="4"/>
      <c r="Y4391" s="4"/>
    </row>
    <row r="4392" spans="20:25" x14ac:dyDescent="0.3">
      <c r="T4392" s="12"/>
      <c r="U4392" s="4"/>
      <c r="V4392" s="4"/>
      <c r="X4392" s="4"/>
      <c r="Y4392" s="4"/>
    </row>
    <row r="4393" spans="20:25" x14ac:dyDescent="0.3">
      <c r="T4393" s="12"/>
      <c r="U4393" s="4"/>
      <c r="V4393" s="4"/>
      <c r="X4393" s="4"/>
      <c r="Y4393" s="4"/>
    </row>
    <row r="4394" spans="20:25" x14ac:dyDescent="0.3">
      <c r="T4394" s="12"/>
      <c r="U4394" s="4"/>
      <c r="V4394" s="4"/>
      <c r="X4394" s="4"/>
      <c r="Y4394" s="4"/>
    </row>
    <row r="4395" spans="20:25" x14ac:dyDescent="0.3">
      <c r="T4395" s="12"/>
      <c r="U4395" s="4"/>
      <c r="V4395" s="4"/>
      <c r="X4395" s="4"/>
      <c r="Y4395" s="4"/>
    </row>
    <row r="4396" spans="20:25" x14ac:dyDescent="0.3">
      <c r="T4396" s="12"/>
      <c r="U4396" s="4"/>
      <c r="V4396" s="4"/>
      <c r="X4396" s="4"/>
      <c r="Y4396" s="4"/>
    </row>
    <row r="4397" spans="20:25" x14ac:dyDescent="0.3">
      <c r="T4397" s="12"/>
      <c r="U4397" s="4"/>
      <c r="V4397" s="4"/>
      <c r="X4397" s="4"/>
      <c r="Y4397" s="4"/>
    </row>
    <row r="4398" spans="20:25" x14ac:dyDescent="0.3">
      <c r="T4398" s="12"/>
      <c r="U4398" s="4"/>
      <c r="V4398" s="4"/>
      <c r="X4398" s="4"/>
      <c r="Y4398" s="4"/>
    </row>
    <row r="4399" spans="20:25" x14ac:dyDescent="0.3">
      <c r="T4399" s="12"/>
      <c r="U4399" s="4"/>
      <c r="V4399" s="4"/>
      <c r="X4399" s="4"/>
      <c r="Y4399" s="4"/>
    </row>
    <row r="4400" spans="20:25" x14ac:dyDescent="0.3">
      <c r="T4400" s="12"/>
      <c r="U4400" s="4"/>
      <c r="V4400" s="4"/>
      <c r="X4400" s="4"/>
      <c r="Y4400" s="4"/>
    </row>
    <row r="4401" spans="20:25" x14ac:dyDescent="0.3">
      <c r="T4401" s="12"/>
      <c r="U4401" s="4"/>
      <c r="V4401" s="4"/>
      <c r="X4401" s="4"/>
      <c r="Y4401" s="4"/>
    </row>
    <row r="4402" spans="20:25" x14ac:dyDescent="0.3">
      <c r="T4402" s="12"/>
      <c r="U4402" s="4"/>
      <c r="V4402" s="4"/>
      <c r="X4402" s="4"/>
      <c r="Y4402" s="4"/>
    </row>
    <row r="4403" spans="20:25" x14ac:dyDescent="0.3">
      <c r="T4403" s="12"/>
      <c r="U4403" s="4"/>
      <c r="V4403" s="4"/>
      <c r="X4403" s="4"/>
      <c r="Y4403" s="4"/>
    </row>
    <row r="4404" spans="20:25" x14ac:dyDescent="0.3">
      <c r="T4404" s="12"/>
      <c r="U4404" s="4"/>
      <c r="V4404" s="4"/>
      <c r="X4404" s="4"/>
      <c r="Y4404" s="4"/>
    </row>
    <row r="4405" spans="20:25" x14ac:dyDescent="0.3">
      <c r="T4405" s="12"/>
      <c r="U4405" s="4"/>
      <c r="V4405" s="4"/>
      <c r="X4405" s="4"/>
      <c r="Y4405" s="4"/>
    </row>
    <row r="4406" spans="20:25" x14ac:dyDescent="0.3">
      <c r="T4406" s="12"/>
      <c r="U4406" s="4"/>
      <c r="V4406" s="4"/>
      <c r="X4406" s="4"/>
      <c r="Y4406" s="4"/>
    </row>
    <row r="4407" spans="20:25" x14ac:dyDescent="0.3">
      <c r="T4407" s="12"/>
      <c r="U4407" s="4"/>
      <c r="V4407" s="4"/>
      <c r="X4407" s="4"/>
      <c r="Y4407" s="4"/>
    </row>
    <row r="4408" spans="20:25" x14ac:dyDescent="0.3">
      <c r="T4408" s="12"/>
      <c r="U4408" s="4"/>
      <c r="V4408" s="4"/>
      <c r="X4408" s="4"/>
      <c r="Y4408" s="4"/>
    </row>
    <row r="4409" spans="20:25" x14ac:dyDescent="0.3">
      <c r="T4409" s="12"/>
      <c r="U4409" s="4"/>
      <c r="V4409" s="4"/>
      <c r="X4409" s="4"/>
      <c r="Y4409" s="4"/>
    </row>
    <row r="4410" spans="20:25" x14ac:dyDescent="0.3">
      <c r="T4410" s="12"/>
      <c r="U4410" s="4"/>
      <c r="V4410" s="4"/>
      <c r="X4410" s="4"/>
      <c r="Y4410" s="4"/>
    </row>
    <row r="4411" spans="20:25" x14ac:dyDescent="0.3">
      <c r="T4411" s="12"/>
      <c r="U4411" s="4"/>
      <c r="V4411" s="4"/>
      <c r="X4411" s="4"/>
      <c r="Y4411" s="4"/>
    </row>
    <row r="4412" spans="20:25" x14ac:dyDescent="0.3">
      <c r="T4412" s="12"/>
      <c r="U4412" s="4"/>
      <c r="V4412" s="4"/>
      <c r="X4412" s="4"/>
      <c r="Y4412" s="4"/>
    </row>
    <row r="4413" spans="20:25" x14ac:dyDescent="0.3">
      <c r="T4413" s="12"/>
      <c r="U4413" s="4"/>
      <c r="V4413" s="4"/>
      <c r="X4413" s="4"/>
      <c r="Y4413" s="4"/>
    </row>
    <row r="4414" spans="20:25" x14ac:dyDescent="0.3">
      <c r="T4414" s="12"/>
      <c r="U4414" s="4"/>
      <c r="V4414" s="4"/>
      <c r="X4414" s="4"/>
      <c r="Y4414" s="4"/>
    </row>
    <row r="4415" spans="20:25" x14ac:dyDescent="0.3">
      <c r="T4415" s="12"/>
      <c r="U4415" s="4"/>
      <c r="V4415" s="4"/>
      <c r="X4415" s="4"/>
      <c r="Y4415" s="4"/>
    </row>
    <row r="4416" spans="20:25" x14ac:dyDescent="0.3">
      <c r="T4416" s="12"/>
      <c r="U4416" s="4"/>
      <c r="V4416" s="4"/>
      <c r="X4416" s="4"/>
      <c r="Y4416" s="4"/>
    </row>
    <row r="4417" spans="20:25" x14ac:dyDescent="0.3">
      <c r="T4417" s="12"/>
      <c r="U4417" s="4"/>
      <c r="V4417" s="4"/>
      <c r="X4417" s="4"/>
      <c r="Y4417" s="4"/>
    </row>
    <row r="4418" spans="20:25" x14ac:dyDescent="0.3">
      <c r="T4418" s="12"/>
      <c r="U4418" s="4"/>
      <c r="V4418" s="4"/>
      <c r="X4418" s="4"/>
      <c r="Y4418" s="4"/>
    </row>
    <row r="4419" spans="20:25" x14ac:dyDescent="0.3">
      <c r="T4419" s="12"/>
      <c r="U4419" s="4"/>
      <c r="V4419" s="4"/>
      <c r="X4419" s="4"/>
      <c r="Y4419" s="4"/>
    </row>
    <row r="4420" spans="20:25" x14ac:dyDescent="0.3">
      <c r="T4420" s="12"/>
      <c r="U4420" s="4"/>
      <c r="V4420" s="4"/>
      <c r="X4420" s="4"/>
      <c r="Y4420" s="4"/>
    </row>
    <row r="4421" spans="20:25" x14ac:dyDescent="0.3">
      <c r="T4421" s="12"/>
      <c r="U4421" s="4"/>
      <c r="V4421" s="4"/>
      <c r="X4421" s="4"/>
      <c r="Y4421" s="4"/>
    </row>
    <row r="4422" spans="20:25" x14ac:dyDescent="0.3">
      <c r="T4422" s="12"/>
      <c r="U4422" s="4"/>
      <c r="V4422" s="4"/>
      <c r="X4422" s="4"/>
      <c r="Y4422" s="4"/>
    </row>
    <row r="4423" spans="20:25" x14ac:dyDescent="0.3">
      <c r="T4423" s="12"/>
      <c r="U4423" s="4"/>
      <c r="V4423" s="4"/>
      <c r="X4423" s="4"/>
      <c r="Y4423" s="4"/>
    </row>
    <row r="4424" spans="20:25" x14ac:dyDescent="0.3">
      <c r="T4424" s="12"/>
      <c r="U4424" s="4"/>
      <c r="V4424" s="4"/>
      <c r="X4424" s="4"/>
      <c r="Y4424" s="4"/>
    </row>
    <row r="4425" spans="20:25" x14ac:dyDescent="0.3">
      <c r="T4425" s="12"/>
      <c r="U4425" s="4"/>
      <c r="V4425" s="4"/>
      <c r="X4425" s="4"/>
      <c r="Y4425" s="4"/>
    </row>
    <row r="4426" spans="20:25" x14ac:dyDescent="0.3">
      <c r="T4426" s="12"/>
      <c r="U4426" s="4"/>
      <c r="V4426" s="4"/>
      <c r="X4426" s="4"/>
      <c r="Y4426" s="4"/>
    </row>
    <row r="4427" spans="20:25" x14ac:dyDescent="0.3">
      <c r="T4427" s="12"/>
      <c r="U4427" s="4"/>
      <c r="V4427" s="4"/>
      <c r="X4427" s="4"/>
      <c r="Y4427" s="4"/>
    </row>
    <row r="4428" spans="20:25" x14ac:dyDescent="0.3">
      <c r="T4428" s="12"/>
      <c r="U4428" s="4"/>
      <c r="V4428" s="4"/>
      <c r="X4428" s="4"/>
      <c r="Y4428" s="4"/>
    </row>
    <row r="4429" spans="20:25" x14ac:dyDescent="0.3">
      <c r="T4429" s="12"/>
      <c r="U4429" s="4"/>
      <c r="V4429" s="4"/>
      <c r="X4429" s="4"/>
      <c r="Y4429" s="4"/>
    </row>
    <row r="4430" spans="20:25" x14ac:dyDescent="0.3">
      <c r="T4430" s="12"/>
      <c r="U4430" s="4"/>
      <c r="V4430" s="4"/>
      <c r="X4430" s="4"/>
      <c r="Y4430" s="4"/>
    </row>
    <row r="4431" spans="20:25" x14ac:dyDescent="0.3">
      <c r="T4431" s="12"/>
      <c r="U4431" s="4"/>
      <c r="V4431" s="4"/>
      <c r="X4431" s="4"/>
      <c r="Y4431" s="4"/>
    </row>
    <row r="4432" spans="20:25" x14ac:dyDescent="0.3">
      <c r="T4432" s="12"/>
      <c r="U4432" s="4"/>
      <c r="V4432" s="4"/>
      <c r="X4432" s="4"/>
      <c r="Y4432" s="4"/>
    </row>
    <row r="4433" spans="20:25" x14ac:dyDescent="0.3">
      <c r="T4433" s="12"/>
      <c r="U4433" s="4"/>
      <c r="V4433" s="4"/>
      <c r="X4433" s="4"/>
      <c r="Y4433" s="4"/>
    </row>
    <row r="4434" spans="20:25" x14ac:dyDescent="0.3">
      <c r="T4434" s="12"/>
      <c r="U4434" s="4"/>
      <c r="V4434" s="4"/>
      <c r="X4434" s="4"/>
      <c r="Y4434" s="4"/>
    </row>
    <row r="4435" spans="20:25" x14ac:dyDescent="0.3">
      <c r="T4435" s="12"/>
      <c r="U4435" s="4"/>
      <c r="V4435" s="4"/>
      <c r="X4435" s="4"/>
      <c r="Y4435" s="4"/>
    </row>
    <row r="4436" spans="20:25" x14ac:dyDescent="0.3">
      <c r="T4436" s="12"/>
      <c r="U4436" s="4"/>
      <c r="V4436" s="4"/>
      <c r="X4436" s="4"/>
      <c r="Y4436" s="4"/>
    </row>
    <row r="4437" spans="20:25" x14ac:dyDescent="0.3">
      <c r="T4437" s="12"/>
      <c r="U4437" s="4"/>
      <c r="V4437" s="4"/>
      <c r="X4437" s="4"/>
      <c r="Y4437" s="4"/>
    </row>
    <row r="4438" spans="20:25" x14ac:dyDescent="0.3">
      <c r="T4438" s="12"/>
      <c r="U4438" s="4"/>
      <c r="V4438" s="4"/>
      <c r="X4438" s="4"/>
      <c r="Y4438" s="4"/>
    </row>
    <row r="4439" spans="20:25" x14ac:dyDescent="0.3">
      <c r="T4439" s="12"/>
      <c r="U4439" s="4"/>
      <c r="V4439" s="4"/>
      <c r="X4439" s="4"/>
      <c r="Y4439" s="4"/>
    </row>
    <row r="4440" spans="20:25" x14ac:dyDescent="0.3">
      <c r="T4440" s="12"/>
      <c r="U4440" s="4"/>
      <c r="V4440" s="4"/>
      <c r="X4440" s="4"/>
      <c r="Y4440" s="4"/>
    </row>
    <row r="4441" spans="20:25" x14ac:dyDescent="0.3">
      <c r="T4441" s="12"/>
      <c r="U4441" s="4"/>
      <c r="V4441" s="4"/>
      <c r="X4441" s="4"/>
      <c r="Y4441" s="4"/>
    </row>
    <row r="4442" spans="20:25" x14ac:dyDescent="0.3">
      <c r="T4442" s="12"/>
      <c r="U4442" s="4"/>
      <c r="V4442" s="4"/>
      <c r="X4442" s="4"/>
      <c r="Y4442" s="4"/>
    </row>
    <row r="4443" spans="20:25" x14ac:dyDescent="0.3">
      <c r="T4443" s="12"/>
      <c r="U4443" s="4"/>
      <c r="V4443" s="4"/>
      <c r="X4443" s="4"/>
      <c r="Y4443" s="4"/>
    </row>
    <row r="4444" spans="20:25" x14ac:dyDescent="0.3">
      <c r="T4444" s="12"/>
      <c r="U4444" s="4"/>
      <c r="V4444" s="4"/>
      <c r="X4444" s="4"/>
      <c r="Y4444" s="4"/>
    </row>
    <row r="4445" spans="20:25" x14ac:dyDescent="0.3">
      <c r="T4445" s="12"/>
      <c r="U4445" s="4"/>
      <c r="V4445" s="4"/>
      <c r="X4445" s="4"/>
      <c r="Y4445" s="4"/>
    </row>
    <row r="4446" spans="20:25" x14ac:dyDescent="0.3">
      <c r="T4446" s="12"/>
      <c r="U4446" s="4"/>
      <c r="V4446" s="4"/>
      <c r="X4446" s="4"/>
      <c r="Y4446" s="4"/>
    </row>
    <row r="4447" spans="20:25" x14ac:dyDescent="0.3">
      <c r="T4447" s="12"/>
      <c r="U4447" s="4"/>
      <c r="V4447" s="4"/>
      <c r="X4447" s="4"/>
      <c r="Y4447" s="4"/>
    </row>
    <row r="4448" spans="20:25" x14ac:dyDescent="0.3">
      <c r="T4448" s="12"/>
      <c r="U4448" s="4"/>
      <c r="V4448" s="4"/>
      <c r="X4448" s="4"/>
      <c r="Y4448" s="4"/>
    </row>
    <row r="4449" spans="20:25" x14ac:dyDescent="0.3">
      <c r="T4449" s="12"/>
      <c r="U4449" s="4"/>
      <c r="V4449" s="4"/>
      <c r="X4449" s="4"/>
      <c r="Y4449" s="4"/>
    </row>
    <row r="4450" spans="20:25" x14ac:dyDescent="0.3">
      <c r="T4450" s="12"/>
      <c r="U4450" s="4"/>
      <c r="V4450" s="4"/>
      <c r="X4450" s="4"/>
      <c r="Y4450" s="4"/>
    </row>
    <row r="4451" spans="20:25" x14ac:dyDescent="0.3">
      <c r="T4451" s="12"/>
      <c r="U4451" s="4"/>
      <c r="V4451" s="4"/>
      <c r="X4451" s="4"/>
      <c r="Y4451" s="4"/>
    </row>
    <row r="4452" spans="20:25" x14ac:dyDescent="0.3">
      <c r="T4452" s="12"/>
      <c r="U4452" s="4"/>
      <c r="V4452" s="4"/>
      <c r="X4452" s="4"/>
      <c r="Y4452" s="4"/>
    </row>
    <row r="4453" spans="20:25" x14ac:dyDescent="0.3">
      <c r="T4453" s="12"/>
      <c r="U4453" s="4"/>
      <c r="V4453" s="4"/>
      <c r="X4453" s="4"/>
      <c r="Y4453" s="4"/>
    </row>
    <row r="4454" spans="20:25" x14ac:dyDescent="0.3">
      <c r="T4454" s="12"/>
      <c r="U4454" s="4"/>
      <c r="V4454" s="4"/>
      <c r="X4454" s="4"/>
      <c r="Y4454" s="4"/>
    </row>
    <row r="4455" spans="20:25" x14ac:dyDescent="0.3">
      <c r="T4455" s="12"/>
      <c r="U4455" s="4"/>
      <c r="V4455" s="4"/>
      <c r="X4455" s="4"/>
      <c r="Y4455" s="4"/>
    </row>
    <row r="4456" spans="20:25" x14ac:dyDescent="0.3">
      <c r="T4456" s="12"/>
      <c r="U4456" s="4"/>
      <c r="V4456" s="4"/>
      <c r="X4456" s="4"/>
      <c r="Y4456" s="4"/>
    </row>
    <row r="4457" spans="20:25" x14ac:dyDescent="0.3">
      <c r="T4457" s="12"/>
      <c r="U4457" s="4"/>
      <c r="V4457" s="4"/>
      <c r="X4457" s="4"/>
      <c r="Y4457" s="4"/>
    </row>
    <row r="4458" spans="20:25" x14ac:dyDescent="0.3">
      <c r="T4458" s="12"/>
      <c r="U4458" s="4"/>
      <c r="V4458" s="4"/>
      <c r="X4458" s="4"/>
      <c r="Y4458" s="4"/>
    </row>
    <row r="4459" spans="20:25" x14ac:dyDescent="0.3">
      <c r="T4459" s="12"/>
      <c r="U4459" s="4"/>
      <c r="V4459" s="4"/>
      <c r="X4459" s="4"/>
      <c r="Y4459" s="4"/>
    </row>
    <row r="4460" spans="20:25" x14ac:dyDescent="0.3">
      <c r="T4460" s="12"/>
      <c r="U4460" s="4"/>
      <c r="V4460" s="4"/>
      <c r="X4460" s="4"/>
      <c r="Y4460" s="4"/>
    </row>
    <row r="4461" spans="20:25" x14ac:dyDescent="0.3">
      <c r="T4461" s="12"/>
      <c r="U4461" s="4"/>
      <c r="V4461" s="4"/>
      <c r="X4461" s="4"/>
      <c r="Y4461" s="4"/>
    </row>
    <row r="4462" spans="20:25" x14ac:dyDescent="0.3">
      <c r="T4462" s="12"/>
      <c r="U4462" s="4"/>
      <c r="V4462" s="4"/>
      <c r="X4462" s="4"/>
      <c r="Y4462" s="4"/>
    </row>
    <row r="4463" spans="20:25" x14ac:dyDescent="0.3">
      <c r="T4463" s="12"/>
      <c r="U4463" s="4"/>
      <c r="V4463" s="4"/>
      <c r="X4463" s="4"/>
      <c r="Y4463" s="4"/>
    </row>
    <row r="4464" spans="20:25" x14ac:dyDescent="0.3">
      <c r="T4464" s="12"/>
      <c r="U4464" s="4"/>
      <c r="V4464" s="4"/>
      <c r="X4464" s="4"/>
      <c r="Y4464" s="4"/>
    </row>
    <row r="4465" spans="20:25" x14ac:dyDescent="0.3">
      <c r="T4465" s="12"/>
      <c r="U4465" s="4"/>
      <c r="V4465" s="4"/>
      <c r="X4465" s="4"/>
      <c r="Y4465" s="4"/>
    </row>
    <row r="4466" spans="20:25" x14ac:dyDescent="0.3">
      <c r="T4466" s="12"/>
      <c r="U4466" s="4"/>
      <c r="V4466" s="4"/>
      <c r="X4466" s="4"/>
      <c r="Y4466" s="4"/>
    </row>
    <row r="4467" spans="20:25" x14ac:dyDescent="0.3">
      <c r="T4467" s="12"/>
      <c r="U4467" s="4"/>
      <c r="V4467" s="4"/>
      <c r="X4467" s="4"/>
      <c r="Y4467" s="4"/>
    </row>
    <row r="4468" spans="20:25" x14ac:dyDescent="0.3">
      <c r="T4468" s="12"/>
      <c r="U4468" s="4"/>
      <c r="V4468" s="4"/>
      <c r="X4468" s="4"/>
      <c r="Y4468" s="4"/>
    </row>
    <row r="4469" spans="20:25" x14ac:dyDescent="0.3">
      <c r="T4469" s="12"/>
      <c r="U4469" s="4"/>
      <c r="V4469" s="4"/>
      <c r="X4469" s="4"/>
      <c r="Y4469" s="4"/>
    </row>
    <row r="4470" spans="20:25" x14ac:dyDescent="0.3">
      <c r="T4470" s="12"/>
      <c r="U4470" s="4"/>
      <c r="V4470" s="4"/>
      <c r="X4470" s="4"/>
      <c r="Y4470" s="4"/>
    </row>
    <row r="4471" spans="20:25" x14ac:dyDescent="0.3">
      <c r="T4471" s="12"/>
      <c r="U4471" s="4"/>
      <c r="V4471" s="4"/>
      <c r="X4471" s="4"/>
      <c r="Y4471" s="4"/>
    </row>
    <row r="4472" spans="20:25" x14ac:dyDescent="0.3">
      <c r="T4472" s="12"/>
      <c r="U4472" s="4"/>
      <c r="V4472" s="4"/>
      <c r="X4472" s="4"/>
      <c r="Y4472" s="4"/>
    </row>
    <row r="4473" spans="20:25" x14ac:dyDescent="0.3">
      <c r="T4473" s="12"/>
      <c r="U4473" s="4"/>
      <c r="V4473" s="4"/>
      <c r="X4473" s="4"/>
      <c r="Y4473" s="4"/>
    </row>
    <row r="4474" spans="20:25" x14ac:dyDescent="0.3">
      <c r="T4474" s="12"/>
      <c r="U4474" s="4"/>
      <c r="V4474" s="4"/>
      <c r="X4474" s="4"/>
      <c r="Y4474" s="4"/>
    </row>
    <row r="4475" spans="20:25" x14ac:dyDescent="0.3">
      <c r="T4475" s="12"/>
      <c r="U4475" s="4"/>
      <c r="V4475" s="4"/>
      <c r="X4475" s="4"/>
      <c r="Y4475" s="4"/>
    </row>
    <row r="4476" spans="20:25" x14ac:dyDescent="0.3">
      <c r="T4476" s="12"/>
      <c r="U4476" s="4"/>
      <c r="V4476" s="4"/>
      <c r="X4476" s="4"/>
      <c r="Y4476" s="4"/>
    </row>
    <row r="4477" spans="20:25" x14ac:dyDescent="0.3">
      <c r="T4477" s="12"/>
      <c r="U4477" s="4"/>
      <c r="V4477" s="4"/>
      <c r="X4477" s="4"/>
      <c r="Y4477" s="4"/>
    </row>
    <row r="4478" spans="20:25" x14ac:dyDescent="0.3">
      <c r="T4478" s="12"/>
      <c r="U4478" s="4"/>
      <c r="V4478" s="4"/>
      <c r="X4478" s="4"/>
      <c r="Y4478" s="4"/>
    </row>
    <row r="4479" spans="20:25" x14ac:dyDescent="0.3">
      <c r="T4479" s="12"/>
      <c r="U4479" s="4"/>
      <c r="V4479" s="4"/>
      <c r="X4479" s="4"/>
      <c r="Y4479" s="4"/>
    </row>
    <row r="4480" spans="20:25" x14ac:dyDescent="0.3">
      <c r="T4480" s="12"/>
      <c r="U4480" s="4"/>
      <c r="V4480" s="4"/>
      <c r="X4480" s="4"/>
      <c r="Y4480" s="4"/>
    </row>
    <row r="4481" spans="20:25" x14ac:dyDescent="0.3">
      <c r="T4481" s="12"/>
      <c r="U4481" s="4"/>
      <c r="V4481" s="4"/>
      <c r="X4481" s="4"/>
      <c r="Y4481" s="4"/>
    </row>
    <row r="4482" spans="20:25" x14ac:dyDescent="0.3">
      <c r="T4482" s="12"/>
      <c r="U4482" s="4"/>
      <c r="V4482" s="4"/>
      <c r="X4482" s="4"/>
      <c r="Y4482" s="4"/>
    </row>
    <row r="4483" spans="20:25" x14ac:dyDescent="0.3">
      <c r="T4483" s="12"/>
      <c r="U4483" s="4"/>
      <c r="V4483" s="4"/>
      <c r="X4483" s="4"/>
      <c r="Y4483" s="4"/>
    </row>
    <row r="4484" spans="20:25" x14ac:dyDescent="0.3">
      <c r="T4484" s="12"/>
      <c r="U4484" s="4"/>
      <c r="V4484" s="4"/>
      <c r="X4484" s="4"/>
      <c r="Y4484" s="4"/>
    </row>
    <row r="4485" spans="20:25" x14ac:dyDescent="0.3">
      <c r="T4485" s="12"/>
      <c r="U4485" s="4"/>
      <c r="V4485" s="4"/>
      <c r="X4485" s="4"/>
      <c r="Y4485" s="4"/>
    </row>
    <row r="4486" spans="20:25" x14ac:dyDescent="0.3">
      <c r="T4486" s="12"/>
      <c r="U4486" s="4"/>
      <c r="V4486" s="4"/>
      <c r="X4486" s="4"/>
      <c r="Y4486" s="4"/>
    </row>
    <row r="4487" spans="20:25" x14ac:dyDescent="0.3">
      <c r="T4487" s="12"/>
      <c r="U4487" s="4"/>
      <c r="V4487" s="4"/>
      <c r="X4487" s="4"/>
      <c r="Y4487" s="4"/>
    </row>
    <row r="4488" spans="20:25" x14ac:dyDescent="0.3">
      <c r="T4488" s="12"/>
      <c r="U4488" s="4"/>
      <c r="V4488" s="4"/>
      <c r="X4488" s="4"/>
      <c r="Y4488" s="4"/>
    </row>
    <row r="4489" spans="20:25" x14ac:dyDescent="0.3">
      <c r="T4489" s="12"/>
      <c r="U4489" s="4"/>
      <c r="V4489" s="4"/>
      <c r="X4489" s="4"/>
      <c r="Y4489" s="4"/>
    </row>
    <row r="4490" spans="20:25" x14ac:dyDescent="0.3">
      <c r="T4490" s="12"/>
      <c r="U4490" s="4"/>
      <c r="V4490" s="4"/>
      <c r="X4490" s="4"/>
      <c r="Y4490" s="4"/>
    </row>
    <row r="4491" spans="20:25" x14ac:dyDescent="0.3">
      <c r="T4491" s="12"/>
      <c r="U4491" s="4"/>
      <c r="V4491" s="4"/>
      <c r="X4491" s="4"/>
      <c r="Y4491" s="4"/>
    </row>
    <row r="4492" spans="20:25" x14ac:dyDescent="0.3">
      <c r="T4492" s="12"/>
      <c r="U4492" s="4"/>
      <c r="V4492" s="4"/>
      <c r="X4492" s="4"/>
      <c r="Y4492" s="4"/>
    </row>
    <row r="4493" spans="20:25" x14ac:dyDescent="0.3">
      <c r="T4493" s="12"/>
      <c r="U4493" s="4"/>
      <c r="V4493" s="4"/>
      <c r="X4493" s="4"/>
      <c r="Y4493" s="4"/>
    </row>
    <row r="4494" spans="20:25" x14ac:dyDescent="0.3">
      <c r="T4494" s="12"/>
      <c r="U4494" s="4"/>
      <c r="V4494" s="4"/>
      <c r="X4494" s="4"/>
      <c r="Y4494" s="4"/>
    </row>
    <row r="4495" spans="20:25" x14ac:dyDescent="0.3">
      <c r="T4495" s="12"/>
      <c r="U4495" s="4"/>
      <c r="V4495" s="4"/>
      <c r="X4495" s="4"/>
      <c r="Y4495" s="4"/>
    </row>
    <row r="4496" spans="20:25" x14ac:dyDescent="0.3">
      <c r="T4496" s="12"/>
      <c r="U4496" s="4"/>
      <c r="V4496" s="4"/>
      <c r="X4496" s="4"/>
      <c r="Y4496" s="4"/>
    </row>
    <row r="4497" spans="20:25" x14ac:dyDescent="0.3">
      <c r="T4497" s="12"/>
      <c r="U4497" s="4"/>
      <c r="V4497" s="4"/>
      <c r="X4497" s="4"/>
      <c r="Y4497" s="4"/>
    </row>
    <row r="4498" spans="20:25" x14ac:dyDescent="0.3">
      <c r="T4498" s="12"/>
      <c r="U4498" s="4"/>
      <c r="V4498" s="4"/>
      <c r="X4498" s="4"/>
      <c r="Y4498" s="4"/>
    </row>
    <row r="4499" spans="20:25" x14ac:dyDescent="0.3">
      <c r="T4499" s="12"/>
      <c r="U4499" s="4"/>
      <c r="V4499" s="4"/>
      <c r="X4499" s="4"/>
      <c r="Y4499" s="4"/>
    </row>
    <row r="4500" spans="20:25" x14ac:dyDescent="0.3">
      <c r="T4500" s="12"/>
      <c r="U4500" s="4"/>
      <c r="V4500" s="4"/>
      <c r="X4500" s="4"/>
      <c r="Y4500" s="4"/>
    </row>
    <row r="4501" spans="20:25" x14ac:dyDescent="0.3">
      <c r="T4501" s="12"/>
      <c r="U4501" s="4"/>
      <c r="V4501" s="4"/>
      <c r="X4501" s="4"/>
      <c r="Y4501" s="4"/>
    </row>
    <row r="4502" spans="20:25" x14ac:dyDescent="0.3">
      <c r="T4502" s="12"/>
      <c r="U4502" s="4"/>
      <c r="V4502" s="4"/>
      <c r="X4502" s="4"/>
      <c r="Y4502" s="4"/>
    </row>
    <row r="4503" spans="20:25" x14ac:dyDescent="0.3">
      <c r="T4503" s="12"/>
      <c r="U4503" s="4"/>
      <c r="V4503" s="4"/>
      <c r="X4503" s="4"/>
      <c r="Y4503" s="4"/>
    </row>
    <row r="4504" spans="20:25" x14ac:dyDescent="0.3">
      <c r="T4504" s="12"/>
      <c r="U4504" s="4"/>
      <c r="V4504" s="4"/>
      <c r="X4504" s="4"/>
      <c r="Y4504" s="4"/>
    </row>
    <row r="4505" spans="20:25" x14ac:dyDescent="0.3">
      <c r="T4505" s="12"/>
      <c r="U4505" s="4"/>
      <c r="V4505" s="4"/>
      <c r="X4505" s="4"/>
      <c r="Y4505" s="4"/>
    </row>
    <row r="4506" spans="20:25" x14ac:dyDescent="0.3">
      <c r="T4506" s="12"/>
      <c r="U4506" s="4"/>
      <c r="V4506" s="4"/>
      <c r="X4506" s="4"/>
      <c r="Y4506" s="4"/>
    </row>
    <row r="4507" spans="20:25" x14ac:dyDescent="0.3">
      <c r="T4507" s="12"/>
      <c r="U4507" s="4"/>
      <c r="V4507" s="4"/>
      <c r="X4507" s="4"/>
      <c r="Y4507" s="4"/>
    </row>
    <row r="4508" spans="20:25" x14ac:dyDescent="0.3">
      <c r="T4508" s="12"/>
      <c r="U4508" s="4"/>
      <c r="V4508" s="4"/>
      <c r="X4508" s="4"/>
      <c r="Y4508" s="4"/>
    </row>
    <row r="4509" spans="20:25" x14ac:dyDescent="0.3">
      <c r="T4509" s="12"/>
      <c r="U4509" s="4"/>
      <c r="V4509" s="4"/>
      <c r="X4509" s="4"/>
      <c r="Y4509" s="4"/>
    </row>
    <row r="4510" spans="20:25" x14ac:dyDescent="0.3">
      <c r="T4510" s="12"/>
      <c r="U4510" s="4"/>
      <c r="V4510" s="4"/>
      <c r="X4510" s="4"/>
      <c r="Y4510" s="4"/>
    </row>
    <row r="4511" spans="20:25" x14ac:dyDescent="0.3">
      <c r="T4511" s="12"/>
      <c r="U4511" s="4"/>
      <c r="V4511" s="4"/>
      <c r="X4511" s="4"/>
      <c r="Y4511" s="4"/>
    </row>
    <row r="4512" spans="20:25" x14ac:dyDescent="0.3">
      <c r="T4512" s="12"/>
      <c r="U4512" s="4"/>
      <c r="V4512" s="4"/>
      <c r="X4512" s="4"/>
      <c r="Y4512" s="4"/>
    </row>
    <row r="4513" spans="20:25" x14ac:dyDescent="0.3">
      <c r="T4513" s="12"/>
      <c r="U4513" s="4"/>
      <c r="V4513" s="4"/>
      <c r="X4513" s="4"/>
      <c r="Y4513" s="4"/>
    </row>
    <row r="4514" spans="20:25" x14ac:dyDescent="0.3">
      <c r="T4514" s="12"/>
      <c r="U4514" s="4"/>
      <c r="V4514" s="4"/>
      <c r="X4514" s="4"/>
      <c r="Y4514" s="4"/>
    </row>
    <row r="4515" spans="20:25" x14ac:dyDescent="0.3">
      <c r="T4515" s="12"/>
      <c r="U4515" s="4"/>
      <c r="V4515" s="4"/>
      <c r="X4515" s="4"/>
      <c r="Y4515" s="4"/>
    </row>
    <row r="4516" spans="20:25" x14ac:dyDescent="0.3">
      <c r="T4516" s="12"/>
      <c r="U4516" s="4"/>
      <c r="V4516" s="4"/>
      <c r="X4516" s="4"/>
      <c r="Y4516" s="4"/>
    </row>
    <row r="4517" spans="20:25" x14ac:dyDescent="0.3">
      <c r="T4517" s="12"/>
      <c r="U4517" s="4"/>
      <c r="V4517" s="4"/>
      <c r="X4517" s="4"/>
      <c r="Y4517" s="4"/>
    </row>
    <row r="4518" spans="20:25" x14ac:dyDescent="0.3">
      <c r="T4518" s="12"/>
      <c r="U4518" s="4"/>
      <c r="V4518" s="4"/>
      <c r="X4518" s="4"/>
      <c r="Y4518" s="4"/>
    </row>
    <row r="4519" spans="20:25" x14ac:dyDescent="0.3">
      <c r="T4519" s="12"/>
      <c r="U4519" s="4"/>
      <c r="V4519" s="4"/>
      <c r="X4519" s="4"/>
      <c r="Y4519" s="4"/>
    </row>
    <row r="4520" spans="20:25" x14ac:dyDescent="0.3">
      <c r="T4520" s="12"/>
      <c r="U4520" s="4"/>
      <c r="V4520" s="4"/>
      <c r="X4520" s="4"/>
      <c r="Y4520" s="4"/>
    </row>
    <row r="4521" spans="20:25" x14ac:dyDescent="0.3">
      <c r="T4521" s="12"/>
      <c r="U4521" s="4"/>
      <c r="V4521" s="4"/>
      <c r="X4521" s="4"/>
      <c r="Y4521" s="4"/>
    </row>
    <row r="4522" spans="20:25" x14ac:dyDescent="0.3">
      <c r="T4522" s="12"/>
      <c r="U4522" s="4"/>
      <c r="V4522" s="4"/>
      <c r="X4522" s="4"/>
      <c r="Y4522" s="4"/>
    </row>
    <row r="4523" spans="20:25" x14ac:dyDescent="0.3">
      <c r="T4523" s="12"/>
      <c r="U4523" s="4"/>
      <c r="V4523" s="4"/>
      <c r="X4523" s="4"/>
      <c r="Y4523" s="4"/>
    </row>
    <row r="4524" spans="20:25" x14ac:dyDescent="0.3">
      <c r="T4524" s="12"/>
      <c r="U4524" s="4"/>
      <c r="V4524" s="4"/>
      <c r="X4524" s="4"/>
      <c r="Y4524" s="4"/>
    </row>
    <row r="4525" spans="20:25" x14ac:dyDescent="0.3">
      <c r="T4525" s="12"/>
      <c r="U4525" s="4"/>
      <c r="V4525" s="4"/>
      <c r="X4525" s="4"/>
      <c r="Y4525" s="4"/>
    </row>
    <row r="4526" spans="20:25" x14ac:dyDescent="0.3">
      <c r="T4526" s="12"/>
      <c r="U4526" s="4"/>
      <c r="V4526" s="4"/>
      <c r="X4526" s="4"/>
      <c r="Y4526" s="4"/>
    </row>
    <row r="4527" spans="20:25" x14ac:dyDescent="0.3">
      <c r="T4527" s="12"/>
      <c r="U4527" s="4"/>
      <c r="V4527" s="4"/>
      <c r="X4527" s="4"/>
      <c r="Y4527" s="4"/>
    </row>
    <row r="4528" spans="20:25" x14ac:dyDescent="0.3">
      <c r="T4528" s="12"/>
      <c r="U4528" s="4"/>
      <c r="V4528" s="4"/>
      <c r="X4528" s="4"/>
      <c r="Y4528" s="4"/>
    </row>
    <row r="4529" spans="20:25" x14ac:dyDescent="0.3">
      <c r="T4529" s="12"/>
      <c r="U4529" s="4"/>
      <c r="V4529" s="4"/>
      <c r="X4529" s="4"/>
      <c r="Y4529" s="4"/>
    </row>
    <row r="4530" spans="20:25" x14ac:dyDescent="0.3">
      <c r="T4530" s="12"/>
      <c r="U4530" s="4"/>
      <c r="V4530" s="4"/>
      <c r="X4530" s="4"/>
      <c r="Y4530" s="4"/>
    </row>
    <row r="4531" spans="20:25" x14ac:dyDescent="0.3">
      <c r="T4531" s="12"/>
      <c r="U4531" s="4"/>
      <c r="V4531" s="4"/>
      <c r="X4531" s="4"/>
      <c r="Y4531" s="4"/>
    </row>
    <row r="4532" spans="20:25" x14ac:dyDescent="0.3">
      <c r="T4532" s="12"/>
      <c r="U4532" s="4"/>
      <c r="V4532" s="4"/>
      <c r="X4532" s="4"/>
      <c r="Y4532" s="4"/>
    </row>
    <row r="4533" spans="20:25" x14ac:dyDescent="0.3">
      <c r="T4533" s="12"/>
      <c r="U4533" s="4"/>
      <c r="V4533" s="4"/>
      <c r="X4533" s="4"/>
      <c r="Y4533" s="4"/>
    </row>
    <row r="4534" spans="20:25" x14ac:dyDescent="0.3">
      <c r="T4534" s="12"/>
      <c r="U4534" s="4"/>
      <c r="V4534" s="4"/>
      <c r="X4534" s="4"/>
      <c r="Y4534" s="4"/>
    </row>
    <row r="4535" spans="20:25" x14ac:dyDescent="0.3">
      <c r="T4535" s="12"/>
      <c r="U4535" s="4"/>
      <c r="V4535" s="4"/>
      <c r="X4535" s="4"/>
      <c r="Y4535" s="4"/>
    </row>
    <row r="4536" spans="20:25" x14ac:dyDescent="0.3">
      <c r="T4536" s="12"/>
      <c r="U4536" s="4"/>
      <c r="V4536" s="4"/>
      <c r="X4536" s="4"/>
      <c r="Y4536" s="4"/>
    </row>
    <row r="4537" spans="20:25" x14ac:dyDescent="0.3">
      <c r="T4537" s="12"/>
      <c r="U4537" s="4"/>
      <c r="V4537" s="4"/>
      <c r="X4537" s="4"/>
      <c r="Y4537" s="4"/>
    </row>
    <row r="4538" spans="20:25" x14ac:dyDescent="0.3">
      <c r="T4538" s="12"/>
      <c r="U4538" s="4"/>
      <c r="V4538" s="4"/>
      <c r="X4538" s="4"/>
      <c r="Y4538" s="4"/>
    </row>
    <row r="4539" spans="20:25" x14ac:dyDescent="0.3">
      <c r="T4539" s="12"/>
      <c r="U4539" s="4"/>
      <c r="V4539" s="4"/>
      <c r="X4539" s="4"/>
      <c r="Y4539" s="4"/>
    </row>
    <row r="4540" spans="20:25" x14ac:dyDescent="0.3">
      <c r="T4540" s="12"/>
      <c r="U4540" s="4"/>
      <c r="V4540" s="4"/>
      <c r="X4540" s="4"/>
      <c r="Y4540" s="4"/>
    </row>
    <row r="4541" spans="20:25" x14ac:dyDescent="0.3">
      <c r="T4541" s="12"/>
      <c r="U4541" s="4"/>
      <c r="V4541" s="4"/>
      <c r="X4541" s="4"/>
      <c r="Y4541" s="4"/>
    </row>
    <row r="4542" spans="20:25" x14ac:dyDescent="0.3">
      <c r="T4542" s="12"/>
      <c r="U4542" s="4"/>
      <c r="V4542" s="4"/>
      <c r="X4542" s="4"/>
      <c r="Y4542" s="4"/>
    </row>
    <row r="4543" spans="20:25" x14ac:dyDescent="0.3">
      <c r="T4543" s="12"/>
      <c r="U4543" s="4"/>
      <c r="V4543" s="4"/>
      <c r="X4543" s="4"/>
      <c r="Y4543" s="4"/>
    </row>
    <row r="4544" spans="20:25" x14ac:dyDescent="0.3">
      <c r="T4544" s="12"/>
      <c r="U4544" s="4"/>
      <c r="V4544" s="4"/>
      <c r="X4544" s="4"/>
      <c r="Y4544" s="4"/>
    </row>
    <row r="4545" spans="20:25" x14ac:dyDescent="0.3">
      <c r="T4545" s="12"/>
      <c r="U4545" s="4"/>
      <c r="V4545" s="4"/>
      <c r="X4545" s="4"/>
      <c r="Y4545" s="4"/>
    </row>
    <row r="4546" spans="20:25" x14ac:dyDescent="0.3">
      <c r="T4546" s="12"/>
      <c r="U4546" s="4"/>
      <c r="V4546" s="4"/>
      <c r="X4546" s="4"/>
      <c r="Y4546" s="4"/>
    </row>
    <row r="4547" spans="20:25" x14ac:dyDescent="0.3">
      <c r="T4547" s="12"/>
      <c r="U4547" s="4"/>
      <c r="V4547" s="4"/>
      <c r="X4547" s="4"/>
      <c r="Y4547" s="4"/>
    </row>
    <row r="4548" spans="20:25" x14ac:dyDescent="0.3">
      <c r="T4548" s="12"/>
      <c r="U4548" s="4"/>
      <c r="V4548" s="4"/>
      <c r="X4548" s="4"/>
      <c r="Y4548" s="4"/>
    </row>
    <row r="4549" spans="20:25" x14ac:dyDescent="0.3">
      <c r="T4549" s="12"/>
      <c r="U4549" s="4"/>
      <c r="V4549" s="4"/>
      <c r="X4549" s="4"/>
      <c r="Y4549" s="4"/>
    </row>
    <row r="4550" spans="20:25" x14ac:dyDescent="0.3">
      <c r="T4550" s="12"/>
      <c r="U4550" s="4"/>
      <c r="V4550" s="4"/>
      <c r="X4550" s="4"/>
      <c r="Y4550" s="4"/>
    </row>
    <row r="4551" spans="20:25" x14ac:dyDescent="0.3">
      <c r="T4551" s="12"/>
      <c r="U4551" s="4"/>
      <c r="V4551" s="4"/>
      <c r="X4551" s="4"/>
      <c r="Y4551" s="4"/>
    </row>
    <row r="4552" spans="20:25" x14ac:dyDescent="0.3">
      <c r="T4552" s="12"/>
      <c r="U4552" s="4"/>
      <c r="V4552" s="4"/>
      <c r="X4552" s="4"/>
      <c r="Y4552" s="4"/>
    </row>
    <row r="4553" spans="20:25" x14ac:dyDescent="0.3">
      <c r="T4553" s="12"/>
      <c r="U4553" s="4"/>
      <c r="V4553" s="4"/>
      <c r="X4553" s="4"/>
      <c r="Y4553" s="4"/>
    </row>
    <row r="4554" spans="20:25" x14ac:dyDescent="0.3">
      <c r="T4554" s="12"/>
      <c r="U4554" s="4"/>
      <c r="V4554" s="4"/>
      <c r="X4554" s="4"/>
      <c r="Y4554" s="4"/>
    </row>
    <row r="4555" spans="20:25" x14ac:dyDescent="0.3">
      <c r="T4555" s="12"/>
      <c r="U4555" s="4"/>
      <c r="V4555" s="4"/>
      <c r="X4555" s="4"/>
      <c r="Y4555" s="4"/>
    </row>
    <row r="4556" spans="20:25" x14ac:dyDescent="0.3">
      <c r="T4556" s="12"/>
      <c r="U4556" s="4"/>
      <c r="V4556" s="4"/>
      <c r="X4556" s="4"/>
      <c r="Y4556" s="4"/>
    </row>
    <row r="4557" spans="20:25" x14ac:dyDescent="0.3">
      <c r="T4557" s="12"/>
      <c r="U4557" s="4"/>
      <c r="V4557" s="4"/>
      <c r="X4557" s="4"/>
      <c r="Y4557" s="4"/>
    </row>
    <row r="4558" spans="20:25" x14ac:dyDescent="0.3">
      <c r="T4558" s="12"/>
      <c r="U4558" s="4"/>
      <c r="V4558" s="4"/>
      <c r="X4558" s="4"/>
      <c r="Y4558" s="4"/>
    </row>
    <row r="4559" spans="20:25" x14ac:dyDescent="0.3">
      <c r="T4559" s="12"/>
      <c r="U4559" s="4"/>
      <c r="V4559" s="4"/>
      <c r="X4559" s="4"/>
      <c r="Y4559" s="4"/>
    </row>
    <row r="4560" spans="20:25" x14ac:dyDescent="0.3">
      <c r="T4560" s="12"/>
      <c r="U4560" s="4"/>
      <c r="V4560" s="4"/>
      <c r="X4560" s="4"/>
      <c r="Y4560" s="4"/>
    </row>
    <row r="4561" spans="20:25" x14ac:dyDescent="0.3">
      <c r="T4561" s="12"/>
      <c r="U4561" s="4"/>
      <c r="V4561" s="4"/>
      <c r="X4561" s="4"/>
      <c r="Y4561" s="4"/>
    </row>
    <row r="4562" spans="20:25" x14ac:dyDescent="0.3">
      <c r="T4562" s="12"/>
      <c r="U4562" s="4"/>
      <c r="V4562" s="4"/>
      <c r="X4562" s="4"/>
      <c r="Y4562" s="4"/>
    </row>
    <row r="4563" spans="20:25" x14ac:dyDescent="0.3">
      <c r="T4563" s="12"/>
      <c r="U4563" s="4"/>
      <c r="V4563" s="4"/>
      <c r="X4563" s="4"/>
      <c r="Y4563" s="4"/>
    </row>
    <row r="4564" spans="20:25" x14ac:dyDescent="0.3">
      <c r="T4564" s="12"/>
      <c r="U4564" s="4"/>
      <c r="V4564" s="4"/>
      <c r="X4564" s="4"/>
      <c r="Y4564" s="4"/>
    </row>
    <row r="4565" spans="20:25" x14ac:dyDescent="0.3">
      <c r="T4565" s="12"/>
      <c r="U4565" s="4"/>
      <c r="V4565" s="4"/>
      <c r="X4565" s="4"/>
      <c r="Y4565" s="4"/>
    </row>
    <row r="4566" spans="20:25" x14ac:dyDescent="0.3">
      <c r="T4566" s="12"/>
      <c r="U4566" s="4"/>
      <c r="V4566" s="4"/>
      <c r="X4566" s="4"/>
      <c r="Y4566" s="4"/>
    </row>
    <row r="4567" spans="20:25" x14ac:dyDescent="0.3">
      <c r="T4567" s="12"/>
      <c r="U4567" s="4"/>
      <c r="V4567" s="4"/>
      <c r="X4567" s="4"/>
      <c r="Y4567" s="4"/>
    </row>
    <row r="4568" spans="20:25" x14ac:dyDescent="0.3">
      <c r="T4568" s="12"/>
      <c r="U4568" s="4"/>
      <c r="V4568" s="4"/>
      <c r="X4568" s="4"/>
      <c r="Y4568" s="4"/>
    </row>
    <row r="4569" spans="20:25" x14ac:dyDescent="0.3">
      <c r="T4569" s="12"/>
      <c r="U4569" s="4"/>
      <c r="V4569" s="4"/>
      <c r="X4569" s="4"/>
      <c r="Y4569" s="4"/>
    </row>
    <row r="4570" spans="20:25" x14ac:dyDescent="0.3">
      <c r="T4570" s="12"/>
      <c r="U4570" s="4"/>
      <c r="V4570" s="4"/>
      <c r="X4570" s="4"/>
      <c r="Y4570" s="4"/>
    </row>
    <row r="4571" spans="20:25" x14ac:dyDescent="0.3">
      <c r="T4571" s="12"/>
      <c r="U4571" s="4"/>
      <c r="V4571" s="4"/>
      <c r="X4571" s="4"/>
      <c r="Y4571" s="4"/>
    </row>
    <row r="4572" spans="20:25" x14ac:dyDescent="0.3">
      <c r="T4572" s="12"/>
      <c r="U4572" s="4"/>
      <c r="V4572" s="4"/>
      <c r="X4572" s="4"/>
      <c r="Y4572" s="4"/>
    </row>
    <row r="4573" spans="20:25" x14ac:dyDescent="0.3">
      <c r="T4573" s="12"/>
      <c r="U4573" s="4"/>
      <c r="V4573" s="4"/>
      <c r="X4573" s="4"/>
      <c r="Y4573" s="4"/>
    </row>
    <row r="4574" spans="20:25" x14ac:dyDescent="0.3">
      <c r="T4574" s="12"/>
      <c r="U4574" s="4"/>
      <c r="V4574" s="4"/>
      <c r="X4574" s="4"/>
      <c r="Y4574" s="4"/>
    </row>
    <row r="4575" spans="20:25" x14ac:dyDescent="0.3">
      <c r="T4575" s="12"/>
      <c r="U4575" s="4"/>
      <c r="V4575" s="4"/>
      <c r="X4575" s="4"/>
      <c r="Y4575" s="4"/>
    </row>
    <row r="4576" spans="20:25" x14ac:dyDescent="0.3">
      <c r="T4576" s="12"/>
      <c r="U4576" s="4"/>
      <c r="V4576" s="4"/>
      <c r="X4576" s="4"/>
      <c r="Y4576" s="4"/>
    </row>
    <row r="4577" spans="20:25" x14ac:dyDescent="0.3">
      <c r="T4577" s="12"/>
      <c r="U4577" s="4"/>
      <c r="V4577" s="4"/>
      <c r="X4577" s="4"/>
      <c r="Y4577" s="4"/>
    </row>
    <row r="4578" spans="20:25" x14ac:dyDescent="0.3">
      <c r="T4578" s="12"/>
      <c r="U4578" s="4"/>
      <c r="V4578" s="4"/>
      <c r="X4578" s="4"/>
      <c r="Y4578" s="4"/>
    </row>
    <row r="4579" spans="20:25" x14ac:dyDescent="0.3">
      <c r="T4579" s="12"/>
      <c r="U4579" s="4"/>
      <c r="V4579" s="4"/>
      <c r="X4579" s="4"/>
      <c r="Y4579" s="4"/>
    </row>
    <row r="4580" spans="20:25" x14ac:dyDescent="0.3">
      <c r="T4580" s="12"/>
      <c r="U4580" s="4"/>
      <c r="V4580" s="4"/>
      <c r="X4580" s="4"/>
      <c r="Y4580" s="4"/>
    </row>
    <row r="4581" spans="20:25" x14ac:dyDescent="0.3">
      <c r="T4581" s="12"/>
      <c r="U4581" s="4"/>
      <c r="V4581" s="4"/>
      <c r="X4581" s="4"/>
      <c r="Y4581" s="4"/>
    </row>
    <row r="4582" spans="20:25" x14ac:dyDescent="0.3">
      <c r="T4582" s="12"/>
      <c r="U4582" s="4"/>
      <c r="V4582" s="4"/>
      <c r="X4582" s="4"/>
      <c r="Y4582" s="4"/>
    </row>
    <row r="4583" spans="20:25" x14ac:dyDescent="0.3">
      <c r="T4583" s="12"/>
      <c r="U4583" s="4"/>
      <c r="V4583" s="4"/>
      <c r="X4583" s="4"/>
      <c r="Y4583" s="4"/>
    </row>
    <row r="4584" spans="20:25" x14ac:dyDescent="0.3">
      <c r="T4584" s="12"/>
      <c r="U4584" s="4"/>
      <c r="V4584" s="4"/>
      <c r="X4584" s="4"/>
      <c r="Y4584" s="4"/>
    </row>
    <row r="4585" spans="20:25" x14ac:dyDescent="0.3">
      <c r="T4585" s="12"/>
      <c r="U4585" s="4"/>
      <c r="V4585" s="4"/>
      <c r="X4585" s="4"/>
      <c r="Y4585" s="4"/>
    </row>
    <row r="4586" spans="20:25" x14ac:dyDescent="0.3">
      <c r="T4586" s="12"/>
      <c r="U4586" s="4"/>
      <c r="V4586" s="4"/>
      <c r="X4586" s="4"/>
      <c r="Y4586" s="4"/>
    </row>
    <row r="4587" spans="20:25" x14ac:dyDescent="0.3">
      <c r="T4587" s="12"/>
      <c r="U4587" s="4"/>
      <c r="V4587" s="4"/>
      <c r="X4587" s="4"/>
      <c r="Y4587" s="4"/>
    </row>
    <row r="4588" spans="20:25" x14ac:dyDescent="0.3">
      <c r="T4588" s="12"/>
      <c r="U4588" s="4"/>
      <c r="V4588" s="4"/>
      <c r="X4588" s="4"/>
      <c r="Y4588" s="4"/>
    </row>
    <row r="4589" spans="20:25" x14ac:dyDescent="0.3">
      <c r="T4589" s="12"/>
      <c r="U4589" s="4"/>
      <c r="V4589" s="4"/>
      <c r="X4589" s="4"/>
      <c r="Y4589" s="4"/>
    </row>
    <row r="4590" spans="20:25" x14ac:dyDescent="0.3">
      <c r="T4590" s="12"/>
      <c r="U4590" s="4"/>
      <c r="V4590" s="4"/>
      <c r="X4590" s="4"/>
      <c r="Y4590" s="4"/>
    </row>
    <row r="4591" spans="20:25" x14ac:dyDescent="0.3">
      <c r="T4591" s="12"/>
      <c r="U4591" s="4"/>
      <c r="V4591" s="4"/>
      <c r="X4591" s="4"/>
      <c r="Y4591" s="4"/>
    </row>
    <row r="4592" spans="20:25" x14ac:dyDescent="0.3">
      <c r="T4592" s="12"/>
      <c r="U4592" s="4"/>
      <c r="V4592" s="4"/>
      <c r="X4592" s="4"/>
      <c r="Y4592" s="4"/>
    </row>
    <row r="4593" spans="20:25" x14ac:dyDescent="0.3">
      <c r="T4593" s="12"/>
      <c r="U4593" s="4"/>
      <c r="V4593" s="4"/>
      <c r="X4593" s="4"/>
      <c r="Y4593" s="4"/>
    </row>
    <row r="4594" spans="20:25" x14ac:dyDescent="0.3">
      <c r="T4594" s="12"/>
      <c r="U4594" s="4"/>
      <c r="V4594" s="4"/>
      <c r="X4594" s="4"/>
      <c r="Y4594" s="4"/>
    </row>
    <row r="4595" spans="20:25" x14ac:dyDescent="0.3">
      <c r="T4595" s="12"/>
      <c r="U4595" s="4"/>
      <c r="V4595" s="4"/>
      <c r="X4595" s="4"/>
      <c r="Y4595" s="4"/>
    </row>
    <row r="4596" spans="20:25" x14ac:dyDescent="0.3">
      <c r="T4596" s="12"/>
      <c r="U4596" s="4"/>
      <c r="V4596" s="4"/>
      <c r="X4596" s="4"/>
      <c r="Y4596" s="4"/>
    </row>
    <row r="4597" spans="20:25" x14ac:dyDescent="0.3">
      <c r="T4597" s="12"/>
      <c r="U4597" s="4"/>
      <c r="V4597" s="4"/>
      <c r="X4597" s="4"/>
      <c r="Y4597" s="4"/>
    </row>
    <row r="4598" spans="20:25" x14ac:dyDescent="0.3">
      <c r="T4598" s="12"/>
      <c r="U4598" s="4"/>
      <c r="V4598" s="4"/>
      <c r="X4598" s="4"/>
      <c r="Y4598" s="4"/>
    </row>
    <row r="4599" spans="20:25" x14ac:dyDescent="0.3">
      <c r="T4599" s="12"/>
      <c r="U4599" s="4"/>
      <c r="V4599" s="4"/>
      <c r="X4599" s="4"/>
      <c r="Y4599" s="4"/>
    </row>
    <row r="4600" spans="20:25" x14ac:dyDescent="0.3">
      <c r="T4600" s="12"/>
      <c r="U4600" s="4"/>
      <c r="V4600" s="4"/>
      <c r="X4600" s="4"/>
      <c r="Y4600" s="4"/>
    </row>
    <row r="4601" spans="20:25" x14ac:dyDescent="0.3">
      <c r="T4601" s="12"/>
      <c r="U4601" s="4"/>
      <c r="V4601" s="4"/>
      <c r="X4601" s="4"/>
      <c r="Y4601" s="4"/>
    </row>
    <row r="4602" spans="20:25" x14ac:dyDescent="0.3">
      <c r="T4602" s="12"/>
      <c r="U4602" s="4"/>
      <c r="V4602" s="4"/>
      <c r="X4602" s="4"/>
      <c r="Y4602" s="4"/>
    </row>
    <row r="4603" spans="20:25" x14ac:dyDescent="0.3">
      <c r="T4603" s="12"/>
      <c r="U4603" s="4"/>
      <c r="V4603" s="4"/>
      <c r="X4603" s="4"/>
      <c r="Y4603" s="4"/>
    </row>
    <row r="4604" spans="20:25" x14ac:dyDescent="0.3">
      <c r="T4604" s="12"/>
      <c r="U4604" s="4"/>
      <c r="V4604" s="4"/>
      <c r="X4604" s="4"/>
      <c r="Y4604" s="4"/>
    </row>
    <row r="4605" spans="20:25" x14ac:dyDescent="0.3">
      <c r="T4605" s="12"/>
      <c r="U4605" s="4"/>
      <c r="V4605" s="4"/>
      <c r="X4605" s="4"/>
      <c r="Y4605" s="4"/>
    </row>
    <row r="4606" spans="20:25" x14ac:dyDescent="0.3">
      <c r="T4606" s="12"/>
      <c r="U4606" s="4"/>
      <c r="V4606" s="4"/>
      <c r="X4606" s="4"/>
      <c r="Y4606" s="4"/>
    </row>
    <row r="4607" spans="20:25" x14ac:dyDescent="0.3">
      <c r="T4607" s="12"/>
      <c r="U4607" s="4"/>
      <c r="V4607" s="4"/>
      <c r="X4607" s="4"/>
      <c r="Y4607" s="4"/>
    </row>
    <row r="4608" spans="20:25" x14ac:dyDescent="0.3">
      <c r="T4608" s="12"/>
      <c r="U4608" s="4"/>
      <c r="V4608" s="4"/>
      <c r="X4608" s="4"/>
      <c r="Y4608" s="4"/>
    </row>
    <row r="4609" spans="20:25" x14ac:dyDescent="0.3">
      <c r="T4609" s="12"/>
      <c r="U4609" s="4"/>
      <c r="V4609" s="4"/>
      <c r="X4609" s="4"/>
      <c r="Y4609" s="4"/>
    </row>
    <row r="4610" spans="20:25" x14ac:dyDescent="0.3">
      <c r="T4610" s="12"/>
      <c r="U4610" s="4"/>
      <c r="V4610" s="4"/>
      <c r="X4610" s="4"/>
      <c r="Y4610" s="4"/>
    </row>
    <row r="4611" spans="20:25" x14ac:dyDescent="0.3">
      <c r="T4611" s="12"/>
      <c r="U4611" s="4"/>
      <c r="V4611" s="4"/>
      <c r="X4611" s="4"/>
      <c r="Y4611" s="4"/>
    </row>
    <row r="4612" spans="20:25" x14ac:dyDescent="0.3">
      <c r="T4612" s="12"/>
      <c r="U4612" s="4"/>
      <c r="V4612" s="4"/>
      <c r="X4612" s="4"/>
      <c r="Y4612" s="4"/>
    </row>
    <row r="4613" spans="20:25" x14ac:dyDescent="0.3">
      <c r="T4613" s="12"/>
      <c r="U4613" s="4"/>
      <c r="V4613" s="4"/>
      <c r="X4613" s="4"/>
      <c r="Y4613" s="4"/>
    </row>
    <row r="4614" spans="20:25" x14ac:dyDescent="0.3">
      <c r="T4614" s="12"/>
      <c r="U4614" s="4"/>
      <c r="V4614" s="4"/>
      <c r="X4614" s="4"/>
      <c r="Y4614" s="4"/>
    </row>
    <row r="4615" spans="20:25" x14ac:dyDescent="0.3">
      <c r="T4615" s="12"/>
      <c r="U4615" s="4"/>
      <c r="V4615" s="4"/>
      <c r="X4615" s="4"/>
      <c r="Y4615" s="4"/>
    </row>
    <row r="4616" spans="20:25" x14ac:dyDescent="0.3">
      <c r="T4616" s="12"/>
      <c r="U4616" s="4"/>
      <c r="V4616" s="4"/>
      <c r="X4616" s="4"/>
      <c r="Y4616" s="4"/>
    </row>
    <row r="4617" spans="20:25" x14ac:dyDescent="0.3">
      <c r="T4617" s="12"/>
      <c r="U4617" s="4"/>
      <c r="V4617" s="4"/>
      <c r="X4617" s="4"/>
      <c r="Y4617" s="4"/>
    </row>
    <row r="4618" spans="20:25" x14ac:dyDescent="0.3">
      <c r="T4618" s="12"/>
      <c r="U4618" s="4"/>
      <c r="V4618" s="4"/>
      <c r="X4618" s="4"/>
      <c r="Y4618" s="4"/>
    </row>
    <row r="4619" spans="20:25" x14ac:dyDescent="0.3">
      <c r="T4619" s="12"/>
      <c r="U4619" s="4"/>
      <c r="V4619" s="4"/>
      <c r="X4619" s="4"/>
      <c r="Y4619" s="4"/>
    </row>
    <row r="4620" spans="20:25" x14ac:dyDescent="0.3">
      <c r="T4620" s="12"/>
      <c r="U4620" s="4"/>
      <c r="V4620" s="4"/>
      <c r="X4620" s="4"/>
      <c r="Y4620" s="4"/>
    </row>
    <row r="4621" spans="20:25" x14ac:dyDescent="0.3">
      <c r="T4621" s="12"/>
      <c r="U4621" s="4"/>
      <c r="V4621" s="4"/>
      <c r="X4621" s="4"/>
      <c r="Y4621" s="4"/>
    </row>
    <row r="4622" spans="20:25" x14ac:dyDescent="0.3">
      <c r="T4622" s="12"/>
      <c r="U4622" s="4"/>
      <c r="V4622" s="4"/>
      <c r="X4622" s="4"/>
      <c r="Y4622" s="4"/>
    </row>
    <row r="4623" spans="20:25" x14ac:dyDescent="0.3">
      <c r="T4623" s="12"/>
      <c r="U4623" s="4"/>
      <c r="V4623" s="4"/>
      <c r="X4623" s="4"/>
      <c r="Y4623" s="4"/>
    </row>
    <row r="4624" spans="20:25" x14ac:dyDescent="0.3">
      <c r="T4624" s="12"/>
      <c r="U4624" s="4"/>
      <c r="V4624" s="4"/>
      <c r="X4624" s="4"/>
      <c r="Y4624" s="4"/>
    </row>
    <row r="4625" spans="20:25" x14ac:dyDescent="0.3">
      <c r="T4625" s="12"/>
      <c r="U4625" s="4"/>
      <c r="V4625" s="4"/>
      <c r="X4625" s="4"/>
      <c r="Y4625" s="4"/>
    </row>
    <row r="4626" spans="20:25" x14ac:dyDescent="0.3">
      <c r="T4626" s="12"/>
      <c r="U4626" s="4"/>
      <c r="V4626" s="4"/>
      <c r="X4626" s="4"/>
      <c r="Y4626" s="4"/>
    </row>
    <row r="4627" spans="20:25" x14ac:dyDescent="0.3">
      <c r="T4627" s="12"/>
      <c r="U4627" s="4"/>
      <c r="V4627" s="4"/>
      <c r="X4627" s="4"/>
      <c r="Y4627" s="4"/>
    </row>
    <row r="4628" spans="20:25" x14ac:dyDescent="0.3">
      <c r="T4628" s="12"/>
      <c r="U4628" s="4"/>
      <c r="V4628" s="4"/>
      <c r="X4628" s="4"/>
      <c r="Y4628" s="4"/>
    </row>
    <row r="4629" spans="20:25" x14ac:dyDescent="0.3">
      <c r="T4629" s="12"/>
      <c r="U4629" s="4"/>
      <c r="V4629" s="4"/>
      <c r="X4629" s="4"/>
      <c r="Y4629" s="4"/>
    </row>
    <row r="4630" spans="20:25" x14ac:dyDescent="0.3">
      <c r="T4630" s="12"/>
      <c r="U4630" s="4"/>
      <c r="V4630" s="4"/>
      <c r="X4630" s="4"/>
      <c r="Y4630" s="4"/>
    </row>
    <row r="4631" spans="20:25" x14ac:dyDescent="0.3">
      <c r="T4631" s="12"/>
      <c r="U4631" s="4"/>
      <c r="V4631" s="4"/>
      <c r="X4631" s="4"/>
      <c r="Y4631" s="4"/>
    </row>
    <row r="4632" spans="20:25" x14ac:dyDescent="0.3">
      <c r="T4632" s="12"/>
      <c r="U4632" s="4"/>
      <c r="V4632" s="4"/>
      <c r="X4632" s="4"/>
      <c r="Y4632" s="4"/>
    </row>
    <row r="4633" spans="20:25" x14ac:dyDescent="0.3">
      <c r="T4633" s="12"/>
      <c r="U4633" s="4"/>
      <c r="V4633" s="4"/>
      <c r="X4633" s="4"/>
      <c r="Y4633" s="4"/>
    </row>
    <row r="4634" spans="20:25" x14ac:dyDescent="0.3">
      <c r="T4634" s="12"/>
      <c r="U4634" s="4"/>
      <c r="V4634" s="4"/>
      <c r="X4634" s="4"/>
      <c r="Y4634" s="4"/>
    </row>
    <row r="4635" spans="20:25" x14ac:dyDescent="0.3">
      <c r="T4635" s="12"/>
      <c r="U4635" s="4"/>
      <c r="V4635" s="4"/>
      <c r="X4635" s="4"/>
      <c r="Y4635" s="4"/>
    </row>
    <row r="4636" spans="20:25" x14ac:dyDescent="0.3">
      <c r="T4636" s="12"/>
      <c r="U4636" s="4"/>
      <c r="V4636" s="4"/>
      <c r="X4636" s="4"/>
      <c r="Y4636" s="4"/>
    </row>
    <row r="4637" spans="20:25" x14ac:dyDescent="0.3">
      <c r="T4637" s="12"/>
      <c r="U4637" s="4"/>
      <c r="V4637" s="4"/>
      <c r="X4637" s="4"/>
      <c r="Y4637" s="4"/>
    </row>
    <row r="4638" spans="20:25" x14ac:dyDescent="0.3">
      <c r="T4638" s="12"/>
      <c r="U4638" s="4"/>
      <c r="V4638" s="4"/>
      <c r="X4638" s="4"/>
      <c r="Y4638" s="4"/>
    </row>
    <row r="4639" spans="20:25" x14ac:dyDescent="0.3">
      <c r="T4639" s="12"/>
      <c r="U4639" s="4"/>
      <c r="V4639" s="4"/>
      <c r="X4639" s="4"/>
      <c r="Y4639" s="4"/>
    </row>
    <row r="4640" spans="20:25" x14ac:dyDescent="0.3">
      <c r="T4640" s="12"/>
      <c r="U4640" s="4"/>
      <c r="V4640" s="4"/>
      <c r="X4640" s="4"/>
      <c r="Y4640" s="4"/>
    </row>
    <row r="4641" spans="20:25" x14ac:dyDescent="0.3">
      <c r="T4641" s="12"/>
      <c r="U4641" s="4"/>
      <c r="V4641" s="4"/>
      <c r="X4641" s="4"/>
      <c r="Y4641" s="4"/>
    </row>
    <row r="4642" spans="20:25" x14ac:dyDescent="0.3">
      <c r="T4642" s="12"/>
      <c r="U4642" s="4"/>
      <c r="V4642" s="4"/>
      <c r="X4642" s="4"/>
      <c r="Y4642" s="4"/>
    </row>
    <row r="4643" spans="20:25" x14ac:dyDescent="0.3">
      <c r="T4643" s="12"/>
      <c r="U4643" s="4"/>
      <c r="V4643" s="4"/>
      <c r="X4643" s="4"/>
      <c r="Y4643" s="4"/>
    </row>
    <row r="4644" spans="20:25" x14ac:dyDescent="0.3">
      <c r="T4644" s="12"/>
      <c r="U4644" s="4"/>
      <c r="V4644" s="4"/>
      <c r="X4644" s="4"/>
      <c r="Y4644" s="4"/>
    </row>
    <row r="4645" spans="20:25" x14ac:dyDescent="0.3">
      <c r="T4645" s="12"/>
      <c r="U4645" s="4"/>
      <c r="V4645" s="4"/>
      <c r="X4645" s="4"/>
      <c r="Y4645" s="4"/>
    </row>
    <row r="4646" spans="20:25" x14ac:dyDescent="0.3">
      <c r="T4646" s="12"/>
      <c r="U4646" s="4"/>
      <c r="V4646" s="4"/>
      <c r="X4646" s="4"/>
      <c r="Y4646" s="4"/>
    </row>
    <row r="4647" spans="20:25" x14ac:dyDescent="0.3">
      <c r="T4647" s="12"/>
      <c r="U4647" s="4"/>
      <c r="V4647" s="4"/>
      <c r="X4647" s="4"/>
      <c r="Y4647" s="4"/>
    </row>
    <row r="4648" spans="20:25" x14ac:dyDescent="0.3">
      <c r="T4648" s="12"/>
      <c r="U4648" s="4"/>
      <c r="V4648" s="4"/>
      <c r="X4648" s="4"/>
      <c r="Y4648" s="4"/>
    </row>
    <row r="4649" spans="20:25" x14ac:dyDescent="0.3">
      <c r="T4649" s="12"/>
      <c r="U4649" s="4"/>
      <c r="V4649" s="4"/>
      <c r="X4649" s="4"/>
      <c r="Y4649" s="4"/>
    </row>
    <row r="4650" spans="20:25" x14ac:dyDescent="0.3">
      <c r="T4650" s="12"/>
      <c r="U4650" s="4"/>
      <c r="V4650" s="4"/>
      <c r="X4650" s="4"/>
      <c r="Y4650" s="4"/>
    </row>
    <row r="4651" spans="20:25" x14ac:dyDescent="0.3">
      <c r="T4651" s="12"/>
      <c r="U4651" s="4"/>
      <c r="V4651" s="4"/>
      <c r="X4651" s="4"/>
      <c r="Y4651" s="4"/>
    </row>
    <row r="4652" spans="20:25" x14ac:dyDescent="0.3">
      <c r="T4652" s="12"/>
      <c r="U4652" s="4"/>
      <c r="V4652" s="4"/>
      <c r="X4652" s="4"/>
      <c r="Y4652" s="4"/>
    </row>
    <row r="4653" spans="20:25" x14ac:dyDescent="0.3">
      <c r="T4653" s="12"/>
      <c r="U4653" s="4"/>
      <c r="V4653" s="4"/>
      <c r="X4653" s="4"/>
      <c r="Y4653" s="4"/>
    </row>
    <row r="4654" spans="20:25" x14ac:dyDescent="0.3">
      <c r="T4654" s="12"/>
      <c r="U4654" s="4"/>
      <c r="V4654" s="4"/>
      <c r="X4654" s="4"/>
      <c r="Y4654" s="4"/>
    </row>
    <row r="4655" spans="20:25" x14ac:dyDescent="0.3">
      <c r="T4655" s="12"/>
      <c r="U4655" s="4"/>
      <c r="V4655" s="4"/>
      <c r="X4655" s="4"/>
      <c r="Y4655" s="4"/>
    </row>
    <row r="4656" spans="20:25" x14ac:dyDescent="0.3">
      <c r="T4656" s="12"/>
      <c r="U4656" s="4"/>
      <c r="V4656" s="4"/>
      <c r="X4656" s="4"/>
      <c r="Y4656" s="4"/>
    </row>
    <row r="4657" spans="20:25" x14ac:dyDescent="0.3">
      <c r="T4657" s="12"/>
      <c r="U4657" s="4"/>
      <c r="V4657" s="4"/>
      <c r="X4657" s="4"/>
      <c r="Y4657" s="4"/>
    </row>
    <row r="4658" spans="20:25" x14ac:dyDescent="0.3">
      <c r="T4658" s="12"/>
      <c r="U4658" s="4"/>
      <c r="V4658" s="4"/>
      <c r="X4658" s="4"/>
      <c r="Y4658" s="4"/>
    </row>
    <row r="4659" spans="20:25" x14ac:dyDescent="0.3">
      <c r="T4659" s="12"/>
      <c r="U4659" s="4"/>
      <c r="V4659" s="4"/>
      <c r="X4659" s="4"/>
      <c r="Y4659" s="4"/>
    </row>
    <row r="4660" spans="20:25" x14ac:dyDescent="0.3">
      <c r="T4660" s="12"/>
      <c r="U4660" s="4"/>
      <c r="V4660" s="4"/>
      <c r="X4660" s="4"/>
      <c r="Y4660" s="4"/>
    </row>
    <row r="4661" spans="20:25" x14ac:dyDescent="0.3">
      <c r="T4661" s="12"/>
      <c r="U4661" s="4"/>
      <c r="V4661" s="4"/>
      <c r="X4661" s="4"/>
      <c r="Y4661" s="4"/>
    </row>
    <row r="4662" spans="20:25" x14ac:dyDescent="0.3">
      <c r="T4662" s="12"/>
      <c r="U4662" s="4"/>
      <c r="V4662" s="4"/>
      <c r="X4662" s="4"/>
      <c r="Y4662" s="4"/>
    </row>
    <row r="4663" spans="20:25" x14ac:dyDescent="0.3">
      <c r="T4663" s="12"/>
      <c r="U4663" s="4"/>
      <c r="V4663" s="4"/>
      <c r="X4663" s="4"/>
      <c r="Y4663" s="4"/>
    </row>
    <row r="4664" spans="20:25" x14ac:dyDescent="0.3">
      <c r="T4664" s="12"/>
      <c r="U4664" s="4"/>
      <c r="V4664" s="4"/>
      <c r="X4664" s="4"/>
      <c r="Y4664" s="4"/>
    </row>
    <row r="4665" spans="20:25" x14ac:dyDescent="0.3">
      <c r="T4665" s="12"/>
      <c r="U4665" s="4"/>
      <c r="V4665" s="4"/>
      <c r="X4665" s="4"/>
      <c r="Y4665" s="4"/>
    </row>
    <row r="4666" spans="20:25" x14ac:dyDescent="0.3">
      <c r="T4666" s="12"/>
      <c r="U4666" s="4"/>
      <c r="V4666" s="4"/>
      <c r="X4666" s="4"/>
      <c r="Y4666" s="4"/>
    </row>
    <row r="4667" spans="20:25" x14ac:dyDescent="0.3">
      <c r="T4667" s="12"/>
      <c r="U4667" s="4"/>
      <c r="V4667" s="4"/>
      <c r="X4667" s="4"/>
      <c r="Y4667" s="4"/>
    </row>
    <row r="4668" spans="20:25" x14ac:dyDescent="0.3">
      <c r="T4668" s="12"/>
      <c r="U4668" s="4"/>
      <c r="V4668" s="4"/>
      <c r="X4668" s="4"/>
      <c r="Y4668" s="4"/>
    </row>
    <row r="4669" spans="20:25" x14ac:dyDescent="0.3">
      <c r="T4669" s="12"/>
      <c r="U4669" s="4"/>
      <c r="V4669" s="4"/>
      <c r="X4669" s="4"/>
      <c r="Y4669" s="4"/>
    </row>
    <row r="4670" spans="20:25" x14ac:dyDescent="0.3">
      <c r="T4670" s="12"/>
      <c r="U4670" s="4"/>
      <c r="V4670" s="4"/>
      <c r="X4670" s="4"/>
      <c r="Y4670" s="4"/>
    </row>
    <row r="4671" spans="20:25" x14ac:dyDescent="0.3">
      <c r="T4671" s="12"/>
      <c r="U4671" s="4"/>
      <c r="V4671" s="4"/>
      <c r="X4671" s="4"/>
      <c r="Y4671" s="4"/>
    </row>
    <row r="4672" spans="20:25" x14ac:dyDescent="0.3">
      <c r="T4672" s="12"/>
      <c r="U4672" s="4"/>
      <c r="V4672" s="4"/>
      <c r="X4672" s="4"/>
      <c r="Y4672" s="4"/>
    </row>
    <row r="4673" spans="20:25" x14ac:dyDescent="0.3">
      <c r="T4673" s="12"/>
      <c r="U4673" s="4"/>
      <c r="V4673" s="4"/>
      <c r="X4673" s="4"/>
      <c r="Y4673" s="4"/>
    </row>
    <row r="4674" spans="20:25" x14ac:dyDescent="0.3">
      <c r="T4674" s="12"/>
      <c r="U4674" s="4"/>
      <c r="V4674" s="4"/>
      <c r="X4674" s="4"/>
      <c r="Y4674" s="4"/>
    </row>
    <row r="4675" spans="20:25" x14ac:dyDescent="0.3">
      <c r="T4675" s="12"/>
      <c r="U4675" s="4"/>
      <c r="V4675" s="4"/>
      <c r="X4675" s="4"/>
      <c r="Y4675" s="4"/>
    </row>
    <row r="4676" spans="20:25" x14ac:dyDescent="0.3">
      <c r="T4676" s="12"/>
      <c r="U4676" s="4"/>
      <c r="V4676" s="4"/>
      <c r="X4676" s="4"/>
      <c r="Y4676" s="4"/>
    </row>
    <row r="4677" spans="20:25" x14ac:dyDescent="0.3">
      <c r="T4677" s="12"/>
      <c r="U4677" s="4"/>
      <c r="V4677" s="4"/>
      <c r="X4677" s="4"/>
      <c r="Y4677" s="4"/>
    </row>
    <row r="4678" spans="20:25" x14ac:dyDescent="0.3">
      <c r="T4678" s="12"/>
      <c r="U4678" s="4"/>
      <c r="V4678" s="4"/>
      <c r="X4678" s="4"/>
      <c r="Y4678" s="4"/>
    </row>
    <row r="4679" spans="20:25" x14ac:dyDescent="0.3">
      <c r="T4679" s="12"/>
      <c r="U4679" s="4"/>
      <c r="V4679" s="4"/>
      <c r="X4679" s="4"/>
      <c r="Y4679" s="4"/>
    </row>
    <row r="4680" spans="20:25" x14ac:dyDescent="0.3">
      <c r="T4680" s="12"/>
      <c r="U4680" s="4"/>
      <c r="V4680" s="4"/>
      <c r="X4680" s="4"/>
      <c r="Y4680" s="4"/>
    </row>
    <row r="4681" spans="20:25" x14ac:dyDescent="0.3">
      <c r="T4681" s="12"/>
      <c r="U4681" s="4"/>
      <c r="V4681" s="4"/>
      <c r="X4681" s="4"/>
      <c r="Y4681" s="4"/>
    </row>
    <row r="4682" spans="20:25" x14ac:dyDescent="0.3">
      <c r="T4682" s="12"/>
      <c r="U4682" s="4"/>
      <c r="V4682" s="4"/>
      <c r="X4682" s="4"/>
      <c r="Y4682" s="4"/>
    </row>
    <row r="4683" spans="20:25" x14ac:dyDescent="0.3">
      <c r="T4683" s="12"/>
      <c r="U4683" s="4"/>
      <c r="V4683" s="4"/>
      <c r="X4683" s="4"/>
      <c r="Y4683" s="4"/>
    </row>
    <row r="4684" spans="20:25" x14ac:dyDescent="0.3">
      <c r="T4684" s="12"/>
      <c r="U4684" s="4"/>
      <c r="V4684" s="4"/>
      <c r="X4684" s="4"/>
      <c r="Y4684" s="4"/>
    </row>
    <row r="4685" spans="20:25" x14ac:dyDescent="0.3">
      <c r="T4685" s="12"/>
      <c r="U4685" s="4"/>
      <c r="V4685" s="4"/>
      <c r="X4685" s="4"/>
      <c r="Y4685" s="4"/>
    </row>
    <row r="4686" spans="20:25" x14ac:dyDescent="0.3">
      <c r="T4686" s="12"/>
      <c r="U4686" s="4"/>
      <c r="V4686" s="4"/>
      <c r="X4686" s="4"/>
      <c r="Y4686" s="4"/>
    </row>
    <row r="4687" spans="20:25" x14ac:dyDescent="0.3">
      <c r="T4687" s="12"/>
      <c r="U4687" s="4"/>
      <c r="V4687" s="4"/>
      <c r="X4687" s="4"/>
      <c r="Y4687" s="4"/>
    </row>
    <row r="4688" spans="20:25" x14ac:dyDescent="0.3">
      <c r="T4688" s="12"/>
      <c r="U4688" s="4"/>
      <c r="V4688" s="4"/>
      <c r="X4688" s="4"/>
      <c r="Y4688" s="4"/>
    </row>
    <row r="4689" spans="20:25" x14ac:dyDescent="0.3">
      <c r="T4689" s="12"/>
      <c r="U4689" s="4"/>
      <c r="V4689" s="4"/>
      <c r="X4689" s="4"/>
      <c r="Y4689" s="4"/>
    </row>
    <row r="4690" spans="20:25" x14ac:dyDescent="0.3">
      <c r="T4690" s="12"/>
      <c r="U4690" s="4"/>
      <c r="V4690" s="4"/>
      <c r="X4690" s="4"/>
      <c r="Y4690" s="4"/>
    </row>
    <row r="4691" spans="20:25" x14ac:dyDescent="0.3">
      <c r="T4691" s="12"/>
      <c r="U4691" s="4"/>
      <c r="V4691" s="4"/>
      <c r="X4691" s="4"/>
      <c r="Y4691" s="4"/>
    </row>
    <row r="4692" spans="20:25" x14ac:dyDescent="0.3">
      <c r="T4692" s="12"/>
      <c r="U4692" s="4"/>
      <c r="V4692" s="4"/>
      <c r="X4692" s="4"/>
      <c r="Y4692" s="4"/>
    </row>
    <row r="4693" spans="20:25" x14ac:dyDescent="0.3">
      <c r="T4693" s="12"/>
      <c r="U4693" s="4"/>
      <c r="V4693" s="4"/>
      <c r="X4693" s="4"/>
      <c r="Y4693" s="4"/>
    </row>
    <row r="4694" spans="20:25" x14ac:dyDescent="0.3">
      <c r="T4694" s="12"/>
      <c r="U4694" s="4"/>
      <c r="V4694" s="4"/>
      <c r="X4694" s="4"/>
      <c r="Y4694" s="4"/>
    </row>
    <row r="4695" spans="20:25" x14ac:dyDescent="0.3">
      <c r="T4695" s="12"/>
      <c r="U4695" s="4"/>
      <c r="V4695" s="4"/>
      <c r="X4695" s="4"/>
      <c r="Y4695" s="4"/>
    </row>
    <row r="4696" spans="20:25" x14ac:dyDescent="0.3">
      <c r="T4696" s="12"/>
      <c r="U4696" s="4"/>
      <c r="V4696" s="4"/>
      <c r="X4696" s="4"/>
      <c r="Y4696" s="4"/>
    </row>
    <row r="4697" spans="20:25" x14ac:dyDescent="0.3">
      <c r="T4697" s="12"/>
      <c r="U4697" s="4"/>
      <c r="V4697" s="4"/>
      <c r="X4697" s="4"/>
      <c r="Y4697" s="4"/>
    </row>
    <row r="4698" spans="20:25" x14ac:dyDescent="0.3">
      <c r="T4698" s="12"/>
      <c r="U4698" s="4"/>
      <c r="V4698" s="4"/>
      <c r="X4698" s="4"/>
      <c r="Y4698" s="4"/>
    </row>
    <row r="4699" spans="20:25" x14ac:dyDescent="0.3">
      <c r="T4699" s="12"/>
      <c r="U4699" s="4"/>
      <c r="V4699" s="4"/>
      <c r="X4699" s="4"/>
      <c r="Y4699" s="4"/>
    </row>
    <row r="4700" spans="20:25" x14ac:dyDescent="0.3">
      <c r="T4700" s="12"/>
      <c r="U4700" s="4"/>
      <c r="V4700" s="4"/>
      <c r="X4700" s="4"/>
      <c r="Y4700" s="4"/>
    </row>
    <row r="4701" spans="20:25" x14ac:dyDescent="0.3">
      <c r="T4701" s="12"/>
      <c r="U4701" s="4"/>
      <c r="V4701" s="4"/>
      <c r="X4701" s="4"/>
      <c r="Y4701" s="4"/>
    </row>
    <row r="4702" spans="20:25" x14ac:dyDescent="0.3">
      <c r="T4702" s="12"/>
      <c r="U4702" s="4"/>
      <c r="V4702" s="4"/>
      <c r="X4702" s="4"/>
      <c r="Y4702" s="4"/>
    </row>
    <row r="4703" spans="20:25" x14ac:dyDescent="0.3">
      <c r="T4703" s="12"/>
      <c r="U4703" s="4"/>
      <c r="V4703" s="4"/>
      <c r="X4703" s="4"/>
      <c r="Y4703" s="4"/>
    </row>
    <row r="4704" spans="20:25" x14ac:dyDescent="0.3">
      <c r="T4704" s="12"/>
      <c r="U4704" s="4"/>
      <c r="V4704" s="4"/>
      <c r="X4704" s="4"/>
      <c r="Y4704" s="4"/>
    </row>
    <row r="4705" spans="20:25" x14ac:dyDescent="0.3">
      <c r="T4705" s="12"/>
      <c r="U4705" s="4"/>
      <c r="V4705" s="4"/>
      <c r="X4705" s="4"/>
      <c r="Y4705" s="4"/>
    </row>
    <row r="4706" spans="20:25" x14ac:dyDescent="0.3">
      <c r="T4706" s="12"/>
      <c r="U4706" s="4"/>
      <c r="V4706" s="4"/>
      <c r="X4706" s="4"/>
      <c r="Y4706" s="4"/>
    </row>
    <row r="4707" spans="20:25" x14ac:dyDescent="0.3">
      <c r="T4707" s="12"/>
      <c r="U4707" s="4"/>
      <c r="V4707" s="4"/>
      <c r="X4707" s="4"/>
      <c r="Y4707" s="4"/>
    </row>
    <row r="4708" spans="20:25" x14ac:dyDescent="0.3">
      <c r="T4708" s="12"/>
      <c r="U4708" s="4"/>
      <c r="V4708" s="4"/>
      <c r="X4708" s="4"/>
      <c r="Y4708" s="4"/>
    </row>
    <row r="4709" spans="20:25" x14ac:dyDescent="0.3">
      <c r="T4709" s="12"/>
      <c r="U4709" s="4"/>
      <c r="V4709" s="4"/>
      <c r="X4709" s="4"/>
      <c r="Y4709" s="4"/>
    </row>
    <row r="4710" spans="20:25" x14ac:dyDescent="0.3">
      <c r="T4710" s="12"/>
      <c r="U4710" s="4"/>
      <c r="V4710" s="4"/>
      <c r="X4710" s="4"/>
      <c r="Y4710" s="4"/>
    </row>
    <row r="4711" spans="20:25" x14ac:dyDescent="0.3">
      <c r="T4711" s="12"/>
      <c r="U4711" s="4"/>
      <c r="V4711" s="4"/>
      <c r="X4711" s="4"/>
      <c r="Y4711" s="4"/>
    </row>
    <row r="4712" spans="20:25" x14ac:dyDescent="0.3">
      <c r="T4712" s="12"/>
      <c r="U4712" s="4"/>
      <c r="V4712" s="4"/>
      <c r="X4712" s="4"/>
      <c r="Y4712" s="4"/>
    </row>
    <row r="4713" spans="20:25" x14ac:dyDescent="0.3">
      <c r="T4713" s="12"/>
      <c r="U4713" s="4"/>
      <c r="V4713" s="4"/>
      <c r="X4713" s="4"/>
      <c r="Y4713" s="4"/>
    </row>
    <row r="4714" spans="20:25" x14ac:dyDescent="0.3">
      <c r="T4714" s="12"/>
      <c r="U4714" s="4"/>
      <c r="V4714" s="4"/>
      <c r="X4714" s="4"/>
      <c r="Y4714" s="4"/>
    </row>
    <row r="4715" spans="20:25" x14ac:dyDescent="0.3">
      <c r="T4715" s="12"/>
      <c r="U4715" s="4"/>
      <c r="V4715" s="4"/>
      <c r="X4715" s="4"/>
      <c r="Y4715" s="4"/>
    </row>
    <row r="4716" spans="20:25" x14ac:dyDescent="0.3">
      <c r="T4716" s="12"/>
      <c r="U4716" s="4"/>
      <c r="V4716" s="4"/>
      <c r="X4716" s="4"/>
      <c r="Y4716" s="4"/>
    </row>
    <row r="4717" spans="20:25" x14ac:dyDescent="0.3">
      <c r="T4717" s="12"/>
      <c r="U4717" s="4"/>
      <c r="V4717" s="4"/>
      <c r="X4717" s="4"/>
      <c r="Y4717" s="4"/>
    </row>
    <row r="4718" spans="20:25" x14ac:dyDescent="0.3">
      <c r="T4718" s="12"/>
      <c r="U4718" s="4"/>
      <c r="V4718" s="4"/>
      <c r="X4718" s="4"/>
      <c r="Y4718" s="4"/>
    </row>
    <row r="4719" spans="20:25" x14ac:dyDescent="0.3">
      <c r="T4719" s="12"/>
      <c r="U4719" s="4"/>
      <c r="V4719" s="4"/>
      <c r="X4719" s="4"/>
      <c r="Y4719" s="4"/>
    </row>
    <row r="4720" spans="20:25" x14ac:dyDescent="0.3">
      <c r="T4720" s="12"/>
      <c r="U4720" s="4"/>
      <c r="V4720" s="4"/>
      <c r="X4720" s="4"/>
      <c r="Y4720" s="4"/>
    </row>
    <row r="4721" spans="20:25" x14ac:dyDescent="0.3">
      <c r="T4721" s="12"/>
      <c r="U4721" s="4"/>
      <c r="V4721" s="4"/>
      <c r="X4721" s="4"/>
      <c r="Y4721" s="4"/>
    </row>
    <row r="4722" spans="20:25" x14ac:dyDescent="0.3">
      <c r="T4722" s="12"/>
      <c r="U4722" s="4"/>
      <c r="V4722" s="4"/>
      <c r="X4722" s="4"/>
      <c r="Y4722" s="4"/>
    </row>
    <row r="4723" spans="20:25" x14ac:dyDescent="0.3">
      <c r="T4723" s="12"/>
      <c r="U4723" s="4"/>
      <c r="V4723" s="4"/>
      <c r="X4723" s="4"/>
      <c r="Y4723" s="4"/>
    </row>
    <row r="4724" spans="20:25" x14ac:dyDescent="0.3">
      <c r="T4724" s="12"/>
      <c r="U4724" s="4"/>
      <c r="V4724" s="4"/>
      <c r="X4724" s="4"/>
      <c r="Y4724" s="4"/>
    </row>
    <row r="4725" spans="20:25" x14ac:dyDescent="0.3">
      <c r="T4725" s="12"/>
      <c r="U4725" s="4"/>
      <c r="V4725" s="4"/>
      <c r="X4725" s="4"/>
      <c r="Y4725" s="4"/>
    </row>
    <row r="4726" spans="20:25" x14ac:dyDescent="0.3">
      <c r="T4726" s="12"/>
      <c r="U4726" s="4"/>
      <c r="V4726" s="4"/>
      <c r="X4726" s="4"/>
      <c r="Y4726" s="4"/>
    </row>
    <row r="4727" spans="20:25" x14ac:dyDescent="0.3">
      <c r="T4727" s="12"/>
      <c r="U4727" s="4"/>
      <c r="V4727" s="4"/>
      <c r="X4727" s="4"/>
      <c r="Y4727" s="4"/>
    </row>
    <row r="4728" spans="20:25" x14ac:dyDescent="0.3">
      <c r="T4728" s="12"/>
      <c r="U4728" s="4"/>
      <c r="V4728" s="4"/>
      <c r="X4728" s="4"/>
      <c r="Y4728" s="4"/>
    </row>
    <row r="4729" spans="20:25" x14ac:dyDescent="0.3">
      <c r="T4729" s="12"/>
      <c r="U4729" s="4"/>
      <c r="V4729" s="4"/>
      <c r="X4729" s="4"/>
      <c r="Y4729" s="4"/>
    </row>
    <row r="4730" spans="20:25" x14ac:dyDescent="0.3">
      <c r="T4730" s="12"/>
      <c r="U4730" s="4"/>
      <c r="V4730" s="4"/>
      <c r="X4730" s="4"/>
      <c r="Y4730" s="4"/>
    </row>
    <row r="4731" spans="20:25" x14ac:dyDescent="0.3">
      <c r="T4731" s="12"/>
      <c r="U4731" s="4"/>
      <c r="V4731" s="4"/>
      <c r="X4731" s="4"/>
      <c r="Y4731" s="4"/>
    </row>
    <row r="4732" spans="20:25" x14ac:dyDescent="0.3">
      <c r="T4732" s="12"/>
      <c r="U4732" s="4"/>
      <c r="V4732" s="4"/>
      <c r="X4732" s="4"/>
      <c r="Y4732" s="4"/>
    </row>
    <row r="4733" spans="20:25" x14ac:dyDescent="0.3">
      <c r="T4733" s="12"/>
      <c r="U4733" s="4"/>
      <c r="V4733" s="4"/>
      <c r="X4733" s="4"/>
      <c r="Y4733" s="4"/>
    </row>
    <row r="4734" spans="20:25" x14ac:dyDescent="0.3">
      <c r="T4734" s="12"/>
      <c r="U4734" s="4"/>
      <c r="V4734" s="4"/>
      <c r="X4734" s="4"/>
      <c r="Y4734" s="4"/>
    </row>
    <row r="4735" spans="20:25" x14ac:dyDescent="0.3">
      <c r="T4735" s="12"/>
      <c r="U4735" s="4"/>
      <c r="V4735" s="4"/>
      <c r="X4735" s="4"/>
      <c r="Y4735" s="4"/>
    </row>
    <row r="4736" spans="20:25" x14ac:dyDescent="0.3">
      <c r="T4736" s="12"/>
      <c r="U4736" s="4"/>
      <c r="V4736" s="4"/>
      <c r="X4736" s="4"/>
      <c r="Y4736" s="4"/>
    </row>
    <row r="4737" spans="20:25" x14ac:dyDescent="0.3">
      <c r="T4737" s="12"/>
      <c r="U4737" s="4"/>
      <c r="V4737" s="4"/>
      <c r="X4737" s="4"/>
      <c r="Y4737" s="4"/>
    </row>
    <row r="4738" spans="20:25" x14ac:dyDescent="0.3">
      <c r="T4738" s="12"/>
      <c r="U4738" s="4"/>
      <c r="V4738" s="4"/>
      <c r="X4738" s="4"/>
      <c r="Y4738" s="4"/>
    </row>
    <row r="4739" spans="20:25" x14ac:dyDescent="0.3">
      <c r="T4739" s="12"/>
      <c r="U4739" s="4"/>
      <c r="V4739" s="4"/>
      <c r="X4739" s="4"/>
      <c r="Y4739" s="4"/>
    </row>
    <row r="4740" spans="20:25" x14ac:dyDescent="0.3">
      <c r="T4740" s="12"/>
      <c r="U4740" s="4"/>
      <c r="V4740" s="4"/>
      <c r="X4740" s="4"/>
      <c r="Y4740" s="4"/>
    </row>
    <row r="4741" spans="20:25" x14ac:dyDescent="0.3">
      <c r="T4741" s="12"/>
      <c r="U4741" s="4"/>
      <c r="V4741" s="4"/>
      <c r="X4741" s="4"/>
      <c r="Y4741" s="4"/>
    </row>
    <row r="4742" spans="20:25" x14ac:dyDescent="0.3">
      <c r="T4742" s="12"/>
      <c r="U4742" s="4"/>
      <c r="V4742" s="4"/>
      <c r="X4742" s="4"/>
      <c r="Y4742" s="4"/>
    </row>
    <row r="4743" spans="20:25" x14ac:dyDescent="0.3">
      <c r="T4743" s="12"/>
      <c r="U4743" s="4"/>
      <c r="V4743" s="4"/>
      <c r="X4743" s="4"/>
      <c r="Y4743" s="4"/>
    </row>
    <row r="4744" spans="20:25" x14ac:dyDescent="0.3">
      <c r="T4744" s="12"/>
      <c r="U4744" s="4"/>
      <c r="V4744" s="4"/>
      <c r="X4744" s="4"/>
      <c r="Y4744" s="4"/>
    </row>
    <row r="4745" spans="20:25" x14ac:dyDescent="0.3">
      <c r="T4745" s="12"/>
      <c r="U4745" s="4"/>
      <c r="V4745" s="4"/>
      <c r="X4745" s="4"/>
      <c r="Y4745" s="4"/>
    </row>
    <row r="4746" spans="20:25" x14ac:dyDescent="0.3">
      <c r="T4746" s="12"/>
      <c r="U4746" s="4"/>
      <c r="V4746" s="4"/>
      <c r="X4746" s="4"/>
      <c r="Y4746" s="4"/>
    </row>
    <row r="4747" spans="20:25" x14ac:dyDescent="0.3">
      <c r="T4747" s="12"/>
      <c r="U4747" s="4"/>
      <c r="V4747" s="4"/>
      <c r="X4747" s="4"/>
      <c r="Y4747" s="4"/>
    </row>
    <row r="4748" spans="20:25" x14ac:dyDescent="0.3">
      <c r="T4748" s="12"/>
      <c r="U4748" s="4"/>
      <c r="V4748" s="4"/>
      <c r="X4748" s="4"/>
      <c r="Y4748" s="4"/>
    </row>
    <row r="4749" spans="20:25" x14ac:dyDescent="0.3">
      <c r="T4749" s="12"/>
      <c r="U4749" s="4"/>
      <c r="V4749" s="4"/>
      <c r="X4749" s="4"/>
      <c r="Y4749" s="4"/>
    </row>
    <row r="4750" spans="20:25" x14ac:dyDescent="0.3">
      <c r="T4750" s="12"/>
      <c r="U4750" s="4"/>
      <c r="V4750" s="4"/>
      <c r="X4750" s="4"/>
      <c r="Y4750" s="4"/>
    </row>
    <row r="4751" spans="20:25" x14ac:dyDescent="0.3">
      <c r="T4751" s="12"/>
      <c r="U4751" s="4"/>
      <c r="V4751" s="4"/>
      <c r="X4751" s="4"/>
      <c r="Y4751" s="4"/>
    </row>
    <row r="4752" spans="20:25" x14ac:dyDescent="0.3">
      <c r="T4752" s="12"/>
      <c r="U4752" s="4"/>
      <c r="V4752" s="4"/>
      <c r="X4752" s="4"/>
      <c r="Y4752" s="4"/>
    </row>
    <row r="4753" spans="20:25" x14ac:dyDescent="0.3">
      <c r="T4753" s="12"/>
      <c r="U4753" s="4"/>
      <c r="V4753" s="4"/>
      <c r="X4753" s="4"/>
      <c r="Y4753" s="4"/>
    </row>
    <row r="4754" spans="20:25" x14ac:dyDescent="0.3">
      <c r="T4754" s="12"/>
      <c r="U4754" s="4"/>
      <c r="V4754" s="4"/>
      <c r="X4754" s="4"/>
      <c r="Y4754" s="4"/>
    </row>
    <row r="4755" spans="20:25" x14ac:dyDescent="0.3">
      <c r="T4755" s="12"/>
      <c r="U4755" s="4"/>
      <c r="V4755" s="4"/>
      <c r="X4755" s="4"/>
      <c r="Y4755" s="4"/>
    </row>
    <row r="4756" spans="20:25" x14ac:dyDescent="0.3">
      <c r="T4756" s="12"/>
      <c r="U4756" s="4"/>
      <c r="V4756" s="4"/>
      <c r="X4756" s="4"/>
      <c r="Y4756" s="4"/>
    </row>
    <row r="4757" spans="20:25" x14ac:dyDescent="0.3">
      <c r="T4757" s="12"/>
      <c r="U4757" s="4"/>
      <c r="V4757" s="4"/>
      <c r="X4757" s="4"/>
      <c r="Y4757" s="4"/>
    </row>
    <row r="4758" spans="20:25" x14ac:dyDescent="0.3">
      <c r="T4758" s="12"/>
      <c r="U4758" s="4"/>
      <c r="V4758" s="4"/>
      <c r="X4758" s="4"/>
      <c r="Y4758" s="4"/>
    </row>
    <row r="4759" spans="20:25" x14ac:dyDescent="0.3">
      <c r="T4759" s="12"/>
      <c r="U4759" s="4"/>
      <c r="V4759" s="4"/>
      <c r="X4759" s="4"/>
      <c r="Y4759" s="4"/>
    </row>
    <row r="4760" spans="20:25" x14ac:dyDescent="0.3">
      <c r="T4760" s="12"/>
      <c r="U4760" s="4"/>
      <c r="V4760" s="4"/>
      <c r="X4760" s="4"/>
      <c r="Y4760" s="4"/>
    </row>
    <row r="4761" spans="20:25" x14ac:dyDescent="0.3">
      <c r="T4761" s="12"/>
      <c r="U4761" s="4"/>
      <c r="V4761" s="4"/>
      <c r="X4761" s="4"/>
      <c r="Y4761" s="4"/>
    </row>
    <row r="4762" spans="20:25" x14ac:dyDescent="0.3">
      <c r="T4762" s="12"/>
      <c r="U4762" s="4"/>
      <c r="V4762" s="4"/>
      <c r="X4762" s="4"/>
      <c r="Y4762" s="4"/>
    </row>
    <row r="4763" spans="20:25" x14ac:dyDescent="0.3">
      <c r="T4763" s="12"/>
      <c r="U4763" s="4"/>
      <c r="V4763" s="4"/>
      <c r="X4763" s="4"/>
      <c r="Y4763" s="4"/>
    </row>
    <row r="4764" spans="20:25" x14ac:dyDescent="0.3">
      <c r="T4764" s="12"/>
      <c r="U4764" s="4"/>
      <c r="V4764" s="4"/>
      <c r="X4764" s="4"/>
      <c r="Y4764" s="4"/>
    </row>
    <row r="4765" spans="20:25" x14ac:dyDescent="0.3">
      <c r="T4765" s="12"/>
      <c r="U4765" s="4"/>
      <c r="V4765" s="4"/>
      <c r="X4765" s="4"/>
      <c r="Y4765" s="4"/>
    </row>
    <row r="4766" spans="20:25" x14ac:dyDescent="0.3">
      <c r="T4766" s="12"/>
      <c r="U4766" s="4"/>
      <c r="V4766" s="4"/>
      <c r="X4766" s="4"/>
      <c r="Y4766" s="4"/>
    </row>
    <row r="4767" spans="20:25" x14ac:dyDescent="0.3">
      <c r="T4767" s="12"/>
      <c r="U4767" s="4"/>
      <c r="V4767" s="4"/>
      <c r="X4767" s="4"/>
      <c r="Y4767" s="4"/>
    </row>
    <row r="4768" spans="20:25" x14ac:dyDescent="0.3">
      <c r="T4768" s="12"/>
      <c r="U4768" s="4"/>
      <c r="V4768" s="4"/>
      <c r="X4768" s="4"/>
      <c r="Y4768" s="4"/>
    </row>
    <row r="4769" spans="20:25" x14ac:dyDescent="0.3">
      <c r="T4769" s="12"/>
      <c r="U4769" s="4"/>
      <c r="V4769" s="4"/>
      <c r="X4769" s="4"/>
      <c r="Y4769" s="4"/>
    </row>
    <row r="4770" spans="20:25" x14ac:dyDescent="0.3">
      <c r="T4770" s="12"/>
      <c r="U4770" s="4"/>
      <c r="V4770" s="4"/>
      <c r="X4770" s="4"/>
      <c r="Y4770" s="4"/>
    </row>
    <row r="4771" spans="20:25" x14ac:dyDescent="0.3">
      <c r="T4771" s="12"/>
      <c r="U4771" s="4"/>
      <c r="V4771" s="4"/>
      <c r="X4771" s="4"/>
      <c r="Y4771" s="4"/>
    </row>
    <row r="4772" spans="20:25" x14ac:dyDescent="0.3">
      <c r="T4772" s="12"/>
      <c r="U4772" s="4"/>
      <c r="V4772" s="4"/>
      <c r="X4772" s="4"/>
      <c r="Y4772" s="4"/>
    </row>
    <row r="4773" spans="20:25" x14ac:dyDescent="0.3">
      <c r="T4773" s="12"/>
      <c r="U4773" s="4"/>
      <c r="V4773" s="4"/>
      <c r="X4773" s="4"/>
      <c r="Y4773" s="4"/>
    </row>
    <row r="4774" spans="20:25" x14ac:dyDescent="0.3">
      <c r="T4774" s="12"/>
      <c r="U4774" s="4"/>
      <c r="V4774" s="4"/>
      <c r="X4774" s="4"/>
      <c r="Y4774" s="4"/>
    </row>
    <row r="4775" spans="20:25" x14ac:dyDescent="0.3">
      <c r="T4775" s="12"/>
      <c r="U4775" s="4"/>
      <c r="V4775" s="4"/>
      <c r="X4775" s="4"/>
      <c r="Y4775" s="4"/>
    </row>
    <row r="4776" spans="20:25" x14ac:dyDescent="0.3">
      <c r="T4776" s="12"/>
      <c r="U4776" s="4"/>
      <c r="V4776" s="4"/>
      <c r="X4776" s="4"/>
      <c r="Y4776" s="4"/>
    </row>
    <row r="4777" spans="20:25" x14ac:dyDescent="0.3">
      <c r="T4777" s="12"/>
      <c r="U4777" s="4"/>
      <c r="V4777" s="4"/>
      <c r="X4777" s="4"/>
      <c r="Y4777" s="4"/>
    </row>
    <row r="4778" spans="20:25" x14ac:dyDescent="0.3">
      <c r="T4778" s="12"/>
      <c r="U4778" s="4"/>
      <c r="V4778" s="4"/>
      <c r="X4778" s="4"/>
      <c r="Y4778" s="4"/>
    </row>
    <row r="4779" spans="20:25" x14ac:dyDescent="0.3">
      <c r="T4779" s="12"/>
      <c r="U4779" s="4"/>
      <c r="V4779" s="4"/>
      <c r="X4779" s="4"/>
      <c r="Y4779" s="4"/>
    </row>
    <row r="4780" spans="20:25" x14ac:dyDescent="0.3">
      <c r="T4780" s="12"/>
      <c r="U4780" s="4"/>
      <c r="V4780" s="4"/>
      <c r="X4780" s="4"/>
      <c r="Y4780" s="4"/>
    </row>
    <row r="4781" spans="20:25" x14ac:dyDescent="0.3">
      <c r="T4781" s="12"/>
      <c r="U4781" s="4"/>
      <c r="V4781" s="4"/>
      <c r="X4781" s="4"/>
      <c r="Y4781" s="4"/>
    </row>
    <row r="4782" spans="20:25" x14ac:dyDescent="0.3">
      <c r="T4782" s="12"/>
      <c r="U4782" s="4"/>
      <c r="V4782" s="4"/>
      <c r="X4782" s="4"/>
      <c r="Y4782" s="4"/>
    </row>
    <row r="4783" spans="20:25" x14ac:dyDescent="0.3">
      <c r="T4783" s="12"/>
      <c r="U4783" s="4"/>
      <c r="V4783" s="4"/>
      <c r="X4783" s="4"/>
      <c r="Y4783" s="4"/>
    </row>
    <row r="4784" spans="20:25" x14ac:dyDescent="0.3">
      <c r="T4784" s="12"/>
      <c r="U4784" s="4"/>
      <c r="V4784" s="4"/>
      <c r="X4784" s="4"/>
      <c r="Y4784" s="4"/>
    </row>
    <row r="4785" spans="20:25" x14ac:dyDescent="0.3">
      <c r="T4785" s="12"/>
      <c r="U4785" s="4"/>
      <c r="V4785" s="4"/>
      <c r="X4785" s="4"/>
      <c r="Y4785" s="4"/>
    </row>
    <row r="4786" spans="20:25" x14ac:dyDescent="0.3">
      <c r="T4786" s="12"/>
      <c r="U4786" s="4"/>
      <c r="V4786" s="4"/>
      <c r="X4786" s="4"/>
      <c r="Y4786" s="4"/>
    </row>
    <row r="4787" spans="20:25" x14ac:dyDescent="0.3">
      <c r="T4787" s="12"/>
      <c r="U4787" s="4"/>
      <c r="V4787" s="4"/>
      <c r="X4787" s="4"/>
      <c r="Y4787" s="4"/>
    </row>
    <row r="4788" spans="20:25" x14ac:dyDescent="0.3">
      <c r="T4788" s="12"/>
      <c r="U4788" s="4"/>
      <c r="V4788" s="4"/>
      <c r="X4788" s="4"/>
      <c r="Y4788" s="4"/>
    </row>
    <row r="4789" spans="20:25" x14ac:dyDescent="0.3">
      <c r="T4789" s="12"/>
      <c r="U4789" s="4"/>
      <c r="V4789" s="4"/>
      <c r="X4789" s="4"/>
      <c r="Y4789" s="4"/>
    </row>
    <row r="4790" spans="20:25" x14ac:dyDescent="0.3">
      <c r="T4790" s="12"/>
      <c r="U4790" s="4"/>
      <c r="V4790" s="4"/>
      <c r="X4790" s="4"/>
      <c r="Y4790" s="4"/>
    </row>
    <row r="4791" spans="20:25" x14ac:dyDescent="0.3">
      <c r="T4791" s="12"/>
      <c r="U4791" s="4"/>
      <c r="V4791" s="4"/>
      <c r="X4791" s="4"/>
      <c r="Y4791" s="4"/>
    </row>
    <row r="4792" spans="20:25" x14ac:dyDescent="0.3">
      <c r="T4792" s="12"/>
      <c r="U4792" s="4"/>
      <c r="V4792" s="4"/>
      <c r="X4792" s="4"/>
      <c r="Y4792" s="4"/>
    </row>
    <row r="4793" spans="20:25" x14ac:dyDescent="0.3">
      <c r="T4793" s="12"/>
      <c r="U4793" s="4"/>
      <c r="V4793" s="4"/>
      <c r="X4793" s="4"/>
      <c r="Y4793" s="4"/>
    </row>
    <row r="4794" spans="20:25" x14ac:dyDescent="0.3">
      <c r="T4794" s="12"/>
      <c r="U4794" s="4"/>
      <c r="V4794" s="4"/>
      <c r="X4794" s="4"/>
      <c r="Y4794" s="4"/>
    </row>
    <row r="4795" spans="20:25" x14ac:dyDescent="0.3">
      <c r="T4795" s="12"/>
      <c r="U4795" s="4"/>
      <c r="V4795" s="4"/>
      <c r="X4795" s="4"/>
      <c r="Y4795" s="4"/>
    </row>
    <row r="4796" spans="20:25" x14ac:dyDescent="0.3">
      <c r="T4796" s="12"/>
      <c r="U4796" s="4"/>
      <c r="V4796" s="4"/>
      <c r="X4796" s="4"/>
      <c r="Y4796" s="4"/>
    </row>
    <row r="4797" spans="20:25" x14ac:dyDescent="0.3">
      <c r="T4797" s="12"/>
      <c r="U4797" s="4"/>
      <c r="V4797" s="4"/>
      <c r="X4797" s="4"/>
      <c r="Y4797" s="4"/>
    </row>
    <row r="4798" spans="20:25" x14ac:dyDescent="0.3">
      <c r="T4798" s="12"/>
      <c r="U4798" s="4"/>
      <c r="V4798" s="4"/>
      <c r="X4798" s="4"/>
      <c r="Y4798" s="4"/>
    </row>
    <row r="4799" spans="20:25" x14ac:dyDescent="0.3">
      <c r="T4799" s="12"/>
      <c r="U4799" s="4"/>
      <c r="V4799" s="4"/>
      <c r="X4799" s="4"/>
      <c r="Y4799" s="4"/>
    </row>
    <row r="4800" spans="20:25" x14ac:dyDescent="0.3">
      <c r="T4800" s="12"/>
      <c r="U4800" s="4"/>
      <c r="V4800" s="4"/>
      <c r="X4800" s="4"/>
      <c r="Y4800" s="4"/>
    </row>
    <row r="4801" spans="20:25" x14ac:dyDescent="0.3">
      <c r="T4801" s="12"/>
      <c r="U4801" s="4"/>
      <c r="V4801" s="4"/>
      <c r="X4801" s="4"/>
      <c r="Y4801" s="4"/>
    </row>
    <row r="4802" spans="20:25" x14ac:dyDescent="0.3">
      <c r="T4802" s="12"/>
      <c r="U4802" s="4"/>
      <c r="V4802" s="4"/>
      <c r="X4802" s="4"/>
      <c r="Y4802" s="4"/>
    </row>
    <row r="4803" spans="20:25" x14ac:dyDescent="0.3">
      <c r="T4803" s="12"/>
      <c r="U4803" s="4"/>
      <c r="V4803" s="4"/>
      <c r="X4803" s="4"/>
      <c r="Y4803" s="4"/>
    </row>
    <row r="4804" spans="20:25" x14ac:dyDescent="0.3">
      <c r="T4804" s="12"/>
      <c r="U4804" s="4"/>
      <c r="V4804" s="4"/>
      <c r="X4804" s="4"/>
      <c r="Y4804" s="4"/>
    </row>
    <row r="4805" spans="20:25" x14ac:dyDescent="0.3">
      <c r="T4805" s="12"/>
      <c r="U4805" s="4"/>
      <c r="V4805" s="4"/>
      <c r="X4805" s="4"/>
      <c r="Y4805" s="4"/>
    </row>
    <row r="4806" spans="20:25" x14ac:dyDescent="0.3">
      <c r="T4806" s="12"/>
      <c r="U4806" s="4"/>
      <c r="V4806" s="4"/>
      <c r="X4806" s="4"/>
      <c r="Y4806" s="4"/>
    </row>
    <row r="4807" spans="20:25" x14ac:dyDescent="0.3">
      <c r="T4807" s="12"/>
      <c r="U4807" s="4"/>
      <c r="V4807" s="4"/>
      <c r="X4807" s="4"/>
      <c r="Y4807" s="4"/>
    </row>
    <row r="4808" spans="20:25" x14ac:dyDescent="0.3">
      <c r="T4808" s="12"/>
      <c r="U4808" s="4"/>
      <c r="V4808" s="4"/>
      <c r="X4808" s="4"/>
      <c r="Y4808" s="4"/>
    </row>
    <row r="4809" spans="20:25" x14ac:dyDescent="0.3">
      <c r="T4809" s="12"/>
      <c r="U4809" s="4"/>
      <c r="V4809" s="4"/>
      <c r="X4809" s="4"/>
      <c r="Y4809" s="4"/>
    </row>
    <row r="4810" spans="20:25" x14ac:dyDescent="0.3">
      <c r="T4810" s="12"/>
      <c r="U4810" s="4"/>
      <c r="V4810" s="4"/>
      <c r="X4810" s="4"/>
      <c r="Y4810" s="4"/>
    </row>
    <row r="4811" spans="20:25" x14ac:dyDescent="0.3">
      <c r="T4811" s="12"/>
      <c r="U4811" s="4"/>
      <c r="V4811" s="4"/>
      <c r="X4811" s="4"/>
      <c r="Y4811" s="4"/>
    </row>
    <row r="4812" spans="20:25" x14ac:dyDescent="0.3">
      <c r="T4812" s="12"/>
      <c r="U4812" s="4"/>
      <c r="V4812" s="4"/>
      <c r="X4812" s="4"/>
      <c r="Y4812" s="4"/>
    </row>
    <row r="4813" spans="20:25" x14ac:dyDescent="0.3">
      <c r="T4813" s="12"/>
      <c r="U4813" s="4"/>
      <c r="V4813" s="4"/>
      <c r="X4813" s="4"/>
      <c r="Y4813" s="4"/>
    </row>
    <row r="4814" spans="20:25" x14ac:dyDescent="0.3">
      <c r="T4814" s="12"/>
      <c r="U4814" s="4"/>
      <c r="V4814" s="4"/>
      <c r="X4814" s="4"/>
      <c r="Y4814" s="4"/>
    </row>
    <row r="4815" spans="20:25" x14ac:dyDescent="0.3">
      <c r="T4815" s="12"/>
      <c r="U4815" s="4"/>
      <c r="V4815" s="4"/>
      <c r="X4815" s="4"/>
      <c r="Y4815" s="4"/>
    </row>
    <row r="4816" spans="20:25" x14ac:dyDescent="0.3">
      <c r="T4816" s="12"/>
      <c r="U4816" s="4"/>
      <c r="V4816" s="4"/>
      <c r="X4816" s="4"/>
      <c r="Y4816" s="4"/>
    </row>
    <row r="4817" spans="20:25" x14ac:dyDescent="0.3">
      <c r="T4817" s="12"/>
      <c r="U4817" s="4"/>
      <c r="V4817" s="4"/>
      <c r="X4817" s="4"/>
      <c r="Y4817" s="4"/>
    </row>
    <row r="4818" spans="20:25" x14ac:dyDescent="0.3">
      <c r="T4818" s="12"/>
      <c r="U4818" s="4"/>
      <c r="V4818" s="4"/>
      <c r="X4818" s="4"/>
      <c r="Y4818" s="4"/>
    </row>
    <row r="4819" spans="20:25" x14ac:dyDescent="0.3">
      <c r="T4819" s="12"/>
      <c r="U4819" s="4"/>
      <c r="V4819" s="4"/>
      <c r="X4819" s="4"/>
      <c r="Y4819" s="4"/>
    </row>
    <row r="4820" spans="20:25" x14ac:dyDescent="0.3">
      <c r="T4820" s="12"/>
      <c r="U4820" s="4"/>
      <c r="V4820" s="4"/>
      <c r="X4820" s="4"/>
      <c r="Y4820" s="4"/>
    </row>
    <row r="4821" spans="20:25" x14ac:dyDescent="0.3">
      <c r="T4821" s="12"/>
      <c r="U4821" s="4"/>
      <c r="V4821" s="4"/>
      <c r="X4821" s="4"/>
      <c r="Y4821" s="4"/>
    </row>
    <row r="4822" spans="20:25" x14ac:dyDescent="0.3">
      <c r="T4822" s="12"/>
      <c r="U4822" s="4"/>
      <c r="V4822" s="4"/>
      <c r="X4822" s="4"/>
      <c r="Y4822" s="4"/>
    </row>
    <row r="4823" spans="20:25" x14ac:dyDescent="0.3">
      <c r="T4823" s="12"/>
      <c r="U4823" s="4"/>
      <c r="V4823" s="4"/>
      <c r="X4823" s="4"/>
      <c r="Y4823" s="4"/>
    </row>
    <row r="4824" spans="20:25" x14ac:dyDescent="0.3">
      <c r="T4824" s="12"/>
      <c r="U4824" s="4"/>
      <c r="V4824" s="4"/>
      <c r="X4824" s="4"/>
      <c r="Y4824" s="4"/>
    </row>
    <row r="4825" spans="20:25" x14ac:dyDescent="0.3">
      <c r="T4825" s="12"/>
      <c r="U4825" s="4"/>
      <c r="V4825" s="4"/>
      <c r="X4825" s="4"/>
      <c r="Y4825" s="4"/>
    </row>
    <row r="4826" spans="20:25" x14ac:dyDescent="0.3">
      <c r="T4826" s="12"/>
      <c r="U4826" s="4"/>
      <c r="V4826" s="4"/>
      <c r="X4826" s="4"/>
      <c r="Y4826" s="4"/>
    </row>
    <row r="4827" spans="20:25" x14ac:dyDescent="0.3">
      <c r="T4827" s="12"/>
      <c r="U4827" s="4"/>
      <c r="V4827" s="4"/>
      <c r="X4827" s="4"/>
      <c r="Y4827" s="4"/>
    </row>
    <row r="4828" spans="20:25" x14ac:dyDescent="0.3">
      <c r="T4828" s="12"/>
      <c r="U4828" s="4"/>
      <c r="V4828" s="4"/>
      <c r="X4828" s="4"/>
      <c r="Y4828" s="4"/>
    </row>
    <row r="4829" spans="20:25" x14ac:dyDescent="0.3">
      <c r="T4829" s="12"/>
      <c r="U4829" s="4"/>
      <c r="V4829" s="4"/>
      <c r="X4829" s="4"/>
      <c r="Y4829" s="4"/>
    </row>
    <row r="4830" spans="20:25" x14ac:dyDescent="0.3">
      <c r="T4830" s="12"/>
      <c r="U4830" s="4"/>
      <c r="V4830" s="4"/>
      <c r="X4830" s="4"/>
      <c r="Y4830" s="4"/>
    </row>
    <row r="4831" spans="20:25" x14ac:dyDescent="0.3">
      <c r="T4831" s="12"/>
      <c r="U4831" s="4"/>
      <c r="V4831" s="4"/>
      <c r="X4831" s="4"/>
      <c r="Y4831" s="4"/>
    </row>
    <row r="4832" spans="20:25" x14ac:dyDescent="0.3">
      <c r="T4832" s="12"/>
      <c r="U4832" s="4"/>
      <c r="V4832" s="4"/>
      <c r="X4832" s="4"/>
      <c r="Y4832" s="4"/>
    </row>
    <row r="4833" spans="20:25" x14ac:dyDescent="0.3">
      <c r="T4833" s="12"/>
      <c r="U4833" s="4"/>
      <c r="V4833" s="4"/>
      <c r="X4833" s="4"/>
      <c r="Y4833" s="4"/>
    </row>
    <row r="4834" spans="20:25" x14ac:dyDescent="0.3">
      <c r="T4834" s="12"/>
      <c r="U4834" s="4"/>
      <c r="V4834" s="4"/>
      <c r="X4834" s="4"/>
      <c r="Y4834" s="4"/>
    </row>
    <row r="4835" spans="20:25" x14ac:dyDescent="0.3">
      <c r="T4835" s="12"/>
      <c r="U4835" s="4"/>
      <c r="V4835" s="4"/>
      <c r="X4835" s="4"/>
      <c r="Y4835" s="4"/>
    </row>
    <row r="4836" spans="20:25" x14ac:dyDescent="0.3">
      <c r="T4836" s="12"/>
      <c r="U4836" s="4"/>
      <c r="V4836" s="4"/>
      <c r="X4836" s="4"/>
      <c r="Y4836" s="4"/>
    </row>
    <row r="4837" spans="20:25" x14ac:dyDescent="0.3">
      <c r="T4837" s="12"/>
      <c r="U4837" s="4"/>
      <c r="V4837" s="4"/>
      <c r="X4837" s="4"/>
      <c r="Y4837" s="4"/>
    </row>
    <row r="4838" spans="20:25" x14ac:dyDescent="0.3">
      <c r="T4838" s="12"/>
      <c r="U4838" s="4"/>
      <c r="V4838" s="4"/>
      <c r="X4838" s="4"/>
      <c r="Y4838" s="4"/>
    </row>
    <row r="4839" spans="20:25" x14ac:dyDescent="0.3">
      <c r="T4839" s="12"/>
      <c r="U4839" s="4"/>
      <c r="V4839" s="4"/>
      <c r="X4839" s="4"/>
      <c r="Y4839" s="4"/>
    </row>
    <row r="4840" spans="20:25" x14ac:dyDescent="0.3">
      <c r="T4840" s="12"/>
      <c r="U4840" s="4"/>
      <c r="V4840" s="4"/>
      <c r="X4840" s="4"/>
      <c r="Y4840" s="4"/>
    </row>
    <row r="4841" spans="20:25" x14ac:dyDescent="0.3">
      <c r="T4841" s="12"/>
      <c r="U4841" s="4"/>
      <c r="V4841" s="4"/>
      <c r="X4841" s="4"/>
      <c r="Y4841" s="4"/>
    </row>
    <row r="4842" spans="20:25" x14ac:dyDescent="0.3">
      <c r="T4842" s="12"/>
      <c r="U4842" s="4"/>
      <c r="V4842" s="4"/>
      <c r="X4842" s="4"/>
      <c r="Y4842" s="4"/>
    </row>
    <row r="4843" spans="20:25" x14ac:dyDescent="0.3">
      <c r="T4843" s="12"/>
      <c r="U4843" s="4"/>
      <c r="V4843" s="4"/>
      <c r="X4843" s="4"/>
      <c r="Y4843" s="4"/>
    </row>
    <row r="4844" spans="20:25" x14ac:dyDescent="0.3">
      <c r="T4844" s="12"/>
      <c r="U4844" s="4"/>
      <c r="V4844" s="4"/>
      <c r="X4844" s="4"/>
      <c r="Y4844" s="4"/>
    </row>
    <row r="4845" spans="20:25" x14ac:dyDescent="0.3">
      <c r="T4845" s="12"/>
      <c r="U4845" s="4"/>
      <c r="V4845" s="4"/>
      <c r="X4845" s="4"/>
      <c r="Y4845" s="4"/>
    </row>
    <row r="4846" spans="20:25" x14ac:dyDescent="0.3">
      <c r="T4846" s="12"/>
      <c r="U4846" s="4"/>
      <c r="V4846" s="4"/>
      <c r="X4846" s="4"/>
      <c r="Y4846" s="4"/>
    </row>
    <row r="4847" spans="20:25" x14ac:dyDescent="0.3">
      <c r="T4847" s="12"/>
      <c r="U4847" s="4"/>
      <c r="V4847" s="4"/>
      <c r="X4847" s="4"/>
      <c r="Y4847" s="4"/>
    </row>
    <row r="4848" spans="20:25" x14ac:dyDescent="0.3">
      <c r="T4848" s="12"/>
      <c r="U4848" s="4"/>
      <c r="V4848" s="4"/>
      <c r="X4848" s="4"/>
      <c r="Y4848" s="4"/>
    </row>
    <row r="4849" spans="20:25" x14ac:dyDescent="0.3">
      <c r="T4849" s="12"/>
      <c r="U4849" s="4"/>
      <c r="V4849" s="4"/>
      <c r="X4849" s="4"/>
      <c r="Y4849" s="4"/>
    </row>
    <row r="4850" spans="20:25" x14ac:dyDescent="0.3">
      <c r="T4850" s="12"/>
      <c r="U4850" s="4"/>
      <c r="V4850" s="4"/>
      <c r="X4850" s="4"/>
      <c r="Y4850" s="4"/>
    </row>
    <row r="4851" spans="20:25" x14ac:dyDescent="0.3">
      <c r="T4851" s="12"/>
      <c r="U4851" s="4"/>
      <c r="V4851" s="4"/>
      <c r="X4851" s="4"/>
      <c r="Y4851" s="4"/>
    </row>
    <row r="4852" spans="20:25" x14ac:dyDescent="0.3">
      <c r="T4852" s="12"/>
      <c r="U4852" s="4"/>
      <c r="V4852" s="4"/>
      <c r="X4852" s="4"/>
      <c r="Y4852" s="4"/>
    </row>
    <row r="4853" spans="20:25" x14ac:dyDescent="0.3">
      <c r="T4853" s="12"/>
      <c r="U4853" s="4"/>
      <c r="V4853" s="4"/>
      <c r="X4853" s="4"/>
      <c r="Y4853" s="4"/>
    </row>
    <row r="4854" spans="20:25" x14ac:dyDescent="0.3">
      <c r="T4854" s="12"/>
      <c r="U4854" s="4"/>
      <c r="V4854" s="4"/>
      <c r="X4854" s="4"/>
      <c r="Y4854" s="4"/>
    </row>
    <row r="4855" spans="20:25" x14ac:dyDescent="0.3">
      <c r="T4855" s="12"/>
      <c r="U4855" s="4"/>
      <c r="V4855" s="4"/>
      <c r="X4855" s="4"/>
      <c r="Y4855" s="4"/>
    </row>
    <row r="4856" spans="20:25" x14ac:dyDescent="0.3">
      <c r="T4856" s="12"/>
      <c r="U4856" s="4"/>
      <c r="V4856" s="4"/>
      <c r="X4856" s="4"/>
      <c r="Y4856" s="4"/>
    </row>
    <row r="4857" spans="20:25" x14ac:dyDescent="0.3">
      <c r="T4857" s="12"/>
      <c r="U4857" s="4"/>
      <c r="V4857" s="4"/>
      <c r="X4857" s="4"/>
      <c r="Y4857" s="4"/>
    </row>
    <row r="4858" spans="20:25" x14ac:dyDescent="0.3">
      <c r="T4858" s="12"/>
      <c r="U4858" s="4"/>
      <c r="V4858" s="4"/>
      <c r="X4858" s="4"/>
      <c r="Y4858" s="4"/>
    </row>
    <row r="4859" spans="20:25" x14ac:dyDescent="0.3">
      <c r="T4859" s="12"/>
      <c r="U4859" s="4"/>
      <c r="V4859" s="4"/>
      <c r="X4859" s="4"/>
      <c r="Y4859" s="4"/>
    </row>
    <row r="4860" spans="20:25" x14ac:dyDescent="0.3">
      <c r="T4860" s="12"/>
      <c r="U4860" s="4"/>
      <c r="V4860" s="4"/>
      <c r="X4860" s="4"/>
      <c r="Y4860" s="4"/>
    </row>
    <row r="4861" spans="20:25" x14ac:dyDescent="0.3">
      <c r="T4861" s="12"/>
      <c r="U4861" s="4"/>
      <c r="V4861" s="4"/>
      <c r="X4861" s="4"/>
      <c r="Y4861" s="4"/>
    </row>
    <row r="4862" spans="20:25" x14ac:dyDescent="0.3">
      <c r="T4862" s="12"/>
      <c r="U4862" s="4"/>
      <c r="V4862" s="4"/>
      <c r="X4862" s="4"/>
      <c r="Y4862" s="4"/>
    </row>
    <row r="4863" spans="20:25" x14ac:dyDescent="0.3">
      <c r="T4863" s="12"/>
      <c r="U4863" s="4"/>
      <c r="V4863" s="4"/>
      <c r="X4863" s="4"/>
      <c r="Y4863" s="4"/>
    </row>
    <row r="4864" spans="20:25" x14ac:dyDescent="0.3">
      <c r="T4864" s="12"/>
      <c r="U4864" s="4"/>
      <c r="V4864" s="4"/>
      <c r="X4864" s="4"/>
      <c r="Y4864" s="4"/>
    </row>
    <row r="4865" spans="20:25" x14ac:dyDescent="0.3">
      <c r="T4865" s="12"/>
      <c r="U4865" s="4"/>
      <c r="V4865" s="4"/>
      <c r="X4865" s="4"/>
      <c r="Y4865" s="4"/>
    </row>
    <row r="4866" spans="20:25" x14ac:dyDescent="0.3">
      <c r="T4866" s="12"/>
      <c r="U4866" s="4"/>
      <c r="V4866" s="4"/>
      <c r="X4866" s="4"/>
      <c r="Y4866" s="4"/>
    </row>
    <row r="4867" spans="20:25" x14ac:dyDescent="0.3">
      <c r="T4867" s="12"/>
      <c r="U4867" s="4"/>
      <c r="V4867" s="4"/>
      <c r="X4867" s="4"/>
      <c r="Y4867" s="4"/>
    </row>
    <row r="4868" spans="20:25" x14ac:dyDescent="0.3">
      <c r="T4868" s="12"/>
      <c r="U4868" s="4"/>
      <c r="V4868" s="4"/>
      <c r="X4868" s="4"/>
      <c r="Y4868" s="4"/>
    </row>
    <row r="4869" spans="20:25" x14ac:dyDescent="0.3">
      <c r="T4869" s="12"/>
      <c r="U4869" s="4"/>
      <c r="V4869" s="4"/>
      <c r="X4869" s="4"/>
      <c r="Y4869" s="4"/>
    </row>
    <row r="4870" spans="20:25" x14ac:dyDescent="0.3">
      <c r="T4870" s="12"/>
      <c r="U4870" s="4"/>
      <c r="V4870" s="4"/>
      <c r="X4870" s="4"/>
      <c r="Y4870" s="4"/>
    </row>
    <row r="4871" spans="20:25" x14ac:dyDescent="0.3">
      <c r="T4871" s="12"/>
      <c r="U4871" s="4"/>
      <c r="V4871" s="4"/>
      <c r="X4871" s="4"/>
      <c r="Y4871" s="4"/>
    </row>
    <row r="4872" spans="20:25" x14ac:dyDescent="0.3">
      <c r="T4872" s="12"/>
      <c r="U4872" s="4"/>
      <c r="V4872" s="4"/>
      <c r="X4872" s="4"/>
      <c r="Y4872" s="4"/>
    </row>
    <row r="4873" spans="20:25" x14ac:dyDescent="0.3">
      <c r="T4873" s="12"/>
      <c r="U4873" s="4"/>
      <c r="V4873" s="4"/>
      <c r="X4873" s="4"/>
      <c r="Y4873" s="4"/>
    </row>
    <row r="4874" spans="20:25" x14ac:dyDescent="0.3">
      <c r="T4874" s="12"/>
      <c r="U4874" s="4"/>
      <c r="V4874" s="4"/>
      <c r="X4874" s="4"/>
      <c r="Y4874" s="4"/>
    </row>
    <row r="4875" spans="20:25" x14ac:dyDescent="0.3">
      <c r="T4875" s="12"/>
      <c r="U4875" s="4"/>
      <c r="V4875" s="4"/>
      <c r="X4875" s="4"/>
      <c r="Y4875" s="4"/>
    </row>
    <row r="4876" spans="20:25" x14ac:dyDescent="0.3">
      <c r="T4876" s="12"/>
      <c r="U4876" s="4"/>
      <c r="V4876" s="4"/>
      <c r="X4876" s="4"/>
      <c r="Y4876" s="4"/>
    </row>
    <row r="4877" spans="20:25" x14ac:dyDescent="0.3">
      <c r="T4877" s="12"/>
      <c r="U4877" s="4"/>
      <c r="V4877" s="4"/>
      <c r="X4877" s="4"/>
      <c r="Y4877" s="4"/>
    </row>
    <row r="4878" spans="20:25" x14ac:dyDescent="0.3">
      <c r="T4878" s="12"/>
      <c r="U4878" s="4"/>
      <c r="V4878" s="4"/>
      <c r="X4878" s="4"/>
      <c r="Y4878" s="4"/>
    </row>
    <row r="4879" spans="20:25" x14ac:dyDescent="0.3">
      <c r="T4879" s="12"/>
      <c r="U4879" s="4"/>
      <c r="V4879" s="4"/>
      <c r="X4879" s="4"/>
      <c r="Y4879" s="4"/>
    </row>
    <row r="4880" spans="20:25" x14ac:dyDescent="0.3">
      <c r="T4880" s="12"/>
      <c r="U4880" s="4"/>
      <c r="V4880" s="4"/>
      <c r="X4880" s="4"/>
      <c r="Y4880" s="4"/>
    </row>
    <row r="4881" spans="20:25" x14ac:dyDescent="0.3">
      <c r="T4881" s="12"/>
      <c r="U4881" s="4"/>
      <c r="V4881" s="4"/>
      <c r="X4881" s="4"/>
      <c r="Y4881" s="4"/>
    </row>
    <row r="4882" spans="20:25" x14ac:dyDescent="0.3">
      <c r="T4882" s="12"/>
      <c r="U4882" s="4"/>
      <c r="V4882" s="4"/>
      <c r="X4882" s="4"/>
      <c r="Y4882" s="4"/>
    </row>
    <row r="4883" spans="20:25" x14ac:dyDescent="0.3">
      <c r="T4883" s="12"/>
      <c r="U4883" s="4"/>
      <c r="V4883" s="4"/>
      <c r="X4883" s="4"/>
      <c r="Y4883" s="4"/>
    </row>
    <row r="4884" spans="20:25" x14ac:dyDescent="0.3">
      <c r="T4884" s="12"/>
      <c r="U4884" s="4"/>
      <c r="V4884" s="4"/>
      <c r="X4884" s="4"/>
      <c r="Y4884" s="4"/>
    </row>
    <row r="4885" spans="20:25" x14ac:dyDescent="0.3">
      <c r="T4885" s="12"/>
      <c r="U4885" s="4"/>
      <c r="V4885" s="4"/>
      <c r="X4885" s="4"/>
      <c r="Y4885" s="4"/>
    </row>
    <row r="4886" spans="20:25" x14ac:dyDescent="0.3">
      <c r="T4886" s="12"/>
      <c r="U4886" s="4"/>
      <c r="V4886" s="4"/>
      <c r="X4886" s="4"/>
      <c r="Y4886" s="4"/>
    </row>
    <row r="4887" spans="20:25" x14ac:dyDescent="0.3">
      <c r="T4887" s="12"/>
      <c r="U4887" s="4"/>
      <c r="V4887" s="4"/>
      <c r="X4887" s="4"/>
      <c r="Y4887" s="4"/>
    </row>
    <row r="4888" spans="20:25" x14ac:dyDescent="0.3">
      <c r="T4888" s="12"/>
      <c r="U4888" s="4"/>
      <c r="V4888" s="4"/>
      <c r="X4888" s="4"/>
      <c r="Y4888" s="4"/>
    </row>
    <row r="4889" spans="20:25" x14ac:dyDescent="0.3">
      <c r="T4889" s="12"/>
      <c r="U4889" s="4"/>
      <c r="V4889" s="4"/>
      <c r="X4889" s="4"/>
      <c r="Y4889" s="4"/>
    </row>
    <row r="4890" spans="20:25" x14ac:dyDescent="0.3">
      <c r="T4890" s="12"/>
      <c r="U4890" s="4"/>
      <c r="V4890" s="4"/>
      <c r="X4890" s="4"/>
      <c r="Y4890" s="4"/>
    </row>
    <row r="4891" spans="20:25" x14ac:dyDescent="0.3">
      <c r="T4891" s="12"/>
      <c r="U4891" s="4"/>
      <c r="V4891" s="4"/>
      <c r="X4891" s="4"/>
      <c r="Y4891" s="4"/>
    </row>
    <row r="4892" spans="20:25" x14ac:dyDescent="0.3">
      <c r="T4892" s="12"/>
      <c r="U4892" s="4"/>
      <c r="V4892" s="4"/>
      <c r="X4892" s="4"/>
      <c r="Y4892" s="4"/>
    </row>
    <row r="4893" spans="20:25" x14ac:dyDescent="0.3">
      <c r="T4893" s="12"/>
      <c r="U4893" s="4"/>
      <c r="V4893" s="4"/>
      <c r="X4893" s="4"/>
      <c r="Y4893" s="4"/>
    </row>
    <row r="4894" spans="20:25" x14ac:dyDescent="0.3">
      <c r="T4894" s="12"/>
      <c r="U4894" s="4"/>
      <c r="V4894" s="4"/>
      <c r="X4894" s="4"/>
      <c r="Y4894" s="4"/>
    </row>
    <row r="4895" spans="20:25" x14ac:dyDescent="0.3">
      <c r="T4895" s="12"/>
      <c r="U4895" s="4"/>
      <c r="V4895" s="4"/>
      <c r="X4895" s="4"/>
      <c r="Y4895" s="4"/>
    </row>
    <row r="4896" spans="20:25" x14ac:dyDescent="0.3">
      <c r="T4896" s="12"/>
      <c r="U4896" s="4"/>
      <c r="V4896" s="4"/>
      <c r="X4896" s="4"/>
      <c r="Y4896" s="4"/>
    </row>
    <row r="4897" spans="20:25" x14ac:dyDescent="0.3">
      <c r="T4897" s="12"/>
      <c r="U4897" s="4"/>
      <c r="V4897" s="4"/>
      <c r="X4897" s="4"/>
      <c r="Y4897" s="4"/>
    </row>
    <row r="4898" spans="20:25" x14ac:dyDescent="0.3">
      <c r="T4898" s="12"/>
      <c r="U4898" s="4"/>
      <c r="V4898" s="4"/>
      <c r="X4898" s="4"/>
      <c r="Y4898" s="4"/>
    </row>
    <row r="4899" spans="20:25" x14ac:dyDescent="0.3">
      <c r="T4899" s="12"/>
      <c r="U4899" s="4"/>
      <c r="V4899" s="4"/>
      <c r="X4899" s="4"/>
      <c r="Y4899" s="4"/>
    </row>
    <row r="4900" spans="20:25" x14ac:dyDescent="0.3">
      <c r="T4900" s="12"/>
      <c r="U4900" s="4"/>
      <c r="V4900" s="4"/>
      <c r="X4900" s="4"/>
      <c r="Y4900" s="4"/>
    </row>
    <row r="4901" spans="20:25" x14ac:dyDescent="0.3">
      <c r="T4901" s="12"/>
      <c r="U4901" s="4"/>
      <c r="V4901" s="4"/>
      <c r="X4901" s="4"/>
      <c r="Y4901" s="4"/>
    </row>
    <row r="4902" spans="20:25" x14ac:dyDescent="0.3">
      <c r="T4902" s="12"/>
      <c r="U4902" s="4"/>
      <c r="V4902" s="4"/>
      <c r="X4902" s="4"/>
      <c r="Y4902" s="4"/>
    </row>
    <row r="4903" spans="20:25" x14ac:dyDescent="0.3">
      <c r="T4903" s="12"/>
      <c r="U4903" s="4"/>
      <c r="V4903" s="4"/>
      <c r="X4903" s="4"/>
      <c r="Y4903" s="4"/>
    </row>
    <row r="4904" spans="20:25" x14ac:dyDescent="0.3">
      <c r="T4904" s="12"/>
      <c r="U4904" s="4"/>
      <c r="V4904" s="4"/>
      <c r="X4904" s="4"/>
      <c r="Y4904" s="4"/>
    </row>
    <row r="4905" spans="20:25" x14ac:dyDescent="0.3">
      <c r="T4905" s="12"/>
      <c r="U4905" s="4"/>
      <c r="V4905" s="4"/>
      <c r="X4905" s="4"/>
      <c r="Y4905" s="4"/>
    </row>
    <row r="4906" spans="20:25" x14ac:dyDescent="0.3">
      <c r="T4906" s="12"/>
      <c r="U4906" s="4"/>
      <c r="V4906" s="4"/>
      <c r="X4906" s="4"/>
      <c r="Y4906" s="4"/>
    </row>
    <row r="4907" spans="20:25" x14ac:dyDescent="0.3">
      <c r="T4907" s="12"/>
      <c r="U4907" s="4"/>
      <c r="V4907" s="4"/>
      <c r="X4907" s="4"/>
      <c r="Y4907" s="4"/>
    </row>
    <row r="4908" spans="20:25" x14ac:dyDescent="0.3">
      <c r="T4908" s="12"/>
      <c r="U4908" s="4"/>
      <c r="V4908" s="4"/>
      <c r="X4908" s="4"/>
      <c r="Y4908" s="4"/>
    </row>
    <row r="4909" spans="20:25" x14ac:dyDescent="0.3">
      <c r="T4909" s="12"/>
      <c r="U4909" s="4"/>
      <c r="V4909" s="4"/>
      <c r="X4909" s="4"/>
      <c r="Y4909" s="4"/>
    </row>
    <row r="4910" spans="20:25" x14ac:dyDescent="0.3">
      <c r="T4910" s="12"/>
      <c r="U4910" s="4"/>
      <c r="V4910" s="4"/>
      <c r="X4910" s="4"/>
      <c r="Y4910" s="4"/>
    </row>
    <row r="4911" spans="20:25" x14ac:dyDescent="0.3">
      <c r="T4911" s="12"/>
      <c r="U4911" s="4"/>
      <c r="V4911" s="4"/>
      <c r="X4911" s="4"/>
      <c r="Y4911" s="4"/>
    </row>
    <row r="4912" spans="20:25" x14ac:dyDescent="0.3">
      <c r="T4912" s="12"/>
      <c r="U4912" s="4"/>
      <c r="V4912" s="4"/>
      <c r="X4912" s="4"/>
      <c r="Y4912" s="4"/>
    </row>
    <row r="4913" spans="20:25" x14ac:dyDescent="0.3">
      <c r="T4913" s="12"/>
      <c r="U4913" s="4"/>
      <c r="V4913" s="4"/>
      <c r="X4913" s="4"/>
      <c r="Y4913" s="4"/>
    </row>
    <row r="4914" spans="20:25" x14ac:dyDescent="0.3">
      <c r="T4914" s="12"/>
      <c r="U4914" s="4"/>
      <c r="V4914" s="4"/>
      <c r="X4914" s="4"/>
      <c r="Y4914" s="4"/>
    </row>
    <row r="4915" spans="20:25" x14ac:dyDescent="0.3">
      <c r="T4915" s="12"/>
      <c r="U4915" s="4"/>
      <c r="V4915" s="4"/>
      <c r="X4915" s="4"/>
      <c r="Y4915" s="4"/>
    </row>
    <row r="4916" spans="20:25" x14ac:dyDescent="0.3">
      <c r="T4916" s="12"/>
      <c r="U4916" s="4"/>
      <c r="V4916" s="4"/>
      <c r="X4916" s="4"/>
      <c r="Y4916" s="4"/>
    </row>
    <row r="4917" spans="20:25" x14ac:dyDescent="0.3">
      <c r="T4917" s="12"/>
      <c r="U4917" s="4"/>
      <c r="V4917" s="4"/>
      <c r="X4917" s="4"/>
      <c r="Y4917" s="4"/>
    </row>
    <row r="4918" spans="20:25" x14ac:dyDescent="0.3">
      <c r="T4918" s="12"/>
      <c r="U4918" s="4"/>
      <c r="V4918" s="4"/>
      <c r="X4918" s="4"/>
      <c r="Y4918" s="4"/>
    </row>
    <row r="4919" spans="20:25" x14ac:dyDescent="0.3">
      <c r="T4919" s="12"/>
      <c r="U4919" s="4"/>
      <c r="V4919" s="4"/>
      <c r="X4919" s="4"/>
      <c r="Y4919" s="4"/>
    </row>
    <row r="4920" spans="20:25" x14ac:dyDescent="0.3">
      <c r="T4920" s="12"/>
      <c r="U4920" s="4"/>
      <c r="V4920" s="4"/>
      <c r="X4920" s="4"/>
      <c r="Y4920" s="4"/>
    </row>
    <row r="4921" spans="20:25" x14ac:dyDescent="0.3">
      <c r="T4921" s="12"/>
      <c r="U4921" s="4"/>
      <c r="V4921" s="4"/>
      <c r="X4921" s="4"/>
      <c r="Y4921" s="4"/>
    </row>
    <row r="4922" spans="20:25" x14ac:dyDescent="0.3">
      <c r="T4922" s="12"/>
      <c r="U4922" s="4"/>
      <c r="V4922" s="4"/>
      <c r="X4922" s="4"/>
      <c r="Y4922" s="4"/>
    </row>
    <row r="4923" spans="20:25" x14ac:dyDescent="0.3">
      <c r="T4923" s="12"/>
      <c r="U4923" s="4"/>
      <c r="V4923" s="4"/>
      <c r="X4923" s="4"/>
      <c r="Y4923" s="4"/>
    </row>
    <row r="4924" spans="20:25" x14ac:dyDescent="0.3">
      <c r="T4924" s="12"/>
      <c r="U4924" s="4"/>
      <c r="V4924" s="4"/>
      <c r="X4924" s="4"/>
      <c r="Y4924" s="4"/>
    </row>
    <row r="4925" spans="20:25" x14ac:dyDescent="0.3">
      <c r="T4925" s="12"/>
      <c r="U4925" s="4"/>
      <c r="V4925" s="4"/>
      <c r="X4925" s="4"/>
      <c r="Y4925" s="4"/>
    </row>
    <row r="4926" spans="20:25" x14ac:dyDescent="0.3">
      <c r="T4926" s="12"/>
      <c r="U4926" s="4"/>
      <c r="V4926" s="4"/>
      <c r="X4926" s="4"/>
      <c r="Y4926" s="4"/>
    </row>
    <row r="4927" spans="20:25" x14ac:dyDescent="0.3">
      <c r="T4927" s="12"/>
      <c r="U4927" s="4"/>
      <c r="V4927" s="4"/>
      <c r="X4927" s="4"/>
      <c r="Y4927" s="4"/>
    </row>
    <row r="4928" spans="20:25" x14ac:dyDescent="0.3">
      <c r="T4928" s="12"/>
      <c r="U4928" s="4"/>
      <c r="V4928" s="4"/>
      <c r="X4928" s="4"/>
      <c r="Y4928" s="4"/>
    </row>
    <row r="4929" spans="20:25" x14ac:dyDescent="0.3">
      <c r="T4929" s="12"/>
      <c r="U4929" s="4"/>
      <c r="V4929" s="4"/>
      <c r="X4929" s="4"/>
      <c r="Y4929" s="4"/>
    </row>
    <row r="4930" spans="20:25" x14ac:dyDescent="0.3">
      <c r="T4930" s="12"/>
      <c r="U4930" s="4"/>
      <c r="V4930" s="4"/>
      <c r="X4930" s="4"/>
      <c r="Y4930" s="4"/>
    </row>
    <row r="4931" spans="20:25" x14ac:dyDescent="0.3">
      <c r="T4931" s="12"/>
      <c r="U4931" s="4"/>
      <c r="V4931" s="4"/>
      <c r="X4931" s="4"/>
      <c r="Y4931" s="4"/>
    </row>
    <row r="4932" spans="20:25" x14ac:dyDescent="0.3">
      <c r="T4932" s="12"/>
      <c r="U4932" s="4"/>
      <c r="V4932" s="4"/>
      <c r="X4932" s="4"/>
      <c r="Y4932" s="4"/>
    </row>
    <row r="4933" spans="20:25" x14ac:dyDescent="0.3">
      <c r="T4933" s="12"/>
      <c r="U4933" s="4"/>
      <c r="V4933" s="4"/>
      <c r="X4933" s="4"/>
      <c r="Y4933" s="4"/>
    </row>
    <row r="4934" spans="20:25" x14ac:dyDescent="0.3">
      <c r="T4934" s="12"/>
      <c r="U4934" s="4"/>
      <c r="V4934" s="4"/>
      <c r="X4934" s="4"/>
      <c r="Y4934" s="4"/>
    </row>
    <row r="4935" spans="20:25" x14ac:dyDescent="0.3">
      <c r="T4935" s="12"/>
      <c r="U4935" s="4"/>
      <c r="V4935" s="4"/>
      <c r="X4935" s="4"/>
      <c r="Y4935" s="4"/>
    </row>
    <row r="4936" spans="20:25" x14ac:dyDescent="0.3">
      <c r="T4936" s="12"/>
      <c r="U4936" s="4"/>
      <c r="V4936" s="4"/>
      <c r="X4936" s="4"/>
      <c r="Y4936" s="4"/>
    </row>
    <row r="4937" spans="20:25" x14ac:dyDescent="0.3">
      <c r="T4937" s="12"/>
      <c r="U4937" s="4"/>
      <c r="V4937" s="4"/>
      <c r="X4937" s="4"/>
      <c r="Y4937" s="4"/>
    </row>
    <row r="4938" spans="20:25" x14ac:dyDescent="0.3">
      <c r="T4938" s="12"/>
      <c r="U4938" s="4"/>
      <c r="V4938" s="4"/>
      <c r="X4938" s="4"/>
      <c r="Y4938" s="4"/>
    </row>
    <row r="4939" spans="20:25" x14ac:dyDescent="0.3">
      <c r="T4939" s="12"/>
      <c r="U4939" s="4"/>
      <c r="V4939" s="4"/>
      <c r="X4939" s="4"/>
      <c r="Y4939" s="4"/>
    </row>
    <row r="4940" spans="20:25" x14ac:dyDescent="0.3">
      <c r="T4940" s="12"/>
      <c r="U4940" s="4"/>
      <c r="V4940" s="4"/>
      <c r="X4940" s="4"/>
      <c r="Y4940" s="4"/>
    </row>
    <row r="4941" spans="20:25" x14ac:dyDescent="0.3">
      <c r="T4941" s="12"/>
      <c r="U4941" s="4"/>
      <c r="V4941" s="4"/>
      <c r="X4941" s="4"/>
      <c r="Y4941" s="4"/>
    </row>
    <row r="4942" spans="20:25" x14ac:dyDescent="0.3">
      <c r="T4942" s="12"/>
      <c r="U4942" s="4"/>
      <c r="V4942" s="4"/>
      <c r="X4942" s="4"/>
      <c r="Y4942" s="4"/>
    </row>
    <row r="4943" spans="20:25" x14ac:dyDescent="0.3">
      <c r="T4943" s="12"/>
      <c r="U4943" s="4"/>
      <c r="V4943" s="4"/>
      <c r="X4943" s="4"/>
      <c r="Y4943" s="4"/>
    </row>
    <row r="4944" spans="20:25" x14ac:dyDescent="0.3">
      <c r="T4944" s="12"/>
      <c r="U4944" s="4"/>
      <c r="V4944" s="4"/>
      <c r="X4944" s="4"/>
      <c r="Y4944" s="4"/>
    </row>
    <row r="4945" spans="20:25" x14ac:dyDescent="0.3">
      <c r="T4945" s="12"/>
      <c r="U4945" s="4"/>
      <c r="V4945" s="4"/>
      <c r="X4945" s="4"/>
      <c r="Y4945" s="4"/>
    </row>
    <row r="4946" spans="20:25" x14ac:dyDescent="0.3">
      <c r="T4946" s="12"/>
      <c r="U4946" s="4"/>
      <c r="V4946" s="4"/>
      <c r="X4946" s="4"/>
      <c r="Y4946" s="4"/>
    </row>
    <row r="4947" spans="20:25" x14ac:dyDescent="0.3">
      <c r="T4947" s="12"/>
      <c r="U4947" s="4"/>
      <c r="V4947" s="4"/>
      <c r="X4947" s="4"/>
      <c r="Y4947" s="4"/>
    </row>
    <row r="4948" spans="20:25" x14ac:dyDescent="0.3">
      <c r="T4948" s="12"/>
      <c r="U4948" s="4"/>
      <c r="V4948" s="4"/>
      <c r="X4948" s="4"/>
      <c r="Y4948" s="4"/>
    </row>
    <row r="4949" spans="20:25" x14ac:dyDescent="0.3">
      <c r="T4949" s="12"/>
      <c r="U4949" s="4"/>
      <c r="V4949" s="4"/>
      <c r="X4949" s="4"/>
      <c r="Y4949" s="4"/>
    </row>
    <row r="4950" spans="20:25" x14ac:dyDescent="0.3">
      <c r="T4950" s="12"/>
      <c r="U4950" s="4"/>
      <c r="V4950" s="4"/>
      <c r="X4950" s="4"/>
      <c r="Y4950" s="4"/>
    </row>
    <row r="4951" spans="20:25" x14ac:dyDescent="0.3">
      <c r="T4951" s="12"/>
      <c r="U4951" s="4"/>
      <c r="V4951" s="4"/>
      <c r="X4951" s="4"/>
      <c r="Y4951" s="4"/>
    </row>
    <row r="4952" spans="20:25" x14ac:dyDescent="0.3">
      <c r="T4952" s="12"/>
      <c r="U4952" s="4"/>
      <c r="V4952" s="4"/>
      <c r="X4952" s="4"/>
      <c r="Y4952" s="4"/>
    </row>
    <row r="4953" spans="20:25" x14ac:dyDescent="0.3">
      <c r="T4953" s="12"/>
      <c r="U4953" s="4"/>
      <c r="V4953" s="4"/>
      <c r="X4953" s="4"/>
      <c r="Y4953" s="4"/>
    </row>
    <row r="4954" spans="20:25" x14ac:dyDescent="0.3">
      <c r="T4954" s="12"/>
      <c r="U4954" s="4"/>
      <c r="V4954" s="4"/>
      <c r="X4954" s="4"/>
      <c r="Y4954" s="4"/>
    </row>
    <row r="4955" spans="20:25" x14ac:dyDescent="0.3">
      <c r="T4955" s="12"/>
      <c r="U4955" s="4"/>
      <c r="V4955" s="4"/>
      <c r="X4955" s="4"/>
      <c r="Y4955" s="4"/>
    </row>
    <row r="4956" spans="20:25" x14ac:dyDescent="0.3">
      <c r="T4956" s="12"/>
      <c r="U4956" s="4"/>
      <c r="V4956" s="4"/>
      <c r="X4956" s="4"/>
      <c r="Y4956" s="4"/>
    </row>
    <row r="4957" spans="20:25" x14ac:dyDescent="0.3">
      <c r="T4957" s="12"/>
      <c r="U4957" s="4"/>
      <c r="V4957" s="4"/>
      <c r="X4957" s="4"/>
      <c r="Y4957" s="4"/>
    </row>
    <row r="4958" spans="20:25" x14ac:dyDescent="0.3">
      <c r="T4958" s="12"/>
      <c r="U4958" s="4"/>
      <c r="V4958" s="4"/>
      <c r="X4958" s="4"/>
      <c r="Y4958" s="4"/>
    </row>
    <row r="4959" spans="20:25" x14ac:dyDescent="0.3">
      <c r="T4959" s="12"/>
      <c r="U4959" s="4"/>
      <c r="V4959" s="4"/>
      <c r="X4959" s="4"/>
      <c r="Y4959" s="4"/>
    </row>
    <row r="4960" spans="20:25" x14ac:dyDescent="0.3">
      <c r="T4960" s="12"/>
      <c r="U4960" s="4"/>
      <c r="V4960" s="4"/>
      <c r="X4960" s="4"/>
      <c r="Y4960" s="4"/>
    </row>
    <row r="4961" spans="20:25" x14ac:dyDescent="0.3">
      <c r="T4961" s="12"/>
      <c r="U4961" s="4"/>
      <c r="V4961" s="4"/>
      <c r="X4961" s="4"/>
      <c r="Y4961" s="4"/>
    </row>
    <row r="4962" spans="20:25" x14ac:dyDescent="0.3">
      <c r="T4962" s="12"/>
      <c r="U4962" s="4"/>
      <c r="V4962" s="4"/>
      <c r="X4962" s="4"/>
      <c r="Y4962" s="4"/>
    </row>
    <row r="4963" spans="20:25" x14ac:dyDescent="0.3">
      <c r="T4963" s="12"/>
      <c r="U4963" s="4"/>
      <c r="V4963" s="4"/>
      <c r="X4963" s="4"/>
      <c r="Y4963" s="4"/>
    </row>
    <row r="4964" spans="20:25" x14ac:dyDescent="0.3">
      <c r="T4964" s="12"/>
      <c r="U4964" s="4"/>
      <c r="V4964" s="4"/>
      <c r="X4964" s="4"/>
      <c r="Y4964" s="4"/>
    </row>
    <row r="4965" spans="20:25" x14ac:dyDescent="0.3">
      <c r="T4965" s="12"/>
      <c r="U4965" s="4"/>
      <c r="V4965" s="4"/>
      <c r="X4965" s="4"/>
      <c r="Y4965" s="4"/>
    </row>
    <row r="4966" spans="20:25" x14ac:dyDescent="0.3">
      <c r="T4966" s="12"/>
      <c r="U4966" s="4"/>
      <c r="V4966" s="4"/>
      <c r="X4966" s="4"/>
      <c r="Y4966" s="4"/>
    </row>
    <row r="4967" spans="20:25" x14ac:dyDescent="0.3">
      <c r="T4967" s="12"/>
      <c r="U4967" s="4"/>
      <c r="V4967" s="4"/>
      <c r="X4967" s="4"/>
      <c r="Y4967" s="4"/>
    </row>
    <row r="4968" spans="20:25" x14ac:dyDescent="0.3">
      <c r="T4968" s="12"/>
      <c r="U4968" s="4"/>
      <c r="V4968" s="4"/>
      <c r="X4968" s="4"/>
      <c r="Y4968" s="4"/>
    </row>
    <row r="4969" spans="20:25" x14ac:dyDescent="0.3">
      <c r="T4969" s="12"/>
      <c r="U4969" s="4"/>
      <c r="V4969" s="4"/>
      <c r="X4969" s="4"/>
      <c r="Y4969" s="4"/>
    </row>
    <row r="4970" spans="20:25" x14ac:dyDescent="0.3">
      <c r="T4970" s="12"/>
      <c r="U4970" s="4"/>
      <c r="V4970" s="4"/>
      <c r="X4970" s="4"/>
      <c r="Y4970" s="4"/>
    </row>
    <row r="4971" spans="20:25" x14ac:dyDescent="0.3">
      <c r="T4971" s="12"/>
      <c r="U4971" s="4"/>
      <c r="V4971" s="4"/>
      <c r="X4971" s="4"/>
      <c r="Y4971" s="4"/>
    </row>
    <row r="4972" spans="20:25" x14ac:dyDescent="0.3">
      <c r="T4972" s="12"/>
      <c r="U4972" s="4"/>
      <c r="V4972" s="4"/>
      <c r="X4972" s="4"/>
      <c r="Y4972" s="4"/>
    </row>
    <row r="4973" spans="20:25" x14ac:dyDescent="0.3">
      <c r="T4973" s="12"/>
      <c r="U4973" s="4"/>
      <c r="V4973" s="4"/>
      <c r="X4973" s="4"/>
      <c r="Y4973" s="4"/>
    </row>
    <row r="4974" spans="20:25" x14ac:dyDescent="0.3">
      <c r="T4974" s="12"/>
      <c r="U4974" s="4"/>
      <c r="V4974" s="4"/>
      <c r="X4974" s="4"/>
      <c r="Y4974" s="4"/>
    </row>
    <row r="4975" spans="20:25" x14ac:dyDescent="0.3">
      <c r="T4975" s="12"/>
      <c r="U4975" s="4"/>
      <c r="V4975" s="4"/>
      <c r="X4975" s="4"/>
      <c r="Y4975" s="4"/>
    </row>
    <row r="4976" spans="20:25" x14ac:dyDescent="0.3">
      <c r="T4976" s="12"/>
      <c r="U4976" s="4"/>
      <c r="V4976" s="4"/>
      <c r="X4976" s="4"/>
      <c r="Y4976" s="4"/>
    </row>
    <row r="4977" spans="20:25" x14ac:dyDescent="0.3">
      <c r="T4977" s="12"/>
      <c r="U4977" s="4"/>
      <c r="V4977" s="4"/>
      <c r="X4977" s="4"/>
      <c r="Y4977" s="4"/>
    </row>
    <row r="4978" spans="20:25" x14ac:dyDescent="0.3">
      <c r="T4978" s="12"/>
      <c r="U4978" s="4"/>
      <c r="V4978" s="4"/>
      <c r="X4978" s="4"/>
      <c r="Y4978" s="4"/>
    </row>
    <row r="4979" spans="20:25" x14ac:dyDescent="0.3">
      <c r="T4979" s="12"/>
      <c r="U4979" s="4"/>
      <c r="V4979" s="4"/>
      <c r="X4979" s="4"/>
      <c r="Y4979" s="4"/>
    </row>
    <row r="4980" spans="20:25" x14ac:dyDescent="0.3">
      <c r="T4980" s="12"/>
      <c r="U4980" s="4"/>
      <c r="V4980" s="4"/>
      <c r="X4980" s="4"/>
      <c r="Y4980" s="4"/>
    </row>
    <row r="4981" spans="20:25" x14ac:dyDescent="0.3">
      <c r="T4981" s="12"/>
      <c r="U4981" s="4"/>
      <c r="V4981" s="4"/>
      <c r="X4981" s="4"/>
      <c r="Y4981" s="4"/>
    </row>
    <row r="4982" spans="20:25" x14ac:dyDescent="0.3">
      <c r="T4982" s="12"/>
      <c r="U4982" s="4"/>
      <c r="V4982" s="4"/>
      <c r="X4982" s="4"/>
      <c r="Y4982" s="4"/>
    </row>
    <row r="4983" spans="20:25" x14ac:dyDescent="0.3">
      <c r="T4983" s="12"/>
      <c r="U4983" s="4"/>
      <c r="V4983" s="4"/>
      <c r="X4983" s="4"/>
      <c r="Y4983" s="4"/>
    </row>
    <row r="4984" spans="20:25" x14ac:dyDescent="0.3">
      <c r="T4984" s="12"/>
      <c r="U4984" s="4"/>
      <c r="V4984" s="4"/>
      <c r="X4984" s="4"/>
      <c r="Y4984" s="4"/>
    </row>
    <row r="4985" spans="20:25" x14ac:dyDescent="0.3">
      <c r="T4985" s="12"/>
      <c r="U4985" s="4"/>
      <c r="V4985" s="4"/>
      <c r="X4985" s="4"/>
      <c r="Y4985" s="4"/>
    </row>
    <row r="4986" spans="20:25" x14ac:dyDescent="0.3">
      <c r="T4986" s="12"/>
      <c r="U4986" s="4"/>
      <c r="V4986" s="4"/>
      <c r="X4986" s="4"/>
      <c r="Y4986" s="4"/>
    </row>
    <row r="4987" spans="20:25" x14ac:dyDescent="0.3">
      <c r="T4987" s="12"/>
      <c r="U4987" s="4"/>
      <c r="V4987" s="4"/>
      <c r="X4987" s="4"/>
      <c r="Y4987" s="4"/>
    </row>
    <row r="4988" spans="20:25" x14ac:dyDescent="0.3">
      <c r="T4988" s="12"/>
      <c r="U4988" s="4"/>
      <c r="V4988" s="4"/>
      <c r="X4988" s="4"/>
      <c r="Y4988" s="4"/>
    </row>
    <row r="4989" spans="20:25" x14ac:dyDescent="0.3">
      <c r="T4989" s="12"/>
      <c r="U4989" s="4"/>
      <c r="V4989" s="4"/>
      <c r="X4989" s="4"/>
      <c r="Y4989" s="4"/>
    </row>
    <row r="4990" spans="20:25" x14ac:dyDescent="0.3">
      <c r="T4990" s="12"/>
      <c r="U4990" s="4"/>
      <c r="V4990" s="4"/>
      <c r="X4990" s="4"/>
      <c r="Y4990" s="4"/>
    </row>
    <row r="4991" spans="20:25" x14ac:dyDescent="0.3">
      <c r="T4991" s="12"/>
      <c r="U4991" s="4"/>
      <c r="V4991" s="4"/>
      <c r="X4991" s="4"/>
      <c r="Y4991" s="4"/>
    </row>
    <row r="4992" spans="20:25" x14ac:dyDescent="0.3">
      <c r="T4992" s="12"/>
      <c r="U4992" s="4"/>
      <c r="V4992" s="4"/>
      <c r="X4992" s="4"/>
      <c r="Y4992" s="4"/>
    </row>
    <row r="4993" spans="20:25" x14ac:dyDescent="0.3">
      <c r="T4993" s="12"/>
      <c r="U4993" s="4"/>
      <c r="V4993" s="4"/>
      <c r="X4993" s="4"/>
      <c r="Y4993" s="4"/>
    </row>
    <row r="4994" spans="20:25" x14ac:dyDescent="0.3">
      <c r="T4994" s="12"/>
      <c r="U4994" s="4"/>
      <c r="V4994" s="4"/>
      <c r="X4994" s="4"/>
      <c r="Y4994" s="4"/>
    </row>
    <row r="4995" spans="20:25" x14ac:dyDescent="0.3">
      <c r="T4995" s="12"/>
      <c r="U4995" s="4"/>
      <c r="V4995" s="4"/>
      <c r="X4995" s="4"/>
      <c r="Y4995" s="4"/>
    </row>
    <row r="4996" spans="20:25" x14ac:dyDescent="0.3">
      <c r="T4996" s="12"/>
      <c r="U4996" s="4"/>
      <c r="V4996" s="4"/>
      <c r="X4996" s="4"/>
      <c r="Y4996" s="4"/>
    </row>
    <row r="4997" spans="20:25" x14ac:dyDescent="0.3">
      <c r="T4997" s="12"/>
      <c r="U4997" s="4"/>
      <c r="V4997" s="4"/>
      <c r="X4997" s="4"/>
      <c r="Y4997" s="4"/>
    </row>
    <row r="4998" spans="20:25" x14ac:dyDescent="0.3">
      <c r="T4998" s="12"/>
      <c r="U4998" s="4"/>
      <c r="V4998" s="4"/>
      <c r="X4998" s="4"/>
      <c r="Y4998" s="4"/>
    </row>
    <row r="4999" spans="20:25" x14ac:dyDescent="0.3">
      <c r="T4999" s="12"/>
      <c r="U4999" s="4"/>
      <c r="V4999" s="4"/>
      <c r="X4999" s="4"/>
      <c r="Y4999" s="4"/>
    </row>
    <row r="5000" spans="20:25" x14ac:dyDescent="0.3">
      <c r="T5000" s="12"/>
      <c r="U5000" s="4"/>
      <c r="V5000" s="4"/>
      <c r="X5000" s="4"/>
      <c r="Y5000" s="4"/>
    </row>
    <row r="5001" spans="20:25" x14ac:dyDescent="0.3">
      <c r="T5001" s="12"/>
      <c r="U5001" s="4"/>
      <c r="V5001" s="4"/>
      <c r="X5001" s="4"/>
      <c r="Y5001" s="4"/>
    </row>
    <row r="5002" spans="20:25" x14ac:dyDescent="0.3">
      <c r="T5002" s="12"/>
      <c r="U5002" s="4"/>
      <c r="V5002" s="4"/>
      <c r="X5002" s="4"/>
      <c r="Y5002" s="4"/>
    </row>
    <row r="5003" spans="20:25" x14ac:dyDescent="0.3">
      <c r="T5003" s="12"/>
      <c r="U5003" s="4"/>
      <c r="V5003" s="4"/>
      <c r="X5003" s="4"/>
      <c r="Y5003" s="4"/>
    </row>
    <row r="5004" spans="20:25" x14ac:dyDescent="0.3">
      <c r="T5004" s="12"/>
      <c r="U5004" s="4"/>
      <c r="V5004" s="4"/>
      <c r="X5004" s="4"/>
      <c r="Y5004" s="4"/>
    </row>
    <row r="5005" spans="20:25" x14ac:dyDescent="0.3">
      <c r="T5005" s="12"/>
      <c r="U5005" s="4"/>
      <c r="V5005" s="4"/>
      <c r="X5005" s="4"/>
      <c r="Y5005" s="4"/>
    </row>
    <row r="5006" spans="20:25" x14ac:dyDescent="0.3">
      <c r="T5006" s="12"/>
      <c r="U5006" s="4"/>
      <c r="V5006" s="4"/>
      <c r="X5006" s="4"/>
      <c r="Y5006" s="4"/>
    </row>
    <row r="5007" spans="20:25" x14ac:dyDescent="0.3">
      <c r="T5007" s="12"/>
      <c r="U5007" s="4"/>
      <c r="V5007" s="4"/>
      <c r="X5007" s="4"/>
      <c r="Y5007" s="4"/>
    </row>
    <row r="5008" spans="20:25" x14ac:dyDescent="0.3">
      <c r="T5008" s="12"/>
      <c r="U5008" s="4"/>
      <c r="V5008" s="4"/>
      <c r="X5008" s="4"/>
      <c r="Y5008" s="4"/>
    </row>
    <row r="5009" spans="20:25" x14ac:dyDescent="0.3">
      <c r="T5009" s="12"/>
      <c r="U5009" s="4"/>
      <c r="V5009" s="4"/>
      <c r="X5009" s="4"/>
      <c r="Y5009" s="4"/>
    </row>
    <row r="5010" spans="20:25" x14ac:dyDescent="0.3">
      <c r="T5010" s="12"/>
      <c r="U5010" s="4"/>
      <c r="V5010" s="4"/>
      <c r="X5010" s="4"/>
      <c r="Y5010" s="4"/>
    </row>
    <row r="5011" spans="20:25" x14ac:dyDescent="0.3">
      <c r="T5011" s="12"/>
      <c r="U5011" s="4"/>
      <c r="V5011" s="4"/>
      <c r="X5011" s="4"/>
      <c r="Y5011" s="4"/>
    </row>
    <row r="5012" spans="20:25" x14ac:dyDescent="0.3">
      <c r="T5012" s="12"/>
      <c r="U5012" s="4"/>
      <c r="V5012" s="4"/>
      <c r="X5012" s="4"/>
      <c r="Y5012" s="4"/>
    </row>
    <row r="5013" spans="20:25" x14ac:dyDescent="0.3">
      <c r="T5013" s="12"/>
      <c r="U5013" s="4"/>
      <c r="V5013" s="4"/>
      <c r="X5013" s="4"/>
      <c r="Y5013" s="4"/>
    </row>
    <row r="5014" spans="20:25" x14ac:dyDescent="0.3">
      <c r="T5014" s="12"/>
      <c r="U5014" s="4"/>
      <c r="V5014" s="4"/>
      <c r="X5014" s="4"/>
      <c r="Y5014" s="4"/>
    </row>
    <row r="5015" spans="20:25" x14ac:dyDescent="0.3">
      <c r="T5015" s="12"/>
      <c r="U5015" s="4"/>
      <c r="V5015" s="4"/>
      <c r="X5015" s="4"/>
      <c r="Y5015" s="4"/>
    </row>
    <row r="5016" spans="20:25" x14ac:dyDescent="0.3">
      <c r="T5016" s="12"/>
      <c r="U5016" s="4"/>
      <c r="V5016" s="4"/>
      <c r="X5016" s="4"/>
      <c r="Y5016" s="4"/>
    </row>
    <row r="5017" spans="20:25" x14ac:dyDescent="0.3">
      <c r="T5017" s="12"/>
      <c r="U5017" s="4"/>
      <c r="V5017" s="4"/>
      <c r="X5017" s="4"/>
      <c r="Y5017" s="4"/>
    </row>
    <row r="5018" spans="20:25" x14ac:dyDescent="0.3">
      <c r="T5018" s="12"/>
      <c r="U5018" s="4"/>
      <c r="V5018" s="4"/>
      <c r="X5018" s="4"/>
      <c r="Y5018" s="4"/>
    </row>
    <row r="5019" spans="20:25" x14ac:dyDescent="0.3">
      <c r="T5019" s="12"/>
      <c r="U5019" s="4"/>
      <c r="V5019" s="4"/>
      <c r="X5019" s="4"/>
      <c r="Y5019" s="4"/>
    </row>
    <row r="5020" spans="20:25" x14ac:dyDescent="0.3">
      <c r="T5020" s="12"/>
      <c r="U5020" s="4"/>
      <c r="V5020" s="4"/>
      <c r="X5020" s="4"/>
      <c r="Y5020" s="4"/>
    </row>
    <row r="5021" spans="20:25" x14ac:dyDescent="0.3">
      <c r="T5021" s="12"/>
      <c r="U5021" s="4"/>
      <c r="V5021" s="4"/>
      <c r="X5021" s="4"/>
      <c r="Y5021" s="4"/>
    </row>
    <row r="5022" spans="20:25" x14ac:dyDescent="0.3">
      <c r="T5022" s="12"/>
      <c r="U5022" s="4"/>
      <c r="V5022" s="4"/>
      <c r="X5022" s="4"/>
      <c r="Y5022" s="4"/>
    </row>
    <row r="5023" spans="20:25" x14ac:dyDescent="0.3">
      <c r="T5023" s="12"/>
      <c r="U5023" s="4"/>
      <c r="V5023" s="4"/>
      <c r="X5023" s="4"/>
      <c r="Y5023" s="4"/>
    </row>
    <row r="5024" spans="20:25" x14ac:dyDescent="0.3">
      <c r="T5024" s="12"/>
      <c r="U5024" s="4"/>
      <c r="V5024" s="4"/>
      <c r="X5024" s="4"/>
      <c r="Y5024" s="4"/>
    </row>
    <row r="5025" spans="20:25" x14ac:dyDescent="0.3">
      <c r="T5025" s="12"/>
      <c r="U5025" s="4"/>
      <c r="V5025" s="4"/>
      <c r="X5025" s="4"/>
      <c r="Y5025" s="4"/>
    </row>
    <row r="5026" spans="20:25" x14ac:dyDescent="0.3">
      <c r="T5026" s="12"/>
      <c r="U5026" s="4"/>
      <c r="V5026" s="4"/>
      <c r="X5026" s="4"/>
      <c r="Y5026" s="4"/>
    </row>
    <row r="5027" spans="20:25" x14ac:dyDescent="0.3">
      <c r="T5027" s="12"/>
      <c r="U5027" s="4"/>
      <c r="V5027" s="4"/>
      <c r="X5027" s="4"/>
      <c r="Y5027" s="4"/>
    </row>
    <row r="5028" spans="20:25" x14ac:dyDescent="0.3">
      <c r="T5028" s="12"/>
      <c r="U5028" s="4"/>
      <c r="V5028" s="4"/>
      <c r="X5028" s="4"/>
      <c r="Y5028" s="4"/>
    </row>
    <row r="5029" spans="20:25" x14ac:dyDescent="0.3">
      <c r="T5029" s="12"/>
      <c r="U5029" s="4"/>
      <c r="V5029" s="4"/>
      <c r="X5029" s="4"/>
      <c r="Y5029" s="4"/>
    </row>
    <row r="5030" spans="20:25" x14ac:dyDescent="0.3">
      <c r="T5030" s="12"/>
      <c r="U5030" s="4"/>
      <c r="V5030" s="4"/>
      <c r="X5030" s="4"/>
      <c r="Y5030" s="4"/>
    </row>
    <row r="5031" spans="20:25" x14ac:dyDescent="0.3">
      <c r="T5031" s="12"/>
      <c r="U5031" s="4"/>
      <c r="V5031" s="4"/>
      <c r="X5031" s="4"/>
      <c r="Y5031" s="4"/>
    </row>
    <row r="5032" spans="20:25" x14ac:dyDescent="0.3">
      <c r="T5032" s="12"/>
      <c r="U5032" s="4"/>
      <c r="V5032" s="4"/>
      <c r="X5032" s="4"/>
      <c r="Y5032" s="4"/>
    </row>
    <row r="5033" spans="20:25" x14ac:dyDescent="0.3">
      <c r="T5033" s="12"/>
      <c r="U5033" s="4"/>
      <c r="V5033" s="4"/>
      <c r="X5033" s="4"/>
      <c r="Y5033" s="4"/>
    </row>
    <row r="5034" spans="20:25" x14ac:dyDescent="0.3">
      <c r="T5034" s="12"/>
      <c r="U5034" s="4"/>
      <c r="V5034" s="4"/>
      <c r="X5034" s="4"/>
      <c r="Y5034" s="4"/>
    </row>
    <row r="5035" spans="20:25" x14ac:dyDescent="0.3">
      <c r="T5035" s="12"/>
      <c r="U5035" s="4"/>
      <c r="V5035" s="4"/>
      <c r="X5035" s="4"/>
      <c r="Y5035" s="4"/>
    </row>
    <row r="5036" spans="20:25" x14ac:dyDescent="0.3">
      <c r="T5036" s="12"/>
      <c r="U5036" s="4"/>
      <c r="V5036" s="4"/>
      <c r="X5036" s="4"/>
      <c r="Y5036" s="4"/>
    </row>
    <row r="5037" spans="20:25" x14ac:dyDescent="0.3">
      <c r="T5037" s="12"/>
      <c r="U5037" s="4"/>
      <c r="V5037" s="4"/>
      <c r="X5037" s="4"/>
      <c r="Y5037" s="4"/>
    </row>
    <row r="5038" spans="20:25" x14ac:dyDescent="0.3">
      <c r="T5038" s="12"/>
      <c r="U5038" s="4"/>
      <c r="V5038" s="4"/>
      <c r="X5038" s="4"/>
      <c r="Y5038" s="4"/>
    </row>
    <row r="5039" spans="20:25" x14ac:dyDescent="0.3">
      <c r="T5039" s="12"/>
      <c r="U5039" s="4"/>
      <c r="V5039" s="4"/>
      <c r="X5039" s="4"/>
      <c r="Y5039" s="4"/>
    </row>
    <row r="5040" spans="20:25" x14ac:dyDescent="0.3">
      <c r="T5040" s="12"/>
      <c r="U5040" s="4"/>
      <c r="V5040" s="4"/>
      <c r="X5040" s="4"/>
      <c r="Y5040" s="4"/>
    </row>
    <row r="5041" spans="20:25" x14ac:dyDescent="0.3">
      <c r="T5041" s="12"/>
      <c r="U5041" s="4"/>
      <c r="V5041" s="4"/>
      <c r="X5041" s="4"/>
      <c r="Y5041" s="4"/>
    </row>
    <row r="5042" spans="20:25" x14ac:dyDescent="0.3">
      <c r="T5042" s="12"/>
      <c r="U5042" s="4"/>
      <c r="V5042" s="4"/>
      <c r="X5042" s="4"/>
      <c r="Y5042" s="4"/>
    </row>
    <row r="5043" spans="20:25" x14ac:dyDescent="0.3">
      <c r="T5043" s="12"/>
      <c r="U5043" s="4"/>
      <c r="V5043" s="4"/>
      <c r="X5043" s="4"/>
      <c r="Y5043" s="4"/>
    </row>
    <row r="5044" spans="20:25" x14ac:dyDescent="0.3">
      <c r="T5044" s="12"/>
      <c r="U5044" s="4"/>
      <c r="V5044" s="4"/>
      <c r="X5044" s="4"/>
      <c r="Y5044" s="4"/>
    </row>
    <row r="5045" spans="20:25" x14ac:dyDescent="0.3">
      <c r="T5045" s="12"/>
      <c r="U5045" s="4"/>
      <c r="V5045" s="4"/>
      <c r="X5045" s="4"/>
      <c r="Y5045" s="4"/>
    </row>
    <row r="5046" spans="20:25" x14ac:dyDescent="0.3">
      <c r="T5046" s="12"/>
      <c r="U5046" s="4"/>
      <c r="V5046" s="4"/>
      <c r="X5046" s="4"/>
      <c r="Y5046" s="4"/>
    </row>
    <row r="5047" spans="20:25" x14ac:dyDescent="0.3">
      <c r="T5047" s="12"/>
      <c r="U5047" s="4"/>
      <c r="V5047" s="4"/>
      <c r="X5047" s="4"/>
      <c r="Y5047" s="4"/>
    </row>
    <row r="5048" spans="20:25" x14ac:dyDescent="0.3">
      <c r="T5048" s="12"/>
      <c r="U5048" s="4"/>
      <c r="V5048" s="4"/>
      <c r="X5048" s="4"/>
      <c r="Y5048" s="4"/>
    </row>
    <row r="5049" spans="20:25" x14ac:dyDescent="0.3">
      <c r="T5049" s="12"/>
      <c r="U5049" s="4"/>
      <c r="V5049" s="4"/>
      <c r="X5049" s="4"/>
      <c r="Y5049" s="4"/>
    </row>
    <row r="5050" spans="20:25" x14ac:dyDescent="0.3">
      <c r="T5050" s="12"/>
      <c r="U5050" s="4"/>
      <c r="V5050" s="4"/>
      <c r="X5050" s="4"/>
      <c r="Y5050" s="4"/>
    </row>
    <row r="5051" spans="20:25" x14ac:dyDescent="0.3">
      <c r="T5051" s="12"/>
      <c r="U5051" s="4"/>
      <c r="V5051" s="4"/>
      <c r="X5051" s="4"/>
      <c r="Y5051" s="4"/>
    </row>
    <row r="5052" spans="20:25" x14ac:dyDescent="0.3">
      <c r="T5052" s="12"/>
      <c r="U5052" s="4"/>
      <c r="V5052" s="4"/>
      <c r="X5052" s="4"/>
      <c r="Y5052" s="4"/>
    </row>
    <row r="5053" spans="20:25" x14ac:dyDescent="0.3">
      <c r="T5053" s="12"/>
      <c r="U5053" s="4"/>
      <c r="V5053" s="4"/>
      <c r="X5053" s="4"/>
      <c r="Y5053" s="4"/>
    </row>
    <row r="5054" spans="20:25" x14ac:dyDescent="0.3">
      <c r="T5054" s="12"/>
      <c r="U5054" s="4"/>
      <c r="V5054" s="4"/>
      <c r="X5054" s="4"/>
      <c r="Y5054" s="4"/>
    </row>
    <row r="5055" spans="20:25" x14ac:dyDescent="0.3">
      <c r="T5055" s="12"/>
      <c r="U5055" s="4"/>
      <c r="V5055" s="4"/>
      <c r="X5055" s="4"/>
      <c r="Y5055" s="4"/>
    </row>
    <row r="5056" spans="20:25" x14ac:dyDescent="0.3">
      <c r="T5056" s="12"/>
      <c r="U5056" s="4"/>
      <c r="V5056" s="4"/>
      <c r="X5056" s="4"/>
      <c r="Y5056" s="4"/>
    </row>
    <row r="5057" spans="20:25" x14ac:dyDescent="0.3">
      <c r="T5057" s="12"/>
      <c r="U5057" s="4"/>
      <c r="V5057" s="4"/>
      <c r="X5057" s="4"/>
      <c r="Y5057" s="4"/>
    </row>
    <row r="5058" spans="20:25" x14ac:dyDescent="0.3">
      <c r="T5058" s="12"/>
      <c r="U5058" s="4"/>
      <c r="V5058" s="4"/>
      <c r="X5058" s="4"/>
      <c r="Y5058" s="4"/>
    </row>
    <row r="5059" spans="20:25" x14ac:dyDescent="0.3">
      <c r="T5059" s="12"/>
      <c r="U5059" s="4"/>
      <c r="V5059" s="4"/>
      <c r="X5059" s="4"/>
      <c r="Y5059" s="4"/>
    </row>
    <row r="5060" spans="20:25" x14ac:dyDescent="0.3">
      <c r="T5060" s="12"/>
      <c r="U5060" s="4"/>
      <c r="V5060" s="4"/>
      <c r="X5060" s="4"/>
      <c r="Y5060" s="4"/>
    </row>
    <row r="5061" spans="20:25" x14ac:dyDescent="0.3">
      <c r="T5061" s="12"/>
      <c r="U5061" s="4"/>
      <c r="V5061" s="4"/>
      <c r="X5061" s="4"/>
      <c r="Y5061" s="4"/>
    </row>
    <row r="5062" spans="20:25" x14ac:dyDescent="0.3">
      <c r="T5062" s="12"/>
      <c r="U5062" s="4"/>
      <c r="V5062" s="4"/>
      <c r="X5062" s="4"/>
      <c r="Y5062" s="4"/>
    </row>
    <row r="5063" spans="20:25" x14ac:dyDescent="0.3">
      <c r="T5063" s="12"/>
      <c r="U5063" s="4"/>
      <c r="V5063" s="4"/>
      <c r="X5063" s="4"/>
      <c r="Y5063" s="4"/>
    </row>
    <row r="5064" spans="20:25" x14ac:dyDescent="0.3">
      <c r="T5064" s="12"/>
      <c r="U5064" s="4"/>
      <c r="V5064" s="4"/>
      <c r="X5064" s="4"/>
      <c r="Y5064" s="4"/>
    </row>
    <row r="5065" spans="20:25" x14ac:dyDescent="0.3">
      <c r="T5065" s="12"/>
      <c r="U5065" s="4"/>
      <c r="V5065" s="4"/>
      <c r="X5065" s="4"/>
      <c r="Y5065" s="4"/>
    </row>
    <row r="5066" spans="20:25" x14ac:dyDescent="0.3">
      <c r="T5066" s="12"/>
      <c r="U5066" s="4"/>
      <c r="V5066" s="4"/>
      <c r="X5066" s="4"/>
      <c r="Y5066" s="4"/>
    </row>
    <row r="5067" spans="20:25" x14ac:dyDescent="0.3">
      <c r="T5067" s="12"/>
      <c r="U5067" s="4"/>
      <c r="V5067" s="4"/>
      <c r="X5067" s="4"/>
      <c r="Y5067" s="4"/>
    </row>
    <row r="5068" spans="20:25" x14ac:dyDescent="0.3">
      <c r="T5068" s="12"/>
      <c r="U5068" s="4"/>
      <c r="V5068" s="4"/>
      <c r="X5068" s="4"/>
      <c r="Y5068" s="4"/>
    </row>
    <row r="5069" spans="20:25" x14ac:dyDescent="0.3">
      <c r="T5069" s="12"/>
      <c r="U5069" s="4"/>
      <c r="V5069" s="4"/>
      <c r="X5069" s="4"/>
      <c r="Y5069" s="4"/>
    </row>
    <row r="5070" spans="20:25" x14ac:dyDescent="0.3">
      <c r="T5070" s="12"/>
      <c r="U5070" s="4"/>
      <c r="V5070" s="4"/>
      <c r="X5070" s="4"/>
      <c r="Y5070" s="4"/>
    </row>
    <row r="5071" spans="20:25" x14ac:dyDescent="0.3">
      <c r="T5071" s="12"/>
      <c r="U5071" s="4"/>
      <c r="V5071" s="4"/>
      <c r="X5071" s="4"/>
      <c r="Y5071" s="4"/>
    </row>
    <row r="5072" spans="20:25" x14ac:dyDescent="0.3">
      <c r="T5072" s="12"/>
      <c r="U5072" s="4"/>
      <c r="V5072" s="4"/>
      <c r="X5072" s="4"/>
      <c r="Y5072" s="4"/>
    </row>
    <row r="5073" spans="20:25" x14ac:dyDescent="0.3">
      <c r="T5073" s="12"/>
      <c r="U5073" s="4"/>
      <c r="V5073" s="4"/>
      <c r="X5073" s="4"/>
      <c r="Y5073" s="4"/>
    </row>
    <row r="5074" spans="20:25" x14ac:dyDescent="0.3">
      <c r="T5074" s="12"/>
      <c r="U5074" s="4"/>
      <c r="V5074" s="4"/>
      <c r="X5074" s="4"/>
      <c r="Y5074" s="4"/>
    </row>
    <row r="5075" spans="20:25" x14ac:dyDescent="0.3">
      <c r="T5075" s="12"/>
      <c r="U5075" s="4"/>
      <c r="V5075" s="4"/>
      <c r="X5075" s="4"/>
      <c r="Y5075" s="4"/>
    </row>
    <row r="5076" spans="20:25" x14ac:dyDescent="0.3">
      <c r="T5076" s="12"/>
      <c r="U5076" s="4"/>
      <c r="V5076" s="4"/>
      <c r="X5076" s="4"/>
      <c r="Y5076" s="4"/>
    </row>
    <row r="5077" spans="20:25" x14ac:dyDescent="0.3">
      <c r="T5077" s="12"/>
      <c r="U5077" s="4"/>
      <c r="V5077" s="4"/>
      <c r="X5077" s="4"/>
      <c r="Y5077" s="4"/>
    </row>
    <row r="5078" spans="20:25" x14ac:dyDescent="0.3">
      <c r="T5078" s="12"/>
      <c r="U5078" s="4"/>
      <c r="V5078" s="4"/>
      <c r="X5078" s="4"/>
      <c r="Y5078" s="4"/>
    </row>
    <row r="5079" spans="20:25" x14ac:dyDescent="0.3">
      <c r="T5079" s="12"/>
      <c r="U5079" s="4"/>
      <c r="V5079" s="4"/>
      <c r="X5079" s="4"/>
      <c r="Y5079" s="4"/>
    </row>
    <row r="5080" spans="20:25" x14ac:dyDescent="0.3">
      <c r="T5080" s="12"/>
      <c r="U5080" s="4"/>
      <c r="V5080" s="4"/>
      <c r="X5080" s="4"/>
      <c r="Y5080" s="4"/>
    </row>
    <row r="5081" spans="20:25" x14ac:dyDescent="0.3">
      <c r="T5081" s="12"/>
      <c r="U5081" s="4"/>
      <c r="V5081" s="4"/>
      <c r="X5081" s="4"/>
      <c r="Y5081" s="4"/>
    </row>
    <row r="5082" spans="20:25" x14ac:dyDescent="0.3">
      <c r="T5082" s="12"/>
      <c r="U5082" s="4"/>
      <c r="V5082" s="4"/>
      <c r="X5082" s="4"/>
      <c r="Y5082" s="4"/>
    </row>
    <row r="5083" spans="20:25" x14ac:dyDescent="0.3">
      <c r="T5083" s="12"/>
      <c r="U5083" s="4"/>
      <c r="V5083" s="4"/>
      <c r="X5083" s="4"/>
      <c r="Y5083" s="4"/>
    </row>
    <row r="5084" spans="20:25" x14ac:dyDescent="0.3">
      <c r="T5084" s="12"/>
      <c r="U5084" s="4"/>
      <c r="V5084" s="4"/>
      <c r="X5084" s="4"/>
      <c r="Y5084" s="4"/>
    </row>
    <row r="5085" spans="20:25" x14ac:dyDescent="0.3">
      <c r="T5085" s="12"/>
      <c r="U5085" s="4"/>
      <c r="V5085" s="4"/>
      <c r="X5085" s="4"/>
      <c r="Y5085" s="4"/>
    </row>
    <row r="5086" spans="20:25" x14ac:dyDescent="0.3">
      <c r="T5086" s="12"/>
      <c r="U5086" s="4"/>
      <c r="V5086" s="4"/>
      <c r="X5086" s="4"/>
      <c r="Y5086" s="4"/>
    </row>
    <row r="5087" spans="20:25" x14ac:dyDescent="0.3">
      <c r="T5087" s="12"/>
      <c r="U5087" s="4"/>
      <c r="V5087" s="4"/>
      <c r="X5087" s="4"/>
      <c r="Y5087" s="4"/>
    </row>
    <row r="5088" spans="20:25" x14ac:dyDescent="0.3">
      <c r="T5088" s="12"/>
      <c r="U5088" s="4"/>
      <c r="V5088" s="4"/>
      <c r="X5088" s="4"/>
      <c r="Y5088" s="4"/>
    </row>
    <row r="5089" spans="20:25" x14ac:dyDescent="0.3">
      <c r="T5089" s="12"/>
      <c r="U5089" s="4"/>
      <c r="V5089" s="4"/>
      <c r="X5089" s="4"/>
      <c r="Y5089" s="4"/>
    </row>
    <row r="5090" spans="20:25" x14ac:dyDescent="0.3">
      <c r="T5090" s="12"/>
      <c r="U5090" s="4"/>
      <c r="V5090" s="4"/>
      <c r="X5090" s="4"/>
      <c r="Y5090" s="4"/>
    </row>
    <row r="5091" spans="20:25" x14ac:dyDescent="0.3">
      <c r="T5091" s="12"/>
      <c r="U5091" s="4"/>
      <c r="V5091" s="4"/>
      <c r="X5091" s="4"/>
      <c r="Y5091" s="4"/>
    </row>
    <row r="5092" spans="20:25" x14ac:dyDescent="0.3">
      <c r="T5092" s="12"/>
      <c r="U5092" s="4"/>
      <c r="V5092" s="4"/>
      <c r="X5092" s="4"/>
      <c r="Y5092" s="4"/>
    </row>
    <row r="5093" spans="20:25" x14ac:dyDescent="0.3">
      <c r="T5093" s="12"/>
      <c r="U5093" s="4"/>
      <c r="V5093" s="4"/>
      <c r="X5093" s="4"/>
      <c r="Y5093" s="4"/>
    </row>
    <row r="5094" spans="20:25" x14ac:dyDescent="0.3">
      <c r="T5094" s="12"/>
      <c r="U5094" s="4"/>
      <c r="V5094" s="4"/>
      <c r="X5094" s="4"/>
      <c r="Y5094" s="4"/>
    </row>
    <row r="5095" spans="20:25" x14ac:dyDescent="0.3">
      <c r="T5095" s="12"/>
      <c r="U5095" s="4"/>
      <c r="V5095" s="4"/>
      <c r="X5095" s="4"/>
      <c r="Y5095" s="4"/>
    </row>
    <row r="5096" spans="20:25" x14ac:dyDescent="0.3">
      <c r="T5096" s="12"/>
      <c r="U5096" s="4"/>
      <c r="V5096" s="4"/>
      <c r="X5096" s="4"/>
      <c r="Y5096" s="4"/>
    </row>
    <row r="5097" spans="20:25" x14ac:dyDescent="0.3">
      <c r="T5097" s="12"/>
      <c r="U5097" s="4"/>
      <c r="V5097" s="4"/>
      <c r="X5097" s="4"/>
      <c r="Y5097" s="4"/>
    </row>
    <row r="5098" spans="20:25" x14ac:dyDescent="0.3">
      <c r="T5098" s="12"/>
      <c r="U5098" s="4"/>
      <c r="V5098" s="4"/>
      <c r="X5098" s="4"/>
      <c r="Y5098" s="4"/>
    </row>
    <row r="5099" spans="20:25" x14ac:dyDescent="0.3">
      <c r="T5099" s="12"/>
      <c r="U5099" s="4"/>
      <c r="V5099" s="4"/>
      <c r="X5099" s="4"/>
      <c r="Y5099" s="4"/>
    </row>
    <row r="5100" spans="20:25" x14ac:dyDescent="0.3">
      <c r="T5100" s="12"/>
      <c r="U5100" s="4"/>
      <c r="V5100" s="4"/>
      <c r="X5100" s="4"/>
      <c r="Y5100" s="4"/>
    </row>
    <row r="5101" spans="20:25" x14ac:dyDescent="0.3">
      <c r="T5101" s="12"/>
      <c r="U5101" s="4"/>
      <c r="V5101" s="4"/>
      <c r="X5101" s="4"/>
      <c r="Y5101" s="4"/>
    </row>
    <row r="5102" spans="20:25" x14ac:dyDescent="0.3">
      <c r="T5102" s="12"/>
      <c r="U5102" s="4"/>
      <c r="V5102" s="4"/>
      <c r="X5102" s="4"/>
      <c r="Y5102" s="4"/>
    </row>
    <row r="5103" spans="20:25" x14ac:dyDescent="0.3">
      <c r="T5103" s="12"/>
      <c r="U5103" s="4"/>
      <c r="V5103" s="4"/>
      <c r="X5103" s="4"/>
      <c r="Y5103" s="4"/>
    </row>
    <row r="5104" spans="20:25" x14ac:dyDescent="0.3">
      <c r="T5104" s="12"/>
      <c r="U5104" s="4"/>
      <c r="V5104" s="4"/>
      <c r="X5104" s="4"/>
      <c r="Y5104" s="4"/>
    </row>
    <row r="5105" spans="20:25" x14ac:dyDescent="0.3">
      <c r="T5105" s="12"/>
      <c r="U5105" s="4"/>
      <c r="V5105" s="4"/>
      <c r="X5105" s="4"/>
      <c r="Y5105" s="4"/>
    </row>
    <row r="5106" spans="20:25" x14ac:dyDescent="0.3">
      <c r="T5106" s="12"/>
      <c r="U5106" s="4"/>
      <c r="V5106" s="4"/>
      <c r="X5106" s="4"/>
      <c r="Y5106" s="4"/>
    </row>
    <row r="5107" spans="20:25" x14ac:dyDescent="0.3">
      <c r="T5107" s="12"/>
      <c r="U5107" s="4"/>
      <c r="V5107" s="4"/>
      <c r="X5107" s="4"/>
      <c r="Y5107" s="4"/>
    </row>
    <row r="5108" spans="20:25" x14ac:dyDescent="0.3">
      <c r="T5108" s="12"/>
      <c r="U5108" s="4"/>
      <c r="V5108" s="4"/>
      <c r="X5108" s="4"/>
      <c r="Y5108" s="4"/>
    </row>
    <row r="5109" spans="20:25" x14ac:dyDescent="0.3">
      <c r="T5109" s="12"/>
      <c r="U5109" s="4"/>
      <c r="V5109" s="4"/>
      <c r="X5109" s="4"/>
      <c r="Y5109" s="4"/>
    </row>
    <row r="5110" spans="20:25" x14ac:dyDescent="0.3">
      <c r="T5110" s="12"/>
      <c r="U5110" s="4"/>
      <c r="V5110" s="4"/>
      <c r="X5110" s="4"/>
      <c r="Y5110" s="4"/>
    </row>
    <row r="5111" spans="20:25" x14ac:dyDescent="0.3">
      <c r="T5111" s="12"/>
      <c r="U5111" s="4"/>
      <c r="V5111" s="4"/>
      <c r="X5111" s="4"/>
      <c r="Y5111" s="4"/>
    </row>
    <row r="5112" spans="20:25" x14ac:dyDescent="0.3">
      <c r="T5112" s="12"/>
      <c r="U5112" s="4"/>
      <c r="V5112" s="4"/>
      <c r="X5112" s="4"/>
      <c r="Y5112" s="4"/>
    </row>
    <row r="5113" spans="20:25" x14ac:dyDescent="0.3">
      <c r="T5113" s="12"/>
      <c r="U5113" s="4"/>
      <c r="V5113" s="4"/>
      <c r="X5113" s="4"/>
      <c r="Y5113" s="4"/>
    </row>
    <row r="5114" spans="20:25" x14ac:dyDescent="0.3">
      <c r="T5114" s="12"/>
      <c r="U5114" s="4"/>
      <c r="V5114" s="4"/>
      <c r="X5114" s="4"/>
      <c r="Y5114" s="4"/>
    </row>
    <row r="5115" spans="20:25" x14ac:dyDescent="0.3">
      <c r="T5115" s="12"/>
      <c r="U5115" s="4"/>
      <c r="V5115" s="4"/>
      <c r="X5115" s="4"/>
      <c r="Y5115" s="4"/>
    </row>
    <row r="5116" spans="20:25" x14ac:dyDescent="0.3">
      <c r="T5116" s="12"/>
      <c r="U5116" s="4"/>
      <c r="V5116" s="4"/>
      <c r="X5116" s="4"/>
      <c r="Y5116" s="4"/>
    </row>
    <row r="5117" spans="20:25" x14ac:dyDescent="0.3">
      <c r="T5117" s="12"/>
      <c r="U5117" s="4"/>
      <c r="V5117" s="4"/>
      <c r="X5117" s="4"/>
      <c r="Y5117" s="4"/>
    </row>
    <row r="5118" spans="20:25" x14ac:dyDescent="0.3">
      <c r="T5118" s="12"/>
      <c r="U5118" s="4"/>
      <c r="V5118" s="4"/>
      <c r="X5118" s="4"/>
      <c r="Y5118" s="4"/>
    </row>
    <row r="5119" spans="20:25" x14ac:dyDescent="0.3">
      <c r="T5119" s="12"/>
      <c r="U5119" s="4"/>
      <c r="V5119" s="4"/>
      <c r="X5119" s="4"/>
      <c r="Y5119" s="4"/>
    </row>
    <row r="5120" spans="20:25" x14ac:dyDescent="0.3">
      <c r="T5120" s="12"/>
      <c r="U5120" s="4"/>
      <c r="V5120" s="4"/>
      <c r="X5120" s="4"/>
      <c r="Y5120" s="4"/>
    </row>
    <row r="5121" spans="20:25" x14ac:dyDescent="0.3">
      <c r="T5121" s="12"/>
      <c r="U5121" s="4"/>
      <c r="V5121" s="4"/>
      <c r="X5121" s="4"/>
      <c r="Y5121" s="4"/>
    </row>
    <row r="5122" spans="20:25" x14ac:dyDescent="0.3">
      <c r="T5122" s="12"/>
      <c r="U5122" s="4"/>
      <c r="V5122" s="4"/>
      <c r="X5122" s="4"/>
      <c r="Y5122" s="4"/>
    </row>
    <row r="5123" spans="20:25" x14ac:dyDescent="0.3">
      <c r="T5123" s="12"/>
      <c r="U5123" s="4"/>
      <c r="V5123" s="4"/>
      <c r="X5123" s="4"/>
      <c r="Y5123" s="4"/>
    </row>
    <row r="5124" spans="20:25" x14ac:dyDescent="0.3">
      <c r="T5124" s="12"/>
      <c r="U5124" s="4"/>
      <c r="V5124" s="4"/>
      <c r="X5124" s="4"/>
      <c r="Y5124" s="4"/>
    </row>
    <row r="5125" spans="20:25" x14ac:dyDescent="0.3">
      <c r="T5125" s="12"/>
      <c r="U5125" s="4"/>
      <c r="V5125" s="4"/>
      <c r="X5125" s="4"/>
      <c r="Y5125" s="4"/>
    </row>
    <row r="5126" spans="20:25" x14ac:dyDescent="0.3">
      <c r="T5126" s="12"/>
      <c r="U5126" s="4"/>
      <c r="V5126" s="4"/>
      <c r="X5126" s="4"/>
      <c r="Y5126" s="4"/>
    </row>
    <row r="5127" spans="20:25" x14ac:dyDescent="0.3">
      <c r="T5127" s="12"/>
      <c r="U5127" s="4"/>
      <c r="V5127" s="4"/>
      <c r="X5127" s="4"/>
      <c r="Y5127" s="4"/>
    </row>
    <row r="5128" spans="20:25" x14ac:dyDescent="0.3">
      <c r="T5128" s="12"/>
      <c r="U5128" s="4"/>
      <c r="V5128" s="4"/>
      <c r="X5128" s="4"/>
      <c r="Y5128" s="4"/>
    </row>
    <row r="5129" spans="20:25" x14ac:dyDescent="0.3">
      <c r="T5129" s="12"/>
      <c r="U5129" s="4"/>
      <c r="V5129" s="4"/>
      <c r="X5129" s="4"/>
      <c r="Y5129" s="4"/>
    </row>
    <row r="5130" spans="20:25" x14ac:dyDescent="0.3">
      <c r="T5130" s="12"/>
      <c r="U5130" s="4"/>
      <c r="V5130" s="4"/>
      <c r="X5130" s="4"/>
      <c r="Y5130" s="4"/>
    </row>
    <row r="5131" spans="20:25" x14ac:dyDescent="0.3">
      <c r="T5131" s="12"/>
      <c r="U5131" s="4"/>
      <c r="V5131" s="4"/>
      <c r="X5131" s="4"/>
      <c r="Y5131" s="4"/>
    </row>
    <row r="5132" spans="20:25" x14ac:dyDescent="0.3">
      <c r="T5132" s="12"/>
      <c r="U5132" s="4"/>
      <c r="V5132" s="4"/>
      <c r="X5132" s="4"/>
      <c r="Y5132" s="4"/>
    </row>
    <row r="5133" spans="20:25" x14ac:dyDescent="0.3">
      <c r="T5133" s="12"/>
      <c r="U5133" s="4"/>
      <c r="V5133" s="4"/>
      <c r="X5133" s="4"/>
      <c r="Y5133" s="4"/>
    </row>
    <row r="5134" spans="20:25" x14ac:dyDescent="0.3">
      <c r="T5134" s="12"/>
      <c r="U5134" s="4"/>
      <c r="V5134" s="4"/>
      <c r="X5134" s="4"/>
      <c r="Y5134" s="4"/>
    </row>
    <row r="5135" spans="20:25" x14ac:dyDescent="0.3">
      <c r="T5135" s="12"/>
      <c r="U5135" s="4"/>
      <c r="V5135" s="4"/>
      <c r="X5135" s="4"/>
      <c r="Y5135" s="4"/>
    </row>
    <row r="5136" spans="20:25" x14ac:dyDescent="0.3">
      <c r="T5136" s="12"/>
      <c r="U5136" s="4"/>
      <c r="V5136" s="4"/>
      <c r="X5136" s="4"/>
      <c r="Y5136" s="4"/>
    </row>
    <row r="5137" spans="20:25" x14ac:dyDescent="0.3">
      <c r="T5137" s="12"/>
      <c r="U5137" s="4"/>
      <c r="V5137" s="4"/>
      <c r="X5137" s="4"/>
      <c r="Y5137" s="4"/>
    </row>
    <row r="5138" spans="20:25" x14ac:dyDescent="0.3">
      <c r="T5138" s="12"/>
      <c r="U5138" s="4"/>
      <c r="V5138" s="4"/>
      <c r="X5138" s="4"/>
      <c r="Y5138" s="4"/>
    </row>
    <row r="5139" spans="20:25" x14ac:dyDescent="0.3">
      <c r="T5139" s="12"/>
      <c r="U5139" s="4"/>
      <c r="V5139" s="4"/>
      <c r="X5139" s="4"/>
      <c r="Y5139" s="4"/>
    </row>
    <row r="5140" spans="20:25" x14ac:dyDescent="0.3">
      <c r="T5140" s="12"/>
      <c r="U5140" s="4"/>
      <c r="V5140" s="4"/>
      <c r="X5140" s="4"/>
      <c r="Y5140" s="4"/>
    </row>
    <row r="5141" spans="20:25" x14ac:dyDescent="0.3">
      <c r="T5141" s="12"/>
      <c r="U5141" s="4"/>
      <c r="V5141" s="4"/>
      <c r="X5141" s="4"/>
      <c r="Y5141" s="4"/>
    </row>
    <row r="5142" spans="20:25" x14ac:dyDescent="0.3">
      <c r="T5142" s="12"/>
      <c r="U5142" s="4"/>
      <c r="V5142" s="4"/>
      <c r="X5142" s="4"/>
      <c r="Y5142" s="4"/>
    </row>
    <row r="5143" spans="20:25" x14ac:dyDescent="0.3">
      <c r="T5143" s="12"/>
      <c r="U5143" s="4"/>
      <c r="V5143" s="4"/>
      <c r="X5143" s="4"/>
      <c r="Y5143" s="4"/>
    </row>
    <row r="5144" spans="20:25" x14ac:dyDescent="0.3">
      <c r="T5144" s="12"/>
      <c r="U5144" s="4"/>
      <c r="V5144" s="4"/>
      <c r="X5144" s="4"/>
      <c r="Y5144" s="4"/>
    </row>
    <row r="5145" spans="20:25" x14ac:dyDescent="0.3">
      <c r="T5145" s="12"/>
      <c r="U5145" s="4"/>
      <c r="V5145" s="4"/>
      <c r="X5145" s="4"/>
      <c r="Y5145" s="4"/>
    </row>
    <row r="5146" spans="20:25" x14ac:dyDescent="0.3">
      <c r="T5146" s="12"/>
      <c r="U5146" s="4"/>
      <c r="V5146" s="4"/>
      <c r="X5146" s="4"/>
      <c r="Y5146" s="4"/>
    </row>
    <row r="5147" spans="20:25" x14ac:dyDescent="0.3">
      <c r="T5147" s="12"/>
      <c r="U5147" s="4"/>
      <c r="V5147" s="4"/>
      <c r="X5147" s="4"/>
      <c r="Y5147" s="4"/>
    </row>
    <row r="5148" spans="20:25" x14ac:dyDescent="0.3">
      <c r="T5148" s="12"/>
      <c r="U5148" s="4"/>
      <c r="V5148" s="4"/>
      <c r="X5148" s="4"/>
      <c r="Y5148" s="4"/>
    </row>
    <row r="5149" spans="20:25" x14ac:dyDescent="0.3">
      <c r="T5149" s="12"/>
      <c r="U5149" s="4"/>
      <c r="V5149" s="4"/>
      <c r="X5149" s="4"/>
      <c r="Y5149" s="4"/>
    </row>
    <row r="5150" spans="20:25" x14ac:dyDescent="0.3">
      <c r="T5150" s="12"/>
      <c r="U5150" s="4"/>
      <c r="V5150" s="4"/>
      <c r="X5150" s="4"/>
      <c r="Y5150" s="4"/>
    </row>
    <row r="5151" spans="20:25" x14ac:dyDescent="0.3">
      <c r="T5151" s="12"/>
      <c r="U5151" s="4"/>
      <c r="V5151" s="4"/>
      <c r="X5151" s="4"/>
      <c r="Y5151" s="4"/>
    </row>
    <row r="5152" spans="20:25" x14ac:dyDescent="0.3">
      <c r="T5152" s="12"/>
      <c r="U5152" s="4"/>
      <c r="V5152" s="4"/>
      <c r="X5152" s="4"/>
      <c r="Y5152" s="4"/>
    </row>
    <row r="5153" spans="20:25" x14ac:dyDescent="0.3">
      <c r="T5153" s="12"/>
      <c r="U5153" s="4"/>
      <c r="V5153" s="4"/>
      <c r="X5153" s="4"/>
      <c r="Y5153" s="4"/>
    </row>
    <row r="5154" spans="20:25" x14ac:dyDescent="0.3">
      <c r="T5154" s="12"/>
      <c r="U5154" s="4"/>
      <c r="V5154" s="4"/>
      <c r="X5154" s="4"/>
      <c r="Y5154" s="4"/>
    </row>
    <row r="5155" spans="20:25" x14ac:dyDescent="0.3">
      <c r="T5155" s="12"/>
      <c r="U5155" s="4"/>
      <c r="V5155" s="4"/>
      <c r="X5155" s="4"/>
      <c r="Y5155" s="4"/>
    </row>
    <row r="5156" spans="20:25" x14ac:dyDescent="0.3">
      <c r="T5156" s="12"/>
      <c r="U5156" s="4"/>
      <c r="V5156" s="4"/>
      <c r="X5156" s="4"/>
      <c r="Y5156" s="4"/>
    </row>
    <row r="5157" spans="20:25" x14ac:dyDescent="0.3">
      <c r="T5157" s="12"/>
      <c r="U5157" s="4"/>
      <c r="V5157" s="4"/>
      <c r="X5157" s="4"/>
      <c r="Y5157" s="4"/>
    </row>
    <row r="5158" spans="20:25" x14ac:dyDescent="0.3">
      <c r="T5158" s="12"/>
      <c r="U5158" s="4"/>
      <c r="V5158" s="4"/>
      <c r="X5158" s="4"/>
      <c r="Y5158" s="4"/>
    </row>
    <row r="5159" spans="20:25" x14ac:dyDescent="0.3">
      <c r="T5159" s="12"/>
      <c r="U5159" s="4"/>
      <c r="V5159" s="4"/>
      <c r="X5159" s="4"/>
      <c r="Y5159" s="4"/>
    </row>
    <row r="5160" spans="20:25" x14ac:dyDescent="0.3">
      <c r="T5160" s="12"/>
      <c r="U5160" s="4"/>
      <c r="V5160" s="4"/>
      <c r="X5160" s="4"/>
      <c r="Y5160" s="4"/>
    </row>
    <row r="5161" spans="20:25" x14ac:dyDescent="0.3">
      <c r="T5161" s="12"/>
      <c r="U5161" s="4"/>
      <c r="V5161" s="4"/>
      <c r="X5161" s="4"/>
      <c r="Y5161" s="4"/>
    </row>
    <row r="5162" spans="20:25" x14ac:dyDescent="0.3">
      <c r="T5162" s="12"/>
      <c r="U5162" s="4"/>
      <c r="V5162" s="4"/>
      <c r="X5162" s="4"/>
      <c r="Y5162" s="4"/>
    </row>
    <row r="5163" spans="20:25" x14ac:dyDescent="0.3">
      <c r="T5163" s="12"/>
      <c r="U5163" s="4"/>
      <c r="V5163" s="4"/>
      <c r="X5163" s="4"/>
      <c r="Y5163" s="4"/>
    </row>
    <row r="5164" spans="20:25" x14ac:dyDescent="0.3">
      <c r="T5164" s="12"/>
      <c r="U5164" s="4"/>
      <c r="V5164" s="4"/>
      <c r="X5164" s="4"/>
      <c r="Y5164" s="4"/>
    </row>
    <row r="5165" spans="20:25" x14ac:dyDescent="0.3">
      <c r="T5165" s="12"/>
      <c r="U5165" s="4"/>
      <c r="V5165" s="4"/>
      <c r="X5165" s="4"/>
      <c r="Y5165" s="4"/>
    </row>
    <row r="5166" spans="20:25" x14ac:dyDescent="0.3">
      <c r="T5166" s="12"/>
      <c r="U5166" s="4"/>
      <c r="V5166" s="4"/>
      <c r="X5166" s="4"/>
      <c r="Y5166" s="4"/>
    </row>
    <row r="5167" spans="20:25" x14ac:dyDescent="0.3">
      <c r="T5167" s="12"/>
      <c r="U5167" s="4"/>
      <c r="V5167" s="4"/>
      <c r="X5167" s="4"/>
      <c r="Y5167" s="4"/>
    </row>
    <row r="5168" spans="20:25" x14ac:dyDescent="0.3">
      <c r="T5168" s="12"/>
      <c r="U5168" s="4"/>
      <c r="V5168" s="4"/>
      <c r="X5168" s="4"/>
      <c r="Y5168" s="4"/>
    </row>
    <row r="5169" spans="20:25" x14ac:dyDescent="0.3">
      <c r="T5169" s="12"/>
      <c r="U5169" s="4"/>
      <c r="V5169" s="4"/>
      <c r="X5169" s="4"/>
      <c r="Y5169" s="4"/>
    </row>
    <row r="5170" spans="20:25" x14ac:dyDescent="0.3">
      <c r="T5170" s="12"/>
      <c r="U5170" s="4"/>
      <c r="V5170" s="4"/>
      <c r="X5170" s="4"/>
      <c r="Y5170" s="4"/>
    </row>
    <row r="5171" spans="20:25" x14ac:dyDescent="0.3">
      <c r="T5171" s="12"/>
      <c r="U5171" s="4"/>
      <c r="V5171" s="4"/>
      <c r="X5171" s="4"/>
      <c r="Y5171" s="4"/>
    </row>
    <row r="5172" spans="20:25" x14ac:dyDescent="0.3">
      <c r="T5172" s="12"/>
      <c r="U5172" s="4"/>
      <c r="V5172" s="4"/>
      <c r="X5172" s="4"/>
      <c r="Y5172" s="4"/>
    </row>
    <row r="5173" spans="20:25" x14ac:dyDescent="0.3">
      <c r="T5173" s="12"/>
      <c r="U5173" s="4"/>
      <c r="V5173" s="4"/>
      <c r="X5173" s="4"/>
      <c r="Y5173" s="4"/>
    </row>
    <row r="5174" spans="20:25" x14ac:dyDescent="0.3">
      <c r="T5174" s="12"/>
      <c r="U5174" s="4"/>
      <c r="V5174" s="4"/>
      <c r="X5174" s="4"/>
      <c r="Y5174" s="4"/>
    </row>
    <row r="5175" spans="20:25" x14ac:dyDescent="0.3">
      <c r="T5175" s="12"/>
      <c r="U5175" s="4"/>
      <c r="V5175" s="4"/>
      <c r="X5175" s="4"/>
      <c r="Y5175" s="4"/>
    </row>
    <row r="5176" spans="20:25" x14ac:dyDescent="0.3">
      <c r="T5176" s="12"/>
      <c r="U5176" s="4"/>
      <c r="V5176" s="4"/>
      <c r="X5176" s="4"/>
      <c r="Y5176" s="4"/>
    </row>
    <row r="5177" spans="20:25" x14ac:dyDescent="0.3">
      <c r="T5177" s="12"/>
      <c r="U5177" s="4"/>
      <c r="V5177" s="4"/>
      <c r="X5177" s="4"/>
      <c r="Y5177" s="4"/>
    </row>
    <row r="5178" spans="20:25" x14ac:dyDescent="0.3">
      <c r="T5178" s="12"/>
      <c r="U5178" s="4"/>
      <c r="V5178" s="4"/>
      <c r="X5178" s="4"/>
      <c r="Y5178" s="4"/>
    </row>
    <row r="5179" spans="20:25" x14ac:dyDescent="0.3">
      <c r="T5179" s="12"/>
      <c r="U5179" s="4"/>
      <c r="V5179" s="4"/>
      <c r="X5179" s="4"/>
      <c r="Y5179" s="4"/>
    </row>
    <row r="5180" spans="20:25" x14ac:dyDescent="0.3">
      <c r="T5180" s="12"/>
      <c r="U5180" s="4"/>
      <c r="V5180" s="4"/>
      <c r="X5180" s="4"/>
      <c r="Y5180" s="4"/>
    </row>
    <row r="5181" spans="20:25" x14ac:dyDescent="0.3">
      <c r="T5181" s="12"/>
      <c r="U5181" s="4"/>
      <c r="V5181" s="4"/>
      <c r="X5181" s="4"/>
      <c r="Y5181" s="4"/>
    </row>
    <row r="5182" spans="20:25" x14ac:dyDescent="0.3">
      <c r="T5182" s="12"/>
      <c r="U5182" s="4"/>
      <c r="V5182" s="4"/>
      <c r="X5182" s="4"/>
      <c r="Y5182" s="4"/>
    </row>
    <row r="5183" spans="20:25" x14ac:dyDescent="0.3">
      <c r="T5183" s="12"/>
      <c r="U5183" s="4"/>
      <c r="V5183" s="4"/>
      <c r="X5183" s="4"/>
      <c r="Y5183" s="4"/>
    </row>
    <row r="5184" spans="20:25" x14ac:dyDescent="0.3">
      <c r="T5184" s="12"/>
      <c r="U5184" s="4"/>
      <c r="V5184" s="4"/>
      <c r="X5184" s="4"/>
      <c r="Y5184" s="4"/>
    </row>
    <row r="5185" spans="20:25" x14ac:dyDescent="0.3">
      <c r="T5185" s="12"/>
      <c r="U5185" s="4"/>
      <c r="V5185" s="4"/>
      <c r="X5185" s="4"/>
      <c r="Y5185" s="4"/>
    </row>
    <row r="5186" spans="20:25" x14ac:dyDescent="0.3">
      <c r="T5186" s="12"/>
      <c r="U5186" s="4"/>
      <c r="V5186" s="4"/>
      <c r="X5186" s="4"/>
      <c r="Y5186" s="4"/>
    </row>
    <row r="5187" spans="20:25" x14ac:dyDescent="0.3">
      <c r="T5187" s="12"/>
      <c r="U5187" s="4"/>
      <c r="V5187" s="4"/>
      <c r="X5187" s="4"/>
      <c r="Y5187" s="4"/>
    </row>
    <row r="5188" spans="20:25" x14ac:dyDescent="0.3">
      <c r="T5188" s="12"/>
      <c r="U5188" s="4"/>
      <c r="V5188" s="4"/>
      <c r="X5188" s="4"/>
      <c r="Y5188" s="4"/>
    </row>
    <row r="5189" spans="20:25" x14ac:dyDescent="0.3">
      <c r="T5189" s="12"/>
      <c r="U5189" s="4"/>
      <c r="V5189" s="4"/>
      <c r="X5189" s="4"/>
      <c r="Y5189" s="4"/>
    </row>
    <row r="5190" spans="20:25" x14ac:dyDescent="0.3">
      <c r="T5190" s="12"/>
      <c r="U5190" s="4"/>
      <c r="V5190" s="4"/>
      <c r="X5190" s="4"/>
      <c r="Y5190" s="4"/>
    </row>
    <row r="5191" spans="20:25" x14ac:dyDescent="0.3">
      <c r="T5191" s="12"/>
      <c r="U5191" s="4"/>
      <c r="V5191" s="4"/>
      <c r="X5191" s="4"/>
      <c r="Y5191" s="4"/>
    </row>
    <row r="5192" spans="20:25" x14ac:dyDescent="0.3">
      <c r="T5192" s="12"/>
      <c r="U5192" s="4"/>
      <c r="V5192" s="4"/>
      <c r="X5192" s="4"/>
      <c r="Y5192" s="4"/>
    </row>
    <row r="5193" spans="20:25" x14ac:dyDescent="0.3">
      <c r="T5193" s="12"/>
      <c r="U5193" s="4"/>
      <c r="V5193" s="4"/>
      <c r="X5193" s="4"/>
      <c r="Y5193" s="4"/>
    </row>
    <row r="5194" spans="20:25" x14ac:dyDescent="0.3">
      <c r="T5194" s="12"/>
      <c r="U5194" s="4"/>
      <c r="V5194" s="4"/>
      <c r="X5194" s="4"/>
      <c r="Y5194" s="4"/>
    </row>
    <row r="5195" spans="20:25" x14ac:dyDescent="0.3">
      <c r="T5195" s="12"/>
      <c r="U5195" s="4"/>
      <c r="V5195" s="4"/>
      <c r="X5195" s="4"/>
      <c r="Y5195" s="4"/>
    </row>
    <row r="5196" spans="20:25" x14ac:dyDescent="0.3">
      <c r="T5196" s="12"/>
      <c r="U5196" s="4"/>
      <c r="V5196" s="4"/>
      <c r="X5196" s="4"/>
      <c r="Y5196" s="4"/>
    </row>
    <row r="5197" spans="20:25" x14ac:dyDescent="0.3">
      <c r="T5197" s="12"/>
      <c r="U5197" s="4"/>
      <c r="V5197" s="4"/>
      <c r="X5197" s="4"/>
      <c r="Y5197" s="4"/>
    </row>
    <row r="5198" spans="20:25" x14ac:dyDescent="0.3">
      <c r="T5198" s="12"/>
      <c r="U5198" s="4"/>
      <c r="V5198" s="4"/>
      <c r="X5198" s="4"/>
      <c r="Y5198" s="4"/>
    </row>
    <row r="5199" spans="20:25" x14ac:dyDescent="0.3">
      <c r="T5199" s="12"/>
      <c r="U5199" s="4"/>
      <c r="V5199" s="4"/>
      <c r="X5199" s="4"/>
      <c r="Y5199" s="4"/>
    </row>
    <row r="5200" spans="20:25" x14ac:dyDescent="0.3">
      <c r="T5200" s="12"/>
      <c r="U5200" s="4"/>
      <c r="V5200" s="4"/>
      <c r="X5200" s="4"/>
      <c r="Y5200" s="4"/>
    </row>
    <row r="5201" spans="20:25" x14ac:dyDescent="0.3">
      <c r="T5201" s="12"/>
      <c r="U5201" s="4"/>
      <c r="V5201" s="4"/>
      <c r="X5201" s="4"/>
      <c r="Y5201" s="4"/>
    </row>
    <row r="5202" spans="20:25" x14ac:dyDescent="0.3">
      <c r="T5202" s="12"/>
      <c r="U5202" s="4"/>
      <c r="V5202" s="4"/>
      <c r="X5202" s="4"/>
      <c r="Y5202" s="4"/>
    </row>
    <row r="5203" spans="20:25" x14ac:dyDescent="0.3">
      <c r="T5203" s="12"/>
      <c r="U5203" s="4"/>
      <c r="V5203" s="4"/>
      <c r="X5203" s="4"/>
      <c r="Y5203" s="4"/>
    </row>
    <row r="5204" spans="20:25" x14ac:dyDescent="0.3">
      <c r="T5204" s="12"/>
      <c r="U5204" s="4"/>
      <c r="V5204" s="4"/>
      <c r="X5204" s="4"/>
      <c r="Y5204" s="4"/>
    </row>
    <row r="5205" spans="20:25" x14ac:dyDescent="0.3">
      <c r="T5205" s="12"/>
      <c r="U5205" s="4"/>
      <c r="V5205" s="4"/>
      <c r="X5205" s="4"/>
      <c r="Y5205" s="4"/>
    </row>
    <row r="5206" spans="20:25" x14ac:dyDescent="0.3">
      <c r="T5206" s="12"/>
      <c r="U5206" s="4"/>
      <c r="V5206" s="4"/>
      <c r="X5206" s="4"/>
      <c r="Y5206" s="4"/>
    </row>
    <row r="5207" spans="20:25" x14ac:dyDescent="0.3">
      <c r="T5207" s="12"/>
      <c r="U5207" s="4"/>
      <c r="V5207" s="4"/>
      <c r="X5207" s="4"/>
      <c r="Y5207" s="4"/>
    </row>
    <row r="5208" spans="20:25" x14ac:dyDescent="0.3">
      <c r="T5208" s="12"/>
      <c r="U5208" s="4"/>
      <c r="V5208" s="4"/>
      <c r="X5208" s="4"/>
      <c r="Y5208" s="4"/>
    </row>
    <row r="5209" spans="20:25" x14ac:dyDescent="0.3">
      <c r="T5209" s="12"/>
      <c r="U5209" s="4"/>
      <c r="V5209" s="4"/>
      <c r="X5209" s="4"/>
      <c r="Y5209" s="4"/>
    </row>
    <row r="5210" spans="20:25" x14ac:dyDescent="0.3">
      <c r="T5210" s="12"/>
      <c r="U5210" s="4"/>
      <c r="V5210" s="4"/>
      <c r="X5210" s="4"/>
      <c r="Y5210" s="4"/>
    </row>
    <row r="5211" spans="20:25" x14ac:dyDescent="0.3">
      <c r="T5211" s="12"/>
      <c r="U5211" s="4"/>
      <c r="V5211" s="4"/>
      <c r="X5211" s="4"/>
      <c r="Y5211" s="4"/>
    </row>
    <row r="5212" spans="20:25" x14ac:dyDescent="0.3">
      <c r="T5212" s="12"/>
      <c r="U5212" s="4"/>
      <c r="V5212" s="4"/>
      <c r="X5212" s="4"/>
      <c r="Y5212" s="4"/>
    </row>
    <row r="5213" spans="20:25" x14ac:dyDescent="0.3">
      <c r="T5213" s="12"/>
      <c r="U5213" s="4"/>
      <c r="V5213" s="4"/>
      <c r="X5213" s="4"/>
      <c r="Y5213" s="4"/>
    </row>
    <row r="5214" spans="20:25" x14ac:dyDescent="0.3">
      <c r="T5214" s="12"/>
      <c r="U5214" s="4"/>
      <c r="V5214" s="4"/>
      <c r="X5214" s="4"/>
      <c r="Y5214" s="4"/>
    </row>
    <row r="5215" spans="20:25" x14ac:dyDescent="0.3">
      <c r="T5215" s="12"/>
      <c r="U5215" s="4"/>
      <c r="V5215" s="4"/>
      <c r="X5215" s="4"/>
      <c r="Y5215" s="4"/>
    </row>
    <row r="5216" spans="20:25" x14ac:dyDescent="0.3">
      <c r="T5216" s="12"/>
      <c r="U5216" s="4"/>
      <c r="V5216" s="4"/>
      <c r="X5216" s="4"/>
      <c r="Y5216" s="4"/>
    </row>
    <row r="5217" spans="20:25" x14ac:dyDescent="0.3">
      <c r="T5217" s="12"/>
      <c r="U5217" s="4"/>
      <c r="V5217" s="4"/>
      <c r="X5217" s="4"/>
      <c r="Y5217" s="4"/>
    </row>
    <row r="5218" spans="20:25" x14ac:dyDescent="0.3">
      <c r="T5218" s="12"/>
      <c r="U5218" s="4"/>
      <c r="V5218" s="4"/>
      <c r="X5218" s="4"/>
      <c r="Y5218" s="4"/>
    </row>
    <row r="5219" spans="20:25" x14ac:dyDescent="0.3">
      <c r="T5219" s="12"/>
      <c r="U5219" s="4"/>
      <c r="V5219" s="4"/>
      <c r="X5219" s="4"/>
      <c r="Y5219" s="4"/>
    </row>
    <row r="5220" spans="20:25" x14ac:dyDescent="0.3">
      <c r="T5220" s="12"/>
      <c r="U5220" s="4"/>
      <c r="V5220" s="4"/>
      <c r="X5220" s="4"/>
      <c r="Y5220" s="4"/>
    </row>
    <row r="5221" spans="20:25" x14ac:dyDescent="0.3">
      <c r="T5221" s="12"/>
      <c r="U5221" s="4"/>
      <c r="V5221" s="4"/>
      <c r="X5221" s="4"/>
      <c r="Y5221" s="4"/>
    </row>
    <row r="5222" spans="20:25" x14ac:dyDescent="0.3">
      <c r="T5222" s="12"/>
      <c r="U5222" s="4"/>
      <c r="V5222" s="4"/>
      <c r="X5222" s="4"/>
      <c r="Y5222" s="4"/>
    </row>
    <row r="5223" spans="20:25" x14ac:dyDescent="0.3">
      <c r="T5223" s="12"/>
      <c r="U5223" s="4"/>
      <c r="V5223" s="4"/>
      <c r="X5223" s="4"/>
      <c r="Y5223" s="4"/>
    </row>
    <row r="5224" spans="20:25" x14ac:dyDescent="0.3">
      <c r="T5224" s="12"/>
      <c r="U5224" s="4"/>
      <c r="V5224" s="4"/>
      <c r="X5224" s="4"/>
      <c r="Y5224" s="4"/>
    </row>
    <row r="5225" spans="20:25" x14ac:dyDescent="0.3">
      <c r="T5225" s="12"/>
      <c r="U5225" s="4"/>
      <c r="V5225" s="4"/>
      <c r="X5225" s="4"/>
      <c r="Y5225" s="4"/>
    </row>
    <row r="5226" spans="20:25" x14ac:dyDescent="0.3">
      <c r="T5226" s="12"/>
      <c r="U5226" s="4"/>
      <c r="V5226" s="4"/>
      <c r="X5226" s="4"/>
      <c r="Y5226" s="4"/>
    </row>
    <row r="5227" spans="20:25" x14ac:dyDescent="0.3">
      <c r="T5227" s="12"/>
      <c r="U5227" s="4"/>
      <c r="V5227" s="4"/>
      <c r="X5227" s="4"/>
      <c r="Y5227" s="4"/>
    </row>
    <row r="5228" spans="20:25" x14ac:dyDescent="0.3">
      <c r="T5228" s="12"/>
      <c r="U5228" s="4"/>
      <c r="V5228" s="4"/>
      <c r="X5228" s="4"/>
      <c r="Y5228" s="4"/>
    </row>
    <row r="5229" spans="20:25" x14ac:dyDescent="0.3">
      <c r="T5229" s="12"/>
      <c r="U5229" s="4"/>
      <c r="V5229" s="4"/>
      <c r="X5229" s="4"/>
      <c r="Y5229" s="4"/>
    </row>
    <row r="5230" spans="20:25" x14ac:dyDescent="0.3">
      <c r="T5230" s="12"/>
      <c r="U5230" s="4"/>
      <c r="V5230" s="4"/>
      <c r="X5230" s="4"/>
      <c r="Y5230" s="4"/>
    </row>
    <row r="5231" spans="20:25" x14ac:dyDescent="0.3">
      <c r="T5231" s="12"/>
      <c r="U5231" s="4"/>
      <c r="V5231" s="4"/>
      <c r="X5231" s="4"/>
      <c r="Y5231" s="4"/>
    </row>
    <row r="5232" spans="20:25" x14ac:dyDescent="0.3">
      <c r="T5232" s="12"/>
      <c r="U5232" s="4"/>
      <c r="V5232" s="4"/>
      <c r="X5232" s="4"/>
      <c r="Y5232" s="4"/>
    </row>
    <row r="5233" spans="20:25" x14ac:dyDescent="0.3">
      <c r="T5233" s="12"/>
      <c r="U5233" s="4"/>
      <c r="V5233" s="4"/>
      <c r="X5233" s="4"/>
      <c r="Y5233" s="4"/>
    </row>
    <row r="5234" spans="20:25" x14ac:dyDescent="0.3">
      <c r="T5234" s="12"/>
      <c r="U5234" s="4"/>
      <c r="V5234" s="4"/>
      <c r="X5234" s="4"/>
      <c r="Y5234" s="4"/>
    </row>
    <row r="5235" spans="20:25" x14ac:dyDescent="0.3">
      <c r="T5235" s="12"/>
      <c r="U5235" s="4"/>
      <c r="V5235" s="4"/>
      <c r="X5235" s="4"/>
      <c r="Y5235" s="4"/>
    </row>
    <row r="5236" spans="20:25" x14ac:dyDescent="0.3">
      <c r="T5236" s="12"/>
      <c r="U5236" s="4"/>
      <c r="V5236" s="4"/>
      <c r="X5236" s="4"/>
      <c r="Y5236" s="4"/>
    </row>
    <row r="5237" spans="20:25" x14ac:dyDescent="0.3">
      <c r="T5237" s="12"/>
      <c r="U5237" s="4"/>
      <c r="V5237" s="4"/>
      <c r="X5237" s="4"/>
      <c r="Y5237" s="4"/>
    </row>
    <row r="5238" spans="20:25" x14ac:dyDescent="0.3">
      <c r="T5238" s="12"/>
      <c r="U5238" s="4"/>
      <c r="V5238" s="4"/>
      <c r="X5238" s="4"/>
      <c r="Y5238" s="4"/>
    </row>
    <row r="5239" spans="20:25" x14ac:dyDescent="0.3">
      <c r="T5239" s="12"/>
      <c r="U5239" s="4"/>
      <c r="V5239" s="4"/>
      <c r="X5239" s="4"/>
      <c r="Y5239" s="4"/>
    </row>
    <row r="5240" spans="20:25" x14ac:dyDescent="0.3">
      <c r="T5240" s="12"/>
      <c r="U5240" s="4"/>
      <c r="V5240" s="4"/>
      <c r="X5240" s="4"/>
      <c r="Y5240" s="4"/>
    </row>
    <row r="5241" spans="20:25" x14ac:dyDescent="0.3">
      <c r="T5241" s="12"/>
      <c r="U5241" s="4"/>
      <c r="V5241" s="4"/>
      <c r="X5241" s="4"/>
      <c r="Y5241" s="4"/>
    </row>
    <row r="5242" spans="20:25" x14ac:dyDescent="0.3">
      <c r="T5242" s="12"/>
      <c r="U5242" s="4"/>
      <c r="V5242" s="4"/>
      <c r="X5242" s="4"/>
      <c r="Y5242" s="4"/>
    </row>
    <row r="5243" spans="20:25" x14ac:dyDescent="0.3">
      <c r="T5243" s="12"/>
      <c r="U5243" s="4"/>
      <c r="V5243" s="4"/>
      <c r="X5243" s="4"/>
      <c r="Y5243" s="4"/>
    </row>
    <row r="5244" spans="20:25" x14ac:dyDescent="0.3">
      <c r="T5244" s="12"/>
      <c r="U5244" s="4"/>
      <c r="V5244" s="4"/>
      <c r="X5244" s="4"/>
      <c r="Y5244" s="4"/>
    </row>
    <row r="5245" spans="20:25" x14ac:dyDescent="0.3">
      <c r="T5245" s="12"/>
      <c r="U5245" s="4"/>
      <c r="V5245" s="4"/>
      <c r="X5245" s="4"/>
      <c r="Y5245" s="4"/>
    </row>
    <row r="5246" spans="20:25" x14ac:dyDescent="0.3">
      <c r="T5246" s="12"/>
      <c r="U5246" s="4"/>
      <c r="V5246" s="4"/>
      <c r="X5246" s="4"/>
      <c r="Y5246" s="4"/>
    </row>
    <row r="5247" spans="20:25" x14ac:dyDescent="0.3">
      <c r="T5247" s="12"/>
      <c r="U5247" s="4"/>
      <c r="V5247" s="4"/>
      <c r="X5247" s="4"/>
      <c r="Y5247" s="4"/>
    </row>
    <row r="5248" spans="20:25" x14ac:dyDescent="0.3">
      <c r="T5248" s="12"/>
      <c r="U5248" s="4"/>
      <c r="V5248" s="4"/>
      <c r="X5248" s="4"/>
      <c r="Y5248" s="4"/>
    </row>
    <row r="5249" spans="20:25" x14ac:dyDescent="0.3">
      <c r="T5249" s="12"/>
      <c r="U5249" s="4"/>
      <c r="V5249" s="4"/>
      <c r="X5249" s="4"/>
      <c r="Y5249" s="4"/>
    </row>
    <row r="5250" spans="20:25" x14ac:dyDescent="0.3">
      <c r="T5250" s="12"/>
      <c r="U5250" s="4"/>
      <c r="V5250" s="4"/>
      <c r="X5250" s="4"/>
      <c r="Y5250" s="4"/>
    </row>
    <row r="5251" spans="20:25" x14ac:dyDescent="0.3">
      <c r="T5251" s="12"/>
      <c r="U5251" s="4"/>
      <c r="V5251" s="4"/>
      <c r="X5251" s="4"/>
      <c r="Y5251" s="4"/>
    </row>
    <row r="5252" spans="20:25" x14ac:dyDescent="0.3">
      <c r="T5252" s="12"/>
      <c r="U5252" s="4"/>
      <c r="V5252" s="4"/>
      <c r="X5252" s="4"/>
      <c r="Y5252" s="4"/>
    </row>
    <row r="5253" spans="20:25" x14ac:dyDescent="0.3">
      <c r="T5253" s="12"/>
      <c r="U5253" s="4"/>
      <c r="V5253" s="4"/>
      <c r="X5253" s="4"/>
      <c r="Y5253" s="4"/>
    </row>
    <row r="5254" spans="20:25" x14ac:dyDescent="0.3">
      <c r="T5254" s="12"/>
      <c r="U5254" s="4"/>
      <c r="V5254" s="4"/>
      <c r="X5254" s="4"/>
      <c r="Y5254" s="4"/>
    </row>
    <row r="5255" spans="20:25" x14ac:dyDescent="0.3">
      <c r="T5255" s="12"/>
      <c r="U5255" s="4"/>
      <c r="V5255" s="4"/>
      <c r="X5255" s="4"/>
      <c r="Y5255" s="4"/>
    </row>
    <row r="5256" spans="20:25" x14ac:dyDescent="0.3">
      <c r="T5256" s="12"/>
      <c r="U5256" s="4"/>
      <c r="V5256" s="4"/>
      <c r="X5256" s="4"/>
      <c r="Y5256" s="4"/>
    </row>
    <row r="5257" spans="20:25" x14ac:dyDescent="0.3">
      <c r="T5257" s="12"/>
      <c r="U5257" s="4"/>
      <c r="V5257" s="4"/>
      <c r="X5257" s="4"/>
      <c r="Y5257" s="4"/>
    </row>
    <row r="5258" spans="20:25" x14ac:dyDescent="0.3">
      <c r="T5258" s="12"/>
      <c r="U5258" s="4"/>
      <c r="V5258" s="4"/>
      <c r="X5258" s="4"/>
      <c r="Y5258" s="4"/>
    </row>
    <row r="5259" spans="20:25" x14ac:dyDescent="0.3">
      <c r="T5259" s="12"/>
      <c r="U5259" s="4"/>
      <c r="V5259" s="4"/>
      <c r="X5259" s="4"/>
      <c r="Y5259" s="4"/>
    </row>
    <row r="5260" spans="20:25" x14ac:dyDescent="0.3">
      <c r="T5260" s="12"/>
      <c r="U5260" s="4"/>
      <c r="V5260" s="4"/>
      <c r="X5260" s="4"/>
      <c r="Y5260" s="4"/>
    </row>
    <row r="5261" spans="20:25" x14ac:dyDescent="0.3">
      <c r="T5261" s="12"/>
      <c r="U5261" s="4"/>
      <c r="V5261" s="4"/>
      <c r="X5261" s="4"/>
      <c r="Y5261" s="4"/>
    </row>
    <row r="5262" spans="20:25" x14ac:dyDescent="0.3">
      <c r="T5262" s="12"/>
      <c r="U5262" s="4"/>
      <c r="V5262" s="4"/>
      <c r="X5262" s="4"/>
      <c r="Y5262" s="4"/>
    </row>
    <row r="5263" spans="20:25" x14ac:dyDescent="0.3">
      <c r="T5263" s="12"/>
      <c r="U5263" s="4"/>
      <c r="V5263" s="4"/>
      <c r="X5263" s="4"/>
      <c r="Y5263" s="4"/>
    </row>
    <row r="5264" spans="20:25" x14ac:dyDescent="0.3">
      <c r="T5264" s="12"/>
      <c r="U5264" s="4"/>
      <c r="V5264" s="4"/>
      <c r="X5264" s="4"/>
      <c r="Y5264" s="4"/>
    </row>
    <row r="5265" spans="20:25" x14ac:dyDescent="0.3">
      <c r="T5265" s="12"/>
      <c r="U5265" s="4"/>
      <c r="V5265" s="4"/>
      <c r="X5265" s="4"/>
      <c r="Y5265" s="4"/>
    </row>
    <row r="5266" spans="20:25" x14ac:dyDescent="0.3">
      <c r="T5266" s="12"/>
      <c r="U5266" s="4"/>
      <c r="V5266" s="4"/>
      <c r="X5266" s="4"/>
      <c r="Y5266" s="4"/>
    </row>
    <row r="5267" spans="20:25" x14ac:dyDescent="0.3">
      <c r="T5267" s="12"/>
      <c r="U5267" s="4"/>
      <c r="V5267" s="4"/>
      <c r="X5267" s="4"/>
      <c r="Y5267" s="4"/>
    </row>
    <row r="5268" spans="20:25" x14ac:dyDescent="0.3">
      <c r="T5268" s="12"/>
      <c r="U5268" s="4"/>
      <c r="V5268" s="4"/>
      <c r="X5268" s="4"/>
      <c r="Y5268" s="4"/>
    </row>
    <row r="5269" spans="20:25" x14ac:dyDescent="0.3">
      <c r="T5269" s="12"/>
      <c r="U5269" s="4"/>
      <c r="V5269" s="4"/>
      <c r="X5269" s="4"/>
      <c r="Y5269" s="4"/>
    </row>
    <row r="5270" spans="20:25" x14ac:dyDescent="0.3">
      <c r="T5270" s="12"/>
      <c r="U5270" s="4"/>
      <c r="V5270" s="4"/>
      <c r="X5270" s="4"/>
      <c r="Y5270" s="4"/>
    </row>
    <row r="5271" spans="20:25" x14ac:dyDescent="0.3">
      <c r="T5271" s="12"/>
      <c r="U5271" s="4"/>
      <c r="V5271" s="4"/>
      <c r="X5271" s="4"/>
      <c r="Y5271" s="4"/>
    </row>
    <row r="5272" spans="20:25" x14ac:dyDescent="0.3">
      <c r="T5272" s="12"/>
      <c r="U5272" s="4"/>
      <c r="V5272" s="4"/>
      <c r="X5272" s="4"/>
      <c r="Y5272" s="4"/>
    </row>
    <row r="5273" spans="20:25" x14ac:dyDescent="0.3">
      <c r="T5273" s="12"/>
      <c r="U5273" s="4"/>
      <c r="V5273" s="4"/>
      <c r="X5273" s="4"/>
      <c r="Y5273" s="4"/>
    </row>
    <row r="5274" spans="20:25" x14ac:dyDescent="0.3">
      <c r="T5274" s="12"/>
      <c r="U5274" s="4"/>
      <c r="V5274" s="4"/>
      <c r="X5274" s="4"/>
      <c r="Y5274" s="4"/>
    </row>
    <row r="5275" spans="20:25" x14ac:dyDescent="0.3">
      <c r="T5275" s="12"/>
      <c r="U5275" s="4"/>
      <c r="V5275" s="4"/>
      <c r="X5275" s="4"/>
      <c r="Y5275" s="4"/>
    </row>
    <row r="5276" spans="20:25" x14ac:dyDescent="0.3">
      <c r="T5276" s="12"/>
      <c r="U5276" s="4"/>
      <c r="V5276" s="4"/>
      <c r="X5276" s="4"/>
      <c r="Y5276" s="4"/>
    </row>
    <row r="5277" spans="20:25" x14ac:dyDescent="0.3">
      <c r="T5277" s="12"/>
      <c r="U5277" s="4"/>
      <c r="V5277" s="4"/>
      <c r="X5277" s="4"/>
      <c r="Y5277" s="4"/>
    </row>
    <row r="5278" spans="20:25" x14ac:dyDescent="0.3">
      <c r="T5278" s="12"/>
      <c r="U5278" s="4"/>
      <c r="V5278" s="4"/>
      <c r="X5278" s="4"/>
      <c r="Y5278" s="4"/>
    </row>
    <row r="5279" spans="20:25" x14ac:dyDescent="0.3">
      <c r="T5279" s="12"/>
      <c r="U5279" s="4"/>
      <c r="V5279" s="4"/>
      <c r="X5279" s="4"/>
      <c r="Y5279" s="4"/>
    </row>
    <row r="5280" spans="20:25" x14ac:dyDescent="0.3">
      <c r="T5280" s="12"/>
      <c r="U5280" s="4"/>
      <c r="V5280" s="4"/>
      <c r="X5280" s="4"/>
      <c r="Y5280" s="4"/>
    </row>
    <row r="5281" spans="20:25" x14ac:dyDescent="0.3">
      <c r="T5281" s="12"/>
      <c r="U5281" s="4"/>
      <c r="V5281" s="4"/>
      <c r="X5281" s="4"/>
      <c r="Y5281" s="4"/>
    </row>
    <row r="5282" spans="20:25" x14ac:dyDescent="0.3">
      <c r="T5282" s="12"/>
      <c r="U5282" s="4"/>
      <c r="V5282" s="4"/>
      <c r="X5282" s="4"/>
      <c r="Y5282" s="4"/>
    </row>
    <row r="5283" spans="20:25" x14ac:dyDescent="0.3">
      <c r="T5283" s="12"/>
      <c r="U5283" s="4"/>
      <c r="V5283" s="4"/>
      <c r="X5283" s="4"/>
      <c r="Y5283" s="4"/>
    </row>
    <row r="5284" spans="20:25" x14ac:dyDescent="0.3">
      <c r="T5284" s="12"/>
      <c r="U5284" s="4"/>
      <c r="V5284" s="4"/>
      <c r="X5284" s="4"/>
      <c r="Y5284" s="4"/>
    </row>
    <row r="5285" spans="20:25" x14ac:dyDescent="0.3">
      <c r="T5285" s="12"/>
      <c r="U5285" s="4"/>
      <c r="V5285" s="4"/>
      <c r="X5285" s="4"/>
      <c r="Y5285" s="4"/>
    </row>
    <row r="5286" spans="20:25" x14ac:dyDescent="0.3">
      <c r="T5286" s="12"/>
      <c r="U5286" s="4"/>
      <c r="V5286" s="4"/>
      <c r="X5286" s="4"/>
      <c r="Y5286" s="4"/>
    </row>
    <row r="5287" spans="20:25" x14ac:dyDescent="0.3">
      <c r="T5287" s="12"/>
      <c r="U5287" s="4"/>
      <c r="V5287" s="4"/>
      <c r="X5287" s="4"/>
      <c r="Y5287" s="4"/>
    </row>
    <row r="5288" spans="20:25" x14ac:dyDescent="0.3">
      <c r="T5288" s="12"/>
      <c r="U5288" s="4"/>
      <c r="V5288" s="4"/>
      <c r="X5288" s="4"/>
      <c r="Y5288" s="4"/>
    </row>
    <row r="5289" spans="20:25" x14ac:dyDescent="0.3">
      <c r="T5289" s="12"/>
      <c r="U5289" s="4"/>
      <c r="V5289" s="4"/>
      <c r="X5289" s="4"/>
      <c r="Y5289" s="4"/>
    </row>
    <row r="5290" spans="20:25" x14ac:dyDescent="0.3">
      <c r="T5290" s="12"/>
      <c r="U5290" s="4"/>
      <c r="V5290" s="4"/>
      <c r="X5290" s="4"/>
      <c r="Y5290" s="4"/>
    </row>
    <row r="5291" spans="20:25" x14ac:dyDescent="0.3">
      <c r="T5291" s="12"/>
      <c r="U5291" s="4"/>
      <c r="V5291" s="4"/>
      <c r="X5291" s="4"/>
      <c r="Y5291" s="4"/>
    </row>
    <row r="5292" spans="20:25" x14ac:dyDescent="0.3">
      <c r="T5292" s="12"/>
      <c r="U5292" s="4"/>
      <c r="V5292" s="4"/>
      <c r="X5292" s="4"/>
      <c r="Y5292" s="4"/>
    </row>
    <row r="5293" spans="20:25" x14ac:dyDescent="0.3">
      <c r="T5293" s="12"/>
      <c r="U5293" s="4"/>
      <c r="V5293" s="4"/>
      <c r="X5293" s="4"/>
      <c r="Y5293" s="4"/>
    </row>
    <row r="5294" spans="20:25" x14ac:dyDescent="0.3">
      <c r="T5294" s="12"/>
      <c r="U5294" s="4"/>
      <c r="V5294" s="4"/>
      <c r="X5294" s="4"/>
      <c r="Y5294" s="4"/>
    </row>
    <row r="5295" spans="20:25" x14ac:dyDescent="0.3">
      <c r="T5295" s="12"/>
      <c r="U5295" s="4"/>
      <c r="V5295" s="4"/>
      <c r="X5295" s="4"/>
      <c r="Y5295" s="4"/>
    </row>
    <row r="5296" spans="20:25" x14ac:dyDescent="0.3">
      <c r="T5296" s="12"/>
      <c r="U5296" s="4"/>
      <c r="V5296" s="4"/>
      <c r="X5296" s="4"/>
      <c r="Y5296" s="4"/>
    </row>
    <row r="5297" spans="20:25" x14ac:dyDescent="0.3">
      <c r="T5297" s="12"/>
      <c r="U5297" s="4"/>
      <c r="V5297" s="4"/>
      <c r="X5297" s="4"/>
      <c r="Y5297" s="4"/>
    </row>
    <row r="5298" spans="20:25" x14ac:dyDescent="0.3">
      <c r="T5298" s="12"/>
      <c r="U5298" s="4"/>
      <c r="V5298" s="4"/>
      <c r="X5298" s="4"/>
      <c r="Y5298" s="4"/>
    </row>
    <row r="5299" spans="20:25" x14ac:dyDescent="0.3">
      <c r="T5299" s="12"/>
      <c r="U5299" s="4"/>
      <c r="V5299" s="4"/>
      <c r="X5299" s="4"/>
      <c r="Y5299" s="4"/>
    </row>
    <row r="5300" spans="20:25" x14ac:dyDescent="0.3">
      <c r="T5300" s="12"/>
      <c r="U5300" s="4"/>
      <c r="V5300" s="4"/>
      <c r="X5300" s="4"/>
      <c r="Y5300" s="4"/>
    </row>
    <row r="5301" spans="20:25" x14ac:dyDescent="0.3">
      <c r="T5301" s="12"/>
      <c r="U5301" s="4"/>
      <c r="V5301" s="4"/>
      <c r="X5301" s="4"/>
      <c r="Y5301" s="4"/>
    </row>
    <row r="5302" spans="20:25" x14ac:dyDescent="0.3">
      <c r="T5302" s="12"/>
      <c r="U5302" s="4"/>
      <c r="V5302" s="4"/>
      <c r="X5302" s="4"/>
      <c r="Y5302" s="4"/>
    </row>
    <row r="5303" spans="20:25" x14ac:dyDescent="0.3">
      <c r="T5303" s="12"/>
      <c r="U5303" s="4"/>
      <c r="V5303" s="4"/>
      <c r="X5303" s="4"/>
      <c r="Y5303" s="4"/>
    </row>
    <row r="5304" spans="20:25" x14ac:dyDescent="0.3">
      <c r="T5304" s="12"/>
      <c r="U5304" s="4"/>
      <c r="V5304" s="4"/>
      <c r="X5304" s="4"/>
      <c r="Y5304" s="4"/>
    </row>
    <row r="5305" spans="20:25" x14ac:dyDescent="0.3">
      <c r="T5305" s="12"/>
      <c r="U5305" s="4"/>
      <c r="V5305" s="4"/>
      <c r="X5305" s="4"/>
      <c r="Y5305" s="4"/>
    </row>
    <row r="5306" spans="20:25" x14ac:dyDescent="0.3">
      <c r="T5306" s="12"/>
      <c r="U5306" s="4"/>
      <c r="V5306" s="4"/>
      <c r="X5306" s="4"/>
      <c r="Y5306" s="4"/>
    </row>
    <row r="5307" spans="20:25" x14ac:dyDescent="0.3">
      <c r="T5307" s="12"/>
      <c r="U5307" s="4"/>
      <c r="V5307" s="4"/>
      <c r="X5307" s="4"/>
      <c r="Y5307" s="4"/>
    </row>
    <row r="5308" spans="20:25" x14ac:dyDescent="0.3">
      <c r="T5308" s="12"/>
      <c r="U5308" s="4"/>
      <c r="V5308" s="4"/>
      <c r="X5308" s="4"/>
      <c r="Y5308" s="4"/>
    </row>
    <row r="5309" spans="20:25" x14ac:dyDescent="0.3">
      <c r="T5309" s="12"/>
      <c r="U5309" s="4"/>
      <c r="V5309" s="4"/>
      <c r="X5309" s="4"/>
      <c r="Y5309" s="4"/>
    </row>
    <row r="5310" spans="20:25" x14ac:dyDescent="0.3">
      <c r="T5310" s="12"/>
      <c r="U5310" s="4"/>
      <c r="V5310" s="4"/>
      <c r="X5310" s="4"/>
      <c r="Y5310" s="4"/>
    </row>
    <row r="5311" spans="20:25" x14ac:dyDescent="0.3">
      <c r="T5311" s="12"/>
      <c r="U5311" s="4"/>
      <c r="V5311" s="4"/>
      <c r="X5311" s="4"/>
      <c r="Y5311" s="4"/>
    </row>
    <row r="5312" spans="20:25" x14ac:dyDescent="0.3">
      <c r="T5312" s="12"/>
      <c r="U5312" s="4"/>
      <c r="V5312" s="4"/>
      <c r="X5312" s="4"/>
      <c r="Y5312" s="4"/>
    </row>
    <row r="5313" spans="20:25" x14ac:dyDescent="0.3">
      <c r="T5313" s="12"/>
      <c r="U5313" s="4"/>
      <c r="V5313" s="4"/>
      <c r="X5313" s="4"/>
      <c r="Y5313" s="4"/>
    </row>
    <row r="5314" spans="20:25" x14ac:dyDescent="0.3">
      <c r="T5314" s="12"/>
      <c r="U5314" s="4"/>
      <c r="V5314" s="4"/>
      <c r="X5314" s="4"/>
      <c r="Y5314" s="4"/>
    </row>
    <row r="5315" spans="20:25" x14ac:dyDescent="0.3">
      <c r="T5315" s="12"/>
      <c r="U5315" s="4"/>
      <c r="V5315" s="4"/>
      <c r="X5315" s="4"/>
      <c r="Y5315" s="4"/>
    </row>
    <row r="5316" spans="20:25" x14ac:dyDescent="0.3">
      <c r="T5316" s="12"/>
      <c r="U5316" s="4"/>
      <c r="V5316" s="4"/>
      <c r="X5316" s="4"/>
      <c r="Y5316" s="4"/>
    </row>
    <row r="5317" spans="20:25" x14ac:dyDescent="0.3">
      <c r="T5317" s="12"/>
      <c r="U5317" s="4"/>
      <c r="V5317" s="4"/>
      <c r="X5317" s="4"/>
      <c r="Y5317" s="4"/>
    </row>
    <row r="5318" spans="20:25" x14ac:dyDescent="0.3">
      <c r="T5318" s="12"/>
      <c r="U5318" s="4"/>
      <c r="V5318" s="4"/>
      <c r="X5318" s="4"/>
      <c r="Y5318" s="4"/>
    </row>
    <row r="5319" spans="20:25" x14ac:dyDescent="0.3">
      <c r="T5319" s="12"/>
      <c r="U5319" s="4"/>
      <c r="V5319" s="4"/>
      <c r="X5319" s="4"/>
      <c r="Y5319" s="4"/>
    </row>
    <row r="5320" spans="20:25" x14ac:dyDescent="0.3">
      <c r="T5320" s="12"/>
      <c r="U5320" s="4"/>
      <c r="V5320" s="4"/>
      <c r="X5320" s="4"/>
      <c r="Y5320" s="4"/>
    </row>
    <row r="5321" spans="20:25" x14ac:dyDescent="0.3">
      <c r="T5321" s="12"/>
      <c r="U5321" s="4"/>
      <c r="V5321" s="4"/>
      <c r="X5321" s="4"/>
      <c r="Y5321" s="4"/>
    </row>
    <row r="5322" spans="20:25" x14ac:dyDescent="0.3">
      <c r="T5322" s="12"/>
      <c r="U5322" s="4"/>
      <c r="V5322" s="4"/>
      <c r="X5322" s="4"/>
      <c r="Y5322" s="4"/>
    </row>
    <row r="5323" spans="20:25" x14ac:dyDescent="0.3">
      <c r="T5323" s="12"/>
      <c r="U5323" s="4"/>
      <c r="V5323" s="4"/>
      <c r="X5323" s="4"/>
      <c r="Y5323" s="4"/>
    </row>
    <row r="5324" spans="20:25" x14ac:dyDescent="0.3">
      <c r="T5324" s="12"/>
      <c r="U5324" s="4"/>
      <c r="V5324" s="4"/>
      <c r="X5324" s="4"/>
      <c r="Y5324" s="4"/>
    </row>
    <row r="5325" spans="20:25" x14ac:dyDescent="0.3">
      <c r="T5325" s="12"/>
      <c r="U5325" s="4"/>
      <c r="V5325" s="4"/>
      <c r="X5325" s="4"/>
      <c r="Y5325" s="4"/>
    </row>
    <row r="5326" spans="20:25" x14ac:dyDescent="0.3">
      <c r="T5326" s="12"/>
      <c r="U5326" s="4"/>
      <c r="V5326" s="4"/>
      <c r="X5326" s="4"/>
      <c r="Y5326" s="4"/>
    </row>
    <row r="5327" spans="20:25" x14ac:dyDescent="0.3">
      <c r="T5327" s="12"/>
      <c r="U5327" s="4"/>
      <c r="V5327" s="4"/>
      <c r="X5327" s="4"/>
      <c r="Y5327" s="4"/>
    </row>
    <row r="5328" spans="20:25" x14ac:dyDescent="0.3">
      <c r="T5328" s="12"/>
      <c r="U5328" s="4"/>
      <c r="V5328" s="4"/>
      <c r="X5328" s="4"/>
      <c r="Y5328" s="4"/>
    </row>
    <row r="5329" spans="20:25" x14ac:dyDescent="0.3">
      <c r="T5329" s="12"/>
      <c r="U5329" s="4"/>
      <c r="V5329" s="4"/>
      <c r="X5329" s="4"/>
      <c r="Y5329" s="4"/>
    </row>
    <row r="5330" spans="20:25" x14ac:dyDescent="0.3">
      <c r="T5330" s="12"/>
      <c r="U5330" s="4"/>
      <c r="V5330" s="4"/>
      <c r="X5330" s="4"/>
      <c r="Y5330" s="4"/>
    </row>
    <row r="5331" spans="20:25" x14ac:dyDescent="0.3">
      <c r="T5331" s="12"/>
      <c r="U5331" s="4"/>
      <c r="V5331" s="4"/>
      <c r="X5331" s="4"/>
      <c r="Y5331" s="4"/>
    </row>
    <row r="5332" spans="20:25" x14ac:dyDescent="0.3">
      <c r="T5332" s="12"/>
      <c r="U5332" s="4"/>
      <c r="V5332" s="4"/>
      <c r="X5332" s="4"/>
      <c r="Y5332" s="4"/>
    </row>
    <row r="5333" spans="20:25" x14ac:dyDescent="0.3">
      <c r="T5333" s="12"/>
      <c r="U5333" s="4"/>
      <c r="V5333" s="4"/>
      <c r="X5333" s="4"/>
      <c r="Y5333" s="4"/>
    </row>
    <row r="5334" spans="20:25" x14ac:dyDescent="0.3">
      <c r="T5334" s="12"/>
      <c r="U5334" s="4"/>
      <c r="V5334" s="4"/>
      <c r="X5334" s="4"/>
      <c r="Y5334" s="4"/>
    </row>
    <row r="5335" spans="20:25" x14ac:dyDescent="0.3">
      <c r="T5335" s="12"/>
      <c r="U5335" s="4"/>
      <c r="V5335" s="4"/>
      <c r="X5335" s="4"/>
      <c r="Y5335" s="4"/>
    </row>
    <row r="5336" spans="20:25" x14ac:dyDescent="0.3">
      <c r="T5336" s="12"/>
      <c r="U5336" s="4"/>
      <c r="V5336" s="4"/>
      <c r="X5336" s="4"/>
      <c r="Y5336" s="4"/>
    </row>
    <row r="5337" spans="20:25" x14ac:dyDescent="0.3">
      <c r="T5337" s="12"/>
      <c r="U5337" s="4"/>
      <c r="V5337" s="4"/>
      <c r="X5337" s="4"/>
      <c r="Y5337" s="4"/>
    </row>
    <row r="5338" spans="20:25" x14ac:dyDescent="0.3">
      <c r="T5338" s="12"/>
      <c r="U5338" s="4"/>
      <c r="V5338" s="4"/>
      <c r="X5338" s="4"/>
      <c r="Y5338" s="4"/>
    </row>
    <row r="5339" spans="20:25" x14ac:dyDescent="0.3">
      <c r="T5339" s="12"/>
      <c r="U5339" s="4"/>
      <c r="V5339" s="4"/>
      <c r="X5339" s="4"/>
      <c r="Y5339" s="4"/>
    </row>
    <row r="5340" spans="20:25" x14ac:dyDescent="0.3">
      <c r="T5340" s="12"/>
      <c r="U5340" s="4"/>
      <c r="V5340" s="4"/>
      <c r="X5340" s="4"/>
      <c r="Y5340" s="4"/>
    </row>
    <row r="5341" spans="20:25" x14ac:dyDescent="0.3">
      <c r="T5341" s="12"/>
      <c r="U5341" s="4"/>
      <c r="V5341" s="4"/>
      <c r="X5341" s="4"/>
      <c r="Y5341" s="4"/>
    </row>
    <row r="5342" spans="20:25" x14ac:dyDescent="0.3">
      <c r="T5342" s="12"/>
      <c r="U5342" s="4"/>
      <c r="V5342" s="4"/>
      <c r="X5342" s="4"/>
      <c r="Y5342" s="4"/>
    </row>
    <row r="5343" spans="20:25" x14ac:dyDescent="0.3">
      <c r="T5343" s="12"/>
      <c r="U5343" s="4"/>
      <c r="V5343" s="4"/>
      <c r="X5343" s="4"/>
      <c r="Y5343" s="4"/>
    </row>
    <row r="5344" spans="20:25" x14ac:dyDescent="0.3">
      <c r="T5344" s="12"/>
      <c r="U5344" s="4"/>
      <c r="V5344" s="4"/>
      <c r="X5344" s="4"/>
      <c r="Y5344" s="4"/>
    </row>
    <row r="5345" spans="20:25" x14ac:dyDescent="0.3">
      <c r="T5345" s="12"/>
      <c r="U5345" s="4"/>
      <c r="V5345" s="4"/>
      <c r="X5345" s="4"/>
      <c r="Y5345" s="4"/>
    </row>
    <row r="5346" spans="20:25" x14ac:dyDescent="0.3">
      <c r="T5346" s="12"/>
      <c r="U5346" s="4"/>
      <c r="V5346" s="4"/>
      <c r="X5346" s="4"/>
      <c r="Y5346" s="4"/>
    </row>
    <row r="5347" spans="20:25" x14ac:dyDescent="0.3">
      <c r="T5347" s="12"/>
      <c r="U5347" s="4"/>
      <c r="V5347" s="4"/>
      <c r="X5347" s="4"/>
      <c r="Y5347" s="4"/>
    </row>
    <row r="5348" spans="20:25" x14ac:dyDescent="0.3">
      <c r="T5348" s="12"/>
      <c r="U5348" s="4"/>
      <c r="V5348" s="4"/>
      <c r="X5348" s="4"/>
      <c r="Y5348" s="4"/>
    </row>
    <row r="5349" spans="20:25" x14ac:dyDescent="0.3">
      <c r="T5349" s="12"/>
      <c r="U5349" s="4"/>
      <c r="V5349" s="4"/>
      <c r="X5349" s="4"/>
      <c r="Y5349" s="4"/>
    </row>
    <row r="5350" spans="20:25" x14ac:dyDescent="0.3">
      <c r="T5350" s="12"/>
      <c r="U5350" s="4"/>
      <c r="V5350" s="4"/>
      <c r="X5350" s="4"/>
      <c r="Y5350" s="4"/>
    </row>
    <row r="5351" spans="20:25" x14ac:dyDescent="0.3">
      <c r="T5351" s="12"/>
      <c r="U5351" s="4"/>
      <c r="V5351" s="4"/>
      <c r="X5351" s="4"/>
      <c r="Y5351" s="4"/>
    </row>
    <row r="5352" spans="20:25" x14ac:dyDescent="0.3">
      <c r="T5352" s="12"/>
      <c r="U5352" s="4"/>
      <c r="V5352" s="4"/>
      <c r="X5352" s="4"/>
      <c r="Y5352" s="4"/>
    </row>
    <row r="5353" spans="20:25" x14ac:dyDescent="0.3">
      <c r="T5353" s="12"/>
      <c r="U5353" s="4"/>
      <c r="V5353" s="4"/>
      <c r="X5353" s="4"/>
      <c r="Y5353" s="4"/>
    </row>
    <row r="5354" spans="20:25" x14ac:dyDescent="0.3">
      <c r="T5354" s="12"/>
      <c r="U5354" s="4"/>
      <c r="V5354" s="4"/>
      <c r="X5354" s="4"/>
      <c r="Y5354" s="4"/>
    </row>
    <row r="5355" spans="20:25" x14ac:dyDescent="0.3">
      <c r="T5355" s="12"/>
      <c r="U5355" s="4"/>
      <c r="V5355" s="4"/>
      <c r="X5355" s="4"/>
      <c r="Y5355" s="4"/>
    </row>
    <row r="5356" spans="20:25" x14ac:dyDescent="0.3">
      <c r="T5356" s="12"/>
      <c r="U5356" s="4"/>
      <c r="V5356" s="4"/>
      <c r="X5356" s="4"/>
      <c r="Y5356" s="4"/>
    </row>
    <row r="5357" spans="20:25" x14ac:dyDescent="0.3">
      <c r="T5357" s="12"/>
      <c r="U5357" s="4"/>
      <c r="V5357" s="4"/>
      <c r="X5357" s="4"/>
      <c r="Y5357" s="4"/>
    </row>
    <row r="5358" spans="20:25" x14ac:dyDescent="0.3">
      <c r="T5358" s="12"/>
      <c r="U5358" s="4"/>
      <c r="V5358" s="4"/>
      <c r="X5358" s="4"/>
      <c r="Y5358" s="4"/>
    </row>
    <row r="5359" spans="20:25" x14ac:dyDescent="0.3">
      <c r="T5359" s="12"/>
      <c r="U5359" s="4"/>
      <c r="V5359" s="4"/>
      <c r="X5359" s="4"/>
      <c r="Y5359" s="4"/>
    </row>
    <row r="5360" spans="20:25" x14ac:dyDescent="0.3">
      <c r="T5360" s="12"/>
      <c r="U5360" s="4"/>
      <c r="V5360" s="4"/>
      <c r="X5360" s="4"/>
      <c r="Y5360" s="4"/>
    </row>
    <row r="5361" spans="20:25" x14ac:dyDescent="0.3">
      <c r="T5361" s="12"/>
      <c r="U5361" s="4"/>
      <c r="V5361" s="4"/>
      <c r="X5361" s="4"/>
      <c r="Y5361" s="4"/>
    </row>
    <row r="5362" spans="20:25" x14ac:dyDescent="0.3">
      <c r="T5362" s="12"/>
      <c r="U5362" s="4"/>
      <c r="V5362" s="4"/>
      <c r="X5362" s="4"/>
      <c r="Y5362" s="4"/>
    </row>
    <row r="5363" spans="20:25" x14ac:dyDescent="0.3">
      <c r="T5363" s="12"/>
      <c r="U5363" s="4"/>
      <c r="V5363" s="4"/>
      <c r="X5363" s="4"/>
      <c r="Y5363" s="4"/>
    </row>
    <row r="5364" spans="20:25" x14ac:dyDescent="0.3">
      <c r="T5364" s="12"/>
      <c r="U5364" s="4"/>
      <c r="V5364" s="4"/>
      <c r="X5364" s="4"/>
      <c r="Y5364" s="4"/>
    </row>
    <row r="5365" spans="20:25" x14ac:dyDescent="0.3">
      <c r="T5365" s="12"/>
      <c r="U5365" s="4"/>
      <c r="V5365" s="4"/>
      <c r="X5365" s="4"/>
      <c r="Y5365" s="4"/>
    </row>
    <row r="5366" spans="20:25" x14ac:dyDescent="0.3">
      <c r="T5366" s="12"/>
      <c r="U5366" s="4"/>
      <c r="V5366" s="4"/>
      <c r="X5366" s="4"/>
      <c r="Y5366" s="4"/>
    </row>
    <row r="5367" spans="20:25" x14ac:dyDescent="0.3">
      <c r="T5367" s="12"/>
      <c r="U5367" s="4"/>
      <c r="V5367" s="4"/>
      <c r="X5367" s="4"/>
      <c r="Y5367" s="4"/>
    </row>
    <row r="5368" spans="20:25" x14ac:dyDescent="0.3">
      <c r="T5368" s="12"/>
      <c r="U5368" s="4"/>
      <c r="V5368" s="4"/>
      <c r="X5368" s="4"/>
      <c r="Y5368" s="4"/>
    </row>
    <row r="5369" spans="20:25" x14ac:dyDescent="0.3">
      <c r="T5369" s="12"/>
      <c r="U5369" s="4"/>
      <c r="V5369" s="4"/>
      <c r="X5369" s="4"/>
      <c r="Y5369" s="4"/>
    </row>
    <row r="5370" spans="20:25" x14ac:dyDescent="0.3">
      <c r="T5370" s="12"/>
      <c r="U5370" s="4"/>
      <c r="V5370" s="4"/>
      <c r="X5370" s="4"/>
      <c r="Y5370" s="4"/>
    </row>
    <row r="5371" spans="20:25" x14ac:dyDescent="0.3">
      <c r="T5371" s="12"/>
      <c r="U5371" s="4"/>
      <c r="V5371" s="4"/>
      <c r="X5371" s="4"/>
      <c r="Y5371" s="4"/>
    </row>
    <row r="5372" spans="20:25" x14ac:dyDescent="0.3">
      <c r="T5372" s="12"/>
      <c r="U5372" s="4"/>
      <c r="V5372" s="4"/>
      <c r="X5372" s="4"/>
      <c r="Y5372" s="4"/>
    </row>
    <row r="5373" spans="20:25" x14ac:dyDescent="0.3">
      <c r="T5373" s="12"/>
      <c r="U5373" s="4"/>
      <c r="V5373" s="4"/>
      <c r="X5373" s="4"/>
      <c r="Y5373" s="4"/>
    </row>
    <row r="5374" spans="20:25" x14ac:dyDescent="0.3">
      <c r="T5374" s="12"/>
      <c r="U5374" s="4"/>
      <c r="V5374" s="4"/>
      <c r="X5374" s="4"/>
      <c r="Y5374" s="4"/>
    </row>
    <row r="5375" spans="20:25" x14ac:dyDescent="0.3">
      <c r="T5375" s="12"/>
      <c r="U5375" s="4"/>
      <c r="V5375" s="4"/>
      <c r="X5375" s="4"/>
      <c r="Y5375" s="4"/>
    </row>
    <row r="5376" spans="20:25" x14ac:dyDescent="0.3">
      <c r="T5376" s="12"/>
      <c r="U5376" s="4"/>
      <c r="V5376" s="4"/>
      <c r="X5376" s="4"/>
      <c r="Y5376" s="4"/>
    </row>
    <row r="5377" spans="20:25" x14ac:dyDescent="0.3">
      <c r="T5377" s="12"/>
      <c r="U5377" s="4"/>
      <c r="V5377" s="4"/>
      <c r="X5377" s="4"/>
      <c r="Y5377" s="4"/>
    </row>
    <row r="5378" spans="20:25" x14ac:dyDescent="0.3">
      <c r="T5378" s="12"/>
      <c r="U5378" s="4"/>
      <c r="V5378" s="4"/>
      <c r="X5378" s="4"/>
      <c r="Y5378" s="4"/>
    </row>
    <row r="5379" spans="20:25" x14ac:dyDescent="0.3">
      <c r="T5379" s="12"/>
      <c r="U5379" s="4"/>
      <c r="V5379" s="4"/>
      <c r="X5379" s="4"/>
      <c r="Y5379" s="4"/>
    </row>
    <row r="5380" spans="20:25" x14ac:dyDescent="0.3">
      <c r="T5380" s="12"/>
      <c r="U5380" s="4"/>
      <c r="V5380" s="4"/>
      <c r="X5380" s="4"/>
      <c r="Y5380" s="4"/>
    </row>
    <row r="5381" spans="20:25" x14ac:dyDescent="0.3">
      <c r="T5381" s="12"/>
      <c r="U5381" s="4"/>
      <c r="V5381" s="4"/>
      <c r="X5381" s="4"/>
      <c r="Y5381" s="4"/>
    </row>
    <row r="5382" spans="20:25" x14ac:dyDescent="0.3">
      <c r="T5382" s="12"/>
      <c r="U5382" s="4"/>
      <c r="V5382" s="4"/>
      <c r="X5382" s="4"/>
      <c r="Y5382" s="4"/>
    </row>
    <row r="5383" spans="20:25" x14ac:dyDescent="0.3">
      <c r="T5383" s="12"/>
      <c r="U5383" s="4"/>
      <c r="V5383" s="4"/>
      <c r="X5383" s="4"/>
      <c r="Y5383" s="4"/>
    </row>
    <row r="5384" spans="20:25" x14ac:dyDescent="0.3">
      <c r="T5384" s="12"/>
      <c r="U5384" s="4"/>
      <c r="V5384" s="4"/>
      <c r="X5384" s="4"/>
      <c r="Y5384" s="4"/>
    </row>
    <row r="5385" spans="20:25" x14ac:dyDescent="0.3">
      <c r="T5385" s="12"/>
      <c r="U5385" s="4"/>
      <c r="V5385" s="4"/>
      <c r="X5385" s="4"/>
      <c r="Y5385" s="4"/>
    </row>
    <row r="5386" spans="20:25" x14ac:dyDescent="0.3">
      <c r="T5386" s="12"/>
      <c r="U5386" s="4"/>
      <c r="V5386" s="4"/>
      <c r="X5386" s="4"/>
      <c r="Y5386" s="4"/>
    </row>
    <row r="5387" spans="20:25" x14ac:dyDescent="0.3">
      <c r="T5387" s="12"/>
      <c r="U5387" s="4"/>
      <c r="V5387" s="4"/>
      <c r="X5387" s="4"/>
      <c r="Y5387" s="4"/>
    </row>
    <row r="5388" spans="20:25" x14ac:dyDescent="0.3">
      <c r="T5388" s="12"/>
      <c r="U5388" s="4"/>
      <c r="V5388" s="4"/>
      <c r="X5388" s="4"/>
      <c r="Y5388" s="4"/>
    </row>
    <row r="5389" spans="20:25" x14ac:dyDescent="0.3">
      <c r="T5389" s="12"/>
      <c r="U5389" s="4"/>
      <c r="V5389" s="4"/>
      <c r="X5389" s="4"/>
      <c r="Y5389" s="4"/>
    </row>
    <row r="5390" spans="20:25" x14ac:dyDescent="0.3">
      <c r="T5390" s="12"/>
      <c r="U5390" s="4"/>
      <c r="V5390" s="4"/>
      <c r="X5390" s="4"/>
      <c r="Y5390" s="4"/>
    </row>
    <row r="5391" spans="20:25" x14ac:dyDescent="0.3">
      <c r="T5391" s="12"/>
      <c r="U5391" s="4"/>
      <c r="V5391" s="4"/>
      <c r="X5391" s="4"/>
      <c r="Y5391" s="4"/>
    </row>
    <row r="5392" spans="20:25" x14ac:dyDescent="0.3">
      <c r="T5392" s="12"/>
      <c r="U5392" s="4"/>
      <c r="V5392" s="4"/>
      <c r="X5392" s="4"/>
      <c r="Y5392" s="4"/>
    </row>
    <row r="5393" spans="20:25" x14ac:dyDescent="0.3">
      <c r="T5393" s="12"/>
      <c r="U5393" s="4"/>
      <c r="V5393" s="4"/>
      <c r="X5393" s="4"/>
      <c r="Y5393" s="4"/>
    </row>
    <row r="5394" spans="20:25" x14ac:dyDescent="0.3">
      <c r="T5394" s="12"/>
      <c r="U5394" s="4"/>
      <c r="V5394" s="4"/>
      <c r="X5394" s="4"/>
      <c r="Y5394" s="4"/>
    </row>
    <row r="5395" spans="20:25" x14ac:dyDescent="0.3">
      <c r="T5395" s="12"/>
      <c r="U5395" s="4"/>
      <c r="V5395" s="4"/>
      <c r="X5395" s="4"/>
      <c r="Y5395" s="4"/>
    </row>
    <row r="5396" spans="20:25" x14ac:dyDescent="0.3">
      <c r="T5396" s="12"/>
      <c r="U5396" s="4"/>
      <c r="V5396" s="4"/>
      <c r="X5396" s="4"/>
      <c r="Y5396" s="4"/>
    </row>
    <row r="5397" spans="20:25" x14ac:dyDescent="0.3">
      <c r="T5397" s="12"/>
      <c r="U5397" s="4"/>
      <c r="V5397" s="4"/>
      <c r="X5397" s="4"/>
      <c r="Y5397" s="4"/>
    </row>
    <row r="5398" spans="20:25" x14ac:dyDescent="0.3">
      <c r="T5398" s="12"/>
      <c r="U5398" s="4"/>
      <c r="V5398" s="4"/>
      <c r="X5398" s="4"/>
      <c r="Y5398" s="4"/>
    </row>
    <row r="5399" spans="20:25" x14ac:dyDescent="0.3">
      <c r="T5399" s="12"/>
      <c r="U5399" s="4"/>
      <c r="V5399" s="4"/>
      <c r="X5399" s="4"/>
      <c r="Y5399" s="4"/>
    </row>
    <row r="5400" spans="20:25" x14ac:dyDescent="0.3">
      <c r="T5400" s="12"/>
      <c r="U5400" s="4"/>
      <c r="V5400" s="4"/>
      <c r="X5400" s="4"/>
      <c r="Y5400" s="4"/>
    </row>
    <row r="5401" spans="20:25" x14ac:dyDescent="0.3">
      <c r="T5401" s="12"/>
      <c r="U5401" s="4"/>
      <c r="V5401" s="4"/>
      <c r="X5401" s="4"/>
      <c r="Y5401" s="4"/>
    </row>
    <row r="5402" spans="20:25" x14ac:dyDescent="0.3">
      <c r="T5402" s="12"/>
      <c r="U5402" s="4"/>
      <c r="V5402" s="4"/>
      <c r="X5402" s="4"/>
      <c r="Y5402" s="4"/>
    </row>
    <row r="5403" spans="20:25" x14ac:dyDescent="0.3">
      <c r="T5403" s="12"/>
      <c r="U5403" s="4"/>
      <c r="V5403" s="4"/>
      <c r="X5403" s="4"/>
      <c r="Y5403" s="4"/>
    </row>
    <row r="5404" spans="20:25" x14ac:dyDescent="0.3">
      <c r="T5404" s="12"/>
      <c r="U5404" s="4"/>
      <c r="V5404" s="4"/>
      <c r="X5404" s="4"/>
      <c r="Y5404" s="4"/>
    </row>
    <row r="5405" spans="20:25" x14ac:dyDescent="0.3">
      <c r="T5405" s="12"/>
      <c r="U5405" s="4"/>
      <c r="V5405" s="4"/>
      <c r="X5405" s="4"/>
      <c r="Y5405" s="4"/>
    </row>
    <row r="5406" spans="20:25" x14ac:dyDescent="0.3">
      <c r="T5406" s="12"/>
      <c r="U5406" s="4"/>
      <c r="V5406" s="4"/>
      <c r="X5406" s="4"/>
      <c r="Y5406" s="4"/>
    </row>
    <row r="5407" spans="20:25" x14ac:dyDescent="0.3">
      <c r="T5407" s="12"/>
      <c r="U5407" s="4"/>
      <c r="V5407" s="4"/>
      <c r="X5407" s="4"/>
      <c r="Y5407" s="4"/>
    </row>
    <row r="5408" spans="20:25" x14ac:dyDescent="0.3">
      <c r="T5408" s="12"/>
      <c r="U5408" s="4"/>
      <c r="V5408" s="4"/>
      <c r="X5408" s="4"/>
      <c r="Y5408" s="4"/>
    </row>
    <row r="5409" spans="20:25" x14ac:dyDescent="0.3">
      <c r="T5409" s="12"/>
      <c r="U5409" s="4"/>
      <c r="V5409" s="4"/>
      <c r="X5409" s="4"/>
      <c r="Y5409" s="4"/>
    </row>
    <row r="5410" spans="20:25" x14ac:dyDescent="0.3">
      <c r="T5410" s="12"/>
      <c r="U5410" s="4"/>
      <c r="V5410" s="4"/>
      <c r="X5410" s="4"/>
      <c r="Y5410" s="4"/>
    </row>
    <row r="5411" spans="20:25" x14ac:dyDescent="0.3">
      <c r="T5411" s="12"/>
      <c r="U5411" s="4"/>
      <c r="V5411" s="4"/>
      <c r="X5411" s="4"/>
      <c r="Y5411" s="4"/>
    </row>
    <row r="5412" spans="20:25" x14ac:dyDescent="0.3">
      <c r="T5412" s="12"/>
      <c r="U5412" s="4"/>
      <c r="V5412" s="4"/>
      <c r="X5412" s="4"/>
      <c r="Y5412" s="4"/>
    </row>
    <row r="5413" spans="20:25" x14ac:dyDescent="0.3">
      <c r="T5413" s="12"/>
      <c r="U5413" s="4"/>
      <c r="V5413" s="4"/>
      <c r="X5413" s="4"/>
      <c r="Y5413" s="4"/>
    </row>
    <row r="5414" spans="20:25" x14ac:dyDescent="0.3">
      <c r="T5414" s="12"/>
      <c r="U5414" s="4"/>
      <c r="V5414" s="4"/>
      <c r="X5414" s="4"/>
      <c r="Y5414" s="4"/>
    </row>
    <row r="5415" spans="20:25" x14ac:dyDescent="0.3">
      <c r="T5415" s="12"/>
      <c r="U5415" s="4"/>
      <c r="V5415" s="4"/>
      <c r="X5415" s="4"/>
      <c r="Y5415" s="4"/>
    </row>
    <row r="5416" spans="20:25" x14ac:dyDescent="0.3">
      <c r="T5416" s="12"/>
      <c r="U5416" s="4"/>
      <c r="V5416" s="4"/>
      <c r="X5416" s="4"/>
      <c r="Y5416" s="4"/>
    </row>
    <row r="5417" spans="20:25" x14ac:dyDescent="0.3">
      <c r="T5417" s="12"/>
      <c r="U5417" s="4"/>
      <c r="V5417" s="4"/>
      <c r="X5417" s="4"/>
      <c r="Y5417" s="4"/>
    </row>
    <row r="5418" spans="20:25" x14ac:dyDescent="0.3">
      <c r="T5418" s="12"/>
      <c r="U5418" s="4"/>
      <c r="V5418" s="4"/>
      <c r="X5418" s="4"/>
      <c r="Y5418" s="4"/>
    </row>
    <row r="5419" spans="20:25" x14ac:dyDescent="0.3">
      <c r="T5419" s="12"/>
      <c r="U5419" s="4"/>
      <c r="V5419" s="4"/>
      <c r="X5419" s="4"/>
      <c r="Y5419" s="4"/>
    </row>
    <row r="5420" spans="20:25" x14ac:dyDescent="0.3">
      <c r="T5420" s="12"/>
      <c r="U5420" s="4"/>
      <c r="V5420" s="4"/>
      <c r="X5420" s="4"/>
      <c r="Y5420" s="4"/>
    </row>
    <row r="5421" spans="20:25" x14ac:dyDescent="0.3">
      <c r="T5421" s="12"/>
      <c r="U5421" s="4"/>
      <c r="V5421" s="4"/>
      <c r="X5421" s="4"/>
      <c r="Y5421" s="4"/>
    </row>
    <row r="5422" spans="20:25" x14ac:dyDescent="0.3">
      <c r="T5422" s="12"/>
      <c r="U5422" s="4"/>
      <c r="V5422" s="4"/>
      <c r="X5422" s="4"/>
      <c r="Y5422" s="4"/>
    </row>
    <row r="5423" spans="20:25" x14ac:dyDescent="0.3">
      <c r="T5423" s="12"/>
      <c r="U5423" s="4"/>
      <c r="V5423" s="4"/>
      <c r="X5423" s="4"/>
      <c r="Y5423" s="4"/>
    </row>
    <row r="5424" spans="20:25" x14ac:dyDescent="0.3">
      <c r="T5424" s="12"/>
      <c r="U5424" s="4"/>
      <c r="V5424" s="4"/>
      <c r="X5424" s="4"/>
      <c r="Y5424" s="4"/>
    </row>
    <row r="5425" spans="20:25" x14ac:dyDescent="0.3">
      <c r="T5425" s="12"/>
      <c r="U5425" s="4"/>
      <c r="V5425" s="4"/>
      <c r="X5425" s="4"/>
      <c r="Y5425" s="4"/>
    </row>
    <row r="5426" spans="20:25" x14ac:dyDescent="0.3">
      <c r="T5426" s="12"/>
      <c r="U5426" s="4"/>
      <c r="V5426" s="4"/>
      <c r="X5426" s="4"/>
      <c r="Y5426" s="4"/>
    </row>
    <row r="5427" spans="20:25" x14ac:dyDescent="0.3">
      <c r="T5427" s="12"/>
      <c r="U5427" s="4"/>
      <c r="V5427" s="4"/>
      <c r="X5427" s="4"/>
      <c r="Y5427" s="4"/>
    </row>
    <row r="5428" spans="20:25" x14ac:dyDescent="0.3">
      <c r="T5428" s="12"/>
      <c r="U5428" s="4"/>
      <c r="V5428" s="4"/>
      <c r="X5428" s="4"/>
      <c r="Y5428" s="4"/>
    </row>
    <row r="5429" spans="20:25" x14ac:dyDescent="0.3">
      <c r="T5429" s="12"/>
      <c r="U5429" s="4"/>
      <c r="V5429" s="4"/>
      <c r="X5429" s="4"/>
      <c r="Y5429" s="4"/>
    </row>
    <row r="5430" spans="20:25" x14ac:dyDescent="0.3">
      <c r="T5430" s="12"/>
      <c r="U5430" s="4"/>
      <c r="V5430" s="4"/>
      <c r="X5430" s="4"/>
      <c r="Y5430" s="4"/>
    </row>
    <row r="5431" spans="20:25" x14ac:dyDescent="0.3">
      <c r="T5431" s="12"/>
      <c r="U5431" s="4"/>
      <c r="V5431" s="4"/>
      <c r="X5431" s="4"/>
      <c r="Y5431" s="4"/>
    </row>
    <row r="5432" spans="20:25" x14ac:dyDescent="0.3">
      <c r="T5432" s="12"/>
      <c r="U5432" s="4"/>
      <c r="V5432" s="4"/>
      <c r="X5432" s="4"/>
      <c r="Y5432" s="4"/>
    </row>
    <row r="5433" spans="20:25" x14ac:dyDescent="0.3">
      <c r="T5433" s="12"/>
      <c r="U5433" s="4"/>
      <c r="V5433" s="4"/>
      <c r="X5433" s="4"/>
      <c r="Y5433" s="4"/>
    </row>
    <row r="5434" spans="20:25" x14ac:dyDescent="0.3">
      <c r="T5434" s="12"/>
      <c r="U5434" s="4"/>
      <c r="V5434" s="4"/>
      <c r="X5434" s="4"/>
      <c r="Y5434" s="4"/>
    </row>
    <row r="5435" spans="20:25" x14ac:dyDescent="0.3">
      <c r="T5435" s="12"/>
      <c r="U5435" s="4"/>
      <c r="V5435" s="4"/>
      <c r="X5435" s="4"/>
      <c r="Y5435" s="4"/>
    </row>
    <row r="5436" spans="20:25" x14ac:dyDescent="0.3">
      <c r="T5436" s="12"/>
      <c r="U5436" s="4"/>
      <c r="V5436" s="4"/>
      <c r="X5436" s="4"/>
      <c r="Y5436" s="4"/>
    </row>
    <row r="5437" spans="20:25" x14ac:dyDescent="0.3">
      <c r="T5437" s="12"/>
      <c r="U5437" s="4"/>
      <c r="V5437" s="4"/>
      <c r="X5437" s="4"/>
      <c r="Y5437" s="4"/>
    </row>
    <row r="5438" spans="20:25" x14ac:dyDescent="0.3">
      <c r="T5438" s="12"/>
      <c r="U5438" s="4"/>
      <c r="V5438" s="4"/>
      <c r="X5438" s="4"/>
      <c r="Y5438" s="4"/>
    </row>
    <row r="5439" spans="20:25" x14ac:dyDescent="0.3">
      <c r="T5439" s="12"/>
      <c r="U5439" s="4"/>
      <c r="V5439" s="4"/>
      <c r="X5439" s="4"/>
      <c r="Y5439" s="4"/>
    </row>
    <row r="5440" spans="20:25" x14ac:dyDescent="0.3">
      <c r="T5440" s="12"/>
      <c r="U5440" s="4"/>
      <c r="V5440" s="4"/>
      <c r="X5440" s="4"/>
      <c r="Y5440" s="4"/>
    </row>
    <row r="5441" spans="20:25" x14ac:dyDescent="0.3">
      <c r="T5441" s="12"/>
      <c r="U5441" s="4"/>
      <c r="V5441" s="4"/>
      <c r="X5441" s="4"/>
      <c r="Y5441" s="4"/>
    </row>
    <row r="5442" spans="20:25" x14ac:dyDescent="0.3">
      <c r="T5442" s="12"/>
      <c r="U5442" s="4"/>
      <c r="V5442" s="4"/>
      <c r="X5442" s="4"/>
      <c r="Y5442" s="4"/>
    </row>
    <row r="5443" spans="20:25" x14ac:dyDescent="0.3">
      <c r="T5443" s="12"/>
      <c r="U5443" s="4"/>
      <c r="V5443" s="4"/>
      <c r="X5443" s="4"/>
      <c r="Y5443" s="4"/>
    </row>
    <row r="5444" spans="20:25" x14ac:dyDescent="0.3">
      <c r="T5444" s="12"/>
      <c r="U5444" s="4"/>
      <c r="V5444" s="4"/>
      <c r="X5444" s="4"/>
      <c r="Y5444" s="4"/>
    </row>
    <row r="5445" spans="20:25" x14ac:dyDescent="0.3">
      <c r="T5445" s="12"/>
      <c r="U5445" s="4"/>
      <c r="V5445" s="4"/>
      <c r="X5445" s="4"/>
      <c r="Y5445" s="4"/>
    </row>
    <row r="5446" spans="20:25" x14ac:dyDescent="0.3">
      <c r="T5446" s="12"/>
      <c r="U5446" s="4"/>
      <c r="V5446" s="4"/>
      <c r="X5446" s="4"/>
      <c r="Y5446" s="4"/>
    </row>
    <row r="5447" spans="20:25" x14ac:dyDescent="0.3">
      <c r="T5447" s="12"/>
      <c r="U5447" s="4"/>
      <c r="V5447" s="4"/>
      <c r="X5447" s="4"/>
      <c r="Y5447" s="4"/>
    </row>
    <row r="5448" spans="20:25" x14ac:dyDescent="0.3">
      <c r="T5448" s="12"/>
      <c r="U5448" s="4"/>
      <c r="V5448" s="4"/>
      <c r="X5448" s="4"/>
      <c r="Y5448" s="4"/>
    </row>
    <row r="5449" spans="20:25" x14ac:dyDescent="0.3">
      <c r="T5449" s="12"/>
      <c r="U5449" s="4"/>
      <c r="V5449" s="4"/>
      <c r="X5449" s="4"/>
      <c r="Y5449" s="4"/>
    </row>
    <row r="5450" spans="20:25" x14ac:dyDescent="0.3">
      <c r="T5450" s="12"/>
      <c r="U5450" s="4"/>
      <c r="V5450" s="4"/>
      <c r="X5450" s="4"/>
      <c r="Y5450" s="4"/>
    </row>
    <row r="5451" spans="20:25" x14ac:dyDescent="0.3">
      <c r="T5451" s="12"/>
      <c r="U5451" s="4"/>
      <c r="V5451" s="4"/>
      <c r="X5451" s="4"/>
      <c r="Y5451" s="4"/>
    </row>
    <row r="5452" spans="20:25" x14ac:dyDescent="0.3">
      <c r="T5452" s="12"/>
      <c r="U5452" s="4"/>
      <c r="V5452" s="4"/>
      <c r="X5452" s="4"/>
      <c r="Y5452" s="4"/>
    </row>
    <row r="5453" spans="20:25" x14ac:dyDescent="0.3">
      <c r="T5453" s="12"/>
      <c r="U5453" s="4"/>
      <c r="V5453" s="4"/>
      <c r="X5453" s="4"/>
      <c r="Y5453" s="4"/>
    </row>
    <row r="5454" spans="20:25" x14ac:dyDescent="0.3">
      <c r="T5454" s="12"/>
      <c r="U5454" s="4"/>
      <c r="V5454" s="4"/>
      <c r="X5454" s="4"/>
      <c r="Y5454" s="4"/>
    </row>
    <row r="5455" spans="20:25" x14ac:dyDescent="0.3">
      <c r="T5455" s="12"/>
      <c r="U5455" s="4"/>
      <c r="V5455" s="4"/>
      <c r="X5455" s="4"/>
      <c r="Y5455" s="4"/>
    </row>
    <row r="5456" spans="20:25" x14ac:dyDescent="0.3">
      <c r="T5456" s="12"/>
      <c r="U5456" s="4"/>
      <c r="V5456" s="4"/>
      <c r="X5456" s="4"/>
      <c r="Y5456" s="4"/>
    </row>
    <row r="5457" spans="20:25" x14ac:dyDescent="0.3">
      <c r="T5457" s="12"/>
      <c r="U5457" s="4"/>
      <c r="V5457" s="4"/>
      <c r="X5457" s="4"/>
      <c r="Y5457" s="4"/>
    </row>
    <row r="5458" spans="20:25" x14ac:dyDescent="0.3">
      <c r="T5458" s="12"/>
      <c r="U5458" s="4"/>
      <c r="V5458" s="4"/>
      <c r="X5458" s="4"/>
      <c r="Y5458" s="4"/>
    </row>
    <row r="5459" spans="20:25" x14ac:dyDescent="0.3">
      <c r="T5459" s="12"/>
      <c r="U5459" s="4"/>
      <c r="V5459" s="4"/>
      <c r="X5459" s="4"/>
      <c r="Y5459" s="4"/>
    </row>
    <row r="5460" spans="20:25" x14ac:dyDescent="0.3">
      <c r="T5460" s="12"/>
      <c r="U5460" s="4"/>
      <c r="V5460" s="4"/>
      <c r="X5460" s="4"/>
      <c r="Y5460" s="4"/>
    </row>
    <row r="5461" spans="20:25" x14ac:dyDescent="0.3">
      <c r="T5461" s="12"/>
      <c r="U5461" s="4"/>
      <c r="V5461" s="4"/>
      <c r="X5461" s="4"/>
      <c r="Y5461" s="4"/>
    </row>
    <row r="5462" spans="20:25" x14ac:dyDescent="0.3">
      <c r="T5462" s="12"/>
      <c r="U5462" s="4"/>
      <c r="V5462" s="4"/>
      <c r="X5462" s="4"/>
      <c r="Y5462" s="4"/>
    </row>
    <row r="5463" spans="20:25" x14ac:dyDescent="0.3">
      <c r="T5463" s="12"/>
      <c r="U5463" s="4"/>
      <c r="V5463" s="4"/>
      <c r="X5463" s="4"/>
      <c r="Y5463" s="4"/>
    </row>
    <row r="5464" spans="20:25" x14ac:dyDescent="0.3">
      <c r="T5464" s="12"/>
      <c r="U5464" s="4"/>
      <c r="V5464" s="4"/>
      <c r="X5464" s="4"/>
      <c r="Y5464" s="4"/>
    </row>
    <row r="5465" spans="20:25" x14ac:dyDescent="0.3">
      <c r="T5465" s="12"/>
      <c r="U5465" s="4"/>
      <c r="V5465" s="4"/>
      <c r="X5465" s="4"/>
      <c r="Y5465" s="4"/>
    </row>
    <row r="5466" spans="20:25" x14ac:dyDescent="0.3">
      <c r="T5466" s="12"/>
      <c r="U5466" s="4"/>
      <c r="V5466" s="4"/>
      <c r="X5466" s="4"/>
      <c r="Y5466" s="4"/>
    </row>
    <row r="5467" spans="20:25" x14ac:dyDescent="0.3">
      <c r="T5467" s="12"/>
      <c r="U5467" s="4"/>
      <c r="V5467" s="4"/>
      <c r="X5467" s="4"/>
      <c r="Y5467" s="4"/>
    </row>
    <row r="5468" spans="20:25" x14ac:dyDescent="0.3">
      <c r="T5468" s="12"/>
      <c r="U5468" s="4"/>
      <c r="V5468" s="4"/>
      <c r="X5468" s="4"/>
      <c r="Y5468" s="4"/>
    </row>
    <row r="5469" spans="20:25" x14ac:dyDescent="0.3">
      <c r="T5469" s="12"/>
      <c r="U5469" s="4"/>
      <c r="V5469" s="4"/>
      <c r="X5469" s="4"/>
      <c r="Y5469" s="4"/>
    </row>
    <row r="5470" spans="20:25" x14ac:dyDescent="0.3">
      <c r="T5470" s="12"/>
      <c r="U5470" s="4"/>
      <c r="V5470" s="4"/>
      <c r="X5470" s="4"/>
      <c r="Y5470" s="4"/>
    </row>
    <row r="5471" spans="20:25" x14ac:dyDescent="0.3">
      <c r="T5471" s="12"/>
      <c r="U5471" s="4"/>
      <c r="V5471" s="4"/>
      <c r="X5471" s="4"/>
      <c r="Y5471" s="4"/>
    </row>
    <row r="5472" spans="20:25" x14ac:dyDescent="0.3">
      <c r="T5472" s="12"/>
      <c r="U5472" s="4"/>
      <c r="V5472" s="4"/>
      <c r="X5472" s="4"/>
      <c r="Y5472" s="4"/>
    </row>
    <row r="5473" spans="20:25" x14ac:dyDescent="0.3">
      <c r="T5473" s="12"/>
      <c r="U5473" s="4"/>
      <c r="V5473" s="4"/>
      <c r="X5473" s="4"/>
      <c r="Y5473" s="4"/>
    </row>
    <row r="5474" spans="20:25" x14ac:dyDescent="0.3">
      <c r="T5474" s="12"/>
      <c r="U5474" s="4"/>
      <c r="V5474" s="4"/>
      <c r="X5474" s="4"/>
      <c r="Y5474" s="4"/>
    </row>
    <row r="5475" spans="20:25" x14ac:dyDescent="0.3">
      <c r="T5475" s="12"/>
      <c r="U5475" s="4"/>
      <c r="V5475" s="4"/>
      <c r="X5475" s="4"/>
      <c r="Y5475" s="4"/>
    </row>
    <row r="5476" spans="20:25" x14ac:dyDescent="0.3">
      <c r="T5476" s="12"/>
      <c r="U5476" s="4"/>
      <c r="V5476" s="4"/>
      <c r="X5476" s="4"/>
      <c r="Y5476" s="4"/>
    </row>
    <row r="5477" spans="20:25" x14ac:dyDescent="0.3">
      <c r="T5477" s="12"/>
      <c r="U5477" s="4"/>
      <c r="V5477" s="4"/>
      <c r="X5477" s="4"/>
      <c r="Y5477" s="4"/>
    </row>
    <row r="5478" spans="20:25" x14ac:dyDescent="0.3">
      <c r="T5478" s="12"/>
      <c r="U5478" s="4"/>
      <c r="V5478" s="4"/>
      <c r="X5478" s="4"/>
      <c r="Y5478" s="4"/>
    </row>
    <row r="5479" spans="20:25" x14ac:dyDescent="0.3">
      <c r="T5479" s="12"/>
      <c r="U5479" s="4"/>
      <c r="V5479" s="4"/>
      <c r="X5479" s="4"/>
      <c r="Y5479" s="4"/>
    </row>
    <row r="5480" spans="20:25" x14ac:dyDescent="0.3">
      <c r="T5480" s="12"/>
      <c r="U5480" s="4"/>
      <c r="V5480" s="4"/>
      <c r="X5480" s="4"/>
      <c r="Y5480" s="4"/>
    </row>
    <row r="5481" spans="20:25" x14ac:dyDescent="0.3">
      <c r="T5481" s="12"/>
      <c r="U5481" s="4"/>
      <c r="V5481" s="4"/>
      <c r="X5481" s="4"/>
      <c r="Y5481" s="4"/>
    </row>
    <row r="5482" spans="20:25" x14ac:dyDescent="0.3">
      <c r="T5482" s="12"/>
      <c r="U5482" s="4"/>
      <c r="V5482" s="4"/>
      <c r="X5482" s="4"/>
      <c r="Y5482" s="4"/>
    </row>
    <row r="5483" spans="20:25" x14ac:dyDescent="0.3">
      <c r="T5483" s="12"/>
      <c r="U5483" s="4"/>
      <c r="V5483" s="4"/>
      <c r="X5483" s="4"/>
      <c r="Y5483" s="4"/>
    </row>
    <row r="5484" spans="20:25" x14ac:dyDescent="0.3">
      <c r="T5484" s="12"/>
      <c r="U5484" s="4"/>
      <c r="V5484" s="4"/>
      <c r="X5484" s="4"/>
      <c r="Y5484" s="4"/>
    </row>
    <row r="5485" spans="20:25" x14ac:dyDescent="0.3">
      <c r="T5485" s="12"/>
      <c r="U5485" s="4"/>
      <c r="V5485" s="4"/>
      <c r="X5485" s="4"/>
      <c r="Y5485" s="4"/>
    </row>
    <row r="5486" spans="20:25" x14ac:dyDescent="0.3">
      <c r="T5486" s="12"/>
      <c r="U5486" s="4"/>
      <c r="V5486" s="4"/>
      <c r="X5486" s="4"/>
      <c r="Y5486" s="4"/>
    </row>
    <row r="5487" spans="20:25" x14ac:dyDescent="0.3">
      <c r="T5487" s="12"/>
      <c r="U5487" s="4"/>
      <c r="V5487" s="4"/>
      <c r="X5487" s="4"/>
      <c r="Y5487" s="4"/>
    </row>
    <row r="5488" spans="20:25" x14ac:dyDescent="0.3">
      <c r="T5488" s="12"/>
      <c r="U5488" s="4"/>
      <c r="V5488" s="4"/>
      <c r="X5488" s="4"/>
      <c r="Y5488" s="4"/>
    </row>
    <row r="5489" spans="20:25" x14ac:dyDescent="0.3">
      <c r="T5489" s="12"/>
      <c r="U5489" s="4"/>
      <c r="V5489" s="4"/>
      <c r="X5489" s="4"/>
      <c r="Y5489" s="4"/>
    </row>
    <row r="5490" spans="20:25" x14ac:dyDescent="0.3">
      <c r="T5490" s="12"/>
      <c r="U5490" s="4"/>
      <c r="V5490" s="4"/>
      <c r="X5490" s="4"/>
      <c r="Y5490" s="4"/>
    </row>
    <row r="5491" spans="20:25" x14ac:dyDescent="0.3">
      <c r="T5491" s="12"/>
      <c r="U5491" s="4"/>
      <c r="V5491" s="4"/>
      <c r="X5491" s="4"/>
      <c r="Y5491" s="4"/>
    </row>
    <row r="5492" spans="20:25" x14ac:dyDescent="0.3">
      <c r="T5492" s="12"/>
      <c r="U5492" s="4"/>
      <c r="V5492" s="4"/>
      <c r="X5492" s="4"/>
      <c r="Y5492" s="4"/>
    </row>
    <row r="5493" spans="20:25" x14ac:dyDescent="0.3">
      <c r="T5493" s="12"/>
      <c r="U5493" s="4"/>
      <c r="V5493" s="4"/>
      <c r="X5493" s="4"/>
      <c r="Y5493" s="4"/>
    </row>
    <row r="5494" spans="20:25" x14ac:dyDescent="0.3">
      <c r="T5494" s="12"/>
      <c r="U5494" s="4"/>
      <c r="V5494" s="4"/>
      <c r="X5494" s="4"/>
      <c r="Y5494" s="4"/>
    </row>
    <row r="5495" spans="20:25" x14ac:dyDescent="0.3">
      <c r="T5495" s="12"/>
      <c r="U5495" s="4"/>
      <c r="V5495" s="4"/>
      <c r="X5495" s="4"/>
      <c r="Y5495" s="4"/>
    </row>
    <row r="5496" spans="20:25" x14ac:dyDescent="0.3">
      <c r="T5496" s="12"/>
      <c r="U5496" s="4"/>
      <c r="V5496" s="4"/>
      <c r="X5496" s="4"/>
      <c r="Y5496" s="4"/>
    </row>
    <row r="5497" spans="20:25" x14ac:dyDescent="0.3">
      <c r="T5497" s="12"/>
      <c r="U5497" s="4"/>
      <c r="V5497" s="4"/>
      <c r="X5497" s="4"/>
      <c r="Y5497" s="4"/>
    </row>
    <row r="5498" spans="20:25" x14ac:dyDescent="0.3">
      <c r="T5498" s="12"/>
      <c r="U5498" s="4"/>
      <c r="V5498" s="4"/>
      <c r="X5498" s="4"/>
      <c r="Y5498" s="4"/>
    </row>
    <row r="5499" spans="20:25" x14ac:dyDescent="0.3">
      <c r="T5499" s="12"/>
      <c r="U5499" s="4"/>
      <c r="V5499" s="4"/>
      <c r="X5499" s="4"/>
      <c r="Y5499" s="4"/>
    </row>
    <row r="5500" spans="20:25" x14ac:dyDescent="0.3">
      <c r="T5500" s="12"/>
      <c r="U5500" s="4"/>
      <c r="V5500" s="4"/>
      <c r="X5500" s="4"/>
      <c r="Y5500" s="4"/>
    </row>
    <row r="5501" spans="20:25" x14ac:dyDescent="0.3">
      <c r="T5501" s="12"/>
      <c r="U5501" s="4"/>
      <c r="V5501" s="4"/>
      <c r="X5501" s="4"/>
      <c r="Y5501" s="4"/>
    </row>
    <row r="5502" spans="20:25" x14ac:dyDescent="0.3">
      <c r="T5502" s="12"/>
      <c r="U5502" s="4"/>
      <c r="V5502" s="4"/>
      <c r="X5502" s="4"/>
      <c r="Y5502" s="4"/>
    </row>
    <row r="5503" spans="20:25" x14ac:dyDescent="0.3">
      <c r="T5503" s="12"/>
      <c r="U5503" s="4"/>
      <c r="V5503" s="4"/>
      <c r="X5503" s="4"/>
      <c r="Y5503" s="4"/>
    </row>
    <row r="5504" spans="20:25" x14ac:dyDescent="0.3">
      <c r="T5504" s="12"/>
      <c r="U5504" s="4"/>
      <c r="V5504" s="4"/>
      <c r="X5504" s="4"/>
      <c r="Y5504" s="4"/>
    </row>
    <row r="5505" spans="20:25" x14ac:dyDescent="0.3">
      <c r="T5505" s="12"/>
      <c r="U5505" s="4"/>
      <c r="V5505" s="4"/>
      <c r="X5505" s="4"/>
      <c r="Y5505" s="4"/>
    </row>
    <row r="5506" spans="20:25" x14ac:dyDescent="0.3">
      <c r="T5506" s="12"/>
      <c r="U5506" s="4"/>
      <c r="V5506" s="4"/>
      <c r="X5506" s="4"/>
      <c r="Y5506" s="4"/>
    </row>
    <row r="5507" spans="20:25" x14ac:dyDescent="0.3">
      <c r="T5507" s="12"/>
      <c r="U5507" s="4"/>
      <c r="V5507" s="4"/>
      <c r="X5507" s="4"/>
      <c r="Y5507" s="4"/>
    </row>
    <row r="5508" spans="20:25" x14ac:dyDescent="0.3">
      <c r="T5508" s="12"/>
      <c r="U5508" s="4"/>
      <c r="V5508" s="4"/>
      <c r="X5508" s="4"/>
      <c r="Y5508" s="4"/>
    </row>
    <row r="5509" spans="20:25" x14ac:dyDescent="0.3">
      <c r="T5509" s="12"/>
      <c r="U5509" s="4"/>
      <c r="V5509" s="4"/>
      <c r="X5509" s="4"/>
      <c r="Y5509" s="4"/>
    </row>
    <row r="5510" spans="20:25" x14ac:dyDescent="0.3">
      <c r="T5510" s="12"/>
      <c r="U5510" s="4"/>
      <c r="V5510" s="4"/>
      <c r="X5510" s="4"/>
      <c r="Y5510" s="4"/>
    </row>
    <row r="5511" spans="20:25" x14ac:dyDescent="0.3">
      <c r="T5511" s="12"/>
      <c r="U5511" s="4"/>
      <c r="V5511" s="4"/>
      <c r="X5511" s="4"/>
      <c r="Y5511" s="4"/>
    </row>
    <row r="5512" spans="20:25" x14ac:dyDescent="0.3">
      <c r="T5512" s="12"/>
      <c r="U5512" s="4"/>
      <c r="V5512" s="4"/>
      <c r="X5512" s="4"/>
      <c r="Y5512" s="4"/>
    </row>
    <row r="5513" spans="20:25" x14ac:dyDescent="0.3">
      <c r="T5513" s="12"/>
      <c r="U5513" s="4"/>
      <c r="V5513" s="4"/>
      <c r="X5513" s="4"/>
      <c r="Y5513" s="4"/>
    </row>
    <row r="5514" spans="20:25" x14ac:dyDescent="0.3">
      <c r="T5514" s="12"/>
      <c r="U5514" s="4"/>
      <c r="V5514" s="4"/>
      <c r="X5514" s="4"/>
      <c r="Y5514" s="4"/>
    </row>
    <row r="5515" spans="20:25" x14ac:dyDescent="0.3">
      <c r="T5515" s="12"/>
      <c r="U5515" s="4"/>
      <c r="V5515" s="4"/>
      <c r="X5515" s="4"/>
      <c r="Y5515" s="4"/>
    </row>
    <row r="5516" spans="20:25" x14ac:dyDescent="0.3">
      <c r="T5516" s="12"/>
      <c r="U5516" s="4"/>
      <c r="V5516" s="4"/>
      <c r="X5516" s="4"/>
      <c r="Y5516" s="4"/>
    </row>
    <row r="5517" spans="20:25" x14ac:dyDescent="0.3">
      <c r="T5517" s="12"/>
      <c r="U5517" s="4"/>
      <c r="V5517" s="4"/>
      <c r="X5517" s="4"/>
      <c r="Y5517" s="4"/>
    </row>
    <row r="5518" spans="20:25" x14ac:dyDescent="0.3">
      <c r="T5518" s="12"/>
      <c r="U5518" s="4"/>
      <c r="V5518" s="4"/>
      <c r="X5518" s="4"/>
      <c r="Y5518" s="4"/>
    </row>
    <row r="5519" spans="20:25" x14ac:dyDescent="0.3">
      <c r="T5519" s="12"/>
      <c r="U5519" s="4"/>
      <c r="V5519" s="4"/>
      <c r="X5519" s="4"/>
      <c r="Y5519" s="4"/>
    </row>
    <row r="5520" spans="20:25" x14ac:dyDescent="0.3">
      <c r="T5520" s="12"/>
      <c r="U5520" s="4"/>
      <c r="V5520" s="4"/>
      <c r="X5520" s="4"/>
      <c r="Y5520" s="4"/>
    </row>
    <row r="5521" spans="20:25" x14ac:dyDescent="0.3">
      <c r="T5521" s="12"/>
      <c r="U5521" s="4"/>
      <c r="V5521" s="4"/>
      <c r="X5521" s="4"/>
      <c r="Y5521" s="4"/>
    </row>
    <row r="5522" spans="20:25" x14ac:dyDescent="0.3">
      <c r="T5522" s="12"/>
      <c r="U5522" s="4"/>
      <c r="V5522" s="4"/>
      <c r="X5522" s="4"/>
      <c r="Y5522" s="4"/>
    </row>
    <row r="5523" spans="20:25" x14ac:dyDescent="0.3">
      <c r="T5523" s="12"/>
      <c r="U5523" s="4"/>
      <c r="V5523" s="4"/>
      <c r="X5523" s="4"/>
      <c r="Y5523" s="4"/>
    </row>
    <row r="5524" spans="20:25" x14ac:dyDescent="0.3">
      <c r="T5524" s="12"/>
      <c r="U5524" s="4"/>
      <c r="V5524" s="4"/>
      <c r="X5524" s="4"/>
      <c r="Y5524" s="4"/>
    </row>
    <row r="5525" spans="20:25" x14ac:dyDescent="0.3">
      <c r="T5525" s="12"/>
      <c r="U5525" s="4"/>
      <c r="V5525" s="4"/>
      <c r="X5525" s="4"/>
      <c r="Y5525" s="4"/>
    </row>
    <row r="5526" spans="20:25" x14ac:dyDescent="0.3">
      <c r="T5526" s="12"/>
      <c r="U5526" s="4"/>
      <c r="V5526" s="4"/>
      <c r="X5526" s="4"/>
      <c r="Y5526" s="4"/>
    </row>
    <row r="5527" spans="20:25" x14ac:dyDescent="0.3">
      <c r="T5527" s="12"/>
      <c r="U5527" s="4"/>
      <c r="V5527" s="4"/>
      <c r="X5527" s="4"/>
      <c r="Y5527" s="4"/>
    </row>
    <row r="5528" spans="20:25" x14ac:dyDescent="0.3">
      <c r="T5528" s="12"/>
      <c r="U5528" s="4"/>
      <c r="V5528" s="4"/>
      <c r="X5528" s="4"/>
      <c r="Y5528" s="4"/>
    </row>
    <row r="5529" spans="20:25" x14ac:dyDescent="0.3">
      <c r="T5529" s="12"/>
      <c r="U5529" s="4"/>
      <c r="V5529" s="4"/>
      <c r="X5529" s="4"/>
      <c r="Y5529" s="4"/>
    </row>
    <row r="5530" spans="20:25" x14ac:dyDescent="0.3">
      <c r="T5530" s="12"/>
      <c r="U5530" s="4"/>
      <c r="V5530" s="4"/>
      <c r="X5530" s="4"/>
      <c r="Y5530" s="4"/>
    </row>
    <row r="5531" spans="20:25" x14ac:dyDescent="0.3">
      <c r="T5531" s="12"/>
      <c r="U5531" s="4"/>
      <c r="V5531" s="4"/>
      <c r="X5531" s="4"/>
      <c r="Y5531" s="4"/>
    </row>
    <row r="5532" spans="20:25" x14ac:dyDescent="0.3">
      <c r="T5532" s="12"/>
      <c r="U5532" s="4"/>
      <c r="V5532" s="4"/>
      <c r="X5532" s="4"/>
      <c r="Y5532" s="4"/>
    </row>
    <row r="5533" spans="20:25" x14ac:dyDescent="0.3">
      <c r="T5533" s="12"/>
      <c r="U5533" s="4"/>
      <c r="V5533" s="4"/>
      <c r="X5533" s="4"/>
      <c r="Y5533" s="4"/>
    </row>
    <row r="5534" spans="20:25" x14ac:dyDescent="0.3">
      <c r="T5534" s="12"/>
      <c r="U5534" s="4"/>
      <c r="V5534" s="4"/>
      <c r="X5534" s="4"/>
      <c r="Y5534" s="4"/>
    </row>
    <row r="5535" spans="20:25" x14ac:dyDescent="0.3">
      <c r="T5535" s="12"/>
      <c r="U5535" s="4"/>
      <c r="V5535" s="4"/>
      <c r="X5535" s="4"/>
      <c r="Y5535" s="4"/>
    </row>
    <row r="5536" spans="20:25" x14ac:dyDescent="0.3">
      <c r="T5536" s="12"/>
      <c r="U5536" s="4"/>
      <c r="V5536" s="4"/>
      <c r="X5536" s="4"/>
      <c r="Y5536" s="4"/>
    </row>
    <row r="5537" spans="20:25" x14ac:dyDescent="0.3">
      <c r="T5537" s="12"/>
      <c r="U5537" s="4"/>
      <c r="V5537" s="4"/>
      <c r="X5537" s="4"/>
      <c r="Y5537" s="4"/>
    </row>
    <row r="5538" spans="20:25" x14ac:dyDescent="0.3">
      <c r="T5538" s="12"/>
      <c r="U5538" s="4"/>
      <c r="V5538" s="4"/>
      <c r="X5538" s="4"/>
      <c r="Y5538" s="4"/>
    </row>
    <row r="5539" spans="20:25" x14ac:dyDescent="0.3">
      <c r="T5539" s="12"/>
      <c r="U5539" s="4"/>
      <c r="V5539" s="4"/>
      <c r="X5539" s="4"/>
      <c r="Y5539" s="4"/>
    </row>
    <row r="5540" spans="20:25" x14ac:dyDescent="0.3">
      <c r="T5540" s="12"/>
      <c r="U5540" s="4"/>
      <c r="V5540" s="4"/>
      <c r="X5540" s="4"/>
      <c r="Y5540" s="4"/>
    </row>
    <row r="5541" spans="20:25" x14ac:dyDescent="0.3">
      <c r="T5541" s="12"/>
      <c r="U5541" s="4"/>
      <c r="V5541" s="4"/>
      <c r="X5541" s="4"/>
      <c r="Y5541" s="4"/>
    </row>
    <row r="5542" spans="20:25" x14ac:dyDescent="0.3">
      <c r="T5542" s="12"/>
      <c r="U5542" s="4"/>
      <c r="V5542" s="4"/>
      <c r="X5542" s="4"/>
      <c r="Y5542" s="4"/>
    </row>
    <row r="5543" spans="20:25" x14ac:dyDescent="0.3">
      <c r="T5543" s="12"/>
      <c r="U5543" s="4"/>
      <c r="V5543" s="4"/>
      <c r="X5543" s="4"/>
      <c r="Y5543" s="4"/>
    </row>
    <row r="5544" spans="20:25" x14ac:dyDescent="0.3">
      <c r="T5544" s="12"/>
      <c r="U5544" s="4"/>
      <c r="V5544" s="4"/>
      <c r="X5544" s="4"/>
      <c r="Y5544" s="4"/>
    </row>
    <row r="5545" spans="20:25" x14ac:dyDescent="0.3">
      <c r="T5545" s="12"/>
      <c r="U5545" s="4"/>
      <c r="V5545" s="4"/>
      <c r="X5545" s="4"/>
      <c r="Y5545" s="4"/>
    </row>
    <row r="5546" spans="20:25" x14ac:dyDescent="0.3">
      <c r="T5546" s="12"/>
      <c r="U5546" s="4"/>
      <c r="V5546" s="4"/>
      <c r="X5546" s="4"/>
      <c r="Y5546" s="4"/>
    </row>
    <row r="5547" spans="20:25" x14ac:dyDescent="0.3">
      <c r="T5547" s="12"/>
      <c r="U5547" s="4"/>
      <c r="V5547" s="4"/>
      <c r="X5547" s="4"/>
      <c r="Y5547" s="4"/>
    </row>
    <row r="5548" spans="20:25" x14ac:dyDescent="0.3">
      <c r="T5548" s="12"/>
      <c r="U5548" s="4"/>
      <c r="V5548" s="4"/>
      <c r="X5548" s="4"/>
      <c r="Y5548" s="4"/>
    </row>
    <row r="5549" spans="20:25" x14ac:dyDescent="0.3">
      <c r="T5549" s="12"/>
      <c r="U5549" s="4"/>
      <c r="V5549" s="4"/>
      <c r="X5549" s="4"/>
      <c r="Y5549" s="4"/>
    </row>
    <row r="5550" spans="20:25" x14ac:dyDescent="0.3">
      <c r="T5550" s="12"/>
      <c r="U5550" s="4"/>
      <c r="V5550" s="4"/>
      <c r="X5550" s="4"/>
      <c r="Y5550" s="4"/>
    </row>
    <row r="5551" spans="20:25" x14ac:dyDescent="0.3">
      <c r="T5551" s="12"/>
      <c r="U5551" s="4"/>
      <c r="V5551" s="4"/>
      <c r="X5551" s="4"/>
      <c r="Y5551" s="4"/>
    </row>
    <row r="5552" spans="20:25" x14ac:dyDescent="0.3">
      <c r="T5552" s="12"/>
      <c r="U5552" s="4"/>
      <c r="V5552" s="4"/>
      <c r="X5552" s="4"/>
      <c r="Y5552" s="4"/>
    </row>
    <row r="5553" spans="20:25" x14ac:dyDescent="0.3">
      <c r="T5553" s="12"/>
      <c r="U5553" s="4"/>
      <c r="V5553" s="4"/>
      <c r="X5553" s="4"/>
      <c r="Y5553" s="4"/>
    </row>
    <row r="5554" spans="20:25" x14ac:dyDescent="0.3">
      <c r="T5554" s="12"/>
      <c r="U5554" s="4"/>
      <c r="V5554" s="4"/>
      <c r="X5554" s="4"/>
      <c r="Y5554" s="4"/>
    </row>
    <row r="5555" spans="20:25" x14ac:dyDescent="0.3">
      <c r="T5555" s="12"/>
      <c r="U5555" s="4"/>
      <c r="V5555" s="4"/>
      <c r="X5555" s="4"/>
      <c r="Y5555" s="4"/>
    </row>
    <row r="5556" spans="20:25" x14ac:dyDescent="0.3">
      <c r="T5556" s="12"/>
      <c r="U5556" s="4"/>
      <c r="V5556" s="4"/>
      <c r="X5556" s="4"/>
      <c r="Y5556" s="4"/>
    </row>
    <row r="5557" spans="20:25" x14ac:dyDescent="0.3">
      <c r="T5557" s="12"/>
      <c r="U5557" s="4"/>
      <c r="V5557" s="4"/>
      <c r="X5557" s="4"/>
      <c r="Y5557" s="4"/>
    </row>
    <row r="5558" spans="20:25" x14ac:dyDescent="0.3">
      <c r="T5558" s="12"/>
      <c r="U5558" s="4"/>
      <c r="V5558" s="4"/>
      <c r="X5558" s="4"/>
      <c r="Y5558" s="4"/>
    </row>
    <row r="5559" spans="20:25" x14ac:dyDescent="0.3">
      <c r="T5559" s="12"/>
      <c r="U5559" s="4"/>
      <c r="V5559" s="4"/>
      <c r="X5559" s="4"/>
      <c r="Y5559" s="4"/>
    </row>
    <row r="5560" spans="20:25" x14ac:dyDescent="0.3">
      <c r="T5560" s="12"/>
      <c r="U5560" s="4"/>
      <c r="V5560" s="4"/>
      <c r="X5560" s="4"/>
      <c r="Y5560" s="4"/>
    </row>
    <row r="5561" spans="20:25" x14ac:dyDescent="0.3">
      <c r="T5561" s="12"/>
      <c r="U5561" s="4"/>
      <c r="V5561" s="4"/>
      <c r="X5561" s="4"/>
      <c r="Y5561" s="4"/>
    </row>
    <row r="5562" spans="20:25" x14ac:dyDescent="0.3">
      <c r="T5562" s="12"/>
      <c r="U5562" s="4"/>
      <c r="V5562" s="4"/>
      <c r="X5562" s="4"/>
      <c r="Y5562" s="4"/>
    </row>
    <row r="5563" spans="20:25" x14ac:dyDescent="0.3">
      <c r="T5563" s="12"/>
      <c r="U5563" s="4"/>
      <c r="V5563" s="4"/>
      <c r="X5563" s="4"/>
      <c r="Y5563" s="4"/>
    </row>
    <row r="5564" spans="20:25" x14ac:dyDescent="0.3">
      <c r="T5564" s="12"/>
      <c r="U5564" s="4"/>
      <c r="V5564" s="4"/>
      <c r="X5564" s="4"/>
      <c r="Y5564" s="4"/>
    </row>
    <row r="5565" spans="20:25" x14ac:dyDescent="0.3">
      <c r="T5565" s="12"/>
      <c r="U5565" s="4"/>
      <c r="V5565" s="4"/>
      <c r="X5565" s="4"/>
      <c r="Y5565" s="4"/>
    </row>
    <row r="5566" spans="20:25" x14ac:dyDescent="0.3">
      <c r="T5566" s="12"/>
      <c r="U5566" s="4"/>
      <c r="V5566" s="4"/>
      <c r="X5566" s="4"/>
      <c r="Y5566" s="4"/>
    </row>
    <row r="5567" spans="20:25" x14ac:dyDescent="0.3">
      <c r="T5567" s="12"/>
      <c r="U5567" s="4"/>
      <c r="V5567" s="4"/>
      <c r="X5567" s="4"/>
      <c r="Y5567" s="4"/>
    </row>
    <row r="5568" spans="20:25" x14ac:dyDescent="0.3">
      <c r="T5568" s="12"/>
      <c r="U5568" s="4"/>
      <c r="V5568" s="4"/>
      <c r="X5568" s="4"/>
      <c r="Y5568" s="4"/>
    </row>
    <row r="5569" spans="20:25" x14ac:dyDescent="0.3">
      <c r="T5569" s="12"/>
      <c r="U5569" s="4"/>
      <c r="V5569" s="4"/>
      <c r="X5569" s="4"/>
      <c r="Y5569" s="4"/>
    </row>
    <row r="5570" spans="20:25" x14ac:dyDescent="0.3">
      <c r="T5570" s="12"/>
      <c r="U5570" s="4"/>
      <c r="V5570" s="4"/>
      <c r="X5570" s="4"/>
      <c r="Y5570" s="4"/>
    </row>
    <row r="5571" spans="20:25" x14ac:dyDescent="0.3">
      <c r="T5571" s="12"/>
      <c r="U5571" s="4"/>
      <c r="V5571" s="4"/>
      <c r="X5571" s="4"/>
      <c r="Y5571" s="4"/>
    </row>
    <row r="5572" spans="20:25" x14ac:dyDescent="0.3">
      <c r="T5572" s="12"/>
      <c r="U5572" s="4"/>
      <c r="V5572" s="4"/>
      <c r="X5572" s="4"/>
      <c r="Y5572" s="4"/>
    </row>
    <row r="5573" spans="20:25" x14ac:dyDescent="0.3">
      <c r="T5573" s="12"/>
      <c r="U5573" s="4"/>
      <c r="V5573" s="4"/>
      <c r="X5573" s="4"/>
      <c r="Y5573" s="4"/>
    </row>
    <row r="5574" spans="20:25" x14ac:dyDescent="0.3">
      <c r="T5574" s="12"/>
      <c r="U5574" s="4"/>
      <c r="V5574" s="4"/>
      <c r="X5574" s="4"/>
      <c r="Y5574" s="4"/>
    </row>
    <row r="5575" spans="20:25" x14ac:dyDescent="0.3">
      <c r="T5575" s="12"/>
      <c r="U5575" s="4"/>
      <c r="V5575" s="4"/>
      <c r="X5575" s="4"/>
      <c r="Y5575" s="4"/>
    </row>
    <row r="5576" spans="20:25" x14ac:dyDescent="0.3">
      <c r="T5576" s="12"/>
      <c r="U5576" s="4"/>
      <c r="V5576" s="4"/>
      <c r="X5576" s="4"/>
      <c r="Y5576" s="4"/>
    </row>
    <row r="5577" spans="20:25" x14ac:dyDescent="0.3">
      <c r="T5577" s="12"/>
      <c r="U5577" s="4"/>
      <c r="V5577" s="4"/>
      <c r="X5577" s="4"/>
      <c r="Y5577" s="4"/>
    </row>
    <row r="5578" spans="20:25" x14ac:dyDescent="0.3">
      <c r="T5578" s="12"/>
      <c r="U5578" s="4"/>
      <c r="V5578" s="4"/>
      <c r="X5578" s="4"/>
      <c r="Y5578" s="4"/>
    </row>
    <row r="5579" spans="20:25" x14ac:dyDescent="0.3">
      <c r="T5579" s="12"/>
      <c r="U5579" s="4"/>
      <c r="V5579" s="4"/>
      <c r="X5579" s="4"/>
      <c r="Y5579" s="4"/>
    </row>
    <row r="5580" spans="20:25" x14ac:dyDescent="0.3">
      <c r="T5580" s="12"/>
      <c r="U5580" s="4"/>
      <c r="V5580" s="4"/>
      <c r="X5580" s="4"/>
      <c r="Y5580" s="4"/>
    </row>
    <row r="5581" spans="20:25" x14ac:dyDescent="0.3">
      <c r="T5581" s="12"/>
      <c r="U5581" s="4"/>
      <c r="V5581" s="4"/>
      <c r="X5581" s="4"/>
      <c r="Y5581" s="4"/>
    </row>
    <row r="5582" spans="20:25" x14ac:dyDescent="0.3">
      <c r="T5582" s="12"/>
      <c r="U5582" s="4"/>
      <c r="V5582" s="4"/>
      <c r="X5582" s="4"/>
      <c r="Y5582" s="4"/>
    </row>
    <row r="5583" spans="20:25" x14ac:dyDescent="0.3">
      <c r="T5583" s="12"/>
      <c r="U5583" s="4"/>
      <c r="V5583" s="4"/>
      <c r="X5583" s="4"/>
      <c r="Y5583" s="4"/>
    </row>
    <row r="5584" spans="20:25" x14ac:dyDescent="0.3">
      <c r="T5584" s="12"/>
      <c r="U5584" s="4"/>
      <c r="V5584" s="4"/>
      <c r="X5584" s="4"/>
      <c r="Y5584" s="4"/>
    </row>
    <row r="5585" spans="20:25" x14ac:dyDescent="0.3">
      <c r="T5585" s="12"/>
      <c r="U5585" s="4"/>
      <c r="V5585" s="4"/>
      <c r="X5585" s="4"/>
      <c r="Y5585" s="4"/>
    </row>
    <row r="5586" spans="20:25" x14ac:dyDescent="0.3">
      <c r="T5586" s="12"/>
      <c r="U5586" s="4"/>
      <c r="V5586" s="4"/>
      <c r="X5586" s="4"/>
      <c r="Y5586" s="4"/>
    </row>
    <row r="5587" spans="20:25" x14ac:dyDescent="0.3">
      <c r="T5587" s="12"/>
      <c r="U5587" s="4"/>
      <c r="V5587" s="4"/>
      <c r="X5587" s="4"/>
      <c r="Y5587" s="4"/>
    </row>
    <row r="5588" spans="20:25" x14ac:dyDescent="0.3">
      <c r="T5588" s="12"/>
      <c r="U5588" s="4"/>
      <c r="V5588" s="4"/>
      <c r="X5588" s="4"/>
      <c r="Y5588" s="4"/>
    </row>
    <row r="5589" spans="20:25" x14ac:dyDescent="0.3">
      <c r="T5589" s="12"/>
      <c r="U5589" s="4"/>
      <c r="V5589" s="4"/>
      <c r="X5589" s="4"/>
      <c r="Y5589" s="4"/>
    </row>
    <row r="5590" spans="20:25" x14ac:dyDescent="0.3">
      <c r="T5590" s="12"/>
      <c r="U5590" s="4"/>
      <c r="V5590" s="4"/>
      <c r="X5590" s="4"/>
      <c r="Y5590" s="4"/>
    </row>
    <row r="5591" spans="20:25" x14ac:dyDescent="0.3">
      <c r="T5591" s="12"/>
      <c r="U5591" s="4"/>
      <c r="V5591" s="4"/>
      <c r="X5591" s="4"/>
      <c r="Y5591" s="4"/>
    </row>
    <row r="5592" spans="20:25" x14ac:dyDescent="0.3">
      <c r="T5592" s="12"/>
      <c r="U5592" s="4"/>
      <c r="V5592" s="4"/>
      <c r="X5592" s="4"/>
      <c r="Y5592" s="4"/>
    </row>
    <row r="5593" spans="20:25" x14ac:dyDescent="0.3">
      <c r="T5593" s="12"/>
      <c r="U5593" s="4"/>
      <c r="V5593" s="4"/>
      <c r="X5593" s="4"/>
      <c r="Y5593" s="4"/>
    </row>
    <row r="5594" spans="20:25" x14ac:dyDescent="0.3">
      <c r="T5594" s="12"/>
      <c r="U5594" s="4"/>
      <c r="V5594" s="4"/>
      <c r="X5594" s="4"/>
      <c r="Y5594" s="4"/>
    </row>
    <row r="5595" spans="20:25" x14ac:dyDescent="0.3">
      <c r="T5595" s="12"/>
      <c r="U5595" s="4"/>
      <c r="V5595" s="4"/>
      <c r="X5595" s="4"/>
      <c r="Y5595" s="4"/>
    </row>
    <row r="5596" spans="20:25" x14ac:dyDescent="0.3">
      <c r="T5596" s="12"/>
      <c r="U5596" s="4"/>
      <c r="V5596" s="4"/>
      <c r="X5596" s="4"/>
      <c r="Y5596" s="4"/>
    </row>
    <row r="5597" spans="20:25" x14ac:dyDescent="0.3">
      <c r="T5597" s="12"/>
      <c r="U5597" s="4"/>
      <c r="V5597" s="4"/>
      <c r="X5597" s="4"/>
      <c r="Y5597" s="4"/>
    </row>
    <row r="5598" spans="20:25" x14ac:dyDescent="0.3">
      <c r="T5598" s="12"/>
      <c r="U5598" s="4"/>
      <c r="V5598" s="4"/>
      <c r="X5598" s="4"/>
      <c r="Y5598" s="4"/>
    </row>
    <row r="5599" spans="20:25" x14ac:dyDescent="0.3">
      <c r="T5599" s="12"/>
      <c r="U5599" s="4"/>
      <c r="V5599" s="4"/>
      <c r="X5599" s="4"/>
      <c r="Y5599" s="4"/>
    </row>
    <row r="5600" spans="20:25" x14ac:dyDescent="0.3">
      <c r="T5600" s="12"/>
      <c r="U5600" s="4"/>
      <c r="V5600" s="4"/>
      <c r="X5600" s="4"/>
      <c r="Y5600" s="4"/>
    </row>
    <row r="5601" spans="20:25" x14ac:dyDescent="0.3">
      <c r="T5601" s="12"/>
      <c r="U5601" s="4"/>
      <c r="V5601" s="4"/>
      <c r="X5601" s="4"/>
      <c r="Y5601" s="4"/>
    </row>
    <row r="5602" spans="20:25" x14ac:dyDescent="0.3">
      <c r="T5602" s="12"/>
      <c r="U5602" s="4"/>
      <c r="V5602" s="4"/>
      <c r="X5602" s="4"/>
      <c r="Y5602" s="4"/>
    </row>
    <row r="5603" spans="20:25" x14ac:dyDescent="0.3">
      <c r="T5603" s="12"/>
      <c r="U5603" s="4"/>
      <c r="V5603" s="4"/>
      <c r="X5603" s="4"/>
      <c r="Y5603" s="4"/>
    </row>
    <row r="5604" spans="20:25" x14ac:dyDescent="0.3">
      <c r="T5604" s="12"/>
      <c r="U5604" s="4"/>
      <c r="V5604" s="4"/>
      <c r="X5604" s="4"/>
      <c r="Y5604" s="4"/>
    </row>
    <row r="5605" spans="20:25" x14ac:dyDescent="0.3">
      <c r="T5605" s="12"/>
      <c r="U5605" s="4"/>
      <c r="V5605" s="4"/>
      <c r="X5605" s="4"/>
      <c r="Y5605" s="4"/>
    </row>
    <row r="5606" spans="20:25" x14ac:dyDescent="0.3">
      <c r="T5606" s="12"/>
      <c r="U5606" s="4"/>
      <c r="V5606" s="4"/>
      <c r="X5606" s="4"/>
      <c r="Y5606" s="4"/>
    </row>
    <row r="5607" spans="20:25" x14ac:dyDescent="0.3">
      <c r="T5607" s="12"/>
      <c r="U5607" s="4"/>
      <c r="V5607" s="4"/>
      <c r="X5607" s="4"/>
      <c r="Y5607" s="4"/>
    </row>
    <row r="5608" spans="20:25" x14ac:dyDescent="0.3">
      <c r="T5608" s="12"/>
      <c r="U5608" s="4"/>
      <c r="V5608" s="4"/>
      <c r="X5608" s="4"/>
      <c r="Y5608" s="4"/>
    </row>
    <row r="5609" spans="20:25" x14ac:dyDescent="0.3">
      <c r="T5609" s="12"/>
      <c r="U5609" s="4"/>
      <c r="V5609" s="4"/>
      <c r="X5609" s="4"/>
      <c r="Y5609" s="4"/>
    </row>
    <row r="5610" spans="20:25" x14ac:dyDescent="0.3">
      <c r="T5610" s="12"/>
      <c r="U5610" s="4"/>
      <c r="V5610" s="4"/>
      <c r="X5610" s="4"/>
      <c r="Y5610" s="4"/>
    </row>
    <row r="5611" spans="20:25" x14ac:dyDescent="0.3">
      <c r="T5611" s="12"/>
      <c r="U5611" s="4"/>
      <c r="V5611" s="4"/>
      <c r="X5611" s="4"/>
      <c r="Y5611" s="4"/>
    </row>
    <row r="5612" spans="20:25" x14ac:dyDescent="0.3">
      <c r="T5612" s="12"/>
      <c r="U5612" s="4"/>
      <c r="V5612" s="4"/>
      <c r="X5612" s="4"/>
      <c r="Y5612" s="4"/>
    </row>
    <row r="5613" spans="20:25" x14ac:dyDescent="0.3">
      <c r="T5613" s="12"/>
      <c r="U5613" s="4"/>
      <c r="V5613" s="4"/>
      <c r="X5613" s="4"/>
      <c r="Y5613" s="4"/>
    </row>
    <row r="5614" spans="20:25" x14ac:dyDescent="0.3">
      <c r="T5614" s="12"/>
      <c r="U5614" s="4"/>
      <c r="V5614" s="4"/>
      <c r="X5614" s="4"/>
      <c r="Y5614" s="4"/>
    </row>
    <row r="5615" spans="20:25" x14ac:dyDescent="0.3">
      <c r="T5615" s="12"/>
      <c r="U5615" s="4"/>
      <c r="V5615" s="4"/>
      <c r="X5615" s="4"/>
      <c r="Y5615" s="4"/>
    </row>
    <row r="5616" spans="20:25" x14ac:dyDescent="0.3">
      <c r="T5616" s="12"/>
      <c r="U5616" s="4"/>
      <c r="V5616" s="4"/>
      <c r="X5616" s="4"/>
      <c r="Y5616" s="4"/>
    </row>
    <row r="5617" spans="20:25" x14ac:dyDescent="0.3">
      <c r="T5617" s="12"/>
      <c r="U5617" s="4"/>
      <c r="V5617" s="4"/>
      <c r="X5617" s="4"/>
      <c r="Y5617" s="4"/>
    </row>
    <row r="5618" spans="20:25" x14ac:dyDescent="0.3">
      <c r="T5618" s="12"/>
      <c r="U5618" s="4"/>
      <c r="V5618" s="4"/>
      <c r="X5618" s="4"/>
      <c r="Y5618" s="4"/>
    </row>
    <row r="5619" spans="20:25" x14ac:dyDescent="0.3">
      <c r="T5619" s="12"/>
      <c r="U5619" s="4"/>
      <c r="V5619" s="4"/>
      <c r="X5619" s="4"/>
      <c r="Y5619" s="4"/>
    </row>
    <row r="5620" spans="20:25" x14ac:dyDescent="0.3">
      <c r="T5620" s="12"/>
      <c r="U5620" s="4"/>
      <c r="V5620" s="4"/>
      <c r="X5620" s="4"/>
      <c r="Y5620" s="4"/>
    </row>
    <row r="5621" spans="20:25" x14ac:dyDescent="0.3">
      <c r="T5621" s="12"/>
      <c r="U5621" s="4"/>
      <c r="V5621" s="4"/>
      <c r="X5621" s="4"/>
      <c r="Y5621" s="4"/>
    </row>
    <row r="5622" spans="20:25" x14ac:dyDescent="0.3">
      <c r="T5622" s="12"/>
      <c r="U5622" s="4"/>
      <c r="V5622" s="4"/>
      <c r="X5622" s="4"/>
      <c r="Y5622" s="4"/>
    </row>
    <row r="5623" spans="20:25" x14ac:dyDescent="0.3">
      <c r="T5623" s="12"/>
      <c r="U5623" s="4"/>
      <c r="V5623" s="4"/>
      <c r="X5623" s="4"/>
      <c r="Y5623" s="4"/>
    </row>
    <row r="5624" spans="20:25" x14ac:dyDescent="0.3">
      <c r="T5624" s="12"/>
      <c r="U5624" s="4"/>
      <c r="V5624" s="4"/>
      <c r="X5624" s="4"/>
      <c r="Y5624" s="4"/>
    </row>
    <row r="5625" spans="20:25" x14ac:dyDescent="0.3">
      <c r="T5625" s="12"/>
      <c r="U5625" s="4"/>
      <c r="V5625" s="4"/>
      <c r="X5625" s="4"/>
      <c r="Y5625" s="4"/>
    </row>
    <row r="5626" spans="20:25" x14ac:dyDescent="0.3">
      <c r="T5626" s="12"/>
      <c r="U5626" s="4"/>
      <c r="V5626" s="4"/>
      <c r="X5626" s="4"/>
      <c r="Y5626" s="4"/>
    </row>
    <row r="5627" spans="20:25" x14ac:dyDescent="0.3">
      <c r="T5627" s="12"/>
      <c r="U5627" s="4"/>
      <c r="V5627" s="4"/>
      <c r="X5627" s="4"/>
      <c r="Y5627" s="4"/>
    </row>
    <row r="5628" spans="20:25" x14ac:dyDescent="0.3">
      <c r="T5628" s="12"/>
      <c r="U5628" s="4"/>
      <c r="V5628" s="4"/>
      <c r="X5628" s="4"/>
      <c r="Y5628" s="4"/>
    </row>
    <row r="5629" spans="20:25" x14ac:dyDescent="0.3">
      <c r="T5629" s="12"/>
      <c r="U5629" s="4"/>
      <c r="V5629" s="4"/>
      <c r="X5629" s="4"/>
      <c r="Y5629" s="4"/>
    </row>
    <row r="5630" spans="20:25" x14ac:dyDescent="0.3">
      <c r="T5630" s="12"/>
      <c r="U5630" s="4"/>
      <c r="V5630" s="4"/>
      <c r="X5630" s="4"/>
      <c r="Y5630" s="4"/>
    </row>
    <row r="5631" spans="20:25" x14ac:dyDescent="0.3">
      <c r="T5631" s="12"/>
      <c r="U5631" s="4"/>
      <c r="V5631" s="4"/>
      <c r="X5631" s="4"/>
      <c r="Y5631" s="4"/>
    </row>
    <row r="5632" spans="20:25" x14ac:dyDescent="0.3">
      <c r="T5632" s="12"/>
      <c r="U5632" s="4"/>
      <c r="V5632" s="4"/>
      <c r="X5632" s="4"/>
      <c r="Y5632" s="4"/>
    </row>
    <row r="5633" spans="20:25" x14ac:dyDescent="0.3">
      <c r="T5633" s="12"/>
      <c r="U5633" s="4"/>
      <c r="V5633" s="4"/>
      <c r="X5633" s="4"/>
      <c r="Y5633" s="4"/>
    </row>
    <row r="5634" spans="20:25" x14ac:dyDescent="0.3">
      <c r="T5634" s="12"/>
      <c r="U5634" s="4"/>
      <c r="V5634" s="4"/>
      <c r="X5634" s="4"/>
      <c r="Y5634" s="4"/>
    </row>
    <row r="5635" spans="20:25" x14ac:dyDescent="0.3">
      <c r="T5635" s="12"/>
      <c r="U5635" s="4"/>
      <c r="V5635" s="4"/>
      <c r="X5635" s="4"/>
      <c r="Y5635" s="4"/>
    </row>
    <row r="5636" spans="20:25" x14ac:dyDescent="0.3">
      <c r="T5636" s="12"/>
      <c r="U5636" s="4"/>
      <c r="V5636" s="4"/>
      <c r="X5636" s="4"/>
      <c r="Y5636" s="4"/>
    </row>
    <row r="5637" spans="20:25" x14ac:dyDescent="0.3">
      <c r="T5637" s="12"/>
      <c r="U5637" s="4"/>
      <c r="V5637" s="4"/>
      <c r="X5637" s="4"/>
      <c r="Y5637" s="4"/>
    </row>
    <row r="5638" spans="20:25" x14ac:dyDescent="0.3">
      <c r="T5638" s="12"/>
      <c r="U5638" s="4"/>
      <c r="V5638" s="4"/>
      <c r="X5638" s="4"/>
      <c r="Y5638" s="4"/>
    </row>
    <row r="5639" spans="20:25" x14ac:dyDescent="0.3">
      <c r="T5639" s="12"/>
      <c r="U5639" s="4"/>
      <c r="V5639" s="4"/>
      <c r="X5639" s="4"/>
      <c r="Y5639" s="4"/>
    </row>
    <row r="5640" spans="20:25" x14ac:dyDescent="0.3">
      <c r="T5640" s="12"/>
      <c r="U5640" s="4"/>
      <c r="V5640" s="4"/>
      <c r="X5640" s="4"/>
      <c r="Y5640" s="4"/>
    </row>
    <row r="5641" spans="20:25" x14ac:dyDescent="0.3">
      <c r="T5641" s="12"/>
      <c r="U5641" s="4"/>
      <c r="V5641" s="4"/>
      <c r="X5641" s="4"/>
      <c r="Y5641" s="4"/>
    </row>
    <row r="5642" spans="20:25" x14ac:dyDescent="0.3">
      <c r="T5642" s="12"/>
      <c r="U5642" s="4"/>
      <c r="V5642" s="4"/>
      <c r="X5642" s="4"/>
      <c r="Y5642" s="4"/>
    </row>
    <row r="5643" spans="20:25" x14ac:dyDescent="0.3">
      <c r="T5643" s="12"/>
      <c r="U5643" s="4"/>
      <c r="V5643" s="4"/>
      <c r="X5643" s="4"/>
      <c r="Y5643" s="4"/>
    </row>
    <row r="5644" spans="20:25" x14ac:dyDescent="0.3">
      <c r="T5644" s="12"/>
      <c r="U5644" s="4"/>
      <c r="V5644" s="4"/>
      <c r="X5644" s="4"/>
      <c r="Y5644" s="4"/>
    </row>
    <row r="5645" spans="20:25" x14ac:dyDescent="0.3">
      <c r="T5645" s="12"/>
      <c r="U5645" s="4"/>
      <c r="V5645" s="4"/>
      <c r="X5645" s="4"/>
      <c r="Y5645" s="4"/>
    </row>
    <row r="5646" spans="20:25" x14ac:dyDescent="0.3">
      <c r="T5646" s="12"/>
      <c r="U5646" s="4"/>
      <c r="V5646" s="4"/>
      <c r="X5646" s="4"/>
      <c r="Y5646" s="4"/>
    </row>
    <row r="5647" spans="20:25" x14ac:dyDescent="0.3">
      <c r="T5647" s="12"/>
      <c r="U5647" s="4"/>
      <c r="V5647" s="4"/>
      <c r="X5647" s="4"/>
      <c r="Y5647" s="4"/>
    </row>
    <row r="5648" spans="20:25" x14ac:dyDescent="0.3">
      <c r="T5648" s="12"/>
      <c r="U5648" s="4"/>
      <c r="V5648" s="4"/>
      <c r="X5648" s="4"/>
      <c r="Y5648" s="4"/>
    </row>
    <row r="5649" spans="20:25" x14ac:dyDescent="0.3">
      <c r="T5649" s="12"/>
      <c r="U5649" s="4"/>
      <c r="V5649" s="4"/>
      <c r="X5649" s="4"/>
      <c r="Y5649" s="4"/>
    </row>
    <row r="5650" spans="20:25" x14ac:dyDescent="0.3">
      <c r="T5650" s="12"/>
      <c r="U5650" s="4"/>
      <c r="V5650" s="4"/>
      <c r="X5650" s="4"/>
      <c r="Y5650" s="4"/>
    </row>
    <row r="5651" spans="20:25" x14ac:dyDescent="0.3">
      <c r="T5651" s="12"/>
      <c r="U5651" s="4"/>
      <c r="V5651" s="4"/>
      <c r="X5651" s="4"/>
      <c r="Y5651" s="4"/>
    </row>
    <row r="5652" spans="20:25" x14ac:dyDescent="0.3">
      <c r="T5652" s="12"/>
      <c r="U5652" s="4"/>
      <c r="V5652" s="4"/>
      <c r="X5652" s="4"/>
      <c r="Y5652" s="4"/>
    </row>
    <row r="5653" spans="20:25" x14ac:dyDescent="0.3">
      <c r="T5653" s="12"/>
      <c r="U5653" s="4"/>
      <c r="V5653" s="4"/>
      <c r="X5653" s="4"/>
      <c r="Y5653" s="4"/>
    </row>
    <row r="5654" spans="20:25" x14ac:dyDescent="0.3">
      <c r="T5654" s="12"/>
      <c r="U5654" s="4"/>
      <c r="V5654" s="4"/>
      <c r="X5654" s="4"/>
      <c r="Y5654" s="4"/>
    </row>
    <row r="5655" spans="20:25" x14ac:dyDescent="0.3">
      <c r="T5655" s="12"/>
      <c r="U5655" s="4"/>
      <c r="V5655" s="4"/>
      <c r="X5655" s="4"/>
      <c r="Y5655" s="4"/>
    </row>
    <row r="5656" spans="20:25" x14ac:dyDescent="0.3">
      <c r="T5656" s="12"/>
      <c r="U5656" s="4"/>
      <c r="V5656" s="4"/>
      <c r="X5656" s="4"/>
      <c r="Y5656" s="4"/>
    </row>
    <row r="5657" spans="20:25" x14ac:dyDescent="0.3">
      <c r="T5657" s="12"/>
      <c r="U5657" s="4"/>
      <c r="V5657" s="4"/>
      <c r="X5657" s="4"/>
      <c r="Y5657" s="4"/>
    </row>
    <row r="5658" spans="20:25" x14ac:dyDescent="0.3">
      <c r="T5658" s="12"/>
      <c r="U5658" s="4"/>
      <c r="V5658" s="4"/>
      <c r="X5658" s="4"/>
      <c r="Y5658" s="4"/>
    </row>
    <row r="5659" spans="20:25" x14ac:dyDescent="0.3">
      <c r="T5659" s="12"/>
      <c r="U5659" s="4"/>
      <c r="V5659" s="4"/>
      <c r="X5659" s="4"/>
      <c r="Y5659" s="4"/>
    </row>
    <row r="5660" spans="20:25" x14ac:dyDescent="0.3">
      <c r="T5660" s="12"/>
      <c r="U5660" s="4"/>
      <c r="V5660" s="4"/>
      <c r="X5660" s="4"/>
      <c r="Y5660" s="4"/>
    </row>
    <row r="5661" spans="20:25" x14ac:dyDescent="0.3">
      <c r="T5661" s="12"/>
      <c r="U5661" s="4"/>
      <c r="V5661" s="4"/>
      <c r="X5661" s="4"/>
      <c r="Y5661" s="4"/>
    </row>
    <row r="5662" spans="20:25" x14ac:dyDescent="0.3">
      <c r="T5662" s="12"/>
      <c r="U5662" s="4"/>
      <c r="V5662" s="4"/>
      <c r="X5662" s="4"/>
      <c r="Y5662" s="4"/>
    </row>
    <row r="5663" spans="20:25" x14ac:dyDescent="0.3">
      <c r="T5663" s="12"/>
      <c r="U5663" s="4"/>
      <c r="V5663" s="4"/>
      <c r="X5663" s="4"/>
      <c r="Y5663" s="4"/>
    </row>
    <row r="5664" spans="20:25" x14ac:dyDescent="0.3">
      <c r="T5664" s="12"/>
      <c r="U5664" s="4"/>
      <c r="V5664" s="4"/>
      <c r="X5664" s="4"/>
      <c r="Y5664" s="4"/>
    </row>
    <row r="5665" spans="20:25" x14ac:dyDescent="0.3">
      <c r="T5665" s="12"/>
      <c r="U5665" s="4"/>
      <c r="V5665" s="4"/>
      <c r="X5665" s="4"/>
      <c r="Y5665" s="4"/>
    </row>
    <row r="5666" spans="20:25" x14ac:dyDescent="0.3">
      <c r="T5666" s="12"/>
      <c r="U5666" s="4"/>
      <c r="V5666" s="4"/>
      <c r="X5666" s="4"/>
      <c r="Y5666" s="4"/>
    </row>
    <row r="5667" spans="20:25" x14ac:dyDescent="0.3">
      <c r="T5667" s="12"/>
      <c r="U5667" s="4"/>
      <c r="V5667" s="4"/>
      <c r="X5667" s="4"/>
      <c r="Y5667" s="4"/>
    </row>
    <row r="5668" spans="20:25" x14ac:dyDescent="0.3">
      <c r="T5668" s="12"/>
      <c r="U5668" s="4"/>
      <c r="V5668" s="4"/>
      <c r="X5668" s="4"/>
      <c r="Y5668" s="4"/>
    </row>
    <row r="5669" spans="20:25" x14ac:dyDescent="0.3">
      <c r="T5669" s="12"/>
      <c r="U5669" s="4"/>
      <c r="V5669" s="4"/>
      <c r="X5669" s="4"/>
      <c r="Y5669" s="4"/>
    </row>
    <row r="5670" spans="20:25" x14ac:dyDescent="0.3">
      <c r="T5670" s="12"/>
      <c r="U5670" s="4"/>
      <c r="V5670" s="4"/>
      <c r="X5670" s="4"/>
      <c r="Y5670" s="4"/>
    </row>
    <row r="5671" spans="20:25" x14ac:dyDescent="0.3">
      <c r="T5671" s="12"/>
      <c r="U5671" s="4"/>
      <c r="V5671" s="4"/>
      <c r="X5671" s="4"/>
      <c r="Y5671" s="4"/>
    </row>
    <row r="5672" spans="20:25" x14ac:dyDescent="0.3">
      <c r="T5672" s="12"/>
      <c r="U5672" s="4"/>
      <c r="V5672" s="4"/>
      <c r="X5672" s="4"/>
      <c r="Y5672" s="4"/>
    </row>
    <row r="5673" spans="20:25" x14ac:dyDescent="0.3">
      <c r="T5673" s="12"/>
      <c r="U5673" s="4"/>
      <c r="V5673" s="4"/>
      <c r="X5673" s="4"/>
      <c r="Y5673" s="4"/>
    </row>
    <row r="5674" spans="20:25" x14ac:dyDescent="0.3">
      <c r="T5674" s="12"/>
      <c r="U5674" s="4"/>
      <c r="V5674" s="4"/>
      <c r="X5674" s="4"/>
      <c r="Y5674" s="4"/>
    </row>
    <row r="5675" spans="20:25" x14ac:dyDescent="0.3">
      <c r="T5675" s="12"/>
      <c r="U5675" s="4"/>
      <c r="V5675" s="4"/>
      <c r="X5675" s="4"/>
      <c r="Y5675" s="4"/>
    </row>
    <row r="5676" spans="20:25" x14ac:dyDescent="0.3">
      <c r="T5676" s="12"/>
      <c r="U5676" s="4"/>
      <c r="V5676" s="4"/>
      <c r="X5676" s="4"/>
      <c r="Y5676" s="4"/>
    </row>
    <row r="5677" spans="20:25" x14ac:dyDescent="0.3">
      <c r="T5677" s="12"/>
      <c r="U5677" s="4"/>
      <c r="V5677" s="4"/>
      <c r="X5677" s="4"/>
      <c r="Y5677" s="4"/>
    </row>
    <row r="5678" spans="20:25" x14ac:dyDescent="0.3">
      <c r="T5678" s="12"/>
      <c r="U5678" s="4"/>
      <c r="V5678" s="4"/>
      <c r="X5678" s="4"/>
      <c r="Y5678" s="4"/>
    </row>
    <row r="5679" spans="20:25" x14ac:dyDescent="0.3">
      <c r="T5679" s="12"/>
      <c r="U5679" s="4"/>
      <c r="V5679" s="4"/>
      <c r="X5679" s="4"/>
      <c r="Y5679" s="4"/>
    </row>
    <row r="5680" spans="20:25" x14ac:dyDescent="0.3">
      <c r="T5680" s="12"/>
      <c r="U5680" s="4"/>
      <c r="V5680" s="4"/>
      <c r="X5680" s="4"/>
      <c r="Y5680" s="4"/>
    </row>
    <row r="5681" spans="20:25" x14ac:dyDescent="0.3">
      <c r="T5681" s="12"/>
      <c r="U5681" s="4"/>
      <c r="V5681" s="4"/>
      <c r="X5681" s="4"/>
      <c r="Y5681" s="4"/>
    </row>
    <row r="5682" spans="20:25" x14ac:dyDescent="0.3">
      <c r="T5682" s="12"/>
      <c r="U5682" s="4"/>
      <c r="V5682" s="4"/>
      <c r="X5682" s="4"/>
      <c r="Y5682" s="4"/>
    </row>
    <row r="5683" spans="20:25" x14ac:dyDescent="0.3">
      <c r="T5683" s="12"/>
      <c r="U5683" s="4"/>
      <c r="V5683" s="4"/>
      <c r="X5683" s="4"/>
      <c r="Y5683" s="4"/>
    </row>
    <row r="5684" spans="20:25" x14ac:dyDescent="0.3">
      <c r="T5684" s="12"/>
      <c r="U5684" s="4"/>
      <c r="V5684" s="4"/>
      <c r="X5684" s="4"/>
      <c r="Y5684" s="4"/>
    </row>
    <row r="5685" spans="20:25" x14ac:dyDescent="0.3">
      <c r="T5685" s="12"/>
      <c r="U5685" s="4"/>
      <c r="V5685" s="4"/>
      <c r="X5685" s="4"/>
      <c r="Y5685" s="4"/>
    </row>
    <row r="5686" spans="20:25" x14ac:dyDescent="0.3">
      <c r="T5686" s="12"/>
      <c r="U5686" s="4"/>
      <c r="V5686" s="4"/>
      <c r="X5686" s="4"/>
      <c r="Y5686" s="4"/>
    </row>
    <row r="5687" spans="20:25" x14ac:dyDescent="0.3">
      <c r="T5687" s="12"/>
      <c r="U5687" s="4"/>
      <c r="V5687" s="4"/>
      <c r="X5687" s="4"/>
      <c r="Y5687" s="4"/>
    </row>
    <row r="5688" spans="20:25" x14ac:dyDescent="0.3">
      <c r="T5688" s="12"/>
      <c r="U5688" s="4"/>
      <c r="V5688" s="4"/>
      <c r="X5688" s="4"/>
      <c r="Y5688" s="4"/>
    </row>
    <row r="5689" spans="20:25" x14ac:dyDescent="0.3">
      <c r="T5689" s="12"/>
      <c r="U5689" s="4"/>
      <c r="V5689" s="4"/>
      <c r="X5689" s="4"/>
      <c r="Y5689" s="4"/>
    </row>
    <row r="5690" spans="20:25" x14ac:dyDescent="0.3">
      <c r="T5690" s="12"/>
      <c r="U5690" s="4"/>
      <c r="V5690" s="4"/>
      <c r="X5690" s="4"/>
      <c r="Y5690" s="4"/>
    </row>
    <row r="5691" spans="20:25" x14ac:dyDescent="0.3">
      <c r="T5691" s="12"/>
      <c r="U5691" s="4"/>
      <c r="V5691" s="4"/>
      <c r="X5691" s="4"/>
      <c r="Y5691" s="4"/>
    </row>
    <row r="5692" spans="20:25" x14ac:dyDescent="0.3">
      <c r="T5692" s="12"/>
      <c r="U5692" s="4"/>
      <c r="V5692" s="4"/>
      <c r="X5692" s="4"/>
      <c r="Y5692" s="4"/>
    </row>
    <row r="5693" spans="20:25" x14ac:dyDescent="0.3">
      <c r="T5693" s="12"/>
      <c r="U5693" s="4"/>
      <c r="V5693" s="4"/>
      <c r="X5693" s="4"/>
      <c r="Y5693" s="4"/>
    </row>
    <row r="5694" spans="20:25" x14ac:dyDescent="0.3">
      <c r="T5694" s="12"/>
      <c r="U5694" s="4"/>
      <c r="V5694" s="4"/>
      <c r="X5694" s="4"/>
      <c r="Y5694" s="4"/>
    </row>
    <row r="5695" spans="20:25" x14ac:dyDescent="0.3">
      <c r="T5695" s="12"/>
      <c r="U5695" s="4"/>
      <c r="V5695" s="4"/>
      <c r="X5695" s="4"/>
      <c r="Y5695" s="4"/>
    </row>
    <row r="5696" spans="20:25" x14ac:dyDescent="0.3">
      <c r="T5696" s="12"/>
      <c r="U5696" s="4"/>
      <c r="V5696" s="4"/>
      <c r="X5696" s="4"/>
      <c r="Y5696" s="4"/>
    </row>
    <row r="5697" spans="20:25" x14ac:dyDescent="0.3">
      <c r="T5697" s="12"/>
      <c r="U5697" s="4"/>
      <c r="V5697" s="4"/>
      <c r="X5697" s="4"/>
      <c r="Y5697" s="4"/>
    </row>
    <row r="5698" spans="20:25" x14ac:dyDescent="0.3">
      <c r="T5698" s="12"/>
      <c r="U5698" s="4"/>
      <c r="V5698" s="4"/>
      <c r="X5698" s="4"/>
      <c r="Y5698" s="4"/>
    </row>
    <row r="5699" spans="20:25" x14ac:dyDescent="0.3">
      <c r="T5699" s="12"/>
      <c r="U5699" s="4"/>
      <c r="V5699" s="4"/>
      <c r="X5699" s="4"/>
      <c r="Y5699" s="4"/>
    </row>
    <row r="5700" spans="20:25" x14ac:dyDescent="0.3">
      <c r="T5700" s="12"/>
      <c r="U5700" s="4"/>
      <c r="V5700" s="4"/>
      <c r="X5700" s="4"/>
      <c r="Y5700" s="4"/>
    </row>
    <row r="5701" spans="20:25" x14ac:dyDescent="0.3">
      <c r="T5701" s="12"/>
      <c r="U5701" s="4"/>
      <c r="V5701" s="4"/>
      <c r="X5701" s="4"/>
      <c r="Y5701" s="4"/>
    </row>
    <row r="5702" spans="20:25" x14ac:dyDescent="0.3">
      <c r="T5702" s="12"/>
      <c r="U5702" s="4"/>
      <c r="V5702" s="4"/>
      <c r="X5702" s="4"/>
      <c r="Y5702" s="4"/>
    </row>
    <row r="5703" spans="20:25" x14ac:dyDescent="0.3">
      <c r="T5703" s="12"/>
      <c r="U5703" s="4"/>
      <c r="V5703" s="4"/>
      <c r="X5703" s="4"/>
      <c r="Y5703" s="4"/>
    </row>
    <row r="5704" spans="20:25" x14ac:dyDescent="0.3">
      <c r="T5704" s="12"/>
      <c r="U5704" s="4"/>
      <c r="V5704" s="4"/>
      <c r="X5704" s="4"/>
      <c r="Y5704" s="4"/>
    </row>
    <row r="5705" spans="20:25" x14ac:dyDescent="0.3">
      <c r="T5705" s="12"/>
      <c r="U5705" s="4"/>
      <c r="V5705" s="4"/>
      <c r="X5705" s="4"/>
      <c r="Y5705" s="4"/>
    </row>
    <row r="5706" spans="20:25" x14ac:dyDescent="0.3">
      <c r="T5706" s="12"/>
      <c r="U5706" s="4"/>
      <c r="V5706" s="4"/>
      <c r="X5706" s="4"/>
      <c r="Y5706" s="4"/>
    </row>
    <row r="5707" spans="20:25" x14ac:dyDescent="0.3">
      <c r="T5707" s="12"/>
      <c r="U5707" s="4"/>
      <c r="V5707" s="4"/>
      <c r="X5707" s="4"/>
      <c r="Y5707" s="4"/>
    </row>
    <row r="5708" spans="20:25" x14ac:dyDescent="0.3">
      <c r="T5708" s="12"/>
      <c r="U5708" s="4"/>
      <c r="V5708" s="4"/>
      <c r="X5708" s="4"/>
      <c r="Y5708" s="4"/>
    </row>
    <row r="5709" spans="20:25" x14ac:dyDescent="0.3">
      <c r="T5709" s="12"/>
      <c r="U5709" s="4"/>
      <c r="V5709" s="4"/>
      <c r="X5709" s="4"/>
      <c r="Y5709" s="4"/>
    </row>
    <row r="5710" spans="20:25" x14ac:dyDescent="0.3">
      <c r="T5710" s="12"/>
      <c r="U5710" s="4"/>
      <c r="V5710" s="4"/>
      <c r="X5710" s="4"/>
      <c r="Y5710" s="4"/>
    </row>
    <row r="5711" spans="20:25" x14ac:dyDescent="0.3">
      <c r="T5711" s="12"/>
      <c r="U5711" s="4"/>
      <c r="V5711" s="4"/>
      <c r="X5711" s="4"/>
      <c r="Y5711" s="4"/>
    </row>
    <row r="5712" spans="20:25" x14ac:dyDescent="0.3">
      <c r="T5712" s="12"/>
      <c r="U5712" s="4"/>
      <c r="V5712" s="4"/>
      <c r="X5712" s="4"/>
      <c r="Y5712" s="4"/>
    </row>
    <row r="5713" spans="20:25" x14ac:dyDescent="0.3">
      <c r="T5713" s="12"/>
      <c r="U5713" s="4"/>
      <c r="V5713" s="4"/>
      <c r="X5713" s="4"/>
      <c r="Y5713" s="4"/>
    </row>
    <row r="5714" spans="20:25" x14ac:dyDescent="0.3">
      <c r="T5714" s="12"/>
      <c r="U5714" s="4"/>
      <c r="V5714" s="4"/>
      <c r="X5714" s="4"/>
      <c r="Y5714" s="4"/>
    </row>
    <row r="5715" spans="20:25" x14ac:dyDescent="0.3">
      <c r="T5715" s="12"/>
      <c r="U5715" s="4"/>
      <c r="V5715" s="4"/>
      <c r="X5715" s="4"/>
      <c r="Y5715" s="4"/>
    </row>
    <row r="5716" spans="20:25" x14ac:dyDescent="0.3">
      <c r="T5716" s="12"/>
      <c r="U5716" s="4"/>
      <c r="V5716" s="4"/>
      <c r="X5716" s="4"/>
      <c r="Y5716" s="4"/>
    </row>
    <row r="5717" spans="20:25" x14ac:dyDescent="0.3">
      <c r="T5717" s="12"/>
      <c r="U5717" s="4"/>
      <c r="V5717" s="4"/>
      <c r="X5717" s="4"/>
      <c r="Y5717" s="4"/>
    </row>
    <row r="5718" spans="20:25" x14ac:dyDescent="0.3">
      <c r="T5718" s="12"/>
      <c r="U5718" s="4"/>
      <c r="V5718" s="4"/>
      <c r="X5718" s="4"/>
      <c r="Y5718" s="4"/>
    </row>
    <row r="5719" spans="20:25" x14ac:dyDescent="0.3">
      <c r="T5719" s="12"/>
      <c r="U5719" s="4"/>
      <c r="V5719" s="4"/>
      <c r="X5719" s="4"/>
      <c r="Y5719" s="4"/>
    </row>
    <row r="5720" spans="20:25" x14ac:dyDescent="0.3">
      <c r="T5720" s="12"/>
      <c r="U5720" s="4"/>
      <c r="V5720" s="4"/>
      <c r="X5720" s="4"/>
      <c r="Y5720" s="4"/>
    </row>
    <row r="5721" spans="20:25" x14ac:dyDescent="0.3">
      <c r="T5721" s="12"/>
      <c r="U5721" s="4"/>
      <c r="V5721" s="4"/>
      <c r="X5721" s="4"/>
      <c r="Y5721" s="4"/>
    </row>
    <row r="5722" spans="20:25" x14ac:dyDescent="0.3">
      <c r="T5722" s="12"/>
      <c r="U5722" s="4"/>
      <c r="V5722" s="4"/>
      <c r="X5722" s="4"/>
      <c r="Y5722" s="4"/>
    </row>
    <row r="5723" spans="20:25" x14ac:dyDescent="0.3">
      <c r="T5723" s="12"/>
      <c r="U5723" s="4"/>
      <c r="V5723" s="4"/>
      <c r="X5723" s="4"/>
      <c r="Y5723" s="4"/>
    </row>
    <row r="5724" spans="20:25" x14ac:dyDescent="0.3">
      <c r="T5724" s="12"/>
      <c r="U5724" s="4"/>
      <c r="V5724" s="4"/>
      <c r="X5724" s="4"/>
      <c r="Y5724" s="4"/>
    </row>
    <row r="5725" spans="20:25" x14ac:dyDescent="0.3">
      <c r="T5725" s="12"/>
      <c r="U5725" s="4"/>
      <c r="V5725" s="4"/>
      <c r="X5725" s="4"/>
      <c r="Y5725" s="4"/>
    </row>
    <row r="5726" spans="20:25" x14ac:dyDescent="0.3">
      <c r="T5726" s="12"/>
      <c r="U5726" s="4"/>
      <c r="V5726" s="4"/>
      <c r="X5726" s="4"/>
      <c r="Y5726" s="4"/>
    </row>
    <row r="5727" spans="20:25" x14ac:dyDescent="0.3">
      <c r="T5727" s="12"/>
      <c r="U5727" s="4"/>
      <c r="V5727" s="4"/>
      <c r="X5727" s="4"/>
      <c r="Y5727" s="4"/>
    </row>
    <row r="5728" spans="20:25" x14ac:dyDescent="0.3">
      <c r="T5728" s="12"/>
      <c r="U5728" s="4"/>
      <c r="V5728" s="4"/>
      <c r="X5728" s="4"/>
      <c r="Y5728" s="4"/>
    </row>
    <row r="5729" spans="20:25" x14ac:dyDescent="0.3">
      <c r="T5729" s="12"/>
      <c r="U5729" s="4"/>
      <c r="V5729" s="4"/>
      <c r="X5729" s="4"/>
      <c r="Y5729" s="4"/>
    </row>
    <row r="5730" spans="20:25" x14ac:dyDescent="0.3">
      <c r="T5730" s="12"/>
      <c r="U5730" s="4"/>
      <c r="V5730" s="4"/>
      <c r="X5730" s="4"/>
      <c r="Y5730" s="4"/>
    </row>
    <row r="5731" spans="20:25" x14ac:dyDescent="0.3">
      <c r="T5731" s="12"/>
      <c r="U5731" s="4"/>
      <c r="V5731" s="4"/>
      <c r="X5731" s="4"/>
      <c r="Y5731" s="4"/>
    </row>
    <row r="5732" spans="20:25" x14ac:dyDescent="0.3">
      <c r="T5732" s="12"/>
      <c r="U5732" s="4"/>
      <c r="V5732" s="4"/>
      <c r="X5732" s="4"/>
      <c r="Y5732" s="4"/>
    </row>
    <row r="5733" spans="20:25" x14ac:dyDescent="0.3">
      <c r="T5733" s="12"/>
      <c r="U5733" s="4"/>
      <c r="V5733" s="4"/>
      <c r="X5733" s="4"/>
      <c r="Y5733" s="4"/>
    </row>
    <row r="5734" spans="20:25" x14ac:dyDescent="0.3">
      <c r="T5734" s="12"/>
      <c r="U5734" s="4"/>
      <c r="V5734" s="4"/>
      <c r="X5734" s="4"/>
      <c r="Y5734" s="4"/>
    </row>
    <row r="5735" spans="20:25" x14ac:dyDescent="0.3">
      <c r="T5735" s="12"/>
      <c r="U5735" s="4"/>
      <c r="V5735" s="4"/>
      <c r="X5735" s="4"/>
      <c r="Y5735" s="4"/>
    </row>
    <row r="5736" spans="20:25" x14ac:dyDescent="0.3">
      <c r="T5736" s="12"/>
      <c r="U5736" s="4"/>
      <c r="V5736" s="4"/>
      <c r="X5736" s="4"/>
      <c r="Y5736" s="4"/>
    </row>
    <row r="5737" spans="20:25" x14ac:dyDescent="0.3">
      <c r="T5737" s="12"/>
      <c r="U5737" s="4"/>
      <c r="V5737" s="4"/>
      <c r="X5737" s="4"/>
      <c r="Y5737" s="4"/>
    </row>
    <row r="5738" spans="20:25" x14ac:dyDescent="0.3">
      <c r="T5738" s="12"/>
      <c r="U5738" s="4"/>
      <c r="V5738" s="4"/>
      <c r="X5738" s="4"/>
      <c r="Y5738" s="4"/>
    </row>
    <row r="5739" spans="20:25" x14ac:dyDescent="0.3">
      <c r="T5739" s="12"/>
      <c r="U5739" s="4"/>
      <c r="V5739" s="4"/>
      <c r="X5739" s="4"/>
      <c r="Y5739" s="4"/>
    </row>
    <row r="5740" spans="20:25" x14ac:dyDescent="0.3">
      <c r="T5740" s="12"/>
      <c r="U5740" s="4"/>
      <c r="V5740" s="4"/>
      <c r="X5740" s="4"/>
      <c r="Y5740" s="4"/>
    </row>
    <row r="5741" spans="20:25" x14ac:dyDescent="0.3">
      <c r="T5741" s="12"/>
      <c r="U5741" s="4"/>
      <c r="V5741" s="4"/>
      <c r="X5741" s="4"/>
      <c r="Y5741" s="4"/>
    </row>
    <row r="5742" spans="20:25" x14ac:dyDescent="0.3">
      <c r="T5742" s="12"/>
      <c r="U5742" s="4"/>
      <c r="V5742" s="4"/>
      <c r="X5742" s="4"/>
      <c r="Y5742" s="4"/>
    </row>
    <row r="5743" spans="20:25" x14ac:dyDescent="0.3">
      <c r="T5743" s="12"/>
      <c r="U5743" s="4"/>
      <c r="V5743" s="4"/>
      <c r="X5743" s="4"/>
      <c r="Y5743" s="4"/>
    </row>
    <row r="5744" spans="20:25" x14ac:dyDescent="0.3">
      <c r="T5744" s="12"/>
      <c r="U5744" s="4"/>
      <c r="V5744" s="4"/>
      <c r="X5744" s="4"/>
      <c r="Y5744" s="4"/>
    </row>
    <row r="5745" spans="20:25" x14ac:dyDescent="0.3">
      <c r="T5745" s="12"/>
      <c r="U5745" s="4"/>
      <c r="V5745" s="4"/>
      <c r="X5745" s="4"/>
      <c r="Y5745" s="4"/>
    </row>
    <row r="5746" spans="20:25" x14ac:dyDescent="0.3">
      <c r="T5746" s="12"/>
      <c r="U5746" s="4"/>
      <c r="V5746" s="4"/>
      <c r="X5746" s="4"/>
      <c r="Y5746" s="4"/>
    </row>
    <row r="5747" spans="20:25" x14ac:dyDescent="0.3">
      <c r="T5747" s="12"/>
      <c r="U5747" s="4"/>
      <c r="V5747" s="4"/>
      <c r="X5747" s="4"/>
      <c r="Y5747" s="4"/>
    </row>
    <row r="5748" spans="20:25" x14ac:dyDescent="0.3">
      <c r="T5748" s="12"/>
      <c r="U5748" s="4"/>
      <c r="V5748" s="4"/>
      <c r="X5748" s="4"/>
      <c r="Y5748" s="4"/>
    </row>
    <row r="5749" spans="20:25" x14ac:dyDescent="0.3">
      <c r="T5749" s="12"/>
      <c r="U5749" s="4"/>
      <c r="V5749" s="4"/>
      <c r="X5749" s="4"/>
      <c r="Y5749" s="4"/>
    </row>
    <row r="5750" spans="20:25" x14ac:dyDescent="0.3">
      <c r="T5750" s="12"/>
      <c r="U5750" s="4"/>
      <c r="V5750" s="4"/>
      <c r="X5750" s="4"/>
      <c r="Y5750" s="4"/>
    </row>
    <row r="5751" spans="20:25" x14ac:dyDescent="0.3">
      <c r="T5751" s="12"/>
      <c r="U5751" s="4"/>
      <c r="V5751" s="4"/>
      <c r="X5751" s="4"/>
      <c r="Y5751" s="4"/>
    </row>
    <row r="5752" spans="20:25" x14ac:dyDescent="0.3">
      <c r="T5752" s="12"/>
      <c r="U5752" s="4"/>
      <c r="V5752" s="4"/>
      <c r="X5752" s="4"/>
      <c r="Y5752" s="4"/>
    </row>
    <row r="5753" spans="20:25" x14ac:dyDescent="0.3">
      <c r="T5753" s="12"/>
      <c r="U5753" s="4"/>
      <c r="V5753" s="4"/>
      <c r="X5753" s="4"/>
      <c r="Y5753" s="4"/>
    </row>
    <row r="5754" spans="20:25" x14ac:dyDescent="0.3">
      <c r="T5754" s="12"/>
      <c r="U5754" s="4"/>
      <c r="V5754" s="4"/>
      <c r="X5754" s="4"/>
      <c r="Y5754" s="4"/>
    </row>
    <row r="5755" spans="20:25" x14ac:dyDescent="0.3">
      <c r="T5755" s="12"/>
      <c r="U5755" s="4"/>
      <c r="V5755" s="4"/>
      <c r="X5755" s="4"/>
      <c r="Y5755" s="4"/>
    </row>
    <row r="5756" spans="20:25" x14ac:dyDescent="0.3">
      <c r="T5756" s="12"/>
      <c r="U5756" s="4"/>
      <c r="V5756" s="4"/>
      <c r="X5756" s="4"/>
      <c r="Y5756" s="4"/>
    </row>
    <row r="5757" spans="20:25" x14ac:dyDescent="0.3">
      <c r="T5757" s="12"/>
      <c r="U5757" s="4"/>
      <c r="V5757" s="4"/>
      <c r="X5757" s="4"/>
      <c r="Y5757" s="4"/>
    </row>
    <row r="5758" spans="20:25" x14ac:dyDescent="0.3">
      <c r="T5758" s="12"/>
      <c r="U5758" s="4"/>
      <c r="V5758" s="4"/>
      <c r="X5758" s="4"/>
      <c r="Y5758" s="4"/>
    </row>
    <row r="5759" spans="20:25" x14ac:dyDescent="0.3">
      <c r="T5759" s="12"/>
      <c r="U5759" s="4"/>
      <c r="V5759" s="4"/>
      <c r="X5759" s="4"/>
      <c r="Y5759" s="4"/>
    </row>
    <row r="5760" spans="20:25" x14ac:dyDescent="0.3">
      <c r="T5760" s="12"/>
      <c r="U5760" s="4"/>
      <c r="V5760" s="4"/>
      <c r="X5760" s="4"/>
      <c r="Y5760" s="4"/>
    </row>
    <row r="5761" spans="20:25" x14ac:dyDescent="0.3">
      <c r="T5761" s="12"/>
      <c r="U5761" s="4"/>
      <c r="V5761" s="4"/>
      <c r="X5761" s="4"/>
      <c r="Y5761" s="4"/>
    </row>
    <row r="5762" spans="20:25" x14ac:dyDescent="0.3">
      <c r="T5762" s="12"/>
      <c r="U5762" s="4"/>
      <c r="V5762" s="4"/>
      <c r="X5762" s="4"/>
      <c r="Y5762" s="4"/>
    </row>
    <row r="5763" spans="20:25" x14ac:dyDescent="0.3">
      <c r="T5763" s="12"/>
      <c r="U5763" s="4"/>
      <c r="V5763" s="4"/>
      <c r="X5763" s="4"/>
      <c r="Y5763" s="4"/>
    </row>
    <row r="5764" spans="20:25" x14ac:dyDescent="0.3">
      <c r="T5764" s="12"/>
      <c r="U5764" s="4"/>
      <c r="V5764" s="4"/>
      <c r="X5764" s="4"/>
      <c r="Y5764" s="4"/>
    </row>
    <row r="5765" spans="20:25" x14ac:dyDescent="0.3">
      <c r="T5765" s="12"/>
      <c r="U5765" s="4"/>
      <c r="V5765" s="4"/>
      <c r="X5765" s="4"/>
      <c r="Y5765" s="4"/>
    </row>
    <row r="5766" spans="20:25" x14ac:dyDescent="0.3">
      <c r="T5766" s="12"/>
      <c r="U5766" s="4"/>
      <c r="V5766" s="4"/>
      <c r="X5766" s="4"/>
      <c r="Y5766" s="4"/>
    </row>
    <row r="5767" spans="20:25" x14ac:dyDescent="0.3">
      <c r="T5767" s="12"/>
      <c r="U5767" s="4"/>
      <c r="V5767" s="4"/>
      <c r="X5767" s="4"/>
      <c r="Y5767" s="4"/>
    </row>
    <row r="5768" spans="20:25" x14ac:dyDescent="0.3">
      <c r="T5768" s="12"/>
      <c r="U5768" s="4"/>
      <c r="V5768" s="4"/>
      <c r="X5768" s="4"/>
      <c r="Y5768" s="4"/>
    </row>
    <row r="5769" spans="20:25" x14ac:dyDescent="0.3">
      <c r="T5769" s="12"/>
      <c r="U5769" s="4"/>
      <c r="V5769" s="4"/>
      <c r="X5769" s="4"/>
      <c r="Y5769" s="4"/>
    </row>
    <row r="5770" spans="20:25" x14ac:dyDescent="0.3">
      <c r="T5770" s="12"/>
      <c r="U5770" s="4"/>
      <c r="V5770" s="4"/>
      <c r="X5770" s="4"/>
      <c r="Y5770" s="4"/>
    </row>
    <row r="5771" spans="20:25" x14ac:dyDescent="0.3">
      <c r="T5771" s="12"/>
      <c r="U5771" s="4"/>
      <c r="V5771" s="4"/>
      <c r="X5771" s="4"/>
      <c r="Y5771" s="4"/>
    </row>
    <row r="5772" spans="20:25" x14ac:dyDescent="0.3">
      <c r="T5772" s="12"/>
      <c r="U5772" s="4"/>
      <c r="V5772" s="4"/>
      <c r="X5772" s="4"/>
      <c r="Y5772" s="4"/>
    </row>
    <row r="5773" spans="20:25" x14ac:dyDescent="0.3">
      <c r="T5773" s="12"/>
      <c r="U5773" s="4"/>
      <c r="V5773" s="4"/>
      <c r="X5773" s="4"/>
      <c r="Y5773" s="4"/>
    </row>
    <row r="5774" spans="20:25" x14ac:dyDescent="0.3">
      <c r="T5774" s="12"/>
      <c r="U5774" s="4"/>
      <c r="V5774" s="4"/>
      <c r="X5774" s="4"/>
      <c r="Y5774" s="4"/>
    </row>
    <row r="5775" spans="20:25" x14ac:dyDescent="0.3">
      <c r="T5775" s="12"/>
      <c r="U5775" s="4"/>
      <c r="V5775" s="4"/>
      <c r="X5775" s="4"/>
      <c r="Y5775" s="4"/>
    </row>
    <row r="5776" spans="20:25" x14ac:dyDescent="0.3">
      <c r="T5776" s="12"/>
      <c r="U5776" s="4"/>
      <c r="V5776" s="4"/>
      <c r="X5776" s="4"/>
      <c r="Y5776" s="4"/>
    </row>
    <row r="5777" spans="20:25" x14ac:dyDescent="0.3">
      <c r="T5777" s="12"/>
      <c r="U5777" s="4"/>
      <c r="V5777" s="4"/>
      <c r="X5777" s="4"/>
      <c r="Y5777" s="4"/>
    </row>
    <row r="5778" spans="20:25" x14ac:dyDescent="0.3">
      <c r="T5778" s="12"/>
      <c r="U5778" s="4"/>
      <c r="V5778" s="4"/>
      <c r="X5778" s="4"/>
      <c r="Y5778" s="4"/>
    </row>
    <row r="5779" spans="20:25" x14ac:dyDescent="0.3">
      <c r="T5779" s="12"/>
      <c r="U5779" s="4"/>
      <c r="V5779" s="4"/>
      <c r="X5779" s="4"/>
      <c r="Y5779" s="4"/>
    </row>
    <row r="5780" spans="20:25" x14ac:dyDescent="0.3">
      <c r="T5780" s="12"/>
      <c r="U5780" s="4"/>
      <c r="V5780" s="4"/>
      <c r="X5780" s="4"/>
      <c r="Y5780" s="4"/>
    </row>
    <row r="5781" spans="20:25" x14ac:dyDescent="0.3">
      <c r="T5781" s="12"/>
      <c r="U5781" s="4"/>
      <c r="V5781" s="4"/>
      <c r="X5781" s="4"/>
      <c r="Y5781" s="4"/>
    </row>
    <row r="5782" spans="20:25" x14ac:dyDescent="0.3">
      <c r="T5782" s="12"/>
      <c r="U5782" s="4"/>
      <c r="V5782" s="4"/>
      <c r="X5782" s="4"/>
      <c r="Y5782" s="4"/>
    </row>
    <row r="5783" spans="20:25" x14ac:dyDescent="0.3">
      <c r="T5783" s="12"/>
      <c r="U5783" s="4"/>
      <c r="V5783" s="4"/>
      <c r="X5783" s="4"/>
      <c r="Y5783" s="4"/>
    </row>
    <row r="5784" spans="20:25" x14ac:dyDescent="0.3">
      <c r="T5784" s="12"/>
      <c r="U5784" s="4"/>
      <c r="V5784" s="4"/>
      <c r="X5784" s="4"/>
      <c r="Y5784" s="4"/>
    </row>
    <row r="5785" spans="20:25" x14ac:dyDescent="0.3">
      <c r="T5785" s="12"/>
      <c r="U5785" s="4"/>
      <c r="V5785" s="4"/>
      <c r="X5785" s="4"/>
      <c r="Y5785" s="4"/>
    </row>
    <row r="5786" spans="20:25" x14ac:dyDescent="0.3">
      <c r="T5786" s="12"/>
      <c r="U5786" s="4"/>
      <c r="V5786" s="4"/>
      <c r="X5786" s="4"/>
      <c r="Y5786" s="4"/>
    </row>
    <row r="5787" spans="20:25" x14ac:dyDescent="0.3">
      <c r="T5787" s="12"/>
      <c r="U5787" s="4"/>
      <c r="V5787" s="4"/>
      <c r="X5787" s="4"/>
      <c r="Y5787" s="4"/>
    </row>
    <row r="5788" spans="20:25" x14ac:dyDescent="0.3">
      <c r="T5788" s="12"/>
      <c r="U5788" s="4"/>
      <c r="V5788" s="4"/>
      <c r="X5788" s="4"/>
      <c r="Y5788" s="4"/>
    </row>
    <row r="5789" spans="20:25" x14ac:dyDescent="0.3">
      <c r="T5789" s="12"/>
      <c r="U5789" s="4"/>
      <c r="V5789" s="4"/>
      <c r="X5789" s="4"/>
      <c r="Y5789" s="4"/>
    </row>
    <row r="5790" spans="20:25" x14ac:dyDescent="0.3">
      <c r="T5790" s="12"/>
      <c r="U5790" s="4"/>
      <c r="V5790" s="4"/>
      <c r="X5790" s="4"/>
      <c r="Y5790" s="4"/>
    </row>
    <row r="5791" spans="20:25" x14ac:dyDescent="0.3">
      <c r="T5791" s="12"/>
      <c r="U5791" s="4"/>
      <c r="V5791" s="4"/>
      <c r="X5791" s="4"/>
      <c r="Y5791" s="4"/>
    </row>
    <row r="5792" spans="20:25" x14ac:dyDescent="0.3">
      <c r="T5792" s="12"/>
      <c r="U5792" s="4"/>
      <c r="V5792" s="4"/>
      <c r="X5792" s="4"/>
      <c r="Y5792" s="4"/>
    </row>
    <row r="5793" spans="20:25" x14ac:dyDescent="0.3">
      <c r="T5793" s="12"/>
      <c r="U5793" s="4"/>
      <c r="V5793" s="4"/>
      <c r="X5793" s="4"/>
      <c r="Y5793" s="4"/>
    </row>
    <row r="5794" spans="20:25" x14ac:dyDescent="0.3">
      <c r="T5794" s="12"/>
      <c r="U5794" s="4"/>
      <c r="V5794" s="4"/>
      <c r="X5794" s="4"/>
      <c r="Y5794" s="4"/>
    </row>
    <row r="5795" spans="20:25" x14ac:dyDescent="0.3">
      <c r="T5795" s="12"/>
      <c r="U5795" s="4"/>
      <c r="V5795" s="4"/>
      <c r="X5795" s="4"/>
      <c r="Y5795" s="4"/>
    </row>
    <row r="5796" spans="20:25" x14ac:dyDescent="0.3">
      <c r="T5796" s="12"/>
      <c r="U5796" s="4"/>
      <c r="V5796" s="4"/>
      <c r="X5796" s="4"/>
      <c r="Y5796" s="4"/>
    </row>
    <row r="5797" spans="20:25" x14ac:dyDescent="0.3">
      <c r="T5797" s="12"/>
      <c r="U5797" s="4"/>
      <c r="V5797" s="4"/>
      <c r="X5797" s="4"/>
      <c r="Y5797" s="4"/>
    </row>
    <row r="5798" spans="20:25" x14ac:dyDescent="0.3">
      <c r="T5798" s="12"/>
      <c r="U5798" s="4"/>
      <c r="V5798" s="4"/>
      <c r="X5798" s="4"/>
      <c r="Y5798" s="4"/>
    </row>
    <row r="5799" spans="20:25" x14ac:dyDescent="0.3">
      <c r="T5799" s="12"/>
      <c r="U5799" s="4"/>
      <c r="V5799" s="4"/>
      <c r="X5799" s="4"/>
      <c r="Y5799" s="4"/>
    </row>
    <row r="5800" spans="20:25" x14ac:dyDescent="0.3">
      <c r="T5800" s="12"/>
      <c r="U5800" s="4"/>
      <c r="V5800" s="4"/>
      <c r="X5800" s="4"/>
      <c r="Y5800" s="4"/>
    </row>
    <row r="5801" spans="20:25" x14ac:dyDescent="0.3">
      <c r="T5801" s="12"/>
      <c r="U5801" s="4"/>
      <c r="V5801" s="4"/>
      <c r="X5801" s="4"/>
      <c r="Y5801" s="4"/>
    </row>
    <row r="5802" spans="20:25" x14ac:dyDescent="0.3">
      <c r="T5802" s="12"/>
      <c r="U5802" s="4"/>
      <c r="V5802" s="4"/>
      <c r="X5802" s="4"/>
      <c r="Y5802" s="4"/>
    </row>
    <row r="5803" spans="20:25" x14ac:dyDescent="0.3">
      <c r="T5803" s="12"/>
      <c r="U5803" s="4"/>
      <c r="V5803" s="4"/>
      <c r="X5803" s="4"/>
      <c r="Y5803" s="4"/>
    </row>
    <row r="5804" spans="20:25" x14ac:dyDescent="0.3">
      <c r="T5804" s="12"/>
      <c r="U5804" s="4"/>
      <c r="V5804" s="4"/>
      <c r="X5804" s="4"/>
      <c r="Y5804" s="4"/>
    </row>
    <row r="5805" spans="20:25" x14ac:dyDescent="0.3">
      <c r="T5805" s="12"/>
      <c r="U5805" s="4"/>
      <c r="V5805" s="4"/>
      <c r="X5805" s="4"/>
      <c r="Y5805" s="4"/>
    </row>
    <row r="5806" spans="20:25" x14ac:dyDescent="0.3">
      <c r="T5806" s="12"/>
      <c r="U5806" s="4"/>
      <c r="V5806" s="4"/>
      <c r="X5806" s="4"/>
      <c r="Y5806" s="4"/>
    </row>
    <row r="5807" spans="20:25" x14ac:dyDescent="0.3">
      <c r="T5807" s="12"/>
      <c r="U5807" s="4"/>
      <c r="V5807" s="4"/>
      <c r="X5807" s="4"/>
      <c r="Y5807" s="4"/>
    </row>
    <row r="5808" spans="20:25" x14ac:dyDescent="0.3">
      <c r="T5808" s="12"/>
      <c r="U5808" s="4"/>
      <c r="V5808" s="4"/>
      <c r="X5808" s="4"/>
      <c r="Y5808" s="4"/>
    </row>
    <row r="5809" spans="20:25" x14ac:dyDescent="0.3">
      <c r="T5809" s="12"/>
      <c r="U5809" s="4"/>
      <c r="V5809" s="4"/>
      <c r="X5809" s="4"/>
      <c r="Y5809" s="4"/>
    </row>
    <row r="5810" spans="20:25" x14ac:dyDescent="0.3">
      <c r="T5810" s="12"/>
      <c r="U5810" s="4"/>
      <c r="V5810" s="4"/>
      <c r="X5810" s="4"/>
      <c r="Y5810" s="4"/>
    </row>
    <row r="5811" spans="20:25" x14ac:dyDescent="0.3">
      <c r="T5811" s="12"/>
      <c r="U5811" s="4"/>
      <c r="V5811" s="4"/>
      <c r="X5811" s="4"/>
      <c r="Y5811" s="4"/>
    </row>
    <row r="5812" spans="20:25" x14ac:dyDescent="0.3">
      <c r="T5812" s="12"/>
      <c r="U5812" s="4"/>
      <c r="V5812" s="4"/>
      <c r="X5812" s="4"/>
      <c r="Y5812" s="4"/>
    </row>
    <row r="5813" spans="20:25" x14ac:dyDescent="0.3">
      <c r="T5813" s="12"/>
      <c r="U5813" s="4"/>
      <c r="V5813" s="4"/>
      <c r="X5813" s="4"/>
      <c r="Y5813" s="4"/>
    </row>
    <row r="5814" spans="20:25" x14ac:dyDescent="0.3">
      <c r="T5814" s="12"/>
      <c r="U5814" s="4"/>
      <c r="V5814" s="4"/>
      <c r="X5814" s="4"/>
      <c r="Y5814" s="4"/>
    </row>
    <row r="5815" spans="20:25" x14ac:dyDescent="0.3">
      <c r="T5815" s="12"/>
      <c r="U5815" s="4"/>
      <c r="V5815" s="4"/>
      <c r="X5815" s="4"/>
      <c r="Y5815" s="4"/>
    </row>
    <row r="5816" spans="20:25" x14ac:dyDescent="0.3">
      <c r="T5816" s="12"/>
      <c r="U5816" s="4"/>
      <c r="V5816" s="4"/>
      <c r="X5816" s="4"/>
      <c r="Y5816" s="4"/>
    </row>
    <row r="5817" spans="20:25" x14ac:dyDescent="0.3">
      <c r="T5817" s="12"/>
      <c r="U5817" s="4"/>
      <c r="V5817" s="4"/>
      <c r="X5817" s="4"/>
      <c r="Y5817" s="4"/>
    </row>
    <row r="5818" spans="20:25" x14ac:dyDescent="0.3">
      <c r="T5818" s="12"/>
      <c r="U5818" s="4"/>
      <c r="V5818" s="4"/>
      <c r="X5818" s="4"/>
      <c r="Y5818" s="4"/>
    </row>
    <row r="5819" spans="20:25" x14ac:dyDescent="0.3">
      <c r="T5819" s="12"/>
      <c r="U5819" s="4"/>
      <c r="V5819" s="4"/>
      <c r="X5819" s="4"/>
      <c r="Y5819" s="4"/>
    </row>
    <row r="5820" spans="20:25" x14ac:dyDescent="0.3">
      <c r="T5820" s="12"/>
      <c r="U5820" s="4"/>
      <c r="V5820" s="4"/>
      <c r="X5820" s="4"/>
      <c r="Y5820" s="4"/>
    </row>
    <row r="5821" spans="20:25" x14ac:dyDescent="0.3">
      <c r="T5821" s="12"/>
      <c r="U5821" s="4"/>
      <c r="V5821" s="4"/>
      <c r="X5821" s="4"/>
      <c r="Y5821" s="4"/>
    </row>
    <row r="5822" spans="20:25" x14ac:dyDescent="0.3">
      <c r="T5822" s="12"/>
      <c r="U5822" s="4"/>
      <c r="V5822" s="4"/>
      <c r="X5822" s="4"/>
      <c r="Y5822" s="4"/>
    </row>
    <row r="5823" spans="20:25" x14ac:dyDescent="0.3">
      <c r="T5823" s="12"/>
      <c r="U5823" s="4"/>
      <c r="V5823" s="4"/>
      <c r="X5823" s="4"/>
      <c r="Y5823" s="4"/>
    </row>
    <row r="5824" spans="20:25" x14ac:dyDescent="0.3">
      <c r="T5824" s="12"/>
      <c r="U5824" s="4"/>
      <c r="V5824" s="4"/>
      <c r="X5824" s="4"/>
      <c r="Y5824" s="4"/>
    </row>
    <row r="5825" spans="20:25" x14ac:dyDescent="0.3">
      <c r="T5825" s="12"/>
      <c r="U5825" s="4"/>
      <c r="V5825" s="4"/>
      <c r="X5825" s="4"/>
      <c r="Y5825" s="4"/>
    </row>
    <row r="5826" spans="20:25" x14ac:dyDescent="0.3">
      <c r="T5826" s="12"/>
      <c r="U5826" s="4"/>
      <c r="V5826" s="4"/>
      <c r="X5826" s="4"/>
      <c r="Y5826" s="4"/>
    </row>
    <row r="5827" spans="20:25" x14ac:dyDescent="0.3">
      <c r="T5827" s="12"/>
      <c r="U5827" s="4"/>
      <c r="V5827" s="4"/>
      <c r="X5827" s="4"/>
      <c r="Y5827" s="4"/>
    </row>
    <row r="5828" spans="20:25" x14ac:dyDescent="0.3">
      <c r="T5828" s="12"/>
      <c r="U5828" s="4"/>
      <c r="V5828" s="4"/>
      <c r="X5828" s="4"/>
      <c r="Y5828" s="4"/>
    </row>
    <row r="5829" spans="20:25" x14ac:dyDescent="0.3">
      <c r="T5829" s="12"/>
      <c r="U5829" s="4"/>
      <c r="V5829" s="4"/>
      <c r="X5829" s="4"/>
      <c r="Y5829" s="4"/>
    </row>
    <row r="5830" spans="20:25" x14ac:dyDescent="0.3">
      <c r="T5830" s="12"/>
      <c r="U5830" s="4"/>
      <c r="V5830" s="4"/>
      <c r="X5830" s="4"/>
      <c r="Y5830" s="4"/>
    </row>
    <row r="5831" spans="20:25" x14ac:dyDescent="0.3">
      <c r="T5831" s="12"/>
      <c r="U5831" s="4"/>
      <c r="V5831" s="4"/>
      <c r="X5831" s="4"/>
      <c r="Y5831" s="4"/>
    </row>
    <row r="5832" spans="20:25" x14ac:dyDescent="0.3">
      <c r="T5832" s="12"/>
      <c r="U5832" s="4"/>
      <c r="V5832" s="4"/>
      <c r="X5832" s="4"/>
      <c r="Y5832" s="4"/>
    </row>
    <row r="5833" spans="20:25" x14ac:dyDescent="0.3">
      <c r="T5833" s="12"/>
      <c r="U5833" s="4"/>
      <c r="V5833" s="4"/>
      <c r="X5833" s="4"/>
      <c r="Y5833" s="4"/>
    </row>
    <row r="5834" spans="20:25" x14ac:dyDescent="0.3">
      <c r="T5834" s="12"/>
      <c r="U5834" s="4"/>
      <c r="V5834" s="4"/>
      <c r="X5834" s="4"/>
      <c r="Y5834" s="4"/>
    </row>
    <row r="5835" spans="20:25" x14ac:dyDescent="0.3">
      <c r="T5835" s="12"/>
      <c r="U5835" s="4"/>
      <c r="V5835" s="4"/>
      <c r="X5835" s="4"/>
      <c r="Y5835" s="4"/>
    </row>
    <row r="5836" spans="20:25" x14ac:dyDescent="0.3">
      <c r="T5836" s="12"/>
      <c r="U5836" s="4"/>
      <c r="V5836" s="4"/>
      <c r="X5836" s="4"/>
      <c r="Y5836" s="4"/>
    </row>
    <row r="5837" spans="20:25" x14ac:dyDescent="0.3">
      <c r="T5837" s="12"/>
      <c r="U5837" s="4"/>
      <c r="V5837" s="4"/>
      <c r="X5837" s="4"/>
      <c r="Y5837" s="4"/>
    </row>
    <row r="5838" spans="20:25" x14ac:dyDescent="0.3">
      <c r="T5838" s="12"/>
      <c r="U5838" s="4"/>
      <c r="V5838" s="4"/>
      <c r="X5838" s="4"/>
      <c r="Y5838" s="4"/>
    </row>
    <row r="5839" spans="20:25" x14ac:dyDescent="0.3">
      <c r="T5839" s="12"/>
      <c r="U5839" s="4"/>
      <c r="V5839" s="4"/>
      <c r="X5839" s="4"/>
      <c r="Y5839" s="4"/>
    </row>
    <row r="5840" spans="20:25" x14ac:dyDescent="0.3">
      <c r="T5840" s="12"/>
      <c r="U5840" s="4"/>
      <c r="V5840" s="4"/>
      <c r="X5840" s="4"/>
      <c r="Y5840" s="4"/>
    </row>
    <row r="5841" spans="20:25" x14ac:dyDescent="0.3">
      <c r="T5841" s="12"/>
      <c r="U5841" s="4"/>
      <c r="V5841" s="4"/>
      <c r="X5841" s="4"/>
      <c r="Y5841" s="4"/>
    </row>
    <row r="5842" spans="20:25" x14ac:dyDescent="0.3">
      <c r="T5842" s="12"/>
      <c r="U5842" s="4"/>
      <c r="V5842" s="4"/>
      <c r="X5842" s="4"/>
      <c r="Y5842" s="4"/>
    </row>
    <row r="5843" spans="20:25" x14ac:dyDescent="0.3">
      <c r="T5843" s="12"/>
      <c r="U5843" s="4"/>
      <c r="V5843" s="4"/>
      <c r="X5843" s="4"/>
      <c r="Y5843" s="4"/>
    </row>
    <row r="5844" spans="20:25" x14ac:dyDescent="0.3">
      <c r="T5844" s="12"/>
      <c r="U5844" s="4"/>
      <c r="V5844" s="4"/>
      <c r="X5844" s="4"/>
      <c r="Y5844" s="4"/>
    </row>
    <row r="5845" spans="20:25" x14ac:dyDescent="0.3">
      <c r="T5845" s="12"/>
      <c r="U5845" s="4"/>
      <c r="V5845" s="4"/>
      <c r="X5845" s="4"/>
      <c r="Y5845" s="4"/>
    </row>
    <row r="5846" spans="20:25" x14ac:dyDescent="0.3">
      <c r="T5846" s="12"/>
      <c r="U5846" s="4"/>
      <c r="V5846" s="4"/>
      <c r="X5846" s="4"/>
      <c r="Y5846" s="4"/>
    </row>
    <row r="5847" spans="20:25" x14ac:dyDescent="0.3">
      <c r="T5847" s="12"/>
      <c r="U5847" s="4"/>
      <c r="V5847" s="4"/>
      <c r="X5847" s="4"/>
      <c r="Y5847" s="4"/>
    </row>
    <row r="5848" spans="20:25" x14ac:dyDescent="0.3">
      <c r="T5848" s="12"/>
      <c r="U5848" s="4"/>
      <c r="V5848" s="4"/>
      <c r="X5848" s="4"/>
      <c r="Y5848" s="4"/>
    </row>
    <row r="5849" spans="20:25" x14ac:dyDescent="0.3">
      <c r="T5849" s="12"/>
      <c r="U5849" s="4"/>
      <c r="V5849" s="4"/>
      <c r="X5849" s="4"/>
      <c r="Y5849" s="4"/>
    </row>
    <row r="5850" spans="20:25" x14ac:dyDescent="0.3">
      <c r="T5850" s="12"/>
      <c r="U5850" s="4"/>
      <c r="V5850" s="4"/>
      <c r="X5850" s="4"/>
      <c r="Y5850" s="4"/>
    </row>
    <row r="5851" spans="20:25" x14ac:dyDescent="0.3">
      <c r="T5851" s="12"/>
      <c r="U5851" s="4"/>
      <c r="V5851" s="4"/>
      <c r="X5851" s="4"/>
      <c r="Y5851" s="4"/>
    </row>
    <row r="5852" spans="20:25" x14ac:dyDescent="0.3">
      <c r="T5852" s="12"/>
      <c r="U5852" s="4"/>
      <c r="V5852" s="4"/>
      <c r="X5852" s="4"/>
      <c r="Y5852" s="4"/>
    </row>
    <row r="5853" spans="20:25" x14ac:dyDescent="0.3">
      <c r="T5853" s="12"/>
      <c r="U5853" s="4"/>
      <c r="V5853" s="4"/>
      <c r="X5853" s="4"/>
      <c r="Y5853" s="4"/>
    </row>
    <row r="5854" spans="20:25" x14ac:dyDescent="0.3">
      <c r="T5854" s="12"/>
      <c r="U5854" s="4"/>
      <c r="V5854" s="4"/>
      <c r="X5854" s="4"/>
      <c r="Y5854" s="4"/>
    </row>
    <row r="5855" spans="20:25" x14ac:dyDescent="0.3">
      <c r="T5855" s="12"/>
      <c r="U5855" s="4"/>
      <c r="V5855" s="4"/>
      <c r="X5855" s="4"/>
      <c r="Y5855" s="4"/>
    </row>
    <row r="5856" spans="20:25" x14ac:dyDescent="0.3">
      <c r="T5856" s="12"/>
      <c r="U5856" s="4"/>
      <c r="V5856" s="4"/>
      <c r="X5856" s="4"/>
      <c r="Y5856" s="4"/>
    </row>
    <row r="5857" spans="20:25" x14ac:dyDescent="0.3">
      <c r="T5857" s="12"/>
      <c r="U5857" s="4"/>
      <c r="V5857" s="4"/>
      <c r="X5857" s="4"/>
      <c r="Y5857" s="4"/>
    </row>
    <row r="5858" spans="20:25" x14ac:dyDescent="0.3">
      <c r="T5858" s="12"/>
      <c r="U5858" s="4"/>
      <c r="V5858" s="4"/>
      <c r="X5858" s="4"/>
      <c r="Y5858" s="4"/>
    </row>
    <row r="5859" spans="20:25" x14ac:dyDescent="0.3">
      <c r="T5859" s="12"/>
      <c r="U5859" s="4"/>
      <c r="V5859" s="4"/>
      <c r="X5859" s="4"/>
      <c r="Y5859" s="4"/>
    </row>
    <row r="5860" spans="20:25" x14ac:dyDescent="0.3">
      <c r="T5860" s="12"/>
      <c r="U5860" s="4"/>
      <c r="V5860" s="4"/>
      <c r="X5860" s="4"/>
      <c r="Y5860" s="4"/>
    </row>
    <row r="5861" spans="20:25" x14ac:dyDescent="0.3">
      <c r="T5861" s="12"/>
      <c r="U5861" s="4"/>
      <c r="V5861" s="4"/>
      <c r="X5861" s="4"/>
      <c r="Y5861" s="4"/>
    </row>
    <row r="5862" spans="20:25" x14ac:dyDescent="0.3">
      <c r="T5862" s="12"/>
      <c r="U5862" s="4"/>
      <c r="V5862" s="4"/>
      <c r="X5862" s="4"/>
      <c r="Y5862" s="4"/>
    </row>
    <row r="5863" spans="20:25" x14ac:dyDescent="0.3">
      <c r="T5863" s="12"/>
      <c r="U5863" s="4"/>
      <c r="V5863" s="4"/>
      <c r="X5863" s="4"/>
      <c r="Y5863" s="4"/>
    </row>
    <row r="5864" spans="20:25" x14ac:dyDescent="0.3">
      <c r="T5864" s="12"/>
      <c r="U5864" s="4"/>
      <c r="V5864" s="4"/>
      <c r="X5864" s="4"/>
      <c r="Y5864" s="4"/>
    </row>
    <row r="5865" spans="20:25" x14ac:dyDescent="0.3">
      <c r="T5865" s="12"/>
      <c r="U5865" s="4"/>
      <c r="V5865" s="4"/>
      <c r="X5865" s="4"/>
      <c r="Y5865" s="4"/>
    </row>
    <row r="5866" spans="20:25" x14ac:dyDescent="0.3">
      <c r="T5866" s="12"/>
      <c r="U5866" s="4"/>
      <c r="V5866" s="4"/>
      <c r="X5866" s="4"/>
      <c r="Y5866" s="4"/>
    </row>
    <row r="5867" spans="20:25" x14ac:dyDescent="0.3">
      <c r="T5867" s="12"/>
      <c r="U5867" s="4"/>
      <c r="V5867" s="4"/>
      <c r="X5867" s="4"/>
      <c r="Y5867" s="4"/>
    </row>
    <row r="5868" spans="20:25" x14ac:dyDescent="0.3">
      <c r="T5868" s="12"/>
      <c r="U5868" s="4"/>
      <c r="V5868" s="4"/>
      <c r="X5868" s="4"/>
      <c r="Y5868" s="4"/>
    </row>
    <row r="5869" spans="20:25" x14ac:dyDescent="0.3">
      <c r="T5869" s="12"/>
      <c r="U5869" s="4"/>
      <c r="V5869" s="4"/>
      <c r="X5869" s="4"/>
      <c r="Y5869" s="4"/>
    </row>
    <row r="5870" spans="20:25" x14ac:dyDescent="0.3">
      <c r="T5870" s="12"/>
      <c r="U5870" s="4"/>
      <c r="V5870" s="4"/>
      <c r="X5870" s="4"/>
      <c r="Y5870" s="4"/>
    </row>
    <row r="5871" spans="20:25" x14ac:dyDescent="0.3">
      <c r="T5871" s="12"/>
      <c r="U5871" s="4"/>
      <c r="V5871" s="4"/>
      <c r="X5871" s="4"/>
      <c r="Y5871" s="4"/>
    </row>
    <row r="5872" spans="20:25" x14ac:dyDescent="0.3">
      <c r="T5872" s="12"/>
      <c r="U5872" s="4"/>
      <c r="V5872" s="4"/>
      <c r="X5872" s="4"/>
      <c r="Y5872" s="4"/>
    </row>
    <row r="5873" spans="20:25" x14ac:dyDescent="0.3">
      <c r="T5873" s="12"/>
      <c r="U5873" s="4"/>
      <c r="V5873" s="4"/>
      <c r="X5873" s="4"/>
      <c r="Y5873" s="4"/>
    </row>
    <row r="5874" spans="20:25" x14ac:dyDescent="0.3">
      <c r="T5874" s="12"/>
      <c r="U5874" s="4"/>
      <c r="V5874" s="4"/>
      <c r="X5874" s="4"/>
      <c r="Y5874" s="4"/>
    </row>
    <row r="5875" spans="20:25" x14ac:dyDescent="0.3">
      <c r="T5875" s="12"/>
      <c r="U5875" s="4"/>
      <c r="V5875" s="4"/>
      <c r="X5875" s="4"/>
      <c r="Y5875" s="4"/>
    </row>
    <row r="5876" spans="20:25" x14ac:dyDescent="0.3">
      <c r="T5876" s="12"/>
      <c r="U5876" s="4"/>
      <c r="V5876" s="4"/>
      <c r="X5876" s="4"/>
      <c r="Y5876" s="4"/>
    </row>
    <row r="5877" spans="20:25" x14ac:dyDescent="0.3">
      <c r="T5877" s="12"/>
      <c r="U5877" s="4"/>
      <c r="V5877" s="4"/>
      <c r="X5877" s="4"/>
      <c r="Y5877" s="4"/>
    </row>
    <row r="5878" spans="20:25" x14ac:dyDescent="0.3">
      <c r="T5878" s="12"/>
      <c r="U5878" s="4"/>
      <c r="V5878" s="4"/>
      <c r="X5878" s="4"/>
      <c r="Y5878" s="4"/>
    </row>
    <row r="5879" spans="20:25" x14ac:dyDescent="0.3">
      <c r="T5879" s="12"/>
      <c r="U5879" s="4"/>
      <c r="V5879" s="4"/>
      <c r="X5879" s="4"/>
      <c r="Y5879" s="4"/>
    </row>
    <row r="5880" spans="20:25" x14ac:dyDescent="0.3">
      <c r="T5880" s="12"/>
      <c r="U5880" s="4"/>
      <c r="V5880" s="4"/>
      <c r="X5880" s="4"/>
      <c r="Y5880" s="4"/>
    </row>
    <row r="5881" spans="20:25" x14ac:dyDescent="0.3">
      <c r="T5881" s="12"/>
      <c r="U5881" s="4"/>
      <c r="V5881" s="4"/>
      <c r="X5881" s="4"/>
      <c r="Y5881" s="4"/>
    </row>
    <row r="5882" spans="20:25" x14ac:dyDescent="0.3">
      <c r="T5882" s="12"/>
      <c r="U5882" s="4"/>
      <c r="V5882" s="4"/>
      <c r="X5882" s="4"/>
      <c r="Y5882" s="4"/>
    </row>
    <row r="5883" spans="20:25" x14ac:dyDescent="0.3">
      <c r="T5883" s="12"/>
      <c r="U5883" s="4"/>
      <c r="V5883" s="4"/>
      <c r="X5883" s="4"/>
      <c r="Y5883" s="4"/>
    </row>
    <row r="5884" spans="20:25" x14ac:dyDescent="0.3">
      <c r="T5884" s="12"/>
      <c r="U5884" s="4"/>
      <c r="V5884" s="4"/>
      <c r="X5884" s="4"/>
      <c r="Y5884" s="4"/>
    </row>
    <row r="5885" spans="20:25" x14ac:dyDescent="0.3">
      <c r="T5885" s="12"/>
      <c r="U5885" s="4"/>
      <c r="V5885" s="4"/>
      <c r="X5885" s="4"/>
      <c r="Y5885" s="4"/>
    </row>
    <row r="5886" spans="20:25" x14ac:dyDescent="0.3">
      <c r="T5886" s="12"/>
      <c r="U5886" s="4"/>
      <c r="V5886" s="4"/>
      <c r="X5886" s="4"/>
      <c r="Y5886" s="4"/>
    </row>
    <row r="5887" spans="20:25" x14ac:dyDescent="0.3">
      <c r="T5887" s="12"/>
      <c r="U5887" s="4"/>
      <c r="V5887" s="4"/>
      <c r="X5887" s="4"/>
      <c r="Y5887" s="4"/>
    </row>
    <row r="5888" spans="20:25" x14ac:dyDescent="0.3">
      <c r="T5888" s="12"/>
      <c r="U5888" s="4"/>
      <c r="V5888" s="4"/>
      <c r="X5888" s="4"/>
      <c r="Y5888" s="4"/>
    </row>
    <row r="5889" spans="20:25" x14ac:dyDescent="0.3">
      <c r="T5889" s="12"/>
      <c r="U5889" s="4"/>
      <c r="V5889" s="4"/>
      <c r="X5889" s="4"/>
      <c r="Y5889" s="4"/>
    </row>
    <row r="5890" spans="20:25" x14ac:dyDescent="0.3">
      <c r="T5890" s="12"/>
      <c r="U5890" s="4"/>
      <c r="V5890" s="4"/>
      <c r="X5890" s="4"/>
      <c r="Y5890" s="4"/>
    </row>
    <row r="5891" spans="20:25" x14ac:dyDescent="0.3">
      <c r="T5891" s="12"/>
      <c r="U5891" s="4"/>
      <c r="V5891" s="4"/>
      <c r="X5891" s="4"/>
      <c r="Y5891" s="4"/>
    </row>
    <row r="5892" spans="20:25" x14ac:dyDescent="0.3">
      <c r="T5892" s="12"/>
      <c r="U5892" s="4"/>
      <c r="V5892" s="4"/>
      <c r="X5892" s="4"/>
      <c r="Y5892" s="4"/>
    </row>
    <row r="5893" spans="20:25" x14ac:dyDescent="0.3">
      <c r="T5893" s="12"/>
      <c r="U5893" s="4"/>
      <c r="V5893" s="4"/>
      <c r="X5893" s="4"/>
      <c r="Y5893" s="4"/>
    </row>
    <row r="5894" spans="20:25" x14ac:dyDescent="0.3">
      <c r="T5894" s="12"/>
      <c r="U5894" s="4"/>
      <c r="V5894" s="4"/>
      <c r="X5894" s="4"/>
      <c r="Y5894" s="4"/>
    </row>
    <row r="5895" spans="20:25" x14ac:dyDescent="0.3">
      <c r="T5895" s="12"/>
      <c r="U5895" s="4"/>
      <c r="V5895" s="4"/>
      <c r="X5895" s="4"/>
      <c r="Y5895" s="4"/>
    </row>
    <row r="5896" spans="20:25" x14ac:dyDescent="0.3">
      <c r="T5896" s="12"/>
      <c r="U5896" s="4"/>
      <c r="V5896" s="4"/>
      <c r="X5896" s="4"/>
      <c r="Y5896" s="4"/>
    </row>
    <row r="5897" spans="20:25" x14ac:dyDescent="0.3">
      <c r="T5897" s="12"/>
      <c r="U5897" s="4"/>
      <c r="V5897" s="4"/>
      <c r="X5897" s="4"/>
      <c r="Y5897" s="4"/>
    </row>
    <row r="5898" spans="20:25" x14ac:dyDescent="0.3">
      <c r="T5898" s="12"/>
      <c r="U5898" s="4"/>
      <c r="V5898" s="4"/>
      <c r="X5898" s="4"/>
      <c r="Y5898" s="4"/>
    </row>
    <row r="5899" spans="20:25" x14ac:dyDescent="0.3">
      <c r="T5899" s="12"/>
      <c r="U5899" s="4"/>
      <c r="V5899" s="4"/>
      <c r="X5899" s="4"/>
      <c r="Y5899" s="4"/>
    </row>
    <row r="5900" spans="20:25" x14ac:dyDescent="0.3">
      <c r="T5900" s="12"/>
      <c r="U5900" s="4"/>
      <c r="V5900" s="4"/>
      <c r="X5900" s="4"/>
      <c r="Y5900" s="4"/>
    </row>
    <row r="5901" spans="20:25" x14ac:dyDescent="0.3">
      <c r="T5901" s="12"/>
      <c r="U5901" s="4"/>
      <c r="V5901" s="4"/>
      <c r="X5901" s="4"/>
      <c r="Y5901" s="4"/>
    </row>
    <row r="5902" spans="20:25" x14ac:dyDescent="0.3">
      <c r="T5902" s="12"/>
      <c r="U5902" s="4"/>
      <c r="V5902" s="4"/>
      <c r="X5902" s="4"/>
      <c r="Y5902" s="4"/>
    </row>
    <row r="5903" spans="20:25" x14ac:dyDescent="0.3">
      <c r="T5903" s="12"/>
      <c r="U5903" s="4"/>
      <c r="V5903" s="4"/>
      <c r="X5903" s="4"/>
      <c r="Y5903" s="4"/>
    </row>
    <row r="5904" spans="20:25" x14ac:dyDescent="0.3">
      <c r="T5904" s="12"/>
      <c r="U5904" s="4"/>
      <c r="V5904" s="4"/>
      <c r="X5904" s="4"/>
      <c r="Y5904" s="4"/>
    </row>
    <row r="5905" spans="20:25" x14ac:dyDescent="0.3">
      <c r="T5905" s="12"/>
      <c r="U5905" s="4"/>
      <c r="V5905" s="4"/>
      <c r="X5905" s="4"/>
      <c r="Y5905" s="4"/>
    </row>
    <row r="5906" spans="20:25" x14ac:dyDescent="0.3">
      <c r="T5906" s="12"/>
      <c r="U5906" s="4"/>
      <c r="V5906" s="4"/>
      <c r="X5906" s="4"/>
      <c r="Y5906" s="4"/>
    </row>
    <row r="5907" spans="20:25" x14ac:dyDescent="0.3">
      <c r="T5907" s="12"/>
      <c r="U5907" s="4"/>
      <c r="V5907" s="4"/>
      <c r="X5907" s="4"/>
      <c r="Y5907" s="4"/>
    </row>
    <row r="5908" spans="20:25" x14ac:dyDescent="0.3">
      <c r="T5908" s="12"/>
      <c r="U5908" s="4"/>
      <c r="V5908" s="4"/>
      <c r="X5908" s="4"/>
      <c r="Y5908" s="4"/>
    </row>
    <row r="5909" spans="20:25" x14ac:dyDescent="0.3">
      <c r="T5909" s="12"/>
      <c r="U5909" s="4"/>
      <c r="V5909" s="4"/>
      <c r="X5909" s="4"/>
      <c r="Y5909" s="4"/>
    </row>
    <row r="5910" spans="20:25" x14ac:dyDescent="0.3">
      <c r="T5910" s="12"/>
      <c r="U5910" s="4"/>
      <c r="V5910" s="4"/>
      <c r="X5910" s="4"/>
      <c r="Y5910" s="4"/>
    </row>
    <row r="5911" spans="20:25" x14ac:dyDescent="0.3">
      <c r="T5911" s="12"/>
      <c r="U5911" s="4"/>
      <c r="V5911" s="4"/>
      <c r="X5911" s="4"/>
      <c r="Y5911" s="4"/>
    </row>
    <row r="5912" spans="20:25" x14ac:dyDescent="0.3">
      <c r="T5912" s="12"/>
      <c r="U5912" s="4"/>
      <c r="V5912" s="4"/>
      <c r="X5912" s="4"/>
      <c r="Y5912" s="4"/>
    </row>
    <row r="5913" spans="20:25" x14ac:dyDescent="0.3">
      <c r="T5913" s="12"/>
      <c r="U5913" s="4"/>
      <c r="V5913" s="4"/>
      <c r="X5913" s="4"/>
      <c r="Y5913" s="4"/>
    </row>
    <row r="5914" spans="20:25" x14ac:dyDescent="0.3">
      <c r="T5914" s="12"/>
      <c r="U5914" s="4"/>
      <c r="V5914" s="4"/>
      <c r="X5914" s="4"/>
      <c r="Y5914" s="4"/>
    </row>
    <row r="5915" spans="20:25" x14ac:dyDescent="0.3">
      <c r="T5915" s="12"/>
      <c r="U5915" s="4"/>
      <c r="V5915" s="4"/>
      <c r="X5915" s="4"/>
      <c r="Y5915" s="4"/>
    </row>
    <row r="5916" spans="20:25" x14ac:dyDescent="0.3">
      <c r="T5916" s="12"/>
      <c r="U5916" s="4"/>
      <c r="V5916" s="4"/>
      <c r="X5916" s="4"/>
      <c r="Y5916" s="4"/>
    </row>
    <row r="5917" spans="20:25" x14ac:dyDescent="0.3">
      <c r="T5917" s="12"/>
      <c r="U5917" s="4"/>
      <c r="V5917" s="4"/>
      <c r="X5917" s="4"/>
      <c r="Y5917" s="4"/>
    </row>
    <row r="5918" spans="20:25" x14ac:dyDescent="0.3">
      <c r="T5918" s="12"/>
      <c r="U5918" s="4"/>
      <c r="V5918" s="4"/>
      <c r="X5918" s="4"/>
      <c r="Y5918" s="4"/>
    </row>
    <row r="5919" spans="20:25" x14ac:dyDescent="0.3">
      <c r="T5919" s="12"/>
      <c r="U5919" s="4"/>
      <c r="V5919" s="4"/>
      <c r="X5919" s="4"/>
      <c r="Y5919" s="4"/>
    </row>
    <row r="5920" spans="20:25" x14ac:dyDescent="0.3">
      <c r="T5920" s="12"/>
      <c r="U5920" s="4"/>
      <c r="V5920" s="4"/>
      <c r="X5920" s="4"/>
      <c r="Y5920" s="4"/>
    </row>
    <row r="5921" spans="20:25" x14ac:dyDescent="0.3">
      <c r="T5921" s="12"/>
      <c r="U5921" s="4"/>
      <c r="V5921" s="4"/>
      <c r="X5921" s="4"/>
      <c r="Y5921" s="4"/>
    </row>
    <row r="5922" spans="20:25" x14ac:dyDescent="0.3">
      <c r="T5922" s="12"/>
      <c r="U5922" s="4"/>
      <c r="V5922" s="4"/>
      <c r="X5922" s="4"/>
      <c r="Y5922" s="4"/>
    </row>
    <row r="5923" spans="20:25" x14ac:dyDescent="0.3">
      <c r="T5923" s="12"/>
      <c r="U5923" s="4"/>
      <c r="V5923" s="4"/>
      <c r="X5923" s="4"/>
      <c r="Y5923" s="4"/>
    </row>
    <row r="5924" spans="20:25" x14ac:dyDescent="0.3">
      <c r="T5924" s="12"/>
      <c r="U5924" s="4"/>
      <c r="V5924" s="4"/>
      <c r="X5924" s="4"/>
      <c r="Y5924" s="4"/>
    </row>
    <row r="5925" spans="20:25" x14ac:dyDescent="0.3">
      <c r="T5925" s="12"/>
      <c r="U5925" s="4"/>
      <c r="V5925" s="4"/>
      <c r="X5925" s="4"/>
      <c r="Y5925" s="4"/>
    </row>
    <row r="5926" spans="20:25" x14ac:dyDescent="0.3">
      <c r="T5926" s="12"/>
      <c r="U5926" s="4"/>
      <c r="V5926" s="4"/>
      <c r="X5926" s="4"/>
      <c r="Y5926" s="4"/>
    </row>
    <row r="5927" spans="20:25" x14ac:dyDescent="0.3">
      <c r="T5927" s="12"/>
      <c r="U5927" s="4"/>
      <c r="V5927" s="4"/>
      <c r="X5927" s="4"/>
      <c r="Y5927" s="4"/>
    </row>
    <row r="5928" spans="20:25" x14ac:dyDescent="0.3">
      <c r="T5928" s="12"/>
      <c r="U5928" s="4"/>
      <c r="V5928" s="4"/>
      <c r="X5928" s="4"/>
      <c r="Y5928" s="4"/>
    </row>
    <row r="5929" spans="20:25" x14ac:dyDescent="0.3">
      <c r="T5929" s="12"/>
      <c r="U5929" s="4"/>
      <c r="V5929" s="4"/>
      <c r="X5929" s="4"/>
      <c r="Y5929" s="4"/>
    </row>
    <row r="5930" spans="20:25" x14ac:dyDescent="0.3">
      <c r="T5930" s="12"/>
      <c r="U5930" s="4"/>
      <c r="V5930" s="4"/>
      <c r="X5930" s="4"/>
      <c r="Y5930" s="4"/>
    </row>
    <row r="5931" spans="20:25" x14ac:dyDescent="0.3">
      <c r="T5931" s="12"/>
      <c r="U5931" s="4"/>
      <c r="V5931" s="4"/>
      <c r="X5931" s="4"/>
      <c r="Y5931" s="4"/>
    </row>
    <row r="5932" spans="20:25" x14ac:dyDescent="0.3">
      <c r="T5932" s="12"/>
      <c r="U5932" s="4"/>
      <c r="V5932" s="4"/>
      <c r="X5932" s="4"/>
      <c r="Y5932" s="4"/>
    </row>
    <row r="5933" spans="20:25" x14ac:dyDescent="0.3">
      <c r="T5933" s="12"/>
      <c r="U5933" s="4"/>
      <c r="V5933" s="4"/>
      <c r="X5933" s="4"/>
      <c r="Y5933" s="4"/>
    </row>
    <row r="5934" spans="20:25" x14ac:dyDescent="0.3">
      <c r="T5934" s="12"/>
      <c r="U5934" s="4"/>
      <c r="V5934" s="4"/>
      <c r="X5934" s="4"/>
      <c r="Y5934" s="4"/>
    </row>
    <row r="5935" spans="20:25" x14ac:dyDescent="0.3">
      <c r="T5935" s="12"/>
      <c r="U5935" s="4"/>
      <c r="V5935" s="4"/>
      <c r="X5935" s="4"/>
      <c r="Y5935" s="4"/>
    </row>
    <row r="5936" spans="20:25" x14ac:dyDescent="0.3">
      <c r="T5936" s="12"/>
      <c r="U5936" s="4"/>
      <c r="V5936" s="4"/>
      <c r="X5936" s="4"/>
      <c r="Y5936" s="4"/>
    </row>
    <row r="5937" spans="20:25" x14ac:dyDescent="0.3">
      <c r="T5937" s="12"/>
      <c r="U5937" s="4"/>
      <c r="V5937" s="4"/>
      <c r="X5937" s="4"/>
      <c r="Y5937" s="4"/>
    </row>
    <row r="5938" spans="20:25" x14ac:dyDescent="0.3">
      <c r="T5938" s="12"/>
      <c r="U5938" s="4"/>
      <c r="V5938" s="4"/>
      <c r="X5938" s="4"/>
      <c r="Y5938" s="4"/>
    </row>
    <row r="5939" spans="20:25" x14ac:dyDescent="0.3">
      <c r="T5939" s="12"/>
      <c r="U5939" s="4"/>
      <c r="V5939" s="4"/>
      <c r="X5939" s="4"/>
      <c r="Y5939" s="4"/>
    </row>
    <row r="5940" spans="20:25" x14ac:dyDescent="0.3">
      <c r="T5940" s="12"/>
      <c r="U5940" s="4"/>
      <c r="V5940" s="4"/>
      <c r="X5940" s="4"/>
      <c r="Y5940" s="4"/>
    </row>
    <row r="5941" spans="20:25" x14ac:dyDescent="0.3">
      <c r="T5941" s="12"/>
      <c r="U5941" s="4"/>
      <c r="V5941" s="4"/>
      <c r="X5941" s="4"/>
      <c r="Y5941" s="4"/>
    </row>
    <row r="5942" spans="20:25" x14ac:dyDescent="0.3">
      <c r="T5942" s="12"/>
      <c r="U5942" s="4"/>
      <c r="V5942" s="4"/>
      <c r="X5942" s="4"/>
      <c r="Y5942" s="4"/>
    </row>
    <row r="5943" spans="20:25" x14ac:dyDescent="0.3">
      <c r="T5943" s="12"/>
      <c r="U5943" s="4"/>
      <c r="V5943" s="4"/>
      <c r="X5943" s="4"/>
      <c r="Y5943" s="4"/>
    </row>
    <row r="5944" spans="20:25" x14ac:dyDescent="0.3">
      <c r="T5944" s="12"/>
      <c r="U5944" s="4"/>
      <c r="V5944" s="4"/>
      <c r="X5944" s="4"/>
      <c r="Y5944" s="4"/>
    </row>
    <row r="5945" spans="20:25" x14ac:dyDescent="0.3">
      <c r="T5945" s="12"/>
      <c r="U5945" s="4"/>
      <c r="V5945" s="4"/>
      <c r="X5945" s="4"/>
      <c r="Y5945" s="4"/>
    </row>
    <row r="5946" spans="20:25" x14ac:dyDescent="0.3">
      <c r="T5946" s="12"/>
      <c r="U5946" s="4"/>
      <c r="V5946" s="4"/>
      <c r="X5946" s="4"/>
      <c r="Y5946" s="4"/>
    </row>
    <row r="5947" spans="20:25" x14ac:dyDescent="0.3">
      <c r="T5947" s="12"/>
      <c r="U5947" s="4"/>
      <c r="V5947" s="4"/>
      <c r="X5947" s="4"/>
      <c r="Y5947" s="4"/>
    </row>
    <row r="5948" spans="20:25" x14ac:dyDescent="0.3">
      <c r="T5948" s="12"/>
      <c r="U5948" s="4"/>
      <c r="V5948" s="4"/>
      <c r="X5948" s="4"/>
      <c r="Y5948" s="4"/>
    </row>
    <row r="5949" spans="20:25" x14ac:dyDescent="0.3">
      <c r="T5949" s="12"/>
      <c r="U5949" s="4"/>
      <c r="V5949" s="4"/>
      <c r="X5949" s="4"/>
      <c r="Y5949" s="4"/>
    </row>
    <row r="5950" spans="20:25" x14ac:dyDescent="0.3">
      <c r="T5950" s="12"/>
      <c r="U5950" s="4"/>
      <c r="V5950" s="4"/>
      <c r="X5950" s="4"/>
      <c r="Y5950" s="4"/>
    </row>
    <row r="5951" spans="20:25" x14ac:dyDescent="0.3">
      <c r="T5951" s="12"/>
      <c r="U5951" s="4"/>
      <c r="V5951" s="4"/>
      <c r="X5951" s="4"/>
      <c r="Y5951" s="4"/>
    </row>
    <row r="5952" spans="20:25" x14ac:dyDescent="0.3">
      <c r="T5952" s="12"/>
      <c r="U5952" s="4"/>
      <c r="V5952" s="4"/>
      <c r="X5952" s="4"/>
      <c r="Y5952" s="4"/>
    </row>
    <row r="5953" spans="20:25" x14ac:dyDescent="0.3">
      <c r="T5953" s="12"/>
      <c r="U5953" s="4"/>
      <c r="V5953" s="4"/>
      <c r="X5953" s="4"/>
      <c r="Y5953" s="4"/>
    </row>
    <row r="5954" spans="20:25" x14ac:dyDescent="0.3">
      <c r="T5954" s="12"/>
      <c r="U5954" s="4"/>
      <c r="V5954" s="4"/>
      <c r="X5954" s="4"/>
      <c r="Y5954" s="4"/>
    </row>
    <row r="5955" spans="20:25" x14ac:dyDescent="0.3">
      <c r="T5955" s="12"/>
      <c r="U5955" s="4"/>
      <c r="V5955" s="4"/>
      <c r="X5955" s="4"/>
      <c r="Y5955" s="4"/>
    </row>
    <row r="5956" spans="20:25" x14ac:dyDescent="0.3">
      <c r="T5956" s="12"/>
      <c r="U5956" s="4"/>
      <c r="V5956" s="4"/>
      <c r="X5956" s="4"/>
      <c r="Y5956" s="4"/>
    </row>
    <row r="5957" spans="20:25" x14ac:dyDescent="0.3">
      <c r="T5957" s="12"/>
      <c r="U5957" s="4"/>
      <c r="V5957" s="4"/>
      <c r="X5957" s="4"/>
      <c r="Y5957" s="4"/>
    </row>
    <row r="5958" spans="20:25" x14ac:dyDescent="0.3">
      <c r="T5958" s="12"/>
      <c r="U5958" s="4"/>
      <c r="V5958" s="4"/>
      <c r="X5958" s="4"/>
      <c r="Y5958" s="4"/>
    </row>
    <row r="5959" spans="20:25" x14ac:dyDescent="0.3">
      <c r="T5959" s="12"/>
      <c r="U5959" s="4"/>
      <c r="V5959" s="4"/>
      <c r="X5959" s="4"/>
      <c r="Y5959" s="4"/>
    </row>
    <row r="5960" spans="20:25" x14ac:dyDescent="0.3">
      <c r="T5960" s="12"/>
      <c r="U5960" s="4"/>
      <c r="V5960" s="4"/>
      <c r="X5960" s="4"/>
      <c r="Y5960" s="4"/>
    </row>
    <row r="5961" spans="20:25" x14ac:dyDescent="0.3">
      <c r="T5961" s="12"/>
      <c r="U5961" s="4"/>
      <c r="V5961" s="4"/>
      <c r="X5961" s="4"/>
      <c r="Y5961" s="4"/>
    </row>
    <row r="5962" spans="20:25" x14ac:dyDescent="0.3">
      <c r="T5962" s="12"/>
      <c r="U5962" s="4"/>
      <c r="V5962" s="4"/>
      <c r="X5962" s="4"/>
      <c r="Y5962" s="4"/>
    </row>
    <row r="5963" spans="20:25" x14ac:dyDescent="0.3">
      <c r="T5963" s="12"/>
      <c r="U5963" s="4"/>
      <c r="V5963" s="4"/>
      <c r="X5963" s="4"/>
      <c r="Y5963" s="4"/>
    </row>
    <row r="5964" spans="20:25" x14ac:dyDescent="0.3">
      <c r="T5964" s="12"/>
      <c r="U5964" s="4"/>
      <c r="V5964" s="4"/>
      <c r="X5964" s="4"/>
      <c r="Y5964" s="4"/>
    </row>
    <row r="5965" spans="20:25" x14ac:dyDescent="0.3">
      <c r="T5965" s="12"/>
      <c r="U5965" s="4"/>
      <c r="V5965" s="4"/>
      <c r="X5965" s="4"/>
      <c r="Y5965" s="4"/>
    </row>
    <row r="5966" spans="20:25" x14ac:dyDescent="0.3">
      <c r="T5966" s="12"/>
      <c r="U5966" s="4"/>
      <c r="V5966" s="4"/>
      <c r="X5966" s="4"/>
      <c r="Y5966" s="4"/>
    </row>
    <row r="5967" spans="20:25" x14ac:dyDescent="0.3">
      <c r="T5967" s="12"/>
      <c r="U5967" s="4"/>
      <c r="V5967" s="4"/>
      <c r="X5967" s="4"/>
      <c r="Y5967" s="4"/>
    </row>
    <row r="5968" spans="20:25" x14ac:dyDescent="0.3">
      <c r="T5968" s="12"/>
      <c r="U5968" s="4"/>
      <c r="V5968" s="4"/>
      <c r="X5968" s="4"/>
      <c r="Y5968" s="4"/>
    </row>
    <row r="5969" spans="20:25" x14ac:dyDescent="0.3">
      <c r="T5969" s="12"/>
      <c r="U5969" s="4"/>
      <c r="V5969" s="4"/>
      <c r="X5969" s="4"/>
      <c r="Y5969" s="4"/>
    </row>
    <row r="5970" spans="20:25" x14ac:dyDescent="0.3">
      <c r="T5970" s="12"/>
      <c r="U5970" s="4"/>
      <c r="V5970" s="4"/>
      <c r="X5970" s="4"/>
      <c r="Y5970" s="4"/>
    </row>
    <row r="5971" spans="20:25" x14ac:dyDescent="0.3">
      <c r="T5971" s="12"/>
      <c r="U5971" s="4"/>
      <c r="V5971" s="4"/>
      <c r="X5971" s="4"/>
      <c r="Y5971" s="4"/>
    </row>
    <row r="5972" spans="20:25" x14ac:dyDescent="0.3">
      <c r="T5972" s="12"/>
      <c r="U5972" s="4"/>
      <c r="V5972" s="4"/>
      <c r="X5972" s="4"/>
      <c r="Y5972" s="4"/>
    </row>
    <row r="5973" spans="20:25" x14ac:dyDescent="0.3">
      <c r="T5973" s="12"/>
      <c r="U5973" s="4"/>
      <c r="V5973" s="4"/>
      <c r="X5973" s="4"/>
      <c r="Y5973" s="4"/>
    </row>
    <row r="5974" spans="20:25" x14ac:dyDescent="0.3">
      <c r="T5974" s="12"/>
      <c r="U5974" s="4"/>
      <c r="V5974" s="4"/>
      <c r="X5974" s="4"/>
      <c r="Y5974" s="4"/>
    </row>
    <row r="5975" spans="20:25" x14ac:dyDescent="0.3">
      <c r="T5975" s="12"/>
      <c r="U5975" s="4"/>
      <c r="V5975" s="4"/>
      <c r="X5975" s="4"/>
      <c r="Y5975" s="4"/>
    </row>
    <row r="5976" spans="20:25" x14ac:dyDescent="0.3">
      <c r="T5976" s="12"/>
      <c r="U5976" s="4"/>
      <c r="V5976" s="4"/>
      <c r="X5976" s="4"/>
      <c r="Y5976" s="4"/>
    </row>
    <row r="5977" spans="20:25" x14ac:dyDescent="0.3">
      <c r="T5977" s="12"/>
      <c r="U5977" s="4"/>
      <c r="V5977" s="4"/>
      <c r="X5977" s="4"/>
      <c r="Y5977" s="4"/>
    </row>
    <row r="5978" spans="20:25" x14ac:dyDescent="0.3">
      <c r="T5978" s="12"/>
      <c r="U5978" s="4"/>
      <c r="V5978" s="4"/>
      <c r="X5978" s="4"/>
      <c r="Y5978" s="4"/>
    </row>
    <row r="5979" spans="20:25" x14ac:dyDescent="0.3">
      <c r="T5979" s="12"/>
      <c r="U5979" s="4"/>
      <c r="V5979" s="4"/>
      <c r="X5979" s="4"/>
      <c r="Y5979" s="4"/>
    </row>
    <row r="5980" spans="20:25" x14ac:dyDescent="0.3">
      <c r="T5980" s="12"/>
      <c r="U5980" s="4"/>
      <c r="V5980" s="4"/>
      <c r="X5980" s="4"/>
      <c r="Y5980" s="4"/>
    </row>
    <row r="5981" spans="20:25" x14ac:dyDescent="0.3">
      <c r="T5981" s="12"/>
      <c r="U5981" s="4"/>
      <c r="V5981" s="4"/>
      <c r="X5981" s="4"/>
      <c r="Y5981" s="4"/>
    </row>
    <row r="5982" spans="20:25" x14ac:dyDescent="0.3">
      <c r="T5982" s="12"/>
      <c r="U5982" s="4"/>
      <c r="V5982" s="4"/>
      <c r="X5982" s="4"/>
      <c r="Y5982" s="4"/>
    </row>
    <row r="5983" spans="20:25" x14ac:dyDescent="0.3">
      <c r="T5983" s="12"/>
      <c r="U5983" s="4"/>
      <c r="V5983" s="4"/>
      <c r="X5983" s="4"/>
      <c r="Y5983" s="4"/>
    </row>
    <row r="5984" spans="20:25" x14ac:dyDescent="0.3">
      <c r="T5984" s="12"/>
      <c r="U5984" s="4"/>
      <c r="V5984" s="4"/>
      <c r="X5984" s="4"/>
      <c r="Y5984" s="4"/>
    </row>
    <row r="5985" spans="20:25" x14ac:dyDescent="0.3">
      <c r="T5985" s="12"/>
      <c r="U5985" s="4"/>
      <c r="V5985" s="4"/>
      <c r="X5985" s="4"/>
      <c r="Y5985" s="4"/>
    </row>
    <row r="5986" spans="20:25" x14ac:dyDescent="0.3">
      <c r="T5986" s="12"/>
      <c r="U5986" s="4"/>
      <c r="V5986" s="4"/>
      <c r="X5986" s="4"/>
      <c r="Y5986" s="4"/>
    </row>
    <row r="5987" spans="20:25" x14ac:dyDescent="0.3">
      <c r="T5987" s="12"/>
      <c r="U5987" s="4"/>
      <c r="V5987" s="4"/>
      <c r="X5987" s="4"/>
      <c r="Y5987" s="4"/>
    </row>
    <row r="5988" spans="20:25" x14ac:dyDescent="0.3">
      <c r="T5988" s="12"/>
      <c r="U5988" s="4"/>
      <c r="V5988" s="4"/>
      <c r="X5988" s="4"/>
      <c r="Y5988" s="4"/>
    </row>
    <row r="5989" spans="20:25" x14ac:dyDescent="0.3">
      <c r="T5989" s="12"/>
      <c r="U5989" s="4"/>
      <c r="V5989" s="4"/>
      <c r="X5989" s="4"/>
      <c r="Y5989" s="4"/>
    </row>
    <row r="5990" spans="20:25" x14ac:dyDescent="0.3">
      <c r="T5990" s="12"/>
      <c r="U5990" s="4"/>
      <c r="V5990" s="4"/>
      <c r="X5990" s="4"/>
      <c r="Y5990" s="4"/>
    </row>
    <row r="5991" spans="20:25" x14ac:dyDescent="0.3">
      <c r="T5991" s="12"/>
      <c r="U5991" s="4"/>
      <c r="V5991" s="4"/>
      <c r="X5991" s="4"/>
      <c r="Y5991" s="4"/>
    </row>
    <row r="5992" spans="20:25" x14ac:dyDescent="0.3">
      <c r="T5992" s="12"/>
      <c r="U5992" s="4"/>
      <c r="V5992" s="4"/>
      <c r="X5992" s="4"/>
      <c r="Y5992" s="4"/>
    </row>
    <row r="5993" spans="20:25" x14ac:dyDescent="0.3">
      <c r="T5993" s="12"/>
      <c r="U5993" s="4"/>
      <c r="V5993" s="4"/>
      <c r="X5993" s="4"/>
      <c r="Y5993" s="4"/>
    </row>
    <row r="5994" spans="20:25" x14ac:dyDescent="0.3">
      <c r="T5994" s="12"/>
      <c r="U5994" s="4"/>
      <c r="V5994" s="4"/>
      <c r="X5994" s="4"/>
      <c r="Y5994" s="4"/>
    </row>
    <row r="5995" spans="20:25" x14ac:dyDescent="0.3">
      <c r="T5995" s="12"/>
      <c r="U5995" s="4"/>
      <c r="V5995" s="4"/>
      <c r="X5995" s="4"/>
      <c r="Y5995" s="4"/>
    </row>
    <row r="5996" spans="20:25" x14ac:dyDescent="0.3">
      <c r="T5996" s="12"/>
      <c r="U5996" s="4"/>
      <c r="V5996" s="4"/>
      <c r="X5996" s="4"/>
      <c r="Y5996" s="4"/>
    </row>
    <row r="5997" spans="20:25" x14ac:dyDescent="0.3">
      <c r="T5997" s="12"/>
      <c r="U5997" s="4"/>
      <c r="V5997" s="4"/>
      <c r="X5997" s="4"/>
      <c r="Y5997" s="4"/>
    </row>
    <row r="5998" spans="20:25" x14ac:dyDescent="0.3">
      <c r="T5998" s="12"/>
      <c r="U5998" s="4"/>
      <c r="V5998" s="4"/>
      <c r="X5998" s="4"/>
      <c r="Y5998" s="4"/>
    </row>
    <row r="5999" spans="20:25" x14ac:dyDescent="0.3">
      <c r="T5999" s="12"/>
      <c r="U5999" s="4"/>
      <c r="V5999" s="4"/>
      <c r="X5999" s="4"/>
      <c r="Y5999" s="4"/>
    </row>
    <row r="6000" spans="20:25" x14ac:dyDescent="0.3">
      <c r="T6000" s="12"/>
      <c r="U6000" s="4"/>
      <c r="V6000" s="4"/>
      <c r="X6000" s="4"/>
      <c r="Y6000" s="4"/>
    </row>
    <row r="6001" spans="20:25" x14ac:dyDescent="0.3">
      <c r="T6001" s="12"/>
      <c r="U6001" s="4"/>
      <c r="V6001" s="4"/>
      <c r="X6001" s="4"/>
      <c r="Y6001" s="4"/>
    </row>
    <row r="6002" spans="20:25" x14ac:dyDescent="0.3">
      <c r="T6002" s="12"/>
      <c r="U6002" s="4"/>
      <c r="V6002" s="4"/>
      <c r="X6002" s="4"/>
      <c r="Y6002" s="4"/>
    </row>
    <row r="6003" spans="20:25" x14ac:dyDescent="0.3">
      <c r="T6003" s="12"/>
      <c r="U6003" s="4"/>
      <c r="V6003" s="4"/>
      <c r="X6003" s="4"/>
      <c r="Y6003" s="4"/>
    </row>
    <row r="6004" spans="20:25" x14ac:dyDescent="0.3">
      <c r="T6004" s="12"/>
      <c r="U6004" s="4"/>
      <c r="V6004" s="4"/>
      <c r="X6004" s="4"/>
      <c r="Y6004" s="4"/>
    </row>
    <row r="6005" spans="20:25" x14ac:dyDescent="0.3">
      <c r="T6005" s="12"/>
      <c r="U6005" s="4"/>
      <c r="V6005" s="4"/>
      <c r="X6005" s="4"/>
      <c r="Y6005" s="4"/>
    </row>
    <row r="6006" spans="20:25" x14ac:dyDescent="0.3">
      <c r="T6006" s="12"/>
      <c r="U6006" s="4"/>
      <c r="V6006" s="4"/>
      <c r="X6006" s="4"/>
      <c r="Y6006" s="4"/>
    </row>
    <row r="6007" spans="20:25" x14ac:dyDescent="0.3">
      <c r="T6007" s="12"/>
      <c r="U6007" s="4"/>
      <c r="V6007" s="4"/>
      <c r="X6007" s="4"/>
      <c r="Y6007" s="4"/>
    </row>
    <row r="6008" spans="20:25" x14ac:dyDescent="0.3">
      <c r="T6008" s="12"/>
      <c r="U6008" s="4"/>
      <c r="V6008" s="4"/>
      <c r="X6008" s="4"/>
      <c r="Y6008" s="4"/>
    </row>
    <row r="6009" spans="20:25" x14ac:dyDescent="0.3">
      <c r="T6009" s="12"/>
      <c r="U6009" s="4"/>
      <c r="V6009" s="4"/>
      <c r="X6009" s="4"/>
      <c r="Y6009" s="4"/>
    </row>
    <row r="6010" spans="20:25" x14ac:dyDescent="0.3">
      <c r="T6010" s="12"/>
      <c r="U6010" s="4"/>
      <c r="V6010" s="4"/>
      <c r="X6010" s="4"/>
      <c r="Y6010" s="4"/>
    </row>
    <row r="6011" spans="20:25" x14ac:dyDescent="0.3">
      <c r="T6011" s="12"/>
      <c r="U6011" s="4"/>
      <c r="V6011" s="4"/>
      <c r="X6011" s="4"/>
      <c r="Y6011" s="4"/>
    </row>
    <row r="6012" spans="20:25" x14ac:dyDescent="0.3">
      <c r="T6012" s="12"/>
      <c r="U6012" s="4"/>
      <c r="V6012" s="4"/>
      <c r="X6012" s="4"/>
      <c r="Y6012" s="4"/>
    </row>
    <row r="6013" spans="20:25" x14ac:dyDescent="0.3">
      <c r="T6013" s="12"/>
      <c r="U6013" s="4"/>
      <c r="V6013" s="4"/>
      <c r="X6013" s="4"/>
      <c r="Y6013" s="4"/>
    </row>
    <row r="6014" spans="20:25" x14ac:dyDescent="0.3">
      <c r="T6014" s="12"/>
      <c r="U6014" s="4"/>
      <c r="V6014" s="4"/>
      <c r="X6014" s="4"/>
      <c r="Y6014" s="4"/>
    </row>
    <row r="6015" spans="20:25" x14ac:dyDescent="0.3">
      <c r="T6015" s="12"/>
      <c r="U6015" s="4"/>
      <c r="V6015" s="4"/>
      <c r="X6015" s="4"/>
      <c r="Y6015" s="4"/>
    </row>
    <row r="6016" spans="20:25" x14ac:dyDescent="0.3">
      <c r="T6016" s="12"/>
      <c r="U6016" s="4"/>
      <c r="V6016" s="4"/>
      <c r="X6016" s="4"/>
      <c r="Y6016" s="4"/>
    </row>
    <row r="6017" spans="20:25" x14ac:dyDescent="0.3">
      <c r="T6017" s="12"/>
      <c r="U6017" s="4"/>
      <c r="V6017" s="4"/>
      <c r="X6017" s="4"/>
      <c r="Y6017" s="4"/>
    </row>
    <row r="6018" spans="20:25" x14ac:dyDescent="0.3">
      <c r="T6018" s="12"/>
      <c r="U6018" s="4"/>
      <c r="V6018" s="4"/>
      <c r="X6018" s="4"/>
      <c r="Y6018" s="4"/>
    </row>
    <row r="6019" spans="20:25" x14ac:dyDescent="0.3">
      <c r="T6019" s="12"/>
      <c r="U6019" s="4"/>
      <c r="V6019" s="4"/>
      <c r="X6019" s="4"/>
      <c r="Y6019" s="4"/>
    </row>
    <row r="6020" spans="20:25" x14ac:dyDescent="0.3">
      <c r="T6020" s="12"/>
      <c r="U6020" s="4"/>
      <c r="V6020" s="4"/>
      <c r="X6020" s="4"/>
      <c r="Y6020" s="4"/>
    </row>
    <row r="6021" spans="20:25" x14ac:dyDescent="0.3">
      <c r="T6021" s="12"/>
      <c r="U6021" s="4"/>
      <c r="V6021" s="4"/>
      <c r="X6021" s="4"/>
      <c r="Y6021" s="4"/>
    </row>
    <row r="6022" spans="20:25" x14ac:dyDescent="0.3">
      <c r="T6022" s="12"/>
      <c r="U6022" s="4"/>
      <c r="V6022" s="4"/>
      <c r="X6022" s="4"/>
      <c r="Y6022" s="4"/>
    </row>
    <row r="6023" spans="20:25" x14ac:dyDescent="0.3">
      <c r="T6023" s="12"/>
      <c r="U6023" s="4"/>
      <c r="V6023" s="4"/>
      <c r="X6023" s="4"/>
      <c r="Y6023" s="4"/>
    </row>
    <row r="6024" spans="20:25" x14ac:dyDescent="0.3">
      <c r="T6024" s="12"/>
      <c r="U6024" s="4"/>
      <c r="V6024" s="4"/>
      <c r="X6024" s="4"/>
      <c r="Y6024" s="4"/>
    </row>
    <row r="6025" spans="20:25" x14ac:dyDescent="0.3">
      <c r="T6025" s="12"/>
      <c r="U6025" s="4"/>
      <c r="V6025" s="4"/>
      <c r="X6025" s="4"/>
      <c r="Y6025" s="4"/>
    </row>
    <row r="6026" spans="20:25" x14ac:dyDescent="0.3">
      <c r="T6026" s="12"/>
      <c r="U6026" s="4"/>
      <c r="V6026" s="4"/>
      <c r="X6026" s="4"/>
      <c r="Y6026" s="4"/>
    </row>
    <row r="6027" spans="20:25" x14ac:dyDescent="0.3">
      <c r="T6027" s="12"/>
      <c r="U6027" s="4"/>
      <c r="V6027" s="4"/>
      <c r="X6027" s="4"/>
      <c r="Y6027" s="4"/>
    </row>
    <row r="6028" spans="20:25" x14ac:dyDescent="0.3">
      <c r="T6028" s="12"/>
      <c r="U6028" s="4"/>
      <c r="V6028" s="4"/>
      <c r="X6028" s="4"/>
      <c r="Y6028" s="4"/>
    </row>
    <row r="6029" spans="20:25" x14ac:dyDescent="0.3">
      <c r="T6029" s="12"/>
      <c r="U6029" s="4"/>
      <c r="V6029" s="4"/>
      <c r="X6029" s="4"/>
      <c r="Y6029" s="4"/>
    </row>
    <row r="6030" spans="20:25" x14ac:dyDescent="0.3">
      <c r="T6030" s="12"/>
      <c r="U6030" s="4"/>
      <c r="V6030" s="4"/>
      <c r="X6030" s="4"/>
      <c r="Y6030" s="4"/>
    </row>
    <row r="6031" spans="20:25" x14ac:dyDescent="0.3">
      <c r="T6031" s="12"/>
      <c r="U6031" s="4"/>
      <c r="V6031" s="4"/>
      <c r="X6031" s="4"/>
      <c r="Y6031" s="4"/>
    </row>
    <row r="6032" spans="20:25" x14ac:dyDescent="0.3">
      <c r="T6032" s="12"/>
      <c r="U6032" s="4"/>
      <c r="V6032" s="4"/>
      <c r="X6032" s="4"/>
      <c r="Y6032" s="4"/>
    </row>
    <row r="6033" spans="20:25" x14ac:dyDescent="0.3">
      <c r="T6033" s="12"/>
      <c r="U6033" s="4"/>
      <c r="V6033" s="4"/>
      <c r="X6033" s="4"/>
      <c r="Y6033" s="4"/>
    </row>
    <row r="6034" spans="20:25" x14ac:dyDescent="0.3">
      <c r="T6034" s="12"/>
      <c r="U6034" s="4"/>
      <c r="V6034" s="4"/>
      <c r="X6034" s="4"/>
      <c r="Y6034" s="4"/>
    </row>
    <row r="6035" spans="20:25" x14ac:dyDescent="0.3">
      <c r="T6035" s="12"/>
      <c r="U6035" s="4"/>
      <c r="V6035" s="4"/>
      <c r="X6035" s="4"/>
      <c r="Y6035" s="4"/>
    </row>
    <row r="6036" spans="20:25" x14ac:dyDescent="0.3">
      <c r="T6036" s="12"/>
      <c r="U6036" s="4"/>
      <c r="V6036" s="4"/>
      <c r="X6036" s="4"/>
      <c r="Y6036" s="4"/>
    </row>
    <row r="6037" spans="20:25" x14ac:dyDescent="0.3">
      <c r="T6037" s="12"/>
      <c r="U6037" s="4"/>
      <c r="V6037" s="4"/>
      <c r="X6037" s="4"/>
      <c r="Y6037" s="4"/>
    </row>
    <row r="6038" spans="20:25" x14ac:dyDescent="0.3">
      <c r="T6038" s="12"/>
      <c r="U6038" s="4"/>
      <c r="V6038" s="4"/>
      <c r="X6038" s="4"/>
      <c r="Y6038" s="4"/>
    </row>
    <row r="6039" spans="20:25" x14ac:dyDescent="0.3">
      <c r="T6039" s="12"/>
      <c r="U6039" s="4"/>
      <c r="V6039" s="4"/>
      <c r="X6039" s="4"/>
      <c r="Y6039" s="4"/>
    </row>
    <row r="6040" spans="20:25" x14ac:dyDescent="0.3">
      <c r="T6040" s="12"/>
      <c r="U6040" s="4"/>
      <c r="V6040" s="4"/>
      <c r="X6040" s="4"/>
      <c r="Y6040" s="4"/>
    </row>
    <row r="6041" spans="20:25" x14ac:dyDescent="0.3">
      <c r="T6041" s="12"/>
      <c r="U6041" s="4"/>
      <c r="V6041" s="4"/>
      <c r="X6041" s="4"/>
      <c r="Y6041" s="4"/>
    </row>
    <row r="6042" spans="20:25" x14ac:dyDescent="0.3">
      <c r="T6042" s="12"/>
      <c r="U6042" s="4"/>
      <c r="V6042" s="4"/>
      <c r="X6042" s="4"/>
      <c r="Y6042" s="4"/>
    </row>
    <row r="6043" spans="20:25" x14ac:dyDescent="0.3">
      <c r="T6043" s="12"/>
      <c r="U6043" s="4"/>
      <c r="V6043" s="4"/>
      <c r="X6043" s="4"/>
      <c r="Y6043" s="4"/>
    </row>
    <row r="6044" spans="20:25" x14ac:dyDescent="0.3">
      <c r="T6044" s="12"/>
      <c r="U6044" s="4"/>
      <c r="V6044" s="4"/>
      <c r="X6044" s="4"/>
      <c r="Y6044" s="4"/>
    </row>
    <row r="6045" spans="20:25" x14ac:dyDescent="0.3">
      <c r="T6045" s="12"/>
      <c r="U6045" s="4"/>
      <c r="V6045" s="4"/>
      <c r="X6045" s="4"/>
      <c r="Y6045" s="4"/>
    </row>
    <row r="6046" spans="20:25" x14ac:dyDescent="0.3">
      <c r="T6046" s="12"/>
      <c r="U6046" s="4"/>
      <c r="V6046" s="4"/>
      <c r="X6046" s="4"/>
      <c r="Y6046" s="4"/>
    </row>
    <row r="6047" spans="20:25" x14ac:dyDescent="0.3">
      <c r="T6047" s="12"/>
      <c r="U6047" s="4"/>
      <c r="V6047" s="4"/>
      <c r="X6047" s="4"/>
      <c r="Y6047" s="4"/>
    </row>
    <row r="6048" spans="20:25" x14ac:dyDescent="0.3">
      <c r="T6048" s="12"/>
      <c r="U6048" s="4"/>
      <c r="V6048" s="4"/>
      <c r="X6048" s="4"/>
      <c r="Y6048" s="4"/>
    </row>
    <row r="6049" spans="20:25" x14ac:dyDescent="0.3">
      <c r="T6049" s="12"/>
      <c r="U6049" s="4"/>
      <c r="V6049" s="4"/>
      <c r="X6049" s="4"/>
      <c r="Y6049" s="4"/>
    </row>
    <row r="6050" spans="20:25" x14ac:dyDescent="0.3">
      <c r="T6050" s="12"/>
      <c r="U6050" s="4"/>
      <c r="V6050" s="4"/>
      <c r="X6050" s="4"/>
      <c r="Y6050" s="4"/>
    </row>
    <row r="6051" spans="20:25" x14ac:dyDescent="0.3">
      <c r="T6051" s="12"/>
      <c r="U6051" s="4"/>
      <c r="V6051" s="4"/>
      <c r="X6051" s="4"/>
      <c r="Y6051" s="4"/>
    </row>
    <row r="6052" spans="20:25" x14ac:dyDescent="0.3">
      <c r="T6052" s="12"/>
      <c r="U6052" s="4"/>
      <c r="V6052" s="4"/>
      <c r="X6052" s="4"/>
      <c r="Y6052" s="4"/>
    </row>
    <row r="6053" spans="20:25" x14ac:dyDescent="0.3">
      <c r="T6053" s="12"/>
      <c r="U6053" s="4"/>
      <c r="V6053" s="4"/>
      <c r="X6053" s="4"/>
      <c r="Y6053" s="4"/>
    </row>
    <row r="6054" spans="20:25" x14ac:dyDescent="0.3">
      <c r="T6054" s="12"/>
      <c r="U6054" s="4"/>
      <c r="V6054" s="4"/>
      <c r="X6054" s="4"/>
      <c r="Y6054" s="4"/>
    </row>
    <row r="6055" spans="20:25" x14ac:dyDescent="0.3">
      <c r="T6055" s="12"/>
      <c r="U6055" s="4"/>
      <c r="V6055" s="4"/>
      <c r="X6055" s="4"/>
      <c r="Y6055" s="4"/>
    </row>
    <row r="6056" spans="20:25" x14ac:dyDescent="0.3">
      <c r="T6056" s="12"/>
      <c r="U6056" s="4"/>
      <c r="V6056" s="4"/>
      <c r="X6056" s="4"/>
      <c r="Y6056" s="4"/>
    </row>
    <row r="6057" spans="20:25" x14ac:dyDescent="0.3">
      <c r="T6057" s="12"/>
      <c r="U6057" s="4"/>
      <c r="V6057" s="4"/>
      <c r="X6057" s="4"/>
      <c r="Y6057" s="4"/>
    </row>
    <row r="6058" spans="20:25" x14ac:dyDescent="0.3">
      <c r="T6058" s="12"/>
      <c r="U6058" s="4"/>
      <c r="V6058" s="4"/>
      <c r="X6058" s="4"/>
      <c r="Y6058" s="4"/>
    </row>
    <row r="6059" spans="20:25" x14ac:dyDescent="0.3">
      <c r="T6059" s="12"/>
      <c r="U6059" s="4"/>
      <c r="V6059" s="4"/>
      <c r="X6059" s="4"/>
      <c r="Y6059" s="4"/>
    </row>
    <row r="6060" spans="20:25" x14ac:dyDescent="0.3">
      <c r="T6060" s="12"/>
      <c r="U6060" s="4"/>
      <c r="V6060" s="4"/>
      <c r="X6060" s="4"/>
      <c r="Y6060" s="4"/>
    </row>
    <row r="6061" spans="20:25" x14ac:dyDescent="0.3">
      <c r="T6061" s="12"/>
      <c r="U6061" s="4"/>
      <c r="V6061" s="4"/>
      <c r="X6061" s="4"/>
      <c r="Y6061" s="4"/>
    </row>
    <row r="6062" spans="20:25" x14ac:dyDescent="0.3">
      <c r="T6062" s="12"/>
      <c r="U6062" s="4"/>
      <c r="V6062" s="4"/>
      <c r="X6062" s="4"/>
      <c r="Y6062" s="4"/>
    </row>
    <row r="6063" spans="20:25" x14ac:dyDescent="0.3">
      <c r="T6063" s="12"/>
      <c r="U6063" s="4"/>
      <c r="V6063" s="4"/>
      <c r="X6063" s="4"/>
      <c r="Y6063" s="4"/>
    </row>
    <row r="6064" spans="20:25" x14ac:dyDescent="0.3">
      <c r="T6064" s="12"/>
      <c r="U6064" s="4"/>
      <c r="V6064" s="4"/>
      <c r="X6064" s="4"/>
      <c r="Y6064" s="4"/>
    </row>
    <row r="6065" spans="20:25" x14ac:dyDescent="0.3">
      <c r="T6065" s="12"/>
      <c r="U6065" s="4"/>
      <c r="V6065" s="4"/>
      <c r="X6065" s="4"/>
      <c r="Y6065" s="4"/>
    </row>
    <row r="6066" spans="20:25" x14ac:dyDescent="0.3">
      <c r="T6066" s="12"/>
      <c r="U6066" s="4"/>
      <c r="V6066" s="4"/>
      <c r="X6066" s="4"/>
      <c r="Y6066" s="4"/>
    </row>
    <row r="6067" spans="20:25" x14ac:dyDescent="0.3">
      <c r="T6067" s="12"/>
      <c r="U6067" s="4"/>
      <c r="V6067" s="4"/>
      <c r="X6067" s="4"/>
      <c r="Y6067" s="4"/>
    </row>
    <row r="6068" spans="20:25" x14ac:dyDescent="0.3">
      <c r="T6068" s="12"/>
      <c r="U6068" s="4"/>
      <c r="V6068" s="4"/>
      <c r="X6068" s="4"/>
      <c r="Y6068" s="4"/>
    </row>
    <row r="6069" spans="20:25" x14ac:dyDescent="0.3">
      <c r="T6069" s="12"/>
      <c r="U6069" s="4"/>
      <c r="V6069" s="4"/>
      <c r="X6069" s="4"/>
      <c r="Y6069" s="4"/>
    </row>
    <row r="6070" spans="20:25" x14ac:dyDescent="0.3">
      <c r="T6070" s="12"/>
      <c r="U6070" s="4"/>
      <c r="V6070" s="4"/>
      <c r="X6070" s="4"/>
      <c r="Y6070" s="4"/>
    </row>
    <row r="6071" spans="20:25" x14ac:dyDescent="0.3">
      <c r="T6071" s="12"/>
      <c r="U6071" s="4"/>
      <c r="V6071" s="4"/>
      <c r="X6071" s="4"/>
      <c r="Y6071" s="4"/>
    </row>
    <row r="6072" spans="20:25" x14ac:dyDescent="0.3">
      <c r="T6072" s="12"/>
      <c r="U6072" s="4"/>
      <c r="V6072" s="4"/>
      <c r="X6072" s="4"/>
      <c r="Y6072" s="4"/>
    </row>
    <row r="6073" spans="20:25" x14ac:dyDescent="0.3">
      <c r="T6073" s="12"/>
      <c r="U6073" s="4"/>
      <c r="V6073" s="4"/>
      <c r="X6073" s="4"/>
      <c r="Y6073" s="4"/>
    </row>
    <row r="6074" spans="20:25" x14ac:dyDescent="0.3">
      <c r="T6074" s="12"/>
      <c r="U6074" s="4"/>
      <c r="V6074" s="4"/>
      <c r="X6074" s="4"/>
      <c r="Y6074" s="4"/>
    </row>
    <row r="6075" spans="20:25" x14ac:dyDescent="0.3">
      <c r="T6075" s="12"/>
      <c r="U6075" s="4"/>
      <c r="V6075" s="4"/>
      <c r="X6075" s="4"/>
      <c r="Y6075" s="4"/>
    </row>
    <row r="6076" spans="20:25" x14ac:dyDescent="0.3">
      <c r="T6076" s="12"/>
      <c r="U6076" s="4"/>
      <c r="V6076" s="4"/>
      <c r="X6076" s="4"/>
      <c r="Y6076" s="4"/>
    </row>
    <row r="6077" spans="20:25" x14ac:dyDescent="0.3">
      <c r="T6077" s="12"/>
      <c r="U6077" s="4"/>
      <c r="V6077" s="4"/>
      <c r="X6077" s="4"/>
      <c r="Y6077" s="4"/>
    </row>
    <row r="6078" spans="20:25" x14ac:dyDescent="0.3">
      <c r="T6078" s="12"/>
      <c r="U6078" s="4"/>
      <c r="V6078" s="4"/>
      <c r="X6078" s="4"/>
      <c r="Y6078" s="4"/>
    </row>
    <row r="6079" spans="20:25" x14ac:dyDescent="0.3">
      <c r="T6079" s="12"/>
      <c r="U6079" s="4"/>
      <c r="V6079" s="4"/>
      <c r="X6079" s="4"/>
      <c r="Y6079" s="4"/>
    </row>
    <row r="6080" spans="20:25" x14ac:dyDescent="0.3">
      <c r="T6080" s="12"/>
      <c r="U6080" s="4"/>
      <c r="V6080" s="4"/>
      <c r="X6080" s="4"/>
      <c r="Y6080" s="4"/>
    </row>
    <row r="6081" spans="20:25" x14ac:dyDescent="0.3">
      <c r="T6081" s="12"/>
      <c r="U6081" s="4"/>
      <c r="V6081" s="4"/>
      <c r="X6081" s="4"/>
      <c r="Y6081" s="4"/>
    </row>
    <row r="6082" spans="20:25" x14ac:dyDescent="0.3">
      <c r="T6082" s="12"/>
      <c r="U6082" s="4"/>
      <c r="V6082" s="4"/>
      <c r="X6082" s="4"/>
      <c r="Y6082" s="4"/>
    </row>
    <row r="6083" spans="20:25" x14ac:dyDescent="0.3">
      <c r="T6083" s="12"/>
      <c r="U6083" s="4"/>
      <c r="V6083" s="4"/>
      <c r="X6083" s="4"/>
      <c r="Y6083" s="4"/>
    </row>
    <row r="6084" spans="20:25" x14ac:dyDescent="0.3">
      <c r="T6084" s="12"/>
      <c r="U6084" s="4"/>
      <c r="V6084" s="4"/>
      <c r="X6084" s="4"/>
      <c r="Y6084" s="4"/>
    </row>
    <row r="6085" spans="20:25" x14ac:dyDescent="0.3">
      <c r="T6085" s="12"/>
      <c r="U6085" s="4"/>
      <c r="V6085" s="4"/>
      <c r="X6085" s="4"/>
      <c r="Y6085" s="4"/>
    </row>
    <row r="6086" spans="20:25" x14ac:dyDescent="0.3">
      <c r="T6086" s="12"/>
      <c r="U6086" s="4"/>
      <c r="V6086" s="4"/>
      <c r="X6086" s="4"/>
      <c r="Y6086" s="4"/>
    </row>
    <row r="6087" spans="20:25" x14ac:dyDescent="0.3">
      <c r="T6087" s="12"/>
      <c r="U6087" s="4"/>
      <c r="V6087" s="4"/>
      <c r="X6087" s="4"/>
      <c r="Y6087" s="4"/>
    </row>
    <row r="6088" spans="20:25" x14ac:dyDescent="0.3">
      <c r="T6088" s="12"/>
      <c r="U6088" s="4"/>
      <c r="V6088" s="4"/>
      <c r="X6088" s="4"/>
      <c r="Y6088" s="4"/>
    </row>
    <row r="6089" spans="20:25" x14ac:dyDescent="0.3">
      <c r="T6089" s="12"/>
      <c r="U6089" s="4"/>
      <c r="V6089" s="4"/>
      <c r="X6089" s="4"/>
      <c r="Y6089" s="4"/>
    </row>
    <row r="6090" spans="20:25" x14ac:dyDescent="0.3">
      <c r="T6090" s="12"/>
      <c r="U6090" s="4"/>
      <c r="V6090" s="4"/>
      <c r="X6090" s="4"/>
      <c r="Y6090" s="4"/>
    </row>
    <row r="6091" spans="20:25" x14ac:dyDescent="0.3">
      <c r="T6091" s="12"/>
      <c r="U6091" s="4"/>
      <c r="V6091" s="4"/>
      <c r="X6091" s="4"/>
      <c r="Y6091" s="4"/>
    </row>
    <row r="6092" spans="20:25" x14ac:dyDescent="0.3">
      <c r="T6092" s="12"/>
      <c r="U6092" s="4"/>
      <c r="V6092" s="4"/>
      <c r="X6092" s="4"/>
      <c r="Y6092" s="4"/>
    </row>
    <row r="6093" spans="20:25" x14ac:dyDescent="0.3">
      <c r="T6093" s="12"/>
      <c r="U6093" s="4"/>
      <c r="V6093" s="4"/>
      <c r="X6093" s="4"/>
      <c r="Y6093" s="4"/>
    </row>
    <row r="6094" spans="20:25" x14ac:dyDescent="0.3">
      <c r="T6094" s="12"/>
      <c r="U6094" s="4"/>
      <c r="V6094" s="4"/>
      <c r="X6094" s="4"/>
      <c r="Y6094" s="4"/>
    </row>
    <row r="6095" spans="20:25" x14ac:dyDescent="0.3">
      <c r="T6095" s="12"/>
      <c r="U6095" s="4"/>
      <c r="V6095" s="4"/>
      <c r="X6095" s="4"/>
      <c r="Y6095" s="4"/>
    </row>
    <row r="6096" spans="20:25" x14ac:dyDescent="0.3">
      <c r="T6096" s="12"/>
      <c r="U6096" s="4"/>
      <c r="V6096" s="4"/>
      <c r="X6096" s="4"/>
      <c r="Y6096" s="4"/>
    </row>
    <row r="6097" spans="20:25" x14ac:dyDescent="0.3">
      <c r="T6097" s="12"/>
      <c r="U6097" s="4"/>
      <c r="V6097" s="4"/>
      <c r="X6097" s="4"/>
      <c r="Y6097" s="4"/>
    </row>
    <row r="6098" spans="20:25" x14ac:dyDescent="0.3">
      <c r="T6098" s="12"/>
      <c r="U6098" s="4"/>
      <c r="V6098" s="4"/>
      <c r="X6098" s="4"/>
      <c r="Y6098" s="4"/>
    </row>
    <row r="6099" spans="20:25" x14ac:dyDescent="0.3">
      <c r="T6099" s="12"/>
      <c r="U6099" s="4"/>
      <c r="V6099" s="4"/>
      <c r="X6099" s="4"/>
      <c r="Y6099" s="4"/>
    </row>
    <row r="6100" spans="20:25" x14ac:dyDescent="0.3">
      <c r="T6100" s="12"/>
      <c r="U6100" s="4"/>
      <c r="V6100" s="4"/>
      <c r="X6100" s="4"/>
      <c r="Y6100" s="4"/>
    </row>
    <row r="6101" spans="20:25" x14ac:dyDescent="0.3">
      <c r="T6101" s="12"/>
      <c r="U6101" s="4"/>
      <c r="V6101" s="4"/>
      <c r="X6101" s="4"/>
      <c r="Y6101" s="4"/>
    </row>
    <row r="6102" spans="20:25" x14ac:dyDescent="0.3">
      <c r="T6102" s="12"/>
      <c r="U6102" s="4"/>
      <c r="V6102" s="4"/>
      <c r="X6102" s="4"/>
      <c r="Y6102" s="4"/>
    </row>
    <row r="6103" spans="20:25" x14ac:dyDescent="0.3">
      <c r="T6103" s="12"/>
      <c r="U6103" s="4"/>
      <c r="V6103" s="4"/>
      <c r="X6103" s="4"/>
      <c r="Y6103" s="4"/>
    </row>
    <row r="6104" spans="20:25" x14ac:dyDescent="0.3">
      <c r="T6104" s="12"/>
      <c r="U6104" s="4"/>
      <c r="V6104" s="4"/>
      <c r="X6104" s="4"/>
      <c r="Y6104" s="4"/>
    </row>
    <row r="6105" spans="20:25" x14ac:dyDescent="0.3">
      <c r="T6105" s="12"/>
      <c r="U6105" s="4"/>
      <c r="V6105" s="4"/>
      <c r="X6105" s="4"/>
      <c r="Y6105" s="4"/>
    </row>
    <row r="6106" spans="20:25" x14ac:dyDescent="0.3">
      <c r="T6106" s="12"/>
      <c r="U6106" s="4"/>
      <c r="V6106" s="4"/>
      <c r="X6106" s="4"/>
      <c r="Y6106" s="4"/>
    </row>
    <row r="6107" spans="20:25" x14ac:dyDescent="0.3">
      <c r="T6107" s="12"/>
      <c r="U6107" s="4"/>
      <c r="V6107" s="4"/>
      <c r="X6107" s="4"/>
      <c r="Y6107" s="4"/>
    </row>
    <row r="6108" spans="20:25" x14ac:dyDescent="0.3">
      <c r="T6108" s="12"/>
      <c r="U6108" s="4"/>
      <c r="V6108" s="4"/>
      <c r="X6108" s="4"/>
      <c r="Y6108" s="4"/>
    </row>
    <row r="6109" spans="20:25" x14ac:dyDescent="0.3">
      <c r="T6109" s="12"/>
      <c r="U6109" s="4"/>
      <c r="V6109" s="4"/>
      <c r="X6109" s="4"/>
      <c r="Y6109" s="4"/>
    </row>
    <row r="6110" spans="20:25" x14ac:dyDescent="0.3">
      <c r="T6110" s="12"/>
      <c r="U6110" s="4"/>
      <c r="V6110" s="4"/>
      <c r="X6110" s="4"/>
      <c r="Y6110" s="4"/>
    </row>
    <row r="6111" spans="20:25" x14ac:dyDescent="0.3">
      <c r="T6111" s="12"/>
      <c r="U6111" s="4"/>
      <c r="V6111" s="4"/>
      <c r="X6111" s="4"/>
      <c r="Y6111" s="4"/>
    </row>
    <row r="6112" spans="20:25" x14ac:dyDescent="0.3">
      <c r="T6112" s="12"/>
      <c r="U6112" s="4"/>
      <c r="V6112" s="4"/>
      <c r="X6112" s="4"/>
      <c r="Y6112" s="4"/>
    </row>
    <row r="6113" spans="20:25" x14ac:dyDescent="0.3">
      <c r="T6113" s="12"/>
      <c r="U6113" s="4"/>
      <c r="V6113" s="4"/>
      <c r="X6113" s="4"/>
      <c r="Y6113" s="4"/>
    </row>
    <row r="6114" spans="20:25" x14ac:dyDescent="0.3">
      <c r="T6114" s="12"/>
      <c r="U6114" s="4"/>
      <c r="V6114" s="4"/>
      <c r="X6114" s="4"/>
      <c r="Y6114" s="4"/>
    </row>
    <row r="6115" spans="20:25" x14ac:dyDescent="0.3">
      <c r="T6115" s="12"/>
      <c r="U6115" s="4"/>
      <c r="V6115" s="4"/>
      <c r="X6115" s="4"/>
      <c r="Y6115" s="4"/>
    </row>
    <row r="6116" spans="20:25" x14ac:dyDescent="0.3">
      <c r="T6116" s="12"/>
      <c r="U6116" s="4"/>
      <c r="V6116" s="4"/>
      <c r="X6116" s="4"/>
      <c r="Y6116" s="4"/>
    </row>
    <row r="6117" spans="20:25" x14ac:dyDescent="0.3">
      <c r="T6117" s="12"/>
      <c r="U6117" s="4"/>
      <c r="V6117" s="4"/>
      <c r="X6117" s="4"/>
      <c r="Y6117" s="4"/>
    </row>
    <row r="6118" spans="20:25" x14ac:dyDescent="0.3">
      <c r="T6118" s="12"/>
      <c r="U6118" s="4"/>
      <c r="V6118" s="4"/>
      <c r="X6118" s="4"/>
      <c r="Y6118" s="4"/>
    </row>
    <row r="6119" spans="20:25" x14ac:dyDescent="0.3">
      <c r="T6119" s="12"/>
      <c r="U6119" s="4"/>
      <c r="V6119" s="4"/>
      <c r="X6119" s="4"/>
      <c r="Y6119" s="4"/>
    </row>
    <row r="6120" spans="20:25" x14ac:dyDescent="0.3">
      <c r="T6120" s="12"/>
      <c r="U6120" s="4"/>
      <c r="V6120" s="4"/>
      <c r="X6120" s="4"/>
      <c r="Y6120" s="4"/>
    </row>
    <row r="6121" spans="20:25" x14ac:dyDescent="0.3">
      <c r="T6121" s="12"/>
      <c r="U6121" s="4"/>
      <c r="V6121" s="4"/>
      <c r="X6121" s="4"/>
      <c r="Y6121" s="4"/>
    </row>
    <row r="6122" spans="20:25" x14ac:dyDescent="0.3">
      <c r="T6122" s="12"/>
      <c r="U6122" s="4"/>
      <c r="V6122" s="4"/>
      <c r="X6122" s="4"/>
      <c r="Y6122" s="4"/>
    </row>
    <row r="6123" spans="20:25" x14ac:dyDescent="0.3">
      <c r="T6123" s="12"/>
      <c r="U6123" s="4"/>
      <c r="V6123" s="4"/>
      <c r="X6123" s="4"/>
      <c r="Y6123" s="4"/>
    </row>
    <row r="6124" spans="20:25" x14ac:dyDescent="0.3">
      <c r="T6124" s="12"/>
      <c r="U6124" s="4"/>
      <c r="V6124" s="4"/>
      <c r="X6124" s="4"/>
      <c r="Y6124" s="4"/>
    </row>
    <row r="6125" spans="20:25" x14ac:dyDescent="0.3">
      <c r="T6125" s="12"/>
      <c r="U6125" s="4"/>
      <c r="V6125" s="4"/>
      <c r="X6125" s="4"/>
      <c r="Y6125" s="4"/>
    </row>
    <row r="6126" spans="20:25" x14ac:dyDescent="0.3">
      <c r="T6126" s="12"/>
      <c r="U6126" s="4"/>
      <c r="V6126" s="4"/>
      <c r="X6126" s="4"/>
      <c r="Y6126" s="4"/>
    </row>
    <row r="6127" spans="20:25" x14ac:dyDescent="0.3">
      <c r="T6127" s="12"/>
      <c r="U6127" s="4"/>
      <c r="V6127" s="4"/>
      <c r="X6127" s="4"/>
      <c r="Y6127" s="4"/>
    </row>
    <row r="6128" spans="20:25" x14ac:dyDescent="0.3">
      <c r="T6128" s="12"/>
      <c r="U6128" s="4"/>
      <c r="V6128" s="4"/>
      <c r="X6128" s="4"/>
      <c r="Y6128" s="4"/>
    </row>
    <row r="6129" spans="20:25" x14ac:dyDescent="0.3">
      <c r="T6129" s="12"/>
      <c r="U6129" s="4"/>
      <c r="V6129" s="4"/>
      <c r="X6129" s="4"/>
      <c r="Y6129" s="4"/>
    </row>
    <row r="6130" spans="20:25" x14ac:dyDescent="0.3">
      <c r="T6130" s="12"/>
      <c r="U6130" s="4"/>
      <c r="V6130" s="4"/>
      <c r="X6130" s="4"/>
      <c r="Y6130" s="4"/>
    </row>
    <row r="6131" spans="20:25" x14ac:dyDescent="0.3">
      <c r="T6131" s="12"/>
      <c r="U6131" s="4"/>
      <c r="V6131" s="4"/>
      <c r="X6131" s="4"/>
      <c r="Y6131" s="4"/>
    </row>
    <row r="6132" spans="20:25" x14ac:dyDescent="0.3">
      <c r="T6132" s="12"/>
      <c r="U6132" s="4"/>
      <c r="V6132" s="4"/>
      <c r="X6132" s="4"/>
      <c r="Y6132" s="4"/>
    </row>
    <row r="6133" spans="20:25" x14ac:dyDescent="0.3">
      <c r="T6133" s="12"/>
      <c r="U6133" s="4"/>
      <c r="V6133" s="4"/>
      <c r="X6133" s="4"/>
      <c r="Y6133" s="4"/>
    </row>
    <row r="6134" spans="20:25" x14ac:dyDescent="0.3">
      <c r="T6134" s="12"/>
      <c r="U6134" s="4"/>
      <c r="V6134" s="4"/>
      <c r="X6134" s="4"/>
      <c r="Y6134" s="4"/>
    </row>
    <row r="6135" spans="20:25" x14ac:dyDescent="0.3">
      <c r="T6135" s="12"/>
      <c r="U6135" s="4"/>
      <c r="V6135" s="4"/>
      <c r="X6135" s="4"/>
      <c r="Y6135" s="4"/>
    </row>
    <row r="6136" spans="20:25" x14ac:dyDescent="0.3">
      <c r="T6136" s="12"/>
      <c r="U6136" s="4"/>
      <c r="V6136" s="4"/>
      <c r="X6136" s="4"/>
      <c r="Y6136" s="4"/>
    </row>
    <row r="6137" spans="20:25" x14ac:dyDescent="0.3">
      <c r="T6137" s="12"/>
      <c r="U6137" s="4"/>
      <c r="V6137" s="4"/>
      <c r="X6137" s="4"/>
      <c r="Y6137" s="4"/>
    </row>
    <row r="6138" spans="20:25" x14ac:dyDescent="0.3">
      <c r="T6138" s="12"/>
      <c r="U6138" s="4"/>
      <c r="V6138" s="4"/>
      <c r="X6138" s="4"/>
      <c r="Y6138" s="4"/>
    </row>
    <row r="6139" spans="20:25" x14ac:dyDescent="0.3">
      <c r="T6139" s="12"/>
      <c r="U6139" s="4"/>
      <c r="V6139" s="4"/>
      <c r="X6139" s="4"/>
      <c r="Y6139" s="4"/>
    </row>
    <row r="6140" spans="20:25" x14ac:dyDescent="0.3">
      <c r="T6140" s="12"/>
      <c r="U6140" s="4"/>
      <c r="V6140" s="4"/>
      <c r="X6140" s="4"/>
      <c r="Y6140" s="4"/>
    </row>
    <row r="6141" spans="20:25" x14ac:dyDescent="0.3">
      <c r="T6141" s="12"/>
      <c r="U6141" s="4"/>
      <c r="V6141" s="4"/>
      <c r="X6141" s="4"/>
      <c r="Y6141" s="4"/>
    </row>
    <row r="6142" spans="20:25" x14ac:dyDescent="0.3">
      <c r="T6142" s="12"/>
      <c r="U6142" s="4"/>
      <c r="V6142" s="4"/>
      <c r="X6142" s="4"/>
      <c r="Y6142" s="4"/>
    </row>
    <row r="6143" spans="20:25" x14ac:dyDescent="0.3">
      <c r="T6143" s="12"/>
      <c r="U6143" s="4"/>
      <c r="V6143" s="4"/>
      <c r="X6143" s="4"/>
      <c r="Y6143" s="4"/>
    </row>
    <row r="6144" spans="20:25" x14ac:dyDescent="0.3">
      <c r="T6144" s="12"/>
      <c r="U6144" s="4"/>
      <c r="V6144" s="4"/>
      <c r="X6144" s="4"/>
      <c r="Y6144" s="4"/>
    </row>
    <row r="6145" spans="20:25" x14ac:dyDescent="0.3">
      <c r="T6145" s="12"/>
      <c r="U6145" s="4"/>
      <c r="V6145" s="4"/>
      <c r="X6145" s="4"/>
      <c r="Y6145" s="4"/>
    </row>
    <row r="6146" spans="20:25" x14ac:dyDescent="0.3">
      <c r="T6146" s="12"/>
      <c r="U6146" s="4"/>
      <c r="V6146" s="4"/>
      <c r="X6146" s="4"/>
      <c r="Y6146" s="4"/>
    </row>
    <row r="6147" spans="20:25" x14ac:dyDescent="0.3">
      <c r="T6147" s="12"/>
      <c r="U6147" s="4"/>
      <c r="V6147" s="4"/>
      <c r="X6147" s="4"/>
      <c r="Y6147" s="4"/>
    </row>
    <row r="6148" spans="20:25" x14ac:dyDescent="0.3">
      <c r="T6148" s="12"/>
      <c r="U6148" s="4"/>
      <c r="V6148" s="4"/>
      <c r="X6148" s="4"/>
      <c r="Y6148" s="4"/>
    </row>
    <row r="6149" spans="20:25" x14ac:dyDescent="0.3">
      <c r="T6149" s="12"/>
      <c r="U6149" s="4"/>
      <c r="V6149" s="4"/>
      <c r="X6149" s="4"/>
      <c r="Y6149" s="4"/>
    </row>
    <row r="6150" spans="20:25" x14ac:dyDescent="0.3">
      <c r="T6150" s="12"/>
      <c r="U6150" s="4"/>
      <c r="V6150" s="4"/>
      <c r="X6150" s="4"/>
      <c r="Y6150" s="4"/>
    </row>
    <row r="6151" spans="20:25" x14ac:dyDescent="0.3">
      <c r="T6151" s="12"/>
      <c r="U6151" s="4"/>
      <c r="V6151" s="4"/>
      <c r="X6151" s="4"/>
      <c r="Y6151" s="4"/>
    </row>
    <row r="6152" spans="20:25" x14ac:dyDescent="0.3">
      <c r="T6152" s="12"/>
      <c r="U6152" s="4"/>
      <c r="V6152" s="4"/>
      <c r="X6152" s="4"/>
      <c r="Y6152" s="4"/>
    </row>
    <row r="6153" spans="20:25" x14ac:dyDescent="0.3">
      <c r="T6153" s="12"/>
      <c r="U6153" s="4"/>
      <c r="V6153" s="4"/>
      <c r="X6153" s="4"/>
      <c r="Y6153" s="4"/>
    </row>
    <row r="6154" spans="20:25" x14ac:dyDescent="0.3">
      <c r="T6154" s="12"/>
      <c r="U6154" s="4"/>
      <c r="V6154" s="4"/>
      <c r="X6154" s="4"/>
      <c r="Y6154" s="4"/>
    </row>
    <row r="6155" spans="20:25" x14ac:dyDescent="0.3">
      <c r="T6155" s="12"/>
      <c r="U6155" s="4"/>
      <c r="V6155" s="4"/>
      <c r="X6155" s="4"/>
      <c r="Y6155" s="4"/>
    </row>
    <row r="6156" spans="20:25" x14ac:dyDescent="0.3">
      <c r="T6156" s="12"/>
      <c r="U6156" s="4"/>
      <c r="V6156" s="4"/>
      <c r="X6156" s="4"/>
      <c r="Y6156" s="4"/>
    </row>
    <row r="6157" spans="20:25" x14ac:dyDescent="0.3">
      <c r="T6157" s="12"/>
      <c r="U6157" s="4"/>
      <c r="V6157" s="4"/>
      <c r="X6157" s="4"/>
      <c r="Y6157" s="4"/>
    </row>
    <row r="6158" spans="20:25" x14ac:dyDescent="0.3">
      <c r="T6158" s="12"/>
      <c r="U6158" s="4"/>
      <c r="V6158" s="4"/>
      <c r="X6158" s="4"/>
      <c r="Y6158" s="4"/>
    </row>
    <row r="6159" spans="20:25" x14ac:dyDescent="0.3">
      <c r="T6159" s="12"/>
      <c r="U6159" s="4"/>
      <c r="V6159" s="4"/>
      <c r="X6159" s="4"/>
      <c r="Y6159" s="4"/>
    </row>
    <row r="6160" spans="20:25" x14ac:dyDescent="0.3">
      <c r="T6160" s="12"/>
      <c r="U6160" s="4"/>
      <c r="V6160" s="4"/>
      <c r="X6160" s="4"/>
      <c r="Y6160" s="4"/>
    </row>
    <row r="6161" spans="20:25" x14ac:dyDescent="0.3">
      <c r="T6161" s="12"/>
      <c r="U6161" s="4"/>
      <c r="V6161" s="4"/>
      <c r="X6161" s="4"/>
      <c r="Y6161" s="4"/>
    </row>
    <row r="6162" spans="20:25" x14ac:dyDescent="0.3">
      <c r="T6162" s="12"/>
      <c r="U6162" s="4"/>
      <c r="V6162" s="4"/>
      <c r="X6162" s="4"/>
      <c r="Y6162" s="4"/>
    </row>
    <row r="6163" spans="20:25" x14ac:dyDescent="0.3">
      <c r="T6163" s="12"/>
      <c r="U6163" s="4"/>
      <c r="V6163" s="4"/>
      <c r="X6163" s="4"/>
      <c r="Y6163" s="4"/>
    </row>
    <row r="6164" spans="20:25" x14ac:dyDescent="0.3">
      <c r="T6164" s="12"/>
      <c r="U6164" s="4"/>
      <c r="V6164" s="4"/>
      <c r="X6164" s="4"/>
      <c r="Y6164" s="4"/>
    </row>
    <row r="6165" spans="20:25" x14ac:dyDescent="0.3">
      <c r="T6165" s="12"/>
      <c r="U6165" s="4"/>
      <c r="V6165" s="4"/>
      <c r="X6165" s="4"/>
      <c r="Y6165" s="4"/>
    </row>
    <row r="6166" spans="20:25" x14ac:dyDescent="0.3">
      <c r="T6166" s="12"/>
      <c r="U6166" s="4"/>
      <c r="V6166" s="4"/>
      <c r="X6166" s="4"/>
      <c r="Y6166" s="4"/>
    </row>
    <row r="6167" spans="20:25" x14ac:dyDescent="0.3">
      <c r="T6167" s="12"/>
      <c r="U6167" s="4"/>
      <c r="V6167" s="4"/>
      <c r="X6167" s="4"/>
      <c r="Y6167" s="4"/>
    </row>
    <row r="6168" spans="20:25" x14ac:dyDescent="0.3">
      <c r="T6168" s="12"/>
      <c r="U6168" s="4"/>
      <c r="V6168" s="4"/>
      <c r="X6168" s="4"/>
      <c r="Y6168" s="4"/>
    </row>
    <row r="6169" spans="20:25" x14ac:dyDescent="0.3">
      <c r="T6169" s="12"/>
      <c r="U6169" s="4"/>
      <c r="V6169" s="4"/>
      <c r="X6169" s="4"/>
      <c r="Y6169" s="4"/>
    </row>
    <row r="6170" spans="20:25" x14ac:dyDescent="0.3">
      <c r="T6170" s="12"/>
      <c r="U6170" s="4"/>
      <c r="V6170" s="4"/>
      <c r="X6170" s="4"/>
      <c r="Y6170" s="4"/>
    </row>
    <row r="6171" spans="20:25" x14ac:dyDescent="0.3">
      <c r="T6171" s="12"/>
      <c r="U6171" s="4"/>
      <c r="V6171" s="4"/>
      <c r="X6171" s="4"/>
      <c r="Y6171" s="4"/>
    </row>
    <row r="6172" spans="20:25" x14ac:dyDescent="0.3">
      <c r="T6172" s="12"/>
      <c r="U6172" s="4"/>
      <c r="V6172" s="4"/>
      <c r="X6172" s="4"/>
      <c r="Y6172" s="4"/>
    </row>
    <row r="6173" spans="20:25" x14ac:dyDescent="0.3">
      <c r="T6173" s="12"/>
      <c r="U6173" s="4"/>
      <c r="V6173" s="4"/>
      <c r="X6173" s="4"/>
      <c r="Y6173" s="4"/>
    </row>
    <row r="6174" spans="20:25" x14ac:dyDescent="0.3">
      <c r="T6174" s="12"/>
      <c r="U6174" s="4"/>
      <c r="V6174" s="4"/>
      <c r="X6174" s="4"/>
      <c r="Y6174" s="4"/>
    </row>
    <row r="6175" spans="20:25" x14ac:dyDescent="0.3">
      <c r="T6175" s="12"/>
      <c r="U6175" s="4"/>
      <c r="V6175" s="4"/>
      <c r="X6175" s="4"/>
      <c r="Y6175" s="4"/>
    </row>
    <row r="6176" spans="20:25" x14ac:dyDescent="0.3">
      <c r="T6176" s="12"/>
      <c r="U6176" s="4"/>
      <c r="V6176" s="4"/>
      <c r="X6176" s="4"/>
      <c r="Y6176" s="4"/>
    </row>
    <row r="6177" spans="20:25" x14ac:dyDescent="0.3">
      <c r="T6177" s="12"/>
      <c r="U6177" s="4"/>
      <c r="V6177" s="4"/>
      <c r="X6177" s="4"/>
      <c r="Y6177" s="4"/>
    </row>
    <row r="6178" spans="20:25" x14ac:dyDescent="0.3">
      <c r="T6178" s="12"/>
      <c r="U6178" s="4"/>
      <c r="V6178" s="4"/>
      <c r="X6178" s="4"/>
      <c r="Y6178" s="4"/>
    </row>
    <row r="6179" spans="20:25" x14ac:dyDescent="0.3">
      <c r="T6179" s="12"/>
      <c r="U6179" s="4"/>
      <c r="V6179" s="4"/>
      <c r="X6179" s="4"/>
      <c r="Y6179" s="4"/>
    </row>
    <row r="6180" spans="20:25" x14ac:dyDescent="0.3">
      <c r="T6180" s="12"/>
      <c r="U6180" s="4"/>
      <c r="V6180" s="4"/>
      <c r="X6180" s="4"/>
      <c r="Y6180" s="4"/>
    </row>
    <row r="6181" spans="20:25" x14ac:dyDescent="0.3">
      <c r="T6181" s="12"/>
      <c r="U6181" s="4"/>
      <c r="V6181" s="4"/>
      <c r="X6181" s="4"/>
      <c r="Y6181" s="4"/>
    </row>
    <row r="6182" spans="20:25" x14ac:dyDescent="0.3">
      <c r="T6182" s="12"/>
      <c r="U6182" s="4"/>
      <c r="V6182" s="4"/>
      <c r="X6182" s="4"/>
      <c r="Y6182" s="4"/>
    </row>
    <row r="6183" spans="20:25" x14ac:dyDescent="0.3">
      <c r="T6183" s="12"/>
      <c r="U6183" s="4"/>
      <c r="V6183" s="4"/>
      <c r="X6183" s="4"/>
      <c r="Y6183" s="4"/>
    </row>
    <row r="6184" spans="20:25" x14ac:dyDescent="0.3">
      <c r="T6184" s="12"/>
      <c r="U6184" s="4"/>
      <c r="V6184" s="4"/>
      <c r="X6184" s="4"/>
      <c r="Y6184" s="4"/>
    </row>
    <row r="6185" spans="20:25" x14ac:dyDescent="0.3">
      <c r="T6185" s="12"/>
      <c r="U6185" s="4"/>
      <c r="V6185" s="4"/>
      <c r="X6185" s="4"/>
      <c r="Y6185" s="4"/>
    </row>
    <row r="6186" spans="20:25" x14ac:dyDescent="0.3">
      <c r="T6186" s="12"/>
      <c r="U6186" s="4"/>
      <c r="V6186" s="4"/>
      <c r="X6186" s="4"/>
      <c r="Y6186" s="4"/>
    </row>
    <row r="6187" spans="20:25" x14ac:dyDescent="0.3">
      <c r="T6187" s="12"/>
      <c r="U6187" s="4"/>
      <c r="V6187" s="4"/>
      <c r="X6187" s="4"/>
      <c r="Y6187" s="4"/>
    </row>
    <row r="6188" spans="20:25" x14ac:dyDescent="0.3">
      <c r="T6188" s="12"/>
      <c r="U6188" s="4"/>
      <c r="V6188" s="4"/>
      <c r="X6188" s="4"/>
      <c r="Y6188" s="4"/>
    </row>
    <row r="6189" spans="20:25" x14ac:dyDescent="0.3">
      <c r="T6189" s="12"/>
      <c r="U6189" s="4"/>
      <c r="V6189" s="4"/>
      <c r="X6189" s="4"/>
      <c r="Y6189" s="4"/>
    </row>
    <row r="6190" spans="20:25" x14ac:dyDescent="0.3">
      <c r="T6190" s="12"/>
      <c r="U6190" s="4"/>
      <c r="V6190" s="4"/>
      <c r="X6190" s="4"/>
      <c r="Y6190" s="4"/>
    </row>
    <row r="6191" spans="20:25" x14ac:dyDescent="0.3">
      <c r="T6191" s="12"/>
      <c r="U6191" s="4"/>
      <c r="V6191" s="4"/>
      <c r="X6191" s="4"/>
      <c r="Y6191" s="4"/>
    </row>
    <row r="6192" spans="20:25" x14ac:dyDescent="0.3">
      <c r="T6192" s="12"/>
      <c r="U6192" s="4"/>
      <c r="V6192" s="4"/>
      <c r="X6192" s="4"/>
      <c r="Y6192" s="4"/>
    </row>
    <row r="6193" spans="20:25" x14ac:dyDescent="0.3">
      <c r="T6193" s="12"/>
      <c r="U6193" s="4"/>
      <c r="V6193" s="4"/>
      <c r="X6193" s="4"/>
      <c r="Y6193" s="4"/>
    </row>
    <row r="6194" spans="20:25" x14ac:dyDescent="0.3">
      <c r="T6194" s="12"/>
      <c r="U6194" s="4"/>
      <c r="V6194" s="4"/>
      <c r="X6194" s="4"/>
      <c r="Y6194" s="4"/>
    </row>
    <row r="6195" spans="20:25" x14ac:dyDescent="0.3">
      <c r="T6195" s="12"/>
      <c r="U6195" s="4"/>
      <c r="V6195" s="4"/>
      <c r="X6195" s="4"/>
      <c r="Y6195" s="4"/>
    </row>
    <row r="6196" spans="20:25" x14ac:dyDescent="0.3">
      <c r="T6196" s="12"/>
      <c r="U6196" s="4"/>
      <c r="V6196" s="4"/>
      <c r="X6196" s="4"/>
      <c r="Y6196" s="4"/>
    </row>
    <row r="6197" spans="20:25" x14ac:dyDescent="0.3">
      <c r="T6197" s="12"/>
      <c r="U6197" s="4"/>
      <c r="V6197" s="4"/>
      <c r="X6197" s="4"/>
      <c r="Y6197" s="4"/>
    </row>
    <row r="6198" spans="20:25" x14ac:dyDescent="0.3">
      <c r="T6198" s="12"/>
      <c r="U6198" s="4"/>
      <c r="V6198" s="4"/>
      <c r="X6198" s="4"/>
      <c r="Y6198" s="4"/>
    </row>
    <row r="6199" spans="20:25" x14ac:dyDescent="0.3">
      <c r="T6199" s="12"/>
      <c r="U6199" s="4"/>
      <c r="V6199" s="4"/>
      <c r="X6199" s="4"/>
      <c r="Y6199" s="4"/>
    </row>
    <row r="6200" spans="20:25" x14ac:dyDescent="0.3">
      <c r="T6200" s="12"/>
      <c r="U6200" s="4"/>
      <c r="V6200" s="4"/>
      <c r="X6200" s="4"/>
      <c r="Y6200" s="4"/>
    </row>
    <row r="6201" spans="20:25" x14ac:dyDescent="0.3">
      <c r="T6201" s="12"/>
      <c r="U6201" s="4"/>
      <c r="V6201" s="4"/>
      <c r="X6201" s="4"/>
      <c r="Y6201" s="4"/>
    </row>
    <row r="6202" spans="20:25" x14ac:dyDescent="0.3">
      <c r="T6202" s="12"/>
      <c r="U6202" s="4"/>
      <c r="V6202" s="4"/>
      <c r="X6202" s="4"/>
      <c r="Y6202" s="4"/>
    </row>
    <row r="6203" spans="20:25" x14ac:dyDescent="0.3">
      <c r="T6203" s="12"/>
      <c r="U6203" s="4"/>
      <c r="V6203" s="4"/>
      <c r="X6203" s="4"/>
      <c r="Y6203" s="4"/>
    </row>
    <row r="6204" spans="20:25" x14ac:dyDescent="0.3">
      <c r="T6204" s="12"/>
      <c r="U6204" s="4"/>
      <c r="V6204" s="4"/>
      <c r="X6204" s="4"/>
      <c r="Y6204" s="4"/>
    </row>
    <row r="6205" spans="20:25" x14ac:dyDescent="0.3">
      <c r="T6205" s="12"/>
      <c r="U6205" s="4"/>
      <c r="V6205" s="4"/>
      <c r="X6205" s="4"/>
      <c r="Y6205" s="4"/>
    </row>
    <row r="6206" spans="20:25" x14ac:dyDescent="0.3">
      <c r="T6206" s="12"/>
      <c r="U6206" s="4"/>
      <c r="V6206" s="4"/>
      <c r="X6206" s="4"/>
      <c r="Y6206" s="4"/>
    </row>
    <row r="6207" spans="20:25" x14ac:dyDescent="0.3">
      <c r="T6207" s="12"/>
      <c r="U6207" s="4"/>
      <c r="V6207" s="4"/>
      <c r="X6207" s="4"/>
      <c r="Y6207" s="4"/>
    </row>
    <row r="6208" spans="20:25" x14ac:dyDescent="0.3">
      <c r="T6208" s="12"/>
      <c r="U6208" s="4"/>
      <c r="V6208" s="4"/>
      <c r="X6208" s="4"/>
      <c r="Y6208" s="4"/>
    </row>
    <row r="6209" spans="20:25" x14ac:dyDescent="0.3">
      <c r="T6209" s="12"/>
      <c r="U6209" s="4"/>
      <c r="V6209" s="4"/>
      <c r="X6209" s="4"/>
      <c r="Y6209" s="4"/>
    </row>
    <row r="6210" spans="20:25" x14ac:dyDescent="0.3">
      <c r="T6210" s="12"/>
      <c r="U6210" s="4"/>
      <c r="V6210" s="4"/>
      <c r="X6210" s="4"/>
      <c r="Y6210" s="4"/>
    </row>
    <row r="6211" spans="20:25" x14ac:dyDescent="0.3">
      <c r="T6211" s="12"/>
      <c r="U6211" s="4"/>
      <c r="V6211" s="4"/>
      <c r="X6211" s="4"/>
      <c r="Y6211" s="4"/>
    </row>
    <row r="6212" spans="20:25" x14ac:dyDescent="0.3">
      <c r="T6212" s="12"/>
      <c r="U6212" s="4"/>
      <c r="V6212" s="4"/>
      <c r="X6212" s="4"/>
      <c r="Y6212" s="4"/>
    </row>
    <row r="6213" spans="20:25" x14ac:dyDescent="0.3">
      <c r="T6213" s="12"/>
      <c r="U6213" s="4"/>
      <c r="V6213" s="4"/>
      <c r="X6213" s="4"/>
      <c r="Y6213" s="4"/>
    </row>
    <row r="6214" spans="20:25" x14ac:dyDescent="0.3">
      <c r="T6214" s="12"/>
      <c r="U6214" s="4"/>
      <c r="V6214" s="4"/>
      <c r="X6214" s="4"/>
      <c r="Y6214" s="4"/>
    </row>
    <row r="6215" spans="20:25" x14ac:dyDescent="0.3">
      <c r="T6215" s="12"/>
      <c r="U6215" s="4"/>
      <c r="V6215" s="4"/>
      <c r="X6215" s="4"/>
      <c r="Y6215" s="4"/>
    </row>
    <row r="6216" spans="20:25" x14ac:dyDescent="0.3">
      <c r="T6216" s="12"/>
      <c r="U6216" s="4"/>
      <c r="V6216" s="4"/>
      <c r="X6216" s="4"/>
      <c r="Y6216" s="4"/>
    </row>
    <row r="6217" spans="20:25" x14ac:dyDescent="0.3">
      <c r="T6217" s="12"/>
      <c r="U6217" s="4"/>
      <c r="V6217" s="4"/>
      <c r="X6217" s="4"/>
      <c r="Y6217" s="4"/>
    </row>
    <row r="6218" spans="20:25" x14ac:dyDescent="0.3">
      <c r="T6218" s="12"/>
      <c r="U6218" s="4"/>
      <c r="V6218" s="4"/>
      <c r="X6218" s="4"/>
      <c r="Y6218" s="4"/>
    </row>
    <row r="6219" spans="20:25" x14ac:dyDescent="0.3">
      <c r="T6219" s="12"/>
      <c r="U6219" s="4"/>
      <c r="V6219" s="4"/>
      <c r="X6219" s="4"/>
      <c r="Y6219" s="4"/>
    </row>
    <row r="6220" spans="20:25" x14ac:dyDescent="0.3">
      <c r="T6220" s="12"/>
      <c r="U6220" s="4"/>
      <c r="V6220" s="4"/>
      <c r="X6220" s="4"/>
      <c r="Y6220" s="4"/>
    </row>
    <row r="6221" spans="20:25" x14ac:dyDescent="0.3">
      <c r="T6221" s="12"/>
      <c r="U6221" s="4"/>
      <c r="V6221" s="4"/>
      <c r="X6221" s="4"/>
      <c r="Y6221" s="4"/>
    </row>
    <row r="6222" spans="20:25" x14ac:dyDescent="0.3">
      <c r="T6222" s="12"/>
      <c r="U6222" s="4"/>
      <c r="V6222" s="4"/>
      <c r="X6222" s="4"/>
      <c r="Y6222" s="4"/>
    </row>
    <row r="6223" spans="20:25" x14ac:dyDescent="0.3">
      <c r="T6223" s="12"/>
      <c r="U6223" s="4"/>
      <c r="V6223" s="4"/>
      <c r="X6223" s="4"/>
      <c r="Y6223" s="4"/>
    </row>
    <row r="6224" spans="20:25" x14ac:dyDescent="0.3">
      <c r="T6224" s="12"/>
      <c r="U6224" s="4"/>
      <c r="V6224" s="4"/>
      <c r="X6224" s="4"/>
      <c r="Y6224" s="4"/>
    </row>
    <row r="6225" spans="20:25" x14ac:dyDescent="0.3">
      <c r="T6225" s="12"/>
      <c r="U6225" s="4"/>
      <c r="V6225" s="4"/>
      <c r="X6225" s="4"/>
      <c r="Y6225" s="4"/>
    </row>
    <row r="6226" spans="20:25" x14ac:dyDescent="0.3">
      <c r="T6226" s="12"/>
      <c r="U6226" s="4"/>
      <c r="V6226" s="4"/>
      <c r="X6226" s="4"/>
      <c r="Y6226" s="4"/>
    </row>
    <row r="6227" spans="20:25" x14ac:dyDescent="0.3">
      <c r="T6227" s="12"/>
      <c r="U6227" s="4"/>
      <c r="V6227" s="4"/>
      <c r="X6227" s="4"/>
      <c r="Y6227" s="4"/>
    </row>
    <row r="6228" spans="20:25" x14ac:dyDescent="0.3">
      <c r="T6228" s="12"/>
      <c r="U6228" s="4"/>
      <c r="V6228" s="4"/>
      <c r="X6228" s="4"/>
      <c r="Y6228" s="4"/>
    </row>
    <row r="6229" spans="20:25" x14ac:dyDescent="0.3">
      <c r="T6229" s="12"/>
      <c r="U6229" s="4"/>
      <c r="V6229" s="4"/>
      <c r="X6229" s="4"/>
      <c r="Y6229" s="4"/>
    </row>
    <row r="6230" spans="20:25" x14ac:dyDescent="0.3">
      <c r="T6230" s="12"/>
      <c r="U6230" s="4"/>
      <c r="V6230" s="4"/>
      <c r="X6230" s="4"/>
      <c r="Y6230" s="4"/>
    </row>
    <row r="6231" spans="20:25" x14ac:dyDescent="0.3">
      <c r="T6231" s="12"/>
      <c r="U6231" s="4"/>
      <c r="V6231" s="4"/>
      <c r="X6231" s="4"/>
      <c r="Y6231" s="4"/>
    </row>
    <row r="6232" spans="20:25" x14ac:dyDescent="0.3">
      <c r="T6232" s="12"/>
      <c r="U6232" s="4"/>
      <c r="V6232" s="4"/>
      <c r="X6232" s="4"/>
      <c r="Y6232" s="4"/>
    </row>
    <row r="6233" spans="20:25" x14ac:dyDescent="0.3">
      <c r="T6233" s="12"/>
      <c r="U6233" s="4"/>
      <c r="V6233" s="4"/>
      <c r="X6233" s="4"/>
      <c r="Y6233" s="4"/>
    </row>
    <row r="6234" spans="20:25" x14ac:dyDescent="0.3">
      <c r="T6234" s="12"/>
      <c r="U6234" s="4"/>
      <c r="V6234" s="4"/>
      <c r="X6234" s="4"/>
      <c r="Y6234" s="4"/>
    </row>
    <row r="6235" spans="20:25" x14ac:dyDescent="0.3">
      <c r="T6235" s="12"/>
      <c r="U6235" s="4"/>
      <c r="V6235" s="4"/>
      <c r="X6235" s="4"/>
      <c r="Y6235" s="4"/>
    </row>
    <row r="6236" spans="20:25" x14ac:dyDescent="0.3">
      <c r="T6236" s="12"/>
      <c r="U6236" s="4"/>
      <c r="V6236" s="4"/>
      <c r="X6236" s="4"/>
      <c r="Y6236" s="4"/>
    </row>
    <row r="6237" spans="20:25" x14ac:dyDescent="0.3">
      <c r="T6237" s="12"/>
      <c r="U6237" s="4"/>
      <c r="V6237" s="4"/>
      <c r="X6237" s="4"/>
      <c r="Y6237" s="4"/>
    </row>
    <row r="6238" spans="20:25" x14ac:dyDescent="0.3">
      <c r="T6238" s="12"/>
      <c r="U6238" s="4"/>
      <c r="V6238" s="4"/>
      <c r="X6238" s="4"/>
      <c r="Y6238" s="4"/>
    </row>
    <row r="6239" spans="20:25" x14ac:dyDescent="0.3">
      <c r="T6239" s="12"/>
      <c r="U6239" s="4"/>
      <c r="V6239" s="4"/>
      <c r="X6239" s="4"/>
      <c r="Y6239" s="4"/>
    </row>
    <row r="6240" spans="20:25" x14ac:dyDescent="0.3">
      <c r="T6240" s="12"/>
      <c r="U6240" s="4"/>
      <c r="V6240" s="4"/>
      <c r="X6240" s="4"/>
      <c r="Y6240" s="4"/>
    </row>
    <row r="6241" spans="20:25" x14ac:dyDescent="0.3">
      <c r="T6241" s="12"/>
      <c r="U6241" s="4"/>
      <c r="V6241" s="4"/>
      <c r="X6241" s="4"/>
      <c r="Y6241" s="4"/>
    </row>
    <row r="6242" spans="20:25" x14ac:dyDescent="0.3">
      <c r="T6242" s="12"/>
      <c r="U6242" s="4"/>
      <c r="V6242" s="4"/>
      <c r="X6242" s="4"/>
      <c r="Y6242" s="4"/>
    </row>
    <row r="6243" spans="20:25" x14ac:dyDescent="0.3">
      <c r="T6243" s="12"/>
      <c r="U6243" s="4"/>
      <c r="V6243" s="4"/>
      <c r="X6243" s="4"/>
      <c r="Y6243" s="4"/>
    </row>
    <row r="6244" spans="20:25" x14ac:dyDescent="0.3">
      <c r="T6244" s="12"/>
      <c r="U6244" s="4"/>
      <c r="V6244" s="4"/>
      <c r="X6244" s="4"/>
      <c r="Y6244" s="4"/>
    </row>
    <row r="6245" spans="20:25" x14ac:dyDescent="0.3">
      <c r="T6245" s="12"/>
      <c r="U6245" s="4"/>
      <c r="V6245" s="4"/>
      <c r="X6245" s="4"/>
      <c r="Y6245" s="4"/>
    </row>
    <row r="6246" spans="20:25" x14ac:dyDescent="0.3">
      <c r="T6246" s="12"/>
      <c r="U6246" s="4"/>
      <c r="V6246" s="4"/>
      <c r="X6246" s="4"/>
      <c r="Y6246" s="4"/>
    </row>
    <row r="6247" spans="20:25" x14ac:dyDescent="0.3">
      <c r="T6247" s="12"/>
      <c r="U6247" s="4"/>
      <c r="V6247" s="4"/>
      <c r="X6247" s="4"/>
      <c r="Y6247" s="4"/>
    </row>
    <row r="6248" spans="20:25" x14ac:dyDescent="0.3">
      <c r="T6248" s="12"/>
      <c r="U6248" s="4"/>
      <c r="V6248" s="4"/>
      <c r="X6248" s="4"/>
      <c r="Y6248" s="4"/>
    </row>
    <row r="6249" spans="20:25" x14ac:dyDescent="0.3">
      <c r="T6249" s="12"/>
      <c r="U6249" s="4"/>
      <c r="V6249" s="4"/>
      <c r="X6249" s="4"/>
      <c r="Y6249" s="4"/>
    </row>
    <row r="6250" spans="20:25" x14ac:dyDescent="0.3">
      <c r="T6250" s="12"/>
      <c r="U6250" s="4"/>
      <c r="V6250" s="4"/>
      <c r="X6250" s="4"/>
      <c r="Y6250" s="4"/>
    </row>
    <row r="6251" spans="20:25" x14ac:dyDescent="0.3">
      <c r="T6251" s="12"/>
      <c r="U6251" s="4"/>
      <c r="V6251" s="4"/>
      <c r="X6251" s="4"/>
      <c r="Y6251" s="4"/>
    </row>
    <row r="6252" spans="20:25" x14ac:dyDescent="0.3">
      <c r="T6252" s="12"/>
      <c r="U6252" s="4"/>
      <c r="V6252" s="4"/>
      <c r="X6252" s="4"/>
      <c r="Y6252" s="4"/>
    </row>
    <row r="6253" spans="20:25" x14ac:dyDescent="0.3">
      <c r="T6253" s="12"/>
      <c r="U6253" s="4"/>
      <c r="V6253" s="4"/>
      <c r="X6253" s="4"/>
      <c r="Y6253" s="4"/>
    </row>
    <row r="6254" spans="20:25" x14ac:dyDescent="0.3">
      <c r="T6254" s="12"/>
      <c r="U6254" s="4"/>
      <c r="V6254" s="4"/>
      <c r="X6254" s="4"/>
      <c r="Y6254" s="4"/>
    </row>
    <row r="6255" spans="20:25" x14ac:dyDescent="0.3">
      <c r="T6255" s="12"/>
      <c r="U6255" s="4"/>
      <c r="V6255" s="4"/>
      <c r="X6255" s="4"/>
      <c r="Y6255" s="4"/>
    </row>
    <row r="6256" spans="20:25" x14ac:dyDescent="0.3">
      <c r="T6256" s="12"/>
      <c r="U6256" s="4"/>
      <c r="V6256" s="4"/>
      <c r="X6256" s="4"/>
      <c r="Y6256" s="4"/>
    </row>
    <row r="6257" spans="20:25" x14ac:dyDescent="0.3">
      <c r="T6257" s="12"/>
      <c r="U6257" s="4"/>
      <c r="V6257" s="4"/>
      <c r="X6257" s="4"/>
      <c r="Y6257" s="4"/>
    </row>
    <row r="6258" spans="20:25" x14ac:dyDescent="0.3">
      <c r="T6258" s="12"/>
      <c r="U6258" s="4"/>
      <c r="V6258" s="4"/>
      <c r="X6258" s="4"/>
      <c r="Y6258" s="4"/>
    </row>
    <row r="6259" spans="20:25" x14ac:dyDescent="0.3">
      <c r="T6259" s="12"/>
      <c r="U6259" s="4"/>
      <c r="V6259" s="4"/>
      <c r="X6259" s="4"/>
      <c r="Y6259" s="4"/>
    </row>
    <row r="6260" spans="20:25" x14ac:dyDescent="0.3">
      <c r="T6260" s="12"/>
      <c r="U6260" s="4"/>
      <c r="V6260" s="4"/>
      <c r="X6260" s="4"/>
      <c r="Y6260" s="4"/>
    </row>
    <row r="6261" spans="20:25" x14ac:dyDescent="0.3">
      <c r="T6261" s="12"/>
      <c r="U6261" s="4"/>
      <c r="V6261" s="4"/>
      <c r="X6261" s="4"/>
      <c r="Y6261" s="4"/>
    </row>
    <row r="6262" spans="20:25" x14ac:dyDescent="0.3">
      <c r="T6262" s="12"/>
      <c r="U6262" s="4"/>
      <c r="V6262" s="4"/>
      <c r="X6262" s="4"/>
      <c r="Y6262" s="4"/>
    </row>
    <row r="6263" spans="20:25" x14ac:dyDescent="0.3">
      <c r="T6263" s="12"/>
      <c r="U6263" s="4"/>
      <c r="V6263" s="4"/>
      <c r="X6263" s="4"/>
      <c r="Y6263" s="4"/>
    </row>
    <row r="6264" spans="20:25" x14ac:dyDescent="0.3">
      <c r="T6264" s="12"/>
      <c r="U6264" s="4"/>
      <c r="V6264" s="4"/>
      <c r="X6264" s="4"/>
      <c r="Y6264" s="4"/>
    </row>
    <row r="6265" spans="20:25" x14ac:dyDescent="0.3">
      <c r="T6265" s="12"/>
      <c r="U6265" s="4"/>
      <c r="V6265" s="4"/>
      <c r="X6265" s="4"/>
      <c r="Y6265" s="4"/>
    </row>
    <row r="6266" spans="20:25" x14ac:dyDescent="0.3">
      <c r="T6266" s="12"/>
      <c r="U6266" s="4"/>
      <c r="V6266" s="4"/>
      <c r="X6266" s="4"/>
      <c r="Y6266" s="4"/>
    </row>
    <row r="6267" spans="20:25" x14ac:dyDescent="0.3">
      <c r="T6267" s="12"/>
      <c r="U6267" s="4"/>
      <c r="V6267" s="4"/>
      <c r="X6267" s="4"/>
      <c r="Y6267" s="4"/>
    </row>
    <row r="6268" spans="20:25" x14ac:dyDescent="0.3">
      <c r="T6268" s="12"/>
      <c r="U6268" s="4"/>
      <c r="V6268" s="4"/>
      <c r="X6268" s="4"/>
      <c r="Y6268" s="4"/>
    </row>
    <row r="6269" spans="20:25" x14ac:dyDescent="0.3">
      <c r="T6269" s="12"/>
      <c r="U6269" s="4"/>
      <c r="V6269" s="4"/>
      <c r="X6269" s="4"/>
      <c r="Y6269" s="4"/>
    </row>
    <row r="6270" spans="20:25" x14ac:dyDescent="0.3">
      <c r="T6270" s="12"/>
      <c r="U6270" s="4"/>
      <c r="V6270" s="4"/>
      <c r="X6270" s="4"/>
      <c r="Y6270" s="4"/>
    </row>
    <row r="6271" spans="20:25" x14ac:dyDescent="0.3">
      <c r="T6271" s="12"/>
      <c r="U6271" s="4"/>
      <c r="V6271" s="4"/>
      <c r="X6271" s="4"/>
      <c r="Y6271" s="4"/>
    </row>
    <row r="6272" spans="20:25" x14ac:dyDescent="0.3">
      <c r="T6272" s="12"/>
      <c r="U6272" s="4"/>
      <c r="V6272" s="4"/>
      <c r="X6272" s="4"/>
      <c r="Y6272" s="4"/>
    </row>
    <row r="6273" spans="20:25" x14ac:dyDescent="0.3">
      <c r="T6273" s="12"/>
      <c r="U6273" s="4"/>
      <c r="V6273" s="4"/>
      <c r="X6273" s="4"/>
      <c r="Y6273" s="4"/>
    </row>
    <row r="6274" spans="20:25" x14ac:dyDescent="0.3">
      <c r="T6274" s="12"/>
      <c r="U6274" s="4"/>
      <c r="V6274" s="4"/>
      <c r="X6274" s="4"/>
      <c r="Y6274" s="4"/>
    </row>
    <row r="6275" spans="20:25" x14ac:dyDescent="0.3">
      <c r="T6275" s="12"/>
      <c r="U6275" s="4"/>
      <c r="V6275" s="4"/>
      <c r="X6275" s="4"/>
      <c r="Y6275" s="4"/>
    </row>
    <row r="6276" spans="20:25" x14ac:dyDescent="0.3">
      <c r="T6276" s="12"/>
      <c r="U6276" s="4"/>
      <c r="V6276" s="4"/>
      <c r="X6276" s="4"/>
      <c r="Y6276" s="4"/>
    </row>
    <row r="6277" spans="20:25" x14ac:dyDescent="0.3">
      <c r="T6277" s="12"/>
      <c r="U6277" s="4"/>
      <c r="V6277" s="4"/>
      <c r="X6277" s="4"/>
      <c r="Y6277" s="4"/>
    </row>
    <row r="6278" spans="20:25" x14ac:dyDescent="0.3">
      <c r="T6278" s="12"/>
      <c r="U6278" s="4"/>
      <c r="V6278" s="4"/>
      <c r="X6278" s="4"/>
      <c r="Y6278" s="4"/>
    </row>
    <row r="6279" spans="20:25" x14ac:dyDescent="0.3">
      <c r="T6279" s="12"/>
      <c r="U6279" s="4"/>
      <c r="V6279" s="4"/>
      <c r="X6279" s="4"/>
      <c r="Y6279" s="4"/>
    </row>
    <row r="6280" spans="20:25" x14ac:dyDescent="0.3">
      <c r="T6280" s="12"/>
      <c r="U6280" s="4"/>
      <c r="V6280" s="4"/>
      <c r="X6280" s="4"/>
      <c r="Y6280" s="4"/>
    </row>
    <row r="6281" spans="20:25" x14ac:dyDescent="0.3">
      <c r="T6281" s="12"/>
      <c r="U6281" s="4"/>
      <c r="V6281" s="4"/>
      <c r="X6281" s="4"/>
      <c r="Y6281" s="4"/>
    </row>
    <row r="6282" spans="20:25" x14ac:dyDescent="0.3">
      <c r="T6282" s="12"/>
      <c r="U6282" s="4"/>
      <c r="V6282" s="4"/>
      <c r="X6282" s="4"/>
      <c r="Y6282" s="4"/>
    </row>
    <row r="6283" spans="20:25" x14ac:dyDescent="0.3">
      <c r="T6283" s="12"/>
      <c r="U6283" s="4"/>
      <c r="V6283" s="4"/>
      <c r="X6283" s="4"/>
      <c r="Y6283" s="4"/>
    </row>
    <row r="6284" spans="20:25" x14ac:dyDescent="0.3">
      <c r="T6284" s="12"/>
      <c r="U6284" s="4"/>
      <c r="V6284" s="4"/>
      <c r="X6284" s="4"/>
      <c r="Y6284" s="4"/>
    </row>
    <row r="6285" spans="20:25" x14ac:dyDescent="0.3">
      <c r="T6285" s="12"/>
      <c r="U6285" s="4"/>
      <c r="V6285" s="4"/>
      <c r="X6285" s="4"/>
      <c r="Y6285" s="4"/>
    </row>
    <row r="6286" spans="20:25" x14ac:dyDescent="0.3">
      <c r="T6286" s="12"/>
      <c r="U6286" s="4"/>
      <c r="V6286" s="4"/>
      <c r="X6286" s="4"/>
      <c r="Y6286" s="4"/>
    </row>
    <row r="6287" spans="20:25" x14ac:dyDescent="0.3">
      <c r="T6287" s="12"/>
      <c r="U6287" s="4"/>
      <c r="V6287" s="4"/>
      <c r="X6287" s="4"/>
      <c r="Y6287" s="4"/>
    </row>
    <row r="6288" spans="20:25" x14ac:dyDescent="0.3">
      <c r="T6288" s="12"/>
      <c r="U6288" s="4"/>
      <c r="V6288" s="4"/>
      <c r="X6288" s="4"/>
      <c r="Y6288" s="4"/>
    </row>
    <row r="6289" spans="20:25" x14ac:dyDescent="0.3">
      <c r="T6289" s="12"/>
      <c r="U6289" s="4"/>
      <c r="V6289" s="4"/>
      <c r="X6289" s="4"/>
      <c r="Y6289" s="4"/>
    </row>
    <row r="6290" spans="20:25" x14ac:dyDescent="0.3">
      <c r="T6290" s="12"/>
      <c r="U6290" s="4"/>
      <c r="V6290" s="4"/>
      <c r="X6290" s="4"/>
      <c r="Y6290" s="4"/>
    </row>
    <row r="6291" spans="20:25" x14ac:dyDescent="0.3">
      <c r="T6291" s="12"/>
      <c r="U6291" s="4"/>
      <c r="V6291" s="4"/>
      <c r="X6291" s="4"/>
      <c r="Y6291" s="4"/>
    </row>
    <row r="6292" spans="20:25" x14ac:dyDescent="0.3">
      <c r="T6292" s="12"/>
      <c r="U6292" s="4"/>
      <c r="V6292" s="4"/>
      <c r="X6292" s="4"/>
      <c r="Y6292" s="4"/>
    </row>
    <row r="6293" spans="20:25" x14ac:dyDescent="0.3">
      <c r="T6293" s="12"/>
      <c r="U6293" s="4"/>
      <c r="V6293" s="4"/>
      <c r="X6293" s="4"/>
      <c r="Y6293" s="4"/>
    </row>
    <row r="6294" spans="20:25" x14ac:dyDescent="0.3">
      <c r="T6294" s="12"/>
      <c r="U6294" s="4"/>
      <c r="V6294" s="4"/>
      <c r="X6294" s="4"/>
      <c r="Y6294" s="4"/>
    </row>
    <row r="6295" spans="20:25" x14ac:dyDescent="0.3">
      <c r="T6295" s="12"/>
      <c r="U6295" s="4"/>
      <c r="V6295" s="4"/>
      <c r="X6295" s="4"/>
      <c r="Y6295" s="4"/>
    </row>
    <row r="6296" spans="20:25" x14ac:dyDescent="0.3">
      <c r="T6296" s="12"/>
      <c r="U6296" s="4"/>
      <c r="V6296" s="4"/>
      <c r="X6296" s="4"/>
      <c r="Y6296" s="4"/>
    </row>
    <row r="6297" spans="20:25" x14ac:dyDescent="0.3">
      <c r="T6297" s="12"/>
      <c r="U6297" s="4"/>
      <c r="V6297" s="4"/>
      <c r="X6297" s="4"/>
      <c r="Y6297" s="4"/>
    </row>
    <row r="6298" spans="20:25" x14ac:dyDescent="0.3">
      <c r="T6298" s="12"/>
      <c r="U6298" s="4"/>
      <c r="V6298" s="4"/>
      <c r="X6298" s="4"/>
      <c r="Y6298" s="4"/>
    </row>
    <row r="6299" spans="20:25" x14ac:dyDescent="0.3">
      <c r="T6299" s="12"/>
      <c r="U6299" s="4"/>
      <c r="V6299" s="4"/>
      <c r="X6299" s="4"/>
      <c r="Y6299" s="4"/>
    </row>
    <row r="6300" spans="20:25" x14ac:dyDescent="0.3">
      <c r="T6300" s="12"/>
      <c r="U6300" s="4"/>
      <c r="V6300" s="4"/>
      <c r="X6300" s="4"/>
      <c r="Y6300" s="4"/>
    </row>
    <row r="6301" spans="20:25" x14ac:dyDescent="0.3">
      <c r="T6301" s="12"/>
      <c r="U6301" s="4"/>
      <c r="V6301" s="4"/>
      <c r="X6301" s="4"/>
      <c r="Y6301" s="4"/>
    </row>
    <row r="6302" spans="20:25" x14ac:dyDescent="0.3">
      <c r="T6302" s="12"/>
      <c r="U6302" s="4"/>
      <c r="V6302" s="4"/>
      <c r="X6302" s="4"/>
      <c r="Y6302" s="4"/>
    </row>
    <row r="6303" spans="20:25" x14ac:dyDescent="0.3">
      <c r="T6303" s="12"/>
      <c r="U6303" s="4"/>
      <c r="V6303" s="4"/>
      <c r="X6303" s="4"/>
      <c r="Y6303" s="4"/>
    </row>
    <row r="6304" spans="20:25" x14ac:dyDescent="0.3">
      <c r="T6304" s="12"/>
      <c r="U6304" s="4"/>
      <c r="V6304" s="4"/>
      <c r="X6304" s="4"/>
      <c r="Y6304" s="4"/>
    </row>
    <row r="6305" spans="20:25" x14ac:dyDescent="0.3">
      <c r="T6305" s="12"/>
      <c r="U6305" s="4"/>
      <c r="V6305" s="4"/>
      <c r="X6305" s="4"/>
      <c r="Y6305" s="4"/>
    </row>
    <row r="6306" spans="20:25" x14ac:dyDescent="0.3">
      <c r="T6306" s="12"/>
      <c r="U6306" s="4"/>
      <c r="V6306" s="4"/>
      <c r="X6306" s="4"/>
      <c r="Y6306" s="4"/>
    </row>
    <row r="6307" spans="20:25" x14ac:dyDescent="0.3">
      <c r="T6307" s="12"/>
      <c r="U6307" s="4"/>
      <c r="V6307" s="4"/>
      <c r="X6307" s="4"/>
      <c r="Y6307" s="4"/>
    </row>
    <row r="6308" spans="20:25" x14ac:dyDescent="0.3">
      <c r="T6308" s="12"/>
      <c r="U6308" s="4"/>
      <c r="V6308" s="4"/>
      <c r="X6308" s="4"/>
      <c r="Y6308" s="4"/>
    </row>
    <row r="6309" spans="20:25" x14ac:dyDescent="0.3">
      <c r="T6309" s="12"/>
      <c r="U6309" s="4"/>
      <c r="V6309" s="4"/>
      <c r="X6309" s="4"/>
      <c r="Y6309" s="4"/>
    </row>
    <row r="6310" spans="20:25" x14ac:dyDescent="0.3">
      <c r="T6310" s="12"/>
      <c r="U6310" s="4"/>
      <c r="V6310" s="4"/>
      <c r="X6310" s="4"/>
      <c r="Y6310" s="4"/>
    </row>
    <row r="6311" spans="20:25" x14ac:dyDescent="0.3">
      <c r="T6311" s="12"/>
      <c r="U6311" s="4"/>
      <c r="V6311" s="4"/>
      <c r="X6311" s="4"/>
      <c r="Y6311" s="4"/>
    </row>
    <row r="6312" spans="20:25" x14ac:dyDescent="0.3">
      <c r="T6312" s="12"/>
      <c r="U6312" s="4"/>
      <c r="V6312" s="4"/>
      <c r="X6312" s="4"/>
      <c r="Y6312" s="4"/>
    </row>
    <row r="6313" spans="20:25" x14ac:dyDescent="0.3">
      <c r="T6313" s="12"/>
      <c r="U6313" s="4"/>
      <c r="V6313" s="4"/>
      <c r="X6313" s="4"/>
      <c r="Y6313" s="4"/>
    </row>
    <row r="6314" spans="20:25" x14ac:dyDescent="0.3">
      <c r="T6314" s="12"/>
      <c r="U6314" s="4"/>
      <c r="V6314" s="4"/>
      <c r="X6314" s="4"/>
      <c r="Y6314" s="4"/>
    </row>
    <row r="6315" spans="20:25" x14ac:dyDescent="0.3">
      <c r="T6315" s="12"/>
      <c r="U6315" s="4"/>
      <c r="V6315" s="4"/>
      <c r="X6315" s="4"/>
      <c r="Y6315" s="4"/>
    </row>
    <row r="6316" spans="20:25" x14ac:dyDescent="0.3">
      <c r="T6316" s="12"/>
      <c r="U6316" s="4"/>
      <c r="V6316" s="4"/>
      <c r="X6316" s="4"/>
      <c r="Y6316" s="4"/>
    </row>
    <row r="6317" spans="20:25" x14ac:dyDescent="0.3">
      <c r="T6317" s="12"/>
      <c r="U6317" s="4"/>
      <c r="V6317" s="4"/>
      <c r="X6317" s="4"/>
      <c r="Y6317" s="4"/>
    </row>
    <row r="6318" spans="20:25" x14ac:dyDescent="0.3">
      <c r="T6318" s="12"/>
      <c r="U6318" s="4"/>
      <c r="V6318" s="4"/>
      <c r="X6318" s="4"/>
      <c r="Y6318" s="4"/>
    </row>
    <row r="6319" spans="20:25" x14ac:dyDescent="0.3">
      <c r="T6319" s="12"/>
      <c r="U6319" s="4"/>
      <c r="V6319" s="4"/>
      <c r="X6319" s="4"/>
      <c r="Y6319" s="4"/>
    </row>
    <row r="6320" spans="20:25" x14ac:dyDescent="0.3">
      <c r="T6320" s="12"/>
      <c r="U6320" s="4"/>
      <c r="V6320" s="4"/>
      <c r="X6320" s="4"/>
      <c r="Y6320" s="4"/>
    </row>
    <row r="6321" spans="20:25" x14ac:dyDescent="0.3">
      <c r="T6321" s="12"/>
      <c r="U6321" s="4"/>
      <c r="V6321" s="4"/>
      <c r="X6321" s="4"/>
      <c r="Y6321" s="4"/>
    </row>
    <row r="6322" spans="20:25" x14ac:dyDescent="0.3">
      <c r="T6322" s="12"/>
      <c r="U6322" s="4"/>
      <c r="V6322" s="4"/>
      <c r="X6322" s="4"/>
      <c r="Y6322" s="4"/>
    </row>
    <row r="6323" spans="20:25" x14ac:dyDescent="0.3">
      <c r="T6323" s="12"/>
      <c r="U6323" s="4"/>
      <c r="V6323" s="4"/>
      <c r="X6323" s="4"/>
      <c r="Y6323" s="4"/>
    </row>
    <row r="6324" spans="20:25" x14ac:dyDescent="0.3">
      <c r="T6324" s="12"/>
      <c r="U6324" s="4"/>
      <c r="V6324" s="4"/>
      <c r="X6324" s="4"/>
      <c r="Y6324" s="4"/>
    </row>
    <row r="6325" spans="20:25" x14ac:dyDescent="0.3">
      <c r="T6325" s="12"/>
      <c r="U6325" s="4"/>
      <c r="V6325" s="4"/>
      <c r="X6325" s="4"/>
      <c r="Y6325" s="4"/>
    </row>
    <row r="6326" spans="20:25" x14ac:dyDescent="0.3">
      <c r="T6326" s="12"/>
      <c r="U6326" s="4"/>
      <c r="V6326" s="4"/>
      <c r="X6326" s="4"/>
      <c r="Y6326" s="4"/>
    </row>
    <row r="6327" spans="20:25" x14ac:dyDescent="0.3">
      <c r="T6327" s="12"/>
      <c r="U6327" s="4"/>
      <c r="V6327" s="4"/>
      <c r="X6327" s="4"/>
      <c r="Y6327" s="4"/>
    </row>
    <row r="6328" spans="20:25" x14ac:dyDescent="0.3">
      <c r="T6328" s="12"/>
      <c r="U6328" s="4"/>
      <c r="V6328" s="4"/>
      <c r="X6328" s="4"/>
      <c r="Y6328" s="4"/>
    </row>
    <row r="6329" spans="20:25" x14ac:dyDescent="0.3">
      <c r="T6329" s="12"/>
      <c r="U6329" s="4"/>
      <c r="V6329" s="4"/>
      <c r="X6329" s="4"/>
      <c r="Y6329" s="4"/>
    </row>
    <row r="6330" spans="20:25" x14ac:dyDescent="0.3">
      <c r="T6330" s="12"/>
      <c r="U6330" s="4"/>
      <c r="V6330" s="4"/>
      <c r="X6330" s="4"/>
      <c r="Y6330" s="4"/>
    </row>
    <row r="6331" spans="20:25" x14ac:dyDescent="0.3">
      <c r="T6331" s="12"/>
      <c r="U6331" s="4"/>
      <c r="V6331" s="4"/>
      <c r="X6331" s="4"/>
      <c r="Y6331" s="4"/>
    </row>
    <row r="6332" spans="20:25" x14ac:dyDescent="0.3">
      <c r="T6332" s="12"/>
      <c r="U6332" s="4"/>
      <c r="V6332" s="4"/>
      <c r="X6332" s="4"/>
      <c r="Y6332" s="4"/>
    </row>
    <row r="6333" spans="20:25" x14ac:dyDescent="0.3">
      <c r="T6333" s="12"/>
      <c r="U6333" s="4"/>
      <c r="V6333" s="4"/>
      <c r="X6333" s="4"/>
      <c r="Y6333" s="4"/>
    </row>
    <row r="6334" spans="20:25" x14ac:dyDescent="0.3">
      <c r="T6334" s="12"/>
      <c r="U6334" s="4"/>
      <c r="V6334" s="4"/>
      <c r="X6334" s="4"/>
      <c r="Y6334" s="4"/>
    </row>
    <row r="6335" spans="20:25" x14ac:dyDescent="0.3">
      <c r="T6335" s="12"/>
      <c r="U6335" s="4"/>
      <c r="V6335" s="4"/>
      <c r="X6335" s="4"/>
      <c r="Y6335" s="4"/>
    </row>
    <row r="6336" spans="20:25" x14ac:dyDescent="0.3">
      <c r="T6336" s="12"/>
      <c r="U6336" s="4"/>
      <c r="V6336" s="4"/>
      <c r="X6336" s="4"/>
      <c r="Y6336" s="4"/>
    </row>
    <row r="6337" spans="20:25" x14ac:dyDescent="0.3">
      <c r="T6337" s="12"/>
      <c r="U6337" s="4"/>
      <c r="V6337" s="4"/>
      <c r="X6337" s="4"/>
      <c r="Y6337" s="4"/>
    </row>
    <row r="6338" spans="20:25" x14ac:dyDescent="0.3">
      <c r="T6338" s="12"/>
      <c r="U6338" s="4"/>
      <c r="V6338" s="4"/>
      <c r="X6338" s="4"/>
      <c r="Y6338" s="4"/>
    </row>
    <row r="6339" spans="20:25" x14ac:dyDescent="0.3">
      <c r="T6339" s="12"/>
      <c r="U6339" s="4"/>
      <c r="V6339" s="4"/>
      <c r="X6339" s="4"/>
      <c r="Y6339" s="4"/>
    </row>
    <row r="6340" spans="20:25" x14ac:dyDescent="0.3">
      <c r="T6340" s="12"/>
      <c r="U6340" s="4"/>
      <c r="V6340" s="4"/>
      <c r="X6340" s="4"/>
      <c r="Y6340" s="4"/>
    </row>
    <row r="6341" spans="20:25" x14ac:dyDescent="0.3">
      <c r="T6341" s="12"/>
      <c r="U6341" s="4"/>
      <c r="V6341" s="4"/>
      <c r="X6341" s="4"/>
      <c r="Y6341" s="4"/>
    </row>
    <row r="6342" spans="20:25" x14ac:dyDescent="0.3">
      <c r="T6342" s="12"/>
      <c r="U6342" s="4"/>
      <c r="V6342" s="4"/>
      <c r="X6342" s="4"/>
      <c r="Y6342" s="4"/>
    </row>
    <row r="6343" spans="20:25" x14ac:dyDescent="0.3">
      <c r="T6343" s="12"/>
      <c r="U6343" s="4"/>
      <c r="V6343" s="4"/>
      <c r="X6343" s="4"/>
      <c r="Y6343" s="4"/>
    </row>
    <row r="6344" spans="20:25" x14ac:dyDescent="0.3">
      <c r="T6344" s="12"/>
      <c r="U6344" s="4"/>
      <c r="V6344" s="4"/>
      <c r="X6344" s="4"/>
      <c r="Y6344" s="4"/>
    </row>
    <row r="6345" spans="20:25" x14ac:dyDescent="0.3">
      <c r="T6345" s="12"/>
      <c r="U6345" s="4"/>
      <c r="V6345" s="4"/>
      <c r="X6345" s="4"/>
      <c r="Y6345" s="4"/>
    </row>
    <row r="6346" spans="20:25" x14ac:dyDescent="0.3">
      <c r="T6346" s="12"/>
      <c r="U6346" s="4"/>
      <c r="V6346" s="4"/>
      <c r="X6346" s="4"/>
      <c r="Y6346" s="4"/>
    </row>
    <row r="6347" spans="20:25" x14ac:dyDescent="0.3">
      <c r="T6347" s="12"/>
      <c r="U6347" s="4"/>
      <c r="V6347" s="4"/>
      <c r="X6347" s="4"/>
      <c r="Y6347" s="4"/>
    </row>
    <row r="6348" spans="20:25" x14ac:dyDescent="0.3">
      <c r="T6348" s="12"/>
      <c r="U6348" s="4"/>
      <c r="V6348" s="4"/>
      <c r="X6348" s="4"/>
      <c r="Y6348" s="4"/>
    </row>
    <row r="6349" spans="20:25" x14ac:dyDescent="0.3">
      <c r="T6349" s="12"/>
      <c r="U6349" s="4"/>
      <c r="V6349" s="4"/>
      <c r="X6349" s="4"/>
      <c r="Y6349" s="4"/>
    </row>
    <row r="6350" spans="20:25" x14ac:dyDescent="0.3">
      <c r="T6350" s="12"/>
      <c r="U6350" s="4"/>
      <c r="V6350" s="4"/>
      <c r="X6350" s="4"/>
      <c r="Y6350" s="4"/>
    </row>
    <row r="6351" spans="20:25" x14ac:dyDescent="0.3">
      <c r="T6351" s="12"/>
      <c r="U6351" s="4"/>
      <c r="V6351" s="4"/>
      <c r="X6351" s="4"/>
      <c r="Y6351" s="4"/>
    </row>
    <row r="6352" spans="20:25" x14ac:dyDescent="0.3">
      <c r="T6352" s="12"/>
      <c r="U6352" s="4"/>
      <c r="V6352" s="4"/>
      <c r="X6352" s="4"/>
      <c r="Y6352" s="4"/>
    </row>
    <row r="6353" spans="20:25" x14ac:dyDescent="0.3">
      <c r="T6353" s="12"/>
      <c r="U6353" s="4"/>
      <c r="V6353" s="4"/>
      <c r="X6353" s="4"/>
      <c r="Y6353" s="4"/>
    </row>
    <row r="6354" spans="20:25" x14ac:dyDescent="0.3">
      <c r="T6354" s="12"/>
      <c r="U6354" s="4"/>
      <c r="V6354" s="4"/>
      <c r="X6354" s="4"/>
      <c r="Y6354" s="4"/>
    </row>
    <row r="6355" spans="20:25" x14ac:dyDescent="0.3">
      <c r="T6355" s="12"/>
      <c r="U6355" s="4"/>
      <c r="V6355" s="4"/>
      <c r="X6355" s="4"/>
      <c r="Y6355" s="4"/>
    </row>
    <row r="6356" spans="20:25" x14ac:dyDescent="0.3">
      <c r="T6356" s="12"/>
      <c r="U6356" s="4"/>
      <c r="V6356" s="4"/>
      <c r="X6356" s="4"/>
      <c r="Y6356" s="4"/>
    </row>
    <row r="6357" spans="20:25" x14ac:dyDescent="0.3">
      <c r="T6357" s="12"/>
      <c r="U6357" s="4"/>
      <c r="V6357" s="4"/>
      <c r="X6357" s="4"/>
      <c r="Y6357" s="4"/>
    </row>
    <row r="6358" spans="20:25" x14ac:dyDescent="0.3">
      <c r="T6358" s="12"/>
      <c r="U6358" s="4"/>
      <c r="V6358" s="4"/>
      <c r="X6358" s="4"/>
      <c r="Y6358" s="4"/>
    </row>
    <row r="6359" spans="20:25" x14ac:dyDescent="0.3">
      <c r="T6359" s="12"/>
      <c r="U6359" s="4"/>
      <c r="V6359" s="4"/>
      <c r="X6359" s="4"/>
      <c r="Y6359" s="4"/>
    </row>
    <row r="6360" spans="20:25" x14ac:dyDescent="0.3">
      <c r="T6360" s="12"/>
      <c r="U6360" s="4"/>
      <c r="V6360" s="4"/>
      <c r="X6360" s="4"/>
      <c r="Y6360" s="4"/>
    </row>
    <row r="6361" spans="20:25" x14ac:dyDescent="0.3">
      <c r="T6361" s="12"/>
      <c r="U6361" s="4"/>
      <c r="V6361" s="4"/>
      <c r="X6361" s="4"/>
      <c r="Y6361" s="4"/>
    </row>
    <row r="6362" spans="20:25" x14ac:dyDescent="0.3">
      <c r="T6362" s="12"/>
      <c r="U6362" s="4"/>
      <c r="V6362" s="4"/>
      <c r="X6362" s="4"/>
      <c r="Y6362" s="4"/>
    </row>
    <row r="6363" spans="20:25" x14ac:dyDescent="0.3">
      <c r="T6363" s="12"/>
      <c r="U6363" s="4"/>
      <c r="V6363" s="4"/>
      <c r="X6363" s="4"/>
      <c r="Y6363" s="4"/>
    </row>
    <row r="6364" spans="20:25" x14ac:dyDescent="0.3">
      <c r="T6364" s="12"/>
      <c r="U6364" s="4"/>
      <c r="V6364" s="4"/>
      <c r="X6364" s="4"/>
      <c r="Y6364" s="4"/>
    </row>
    <row r="6365" spans="20:25" x14ac:dyDescent="0.3">
      <c r="T6365" s="12"/>
      <c r="U6365" s="4"/>
      <c r="V6365" s="4"/>
      <c r="X6365" s="4"/>
      <c r="Y6365" s="4"/>
    </row>
    <row r="6366" spans="20:25" x14ac:dyDescent="0.3">
      <c r="T6366" s="12"/>
      <c r="U6366" s="4"/>
      <c r="V6366" s="4"/>
      <c r="X6366" s="4"/>
      <c r="Y6366" s="4"/>
    </row>
    <row r="6367" spans="20:25" x14ac:dyDescent="0.3">
      <c r="T6367" s="12"/>
      <c r="U6367" s="4"/>
      <c r="V6367" s="4"/>
      <c r="X6367" s="4"/>
      <c r="Y6367" s="4"/>
    </row>
    <row r="6368" spans="20:25" x14ac:dyDescent="0.3">
      <c r="T6368" s="12"/>
      <c r="U6368" s="4"/>
      <c r="V6368" s="4"/>
      <c r="X6368" s="4"/>
      <c r="Y6368" s="4"/>
    </row>
    <row r="6369" spans="20:25" x14ac:dyDescent="0.3">
      <c r="T6369" s="12"/>
      <c r="U6369" s="4"/>
      <c r="V6369" s="4"/>
      <c r="X6369" s="4"/>
      <c r="Y6369" s="4"/>
    </row>
    <row r="6370" spans="20:25" x14ac:dyDescent="0.3">
      <c r="T6370" s="12"/>
      <c r="U6370" s="4"/>
      <c r="V6370" s="4"/>
      <c r="X6370" s="4"/>
      <c r="Y6370" s="4"/>
    </row>
    <row r="6371" spans="20:25" x14ac:dyDescent="0.3">
      <c r="T6371" s="12"/>
      <c r="U6371" s="4"/>
      <c r="V6371" s="4"/>
      <c r="X6371" s="4"/>
      <c r="Y6371" s="4"/>
    </row>
    <row r="6372" spans="20:25" x14ac:dyDescent="0.3">
      <c r="T6372" s="12"/>
      <c r="U6372" s="4"/>
      <c r="V6372" s="4"/>
      <c r="X6372" s="4"/>
      <c r="Y6372" s="4"/>
    </row>
    <row r="6373" spans="20:25" x14ac:dyDescent="0.3">
      <c r="T6373" s="12"/>
      <c r="U6373" s="4"/>
      <c r="V6373" s="4"/>
      <c r="X6373" s="4"/>
      <c r="Y6373" s="4"/>
    </row>
    <row r="6374" spans="20:25" x14ac:dyDescent="0.3">
      <c r="T6374" s="12"/>
      <c r="U6374" s="4"/>
      <c r="V6374" s="4"/>
      <c r="X6374" s="4"/>
      <c r="Y6374" s="4"/>
    </row>
    <row r="6375" spans="20:25" x14ac:dyDescent="0.3">
      <c r="T6375" s="12"/>
      <c r="U6375" s="4"/>
      <c r="V6375" s="4"/>
      <c r="X6375" s="4"/>
      <c r="Y6375" s="4"/>
    </row>
    <row r="6376" spans="20:25" x14ac:dyDescent="0.3">
      <c r="T6376" s="12"/>
      <c r="U6376" s="4"/>
      <c r="V6376" s="4"/>
      <c r="X6376" s="4"/>
      <c r="Y6376" s="4"/>
    </row>
    <row r="6377" spans="20:25" x14ac:dyDescent="0.3">
      <c r="T6377" s="12"/>
      <c r="U6377" s="4"/>
      <c r="V6377" s="4"/>
      <c r="X6377" s="4"/>
      <c r="Y6377" s="4"/>
    </row>
    <row r="6378" spans="20:25" x14ac:dyDescent="0.3">
      <c r="T6378" s="12"/>
      <c r="U6378" s="4"/>
      <c r="V6378" s="4"/>
      <c r="X6378" s="4"/>
      <c r="Y6378" s="4"/>
    </row>
    <row r="6379" spans="20:25" x14ac:dyDescent="0.3">
      <c r="T6379" s="12"/>
      <c r="U6379" s="4"/>
      <c r="V6379" s="4"/>
      <c r="X6379" s="4"/>
      <c r="Y6379" s="4"/>
    </row>
    <row r="6380" spans="20:25" x14ac:dyDescent="0.3">
      <c r="T6380" s="12"/>
      <c r="U6380" s="4"/>
      <c r="V6380" s="4"/>
      <c r="X6380" s="4"/>
      <c r="Y6380" s="4"/>
    </row>
    <row r="6381" spans="20:25" x14ac:dyDescent="0.3">
      <c r="T6381" s="12"/>
      <c r="U6381" s="4"/>
      <c r="V6381" s="4"/>
      <c r="X6381" s="4"/>
      <c r="Y6381" s="4"/>
    </row>
    <row r="6382" spans="20:25" x14ac:dyDescent="0.3">
      <c r="T6382" s="12"/>
      <c r="U6382" s="4"/>
      <c r="V6382" s="4"/>
      <c r="X6382" s="4"/>
      <c r="Y6382" s="4"/>
    </row>
    <row r="6383" spans="20:25" x14ac:dyDescent="0.3">
      <c r="T6383" s="12"/>
      <c r="U6383" s="4"/>
      <c r="V6383" s="4"/>
      <c r="X6383" s="4"/>
      <c r="Y6383" s="4"/>
    </row>
    <row r="6384" spans="20:25" x14ac:dyDescent="0.3">
      <c r="T6384" s="12"/>
      <c r="U6384" s="4"/>
      <c r="V6384" s="4"/>
      <c r="X6384" s="4"/>
      <c r="Y6384" s="4"/>
    </row>
    <row r="6385" spans="20:25" x14ac:dyDescent="0.3">
      <c r="T6385" s="12"/>
      <c r="U6385" s="4"/>
      <c r="V6385" s="4"/>
      <c r="X6385" s="4"/>
      <c r="Y6385" s="4"/>
    </row>
    <row r="6386" spans="20:25" x14ac:dyDescent="0.3">
      <c r="T6386" s="12"/>
      <c r="U6386" s="4"/>
      <c r="V6386" s="4"/>
      <c r="X6386" s="4"/>
      <c r="Y6386" s="4"/>
    </row>
    <row r="6387" spans="20:25" x14ac:dyDescent="0.3">
      <c r="T6387" s="12"/>
      <c r="U6387" s="4"/>
      <c r="V6387" s="4"/>
      <c r="X6387" s="4"/>
      <c r="Y6387" s="4"/>
    </row>
    <row r="6388" spans="20:25" x14ac:dyDescent="0.3">
      <c r="T6388" s="12"/>
      <c r="U6388" s="4"/>
      <c r="V6388" s="4"/>
      <c r="X6388" s="4"/>
      <c r="Y6388" s="4"/>
    </row>
    <row r="6389" spans="20:25" x14ac:dyDescent="0.3">
      <c r="T6389" s="12"/>
      <c r="U6389" s="4"/>
      <c r="V6389" s="4"/>
      <c r="X6389" s="4"/>
      <c r="Y6389" s="4"/>
    </row>
    <row r="6390" spans="20:25" x14ac:dyDescent="0.3">
      <c r="T6390" s="12"/>
      <c r="U6390" s="4"/>
      <c r="V6390" s="4"/>
      <c r="X6390" s="4"/>
      <c r="Y6390" s="4"/>
    </row>
    <row r="6391" spans="20:25" x14ac:dyDescent="0.3">
      <c r="T6391" s="12"/>
      <c r="U6391" s="4"/>
      <c r="V6391" s="4"/>
      <c r="X6391" s="4"/>
      <c r="Y6391" s="4"/>
    </row>
    <row r="6392" spans="20:25" x14ac:dyDescent="0.3">
      <c r="T6392" s="12"/>
      <c r="U6392" s="4"/>
      <c r="V6392" s="4"/>
      <c r="X6392" s="4"/>
      <c r="Y6392" s="4"/>
    </row>
    <row r="6393" spans="20:25" x14ac:dyDescent="0.3">
      <c r="T6393" s="12"/>
      <c r="U6393" s="4"/>
      <c r="V6393" s="4"/>
      <c r="X6393" s="4"/>
      <c r="Y6393" s="4"/>
    </row>
    <row r="6394" spans="20:25" x14ac:dyDescent="0.3">
      <c r="T6394" s="12"/>
      <c r="U6394" s="4"/>
      <c r="V6394" s="4"/>
      <c r="X6394" s="4"/>
      <c r="Y6394" s="4"/>
    </row>
    <row r="6395" spans="20:25" x14ac:dyDescent="0.3">
      <c r="T6395" s="12"/>
      <c r="U6395" s="4"/>
      <c r="V6395" s="4"/>
      <c r="X6395" s="4"/>
      <c r="Y6395" s="4"/>
    </row>
    <row r="6396" spans="20:25" x14ac:dyDescent="0.3">
      <c r="T6396" s="12"/>
      <c r="U6396" s="4"/>
      <c r="V6396" s="4"/>
      <c r="X6396" s="4"/>
      <c r="Y6396" s="4"/>
    </row>
    <row r="6397" spans="20:25" x14ac:dyDescent="0.3">
      <c r="T6397" s="12"/>
      <c r="U6397" s="4"/>
      <c r="V6397" s="4"/>
      <c r="X6397" s="4"/>
      <c r="Y6397" s="4"/>
    </row>
    <row r="6398" spans="20:25" x14ac:dyDescent="0.3">
      <c r="T6398" s="12"/>
      <c r="U6398" s="4"/>
      <c r="V6398" s="4"/>
      <c r="X6398" s="4"/>
      <c r="Y6398" s="4"/>
    </row>
    <row r="6399" spans="20:25" x14ac:dyDescent="0.3">
      <c r="T6399" s="12"/>
      <c r="U6399" s="4"/>
      <c r="V6399" s="4"/>
      <c r="X6399" s="4"/>
      <c r="Y6399" s="4"/>
    </row>
    <row r="6400" spans="20:25" x14ac:dyDescent="0.3">
      <c r="T6400" s="12"/>
      <c r="U6400" s="4"/>
      <c r="V6400" s="4"/>
      <c r="X6400" s="4"/>
      <c r="Y6400" s="4"/>
    </row>
    <row r="6401" spans="20:25" x14ac:dyDescent="0.3">
      <c r="T6401" s="12"/>
      <c r="U6401" s="4"/>
      <c r="V6401" s="4"/>
      <c r="X6401" s="4"/>
      <c r="Y6401" s="4"/>
    </row>
    <row r="6402" spans="20:25" x14ac:dyDescent="0.3">
      <c r="T6402" s="12"/>
      <c r="U6402" s="4"/>
      <c r="V6402" s="4"/>
      <c r="X6402" s="4"/>
      <c r="Y6402" s="4"/>
    </row>
    <row r="6403" spans="20:25" x14ac:dyDescent="0.3">
      <c r="T6403" s="12"/>
      <c r="U6403" s="4"/>
      <c r="V6403" s="4"/>
      <c r="X6403" s="4"/>
      <c r="Y6403" s="4"/>
    </row>
    <row r="6404" spans="20:25" x14ac:dyDescent="0.3">
      <c r="T6404" s="12"/>
      <c r="U6404" s="4"/>
      <c r="V6404" s="4"/>
      <c r="X6404" s="4"/>
      <c r="Y6404" s="4"/>
    </row>
    <row r="6405" spans="20:25" x14ac:dyDescent="0.3">
      <c r="T6405" s="12"/>
      <c r="U6405" s="4"/>
      <c r="V6405" s="4"/>
      <c r="X6405" s="4"/>
      <c r="Y6405" s="4"/>
    </row>
    <row r="6406" spans="20:25" x14ac:dyDescent="0.3">
      <c r="T6406" s="12"/>
      <c r="U6406" s="4"/>
      <c r="V6406" s="4"/>
      <c r="X6406" s="4"/>
      <c r="Y6406" s="4"/>
    </row>
    <row r="6407" spans="20:25" x14ac:dyDescent="0.3">
      <c r="T6407" s="12"/>
      <c r="U6407" s="4"/>
      <c r="V6407" s="4"/>
      <c r="X6407" s="4"/>
      <c r="Y6407" s="4"/>
    </row>
    <row r="6408" spans="20:25" x14ac:dyDescent="0.3">
      <c r="T6408" s="12"/>
      <c r="U6408" s="4"/>
      <c r="V6408" s="4"/>
      <c r="X6408" s="4"/>
      <c r="Y6408" s="4"/>
    </row>
    <row r="6409" spans="20:25" x14ac:dyDescent="0.3">
      <c r="T6409" s="12"/>
      <c r="U6409" s="4"/>
      <c r="V6409" s="4"/>
      <c r="X6409" s="4"/>
      <c r="Y6409" s="4"/>
    </row>
    <row r="6410" spans="20:25" x14ac:dyDescent="0.3">
      <c r="T6410" s="12"/>
      <c r="U6410" s="4"/>
      <c r="V6410" s="4"/>
      <c r="X6410" s="4"/>
      <c r="Y6410" s="4"/>
    </row>
    <row r="6411" spans="20:25" x14ac:dyDescent="0.3">
      <c r="T6411" s="12"/>
      <c r="U6411" s="4"/>
      <c r="V6411" s="4"/>
      <c r="X6411" s="4"/>
      <c r="Y6411" s="4"/>
    </row>
    <row r="6412" spans="20:25" x14ac:dyDescent="0.3">
      <c r="T6412" s="12"/>
      <c r="U6412" s="4"/>
      <c r="V6412" s="4"/>
      <c r="X6412" s="4"/>
      <c r="Y6412" s="4"/>
    </row>
    <row r="6413" spans="20:25" x14ac:dyDescent="0.3">
      <c r="T6413" s="12"/>
      <c r="U6413" s="4"/>
      <c r="V6413" s="4"/>
      <c r="X6413" s="4"/>
      <c r="Y6413" s="4"/>
    </row>
    <row r="6414" spans="20:25" x14ac:dyDescent="0.3">
      <c r="T6414" s="12"/>
      <c r="U6414" s="4"/>
      <c r="V6414" s="4"/>
      <c r="X6414" s="4"/>
      <c r="Y6414" s="4"/>
    </row>
    <row r="6415" spans="20:25" x14ac:dyDescent="0.3">
      <c r="T6415" s="12"/>
      <c r="U6415" s="4"/>
      <c r="V6415" s="4"/>
      <c r="X6415" s="4"/>
      <c r="Y6415" s="4"/>
    </row>
    <row r="6416" spans="20:25" x14ac:dyDescent="0.3">
      <c r="T6416" s="12"/>
      <c r="U6416" s="4"/>
      <c r="V6416" s="4"/>
      <c r="X6416" s="4"/>
      <c r="Y6416" s="4"/>
    </row>
    <row r="6417" spans="20:25" x14ac:dyDescent="0.3">
      <c r="T6417" s="12"/>
      <c r="U6417" s="4"/>
      <c r="V6417" s="4"/>
      <c r="X6417" s="4"/>
      <c r="Y6417" s="4"/>
    </row>
    <row r="6418" spans="20:25" x14ac:dyDescent="0.3">
      <c r="T6418" s="12"/>
      <c r="U6418" s="4"/>
      <c r="V6418" s="4"/>
      <c r="X6418" s="4"/>
      <c r="Y6418" s="4"/>
    </row>
    <row r="6419" spans="20:25" x14ac:dyDescent="0.3">
      <c r="T6419" s="12"/>
      <c r="U6419" s="4"/>
      <c r="V6419" s="4"/>
      <c r="X6419" s="4"/>
      <c r="Y6419" s="4"/>
    </row>
    <row r="6420" spans="20:25" x14ac:dyDescent="0.3">
      <c r="T6420" s="12"/>
      <c r="U6420" s="4"/>
      <c r="V6420" s="4"/>
      <c r="X6420" s="4"/>
      <c r="Y6420" s="4"/>
    </row>
    <row r="6421" spans="20:25" x14ac:dyDescent="0.3">
      <c r="T6421" s="12"/>
      <c r="U6421" s="4"/>
      <c r="V6421" s="4"/>
      <c r="X6421" s="4"/>
      <c r="Y6421" s="4"/>
    </row>
    <row r="6422" spans="20:25" x14ac:dyDescent="0.3">
      <c r="T6422" s="12"/>
      <c r="U6422" s="4"/>
      <c r="V6422" s="4"/>
      <c r="X6422" s="4"/>
      <c r="Y6422" s="4"/>
    </row>
    <row r="6423" spans="20:25" x14ac:dyDescent="0.3">
      <c r="T6423" s="12"/>
      <c r="U6423" s="4"/>
      <c r="V6423" s="4"/>
      <c r="X6423" s="4"/>
      <c r="Y6423" s="4"/>
    </row>
    <row r="6424" spans="20:25" x14ac:dyDescent="0.3">
      <c r="T6424" s="12"/>
      <c r="U6424" s="4"/>
      <c r="V6424" s="4"/>
      <c r="X6424" s="4"/>
      <c r="Y6424" s="4"/>
    </row>
    <row r="6425" spans="20:25" x14ac:dyDescent="0.3">
      <c r="T6425" s="12"/>
      <c r="U6425" s="4"/>
      <c r="V6425" s="4"/>
      <c r="X6425" s="4"/>
      <c r="Y6425" s="4"/>
    </row>
    <row r="6426" spans="20:25" x14ac:dyDescent="0.3">
      <c r="T6426" s="12"/>
      <c r="U6426" s="4"/>
      <c r="V6426" s="4"/>
      <c r="X6426" s="4"/>
      <c r="Y6426" s="4"/>
    </row>
    <row r="6427" spans="20:25" x14ac:dyDescent="0.3">
      <c r="T6427" s="12"/>
      <c r="U6427" s="4"/>
      <c r="V6427" s="4"/>
      <c r="X6427" s="4"/>
      <c r="Y6427" s="4"/>
    </row>
    <row r="6428" spans="20:25" x14ac:dyDescent="0.3">
      <c r="T6428" s="12"/>
      <c r="U6428" s="4"/>
      <c r="V6428" s="4"/>
      <c r="X6428" s="4"/>
      <c r="Y6428" s="4"/>
    </row>
    <row r="6429" spans="20:25" x14ac:dyDescent="0.3">
      <c r="T6429" s="12"/>
      <c r="U6429" s="4"/>
      <c r="V6429" s="4"/>
      <c r="X6429" s="4"/>
      <c r="Y6429" s="4"/>
    </row>
    <row r="6430" spans="20:25" x14ac:dyDescent="0.3">
      <c r="T6430" s="12"/>
      <c r="U6430" s="4"/>
      <c r="V6430" s="4"/>
      <c r="X6430" s="4"/>
      <c r="Y6430" s="4"/>
    </row>
    <row r="6431" spans="20:25" x14ac:dyDescent="0.3">
      <c r="T6431" s="12"/>
      <c r="U6431" s="4"/>
      <c r="V6431" s="4"/>
      <c r="X6431" s="4"/>
      <c r="Y6431" s="4"/>
    </row>
    <row r="6432" spans="20:25" x14ac:dyDescent="0.3">
      <c r="T6432" s="12"/>
      <c r="U6432" s="4"/>
      <c r="V6432" s="4"/>
      <c r="X6432" s="4"/>
      <c r="Y6432" s="4"/>
    </row>
    <row r="6433" spans="20:25" x14ac:dyDescent="0.3">
      <c r="T6433" s="12"/>
      <c r="U6433" s="4"/>
      <c r="V6433" s="4"/>
      <c r="X6433" s="4"/>
      <c r="Y6433" s="4"/>
    </row>
    <row r="6434" spans="20:25" x14ac:dyDescent="0.3">
      <c r="T6434" s="12"/>
      <c r="U6434" s="4"/>
      <c r="V6434" s="4"/>
      <c r="X6434" s="4"/>
      <c r="Y6434" s="4"/>
    </row>
    <row r="6435" spans="20:25" x14ac:dyDescent="0.3">
      <c r="T6435" s="12"/>
      <c r="U6435" s="4"/>
      <c r="V6435" s="4"/>
      <c r="X6435" s="4"/>
      <c r="Y6435" s="4"/>
    </row>
    <row r="6436" spans="20:25" x14ac:dyDescent="0.3">
      <c r="T6436" s="12"/>
      <c r="U6436" s="4"/>
      <c r="V6436" s="4"/>
      <c r="X6436" s="4"/>
      <c r="Y6436" s="4"/>
    </row>
    <row r="6437" spans="20:25" x14ac:dyDescent="0.3">
      <c r="T6437" s="12"/>
      <c r="U6437" s="4"/>
      <c r="V6437" s="4"/>
      <c r="X6437" s="4"/>
      <c r="Y6437" s="4"/>
    </row>
    <row r="6438" spans="20:25" x14ac:dyDescent="0.3">
      <c r="T6438" s="12"/>
      <c r="U6438" s="4"/>
      <c r="V6438" s="4"/>
      <c r="X6438" s="4"/>
      <c r="Y6438" s="4"/>
    </row>
    <row r="6439" spans="20:25" x14ac:dyDescent="0.3">
      <c r="T6439" s="12"/>
      <c r="U6439" s="4"/>
      <c r="V6439" s="4"/>
      <c r="X6439" s="4"/>
      <c r="Y6439" s="4"/>
    </row>
    <row r="6440" spans="20:25" x14ac:dyDescent="0.3">
      <c r="T6440" s="12"/>
      <c r="U6440" s="4"/>
      <c r="V6440" s="4"/>
      <c r="X6440" s="4"/>
      <c r="Y6440" s="4"/>
    </row>
    <row r="6441" spans="20:25" x14ac:dyDescent="0.3">
      <c r="T6441" s="12"/>
      <c r="U6441" s="4"/>
      <c r="V6441" s="4"/>
      <c r="X6441" s="4"/>
      <c r="Y6441" s="4"/>
    </row>
    <row r="6442" spans="20:25" x14ac:dyDescent="0.3">
      <c r="T6442" s="12"/>
      <c r="U6442" s="4"/>
      <c r="V6442" s="4"/>
      <c r="X6442" s="4"/>
      <c r="Y6442" s="4"/>
    </row>
    <row r="6443" spans="20:25" x14ac:dyDescent="0.3">
      <c r="T6443" s="12"/>
      <c r="U6443" s="4"/>
      <c r="V6443" s="4"/>
      <c r="X6443" s="4"/>
      <c r="Y6443" s="4"/>
    </row>
    <row r="6444" spans="20:25" x14ac:dyDescent="0.3">
      <c r="T6444" s="12"/>
      <c r="U6444" s="4"/>
      <c r="V6444" s="4"/>
      <c r="X6444" s="4"/>
      <c r="Y6444" s="4"/>
    </row>
    <row r="6445" spans="20:25" x14ac:dyDescent="0.3">
      <c r="T6445" s="12"/>
      <c r="U6445" s="4"/>
      <c r="V6445" s="4"/>
      <c r="X6445" s="4"/>
      <c r="Y6445" s="4"/>
    </row>
    <row r="6446" spans="20:25" x14ac:dyDescent="0.3">
      <c r="T6446" s="12"/>
      <c r="U6446" s="4"/>
      <c r="V6446" s="4"/>
      <c r="X6446" s="4"/>
      <c r="Y6446" s="4"/>
    </row>
    <row r="6447" spans="20:25" x14ac:dyDescent="0.3">
      <c r="T6447" s="12"/>
      <c r="U6447" s="4"/>
      <c r="V6447" s="4"/>
      <c r="X6447" s="4"/>
      <c r="Y6447" s="4"/>
    </row>
    <row r="6448" spans="20:25" x14ac:dyDescent="0.3">
      <c r="T6448" s="12"/>
      <c r="U6448" s="4"/>
      <c r="V6448" s="4"/>
      <c r="X6448" s="4"/>
      <c r="Y6448" s="4"/>
    </row>
    <row r="6449" spans="20:25" x14ac:dyDescent="0.3">
      <c r="T6449" s="12"/>
      <c r="U6449" s="4"/>
      <c r="V6449" s="4"/>
      <c r="X6449" s="4"/>
      <c r="Y6449" s="4"/>
    </row>
    <row r="6450" spans="20:25" x14ac:dyDescent="0.3">
      <c r="T6450" s="12"/>
      <c r="U6450" s="4"/>
      <c r="V6450" s="4"/>
      <c r="X6450" s="4"/>
      <c r="Y6450" s="4"/>
    </row>
    <row r="6451" spans="20:25" x14ac:dyDescent="0.3">
      <c r="T6451" s="12"/>
      <c r="U6451" s="4"/>
      <c r="V6451" s="4"/>
      <c r="X6451" s="4"/>
      <c r="Y6451" s="4"/>
    </row>
    <row r="6452" spans="20:25" x14ac:dyDescent="0.3">
      <c r="T6452" s="12"/>
      <c r="U6452" s="4"/>
      <c r="V6452" s="4"/>
      <c r="X6452" s="4"/>
      <c r="Y6452" s="4"/>
    </row>
    <row r="6453" spans="20:25" x14ac:dyDescent="0.3">
      <c r="T6453" s="12"/>
      <c r="U6453" s="4"/>
      <c r="V6453" s="4"/>
      <c r="X6453" s="4"/>
      <c r="Y6453" s="4"/>
    </row>
    <row r="6454" spans="20:25" x14ac:dyDescent="0.3">
      <c r="T6454" s="12"/>
      <c r="U6454" s="4"/>
      <c r="V6454" s="4"/>
      <c r="X6454" s="4"/>
      <c r="Y6454" s="4"/>
    </row>
    <row r="6455" spans="20:25" x14ac:dyDescent="0.3">
      <c r="T6455" s="12"/>
      <c r="U6455" s="4"/>
      <c r="V6455" s="4"/>
      <c r="X6455" s="4"/>
      <c r="Y6455" s="4"/>
    </row>
    <row r="6456" spans="20:25" x14ac:dyDescent="0.3">
      <c r="T6456" s="12"/>
      <c r="U6456" s="4"/>
      <c r="V6456" s="4"/>
      <c r="X6456" s="4"/>
      <c r="Y6456" s="4"/>
    </row>
    <row r="6457" spans="20:25" x14ac:dyDescent="0.3">
      <c r="T6457" s="12"/>
      <c r="U6457" s="4"/>
      <c r="V6457" s="4"/>
      <c r="X6457" s="4"/>
      <c r="Y6457" s="4"/>
    </row>
    <row r="6458" spans="20:25" x14ac:dyDescent="0.3">
      <c r="T6458" s="12"/>
      <c r="U6458" s="4"/>
      <c r="V6458" s="4"/>
      <c r="X6458" s="4"/>
      <c r="Y6458" s="4"/>
    </row>
    <row r="6459" spans="20:25" x14ac:dyDescent="0.3">
      <c r="T6459" s="12"/>
      <c r="U6459" s="4"/>
      <c r="V6459" s="4"/>
      <c r="X6459" s="4"/>
      <c r="Y6459" s="4"/>
    </row>
    <row r="6460" spans="20:25" x14ac:dyDescent="0.3">
      <c r="T6460" s="12"/>
      <c r="U6460" s="4"/>
      <c r="V6460" s="4"/>
      <c r="X6460" s="4"/>
      <c r="Y6460" s="4"/>
    </row>
    <row r="6461" spans="20:25" x14ac:dyDescent="0.3">
      <c r="T6461" s="12"/>
      <c r="U6461" s="4"/>
      <c r="V6461" s="4"/>
      <c r="X6461" s="4"/>
      <c r="Y6461" s="4"/>
    </row>
    <row r="6462" spans="20:25" x14ac:dyDescent="0.3">
      <c r="T6462" s="12"/>
      <c r="U6462" s="4"/>
      <c r="V6462" s="4"/>
      <c r="X6462" s="4"/>
      <c r="Y6462" s="4"/>
    </row>
    <row r="6463" spans="20:25" x14ac:dyDescent="0.3">
      <c r="T6463" s="12"/>
      <c r="U6463" s="4"/>
      <c r="V6463" s="4"/>
      <c r="X6463" s="4"/>
      <c r="Y6463" s="4"/>
    </row>
    <row r="6464" spans="20:25" x14ac:dyDescent="0.3">
      <c r="T6464" s="12"/>
      <c r="U6464" s="4"/>
      <c r="V6464" s="4"/>
      <c r="X6464" s="4"/>
      <c r="Y6464" s="4"/>
    </row>
    <row r="6465" spans="20:25" x14ac:dyDescent="0.3">
      <c r="T6465" s="12"/>
      <c r="U6465" s="4"/>
      <c r="V6465" s="4"/>
      <c r="X6465" s="4"/>
      <c r="Y6465" s="4"/>
    </row>
    <row r="6466" spans="20:25" x14ac:dyDescent="0.3">
      <c r="T6466" s="12"/>
      <c r="U6466" s="4"/>
      <c r="V6466" s="4"/>
      <c r="X6466" s="4"/>
      <c r="Y6466" s="4"/>
    </row>
    <row r="6467" spans="20:25" x14ac:dyDescent="0.3">
      <c r="T6467" s="12"/>
      <c r="U6467" s="4"/>
      <c r="V6467" s="4"/>
      <c r="X6467" s="4"/>
      <c r="Y6467" s="4"/>
    </row>
    <row r="6468" spans="20:25" x14ac:dyDescent="0.3">
      <c r="T6468" s="12"/>
      <c r="U6468" s="4"/>
      <c r="V6468" s="4"/>
      <c r="X6468" s="4"/>
      <c r="Y6468" s="4"/>
    </row>
    <row r="6469" spans="20:25" x14ac:dyDescent="0.3">
      <c r="T6469" s="12"/>
      <c r="U6469" s="4"/>
      <c r="V6469" s="4"/>
      <c r="X6469" s="4"/>
      <c r="Y6469" s="4"/>
    </row>
    <row r="6470" spans="20:25" x14ac:dyDescent="0.3">
      <c r="T6470" s="12"/>
      <c r="U6470" s="4"/>
      <c r="V6470" s="4"/>
      <c r="X6470" s="4"/>
      <c r="Y6470" s="4"/>
    </row>
    <row r="6471" spans="20:25" x14ac:dyDescent="0.3">
      <c r="T6471" s="12"/>
      <c r="U6471" s="4"/>
      <c r="V6471" s="4"/>
      <c r="X6471" s="4"/>
      <c r="Y6471" s="4"/>
    </row>
    <row r="6472" spans="20:25" x14ac:dyDescent="0.3">
      <c r="T6472" s="12"/>
      <c r="U6472" s="4"/>
      <c r="V6472" s="4"/>
      <c r="X6472" s="4"/>
      <c r="Y6472" s="4"/>
    </row>
    <row r="6473" spans="20:25" x14ac:dyDescent="0.3">
      <c r="T6473" s="12"/>
      <c r="U6473" s="4"/>
      <c r="V6473" s="4"/>
      <c r="X6473" s="4"/>
      <c r="Y6473" s="4"/>
    </row>
    <row r="6474" spans="20:25" x14ac:dyDescent="0.3">
      <c r="T6474" s="12"/>
      <c r="U6474" s="4"/>
      <c r="V6474" s="4"/>
      <c r="X6474" s="4"/>
      <c r="Y6474" s="4"/>
    </row>
    <row r="6475" spans="20:25" x14ac:dyDescent="0.3">
      <c r="T6475" s="12"/>
      <c r="U6475" s="4"/>
      <c r="V6475" s="4"/>
      <c r="X6475" s="4"/>
      <c r="Y6475" s="4"/>
    </row>
    <row r="6476" spans="20:25" x14ac:dyDescent="0.3">
      <c r="T6476" s="12"/>
      <c r="U6476" s="4"/>
      <c r="V6476" s="4"/>
      <c r="X6476" s="4"/>
      <c r="Y6476" s="4"/>
    </row>
    <row r="6477" spans="20:25" x14ac:dyDescent="0.3">
      <c r="T6477" s="12"/>
      <c r="U6477" s="4"/>
      <c r="V6477" s="4"/>
      <c r="X6477" s="4"/>
      <c r="Y6477" s="4"/>
    </row>
    <row r="6478" spans="20:25" x14ac:dyDescent="0.3">
      <c r="T6478" s="12"/>
      <c r="U6478" s="4"/>
      <c r="V6478" s="4"/>
      <c r="X6478" s="4"/>
      <c r="Y6478" s="4"/>
    </row>
    <row r="6479" spans="20:25" x14ac:dyDescent="0.3">
      <c r="T6479" s="12"/>
      <c r="U6479" s="4"/>
      <c r="V6479" s="4"/>
      <c r="X6479" s="4"/>
      <c r="Y6479" s="4"/>
    </row>
    <row r="6480" spans="20:25" x14ac:dyDescent="0.3">
      <c r="T6480" s="12"/>
      <c r="U6480" s="4"/>
      <c r="V6480" s="4"/>
      <c r="X6480" s="4"/>
      <c r="Y6480" s="4"/>
    </row>
    <row r="6481" spans="20:25" x14ac:dyDescent="0.3">
      <c r="T6481" s="12"/>
      <c r="U6481" s="4"/>
      <c r="V6481" s="4"/>
      <c r="X6481" s="4"/>
      <c r="Y6481" s="4"/>
    </row>
    <row r="6482" spans="20:25" x14ac:dyDescent="0.3">
      <c r="T6482" s="12"/>
      <c r="U6482" s="4"/>
      <c r="V6482" s="4"/>
      <c r="X6482" s="4"/>
      <c r="Y6482" s="4"/>
    </row>
    <row r="6483" spans="20:25" x14ac:dyDescent="0.3">
      <c r="T6483" s="12"/>
      <c r="U6483" s="4"/>
      <c r="V6483" s="4"/>
      <c r="X6483" s="4"/>
      <c r="Y6483" s="4"/>
    </row>
    <row r="6484" spans="20:25" x14ac:dyDescent="0.3">
      <c r="T6484" s="12"/>
      <c r="U6484" s="4"/>
      <c r="V6484" s="4"/>
      <c r="X6484" s="4"/>
      <c r="Y6484" s="4"/>
    </row>
    <row r="6485" spans="20:25" x14ac:dyDescent="0.3">
      <c r="T6485" s="12"/>
      <c r="U6485" s="4"/>
      <c r="V6485" s="4"/>
      <c r="X6485" s="4"/>
      <c r="Y6485" s="4"/>
    </row>
    <row r="6486" spans="20:25" x14ac:dyDescent="0.3">
      <c r="T6486" s="12"/>
      <c r="U6486" s="4"/>
      <c r="V6486" s="4"/>
      <c r="X6486" s="4"/>
      <c r="Y6486" s="4"/>
    </row>
    <row r="6487" spans="20:25" x14ac:dyDescent="0.3">
      <c r="T6487" s="12"/>
      <c r="U6487" s="4"/>
      <c r="V6487" s="4"/>
      <c r="X6487" s="4"/>
      <c r="Y6487" s="4"/>
    </row>
    <row r="6488" spans="20:25" x14ac:dyDescent="0.3">
      <c r="T6488" s="12"/>
      <c r="U6488" s="4"/>
      <c r="V6488" s="4"/>
      <c r="X6488" s="4"/>
      <c r="Y6488" s="4"/>
    </row>
    <row r="6489" spans="20:25" x14ac:dyDescent="0.3">
      <c r="T6489" s="12"/>
      <c r="U6489" s="4"/>
      <c r="V6489" s="4"/>
      <c r="X6489" s="4"/>
      <c r="Y6489" s="4"/>
    </row>
    <row r="6490" spans="20:25" x14ac:dyDescent="0.3">
      <c r="T6490" s="12"/>
      <c r="U6490" s="4"/>
      <c r="V6490" s="4"/>
      <c r="X6490" s="4"/>
      <c r="Y6490" s="4"/>
    </row>
    <row r="6491" spans="20:25" x14ac:dyDescent="0.3">
      <c r="T6491" s="12"/>
      <c r="U6491" s="4"/>
      <c r="V6491" s="4"/>
      <c r="X6491" s="4"/>
      <c r="Y6491" s="4"/>
    </row>
    <row r="6492" spans="20:25" x14ac:dyDescent="0.3">
      <c r="T6492" s="12"/>
      <c r="U6492" s="4"/>
      <c r="V6492" s="4"/>
      <c r="X6492" s="4"/>
      <c r="Y6492" s="4"/>
    </row>
    <row r="6493" spans="20:25" x14ac:dyDescent="0.3">
      <c r="T6493" s="12"/>
      <c r="U6493" s="4"/>
      <c r="V6493" s="4"/>
      <c r="X6493" s="4"/>
      <c r="Y6493" s="4"/>
    </row>
    <row r="6494" spans="20:25" x14ac:dyDescent="0.3">
      <c r="T6494" s="12"/>
      <c r="U6494" s="4"/>
      <c r="V6494" s="4"/>
      <c r="X6494" s="4"/>
      <c r="Y6494" s="4"/>
    </row>
    <row r="6495" spans="20:25" x14ac:dyDescent="0.3">
      <c r="T6495" s="12"/>
      <c r="U6495" s="4"/>
      <c r="V6495" s="4"/>
      <c r="X6495" s="4"/>
      <c r="Y6495" s="4"/>
    </row>
    <row r="6496" spans="20:25" x14ac:dyDescent="0.3">
      <c r="T6496" s="12"/>
      <c r="U6496" s="4"/>
      <c r="V6496" s="4"/>
      <c r="X6496" s="4"/>
      <c r="Y6496" s="4"/>
    </row>
    <row r="6497" spans="20:25" x14ac:dyDescent="0.3">
      <c r="T6497" s="12"/>
      <c r="U6497" s="4"/>
      <c r="V6497" s="4"/>
      <c r="X6497" s="4"/>
      <c r="Y6497" s="4"/>
    </row>
    <row r="6498" spans="20:25" x14ac:dyDescent="0.3">
      <c r="T6498" s="12"/>
      <c r="U6498" s="4"/>
      <c r="V6498" s="4"/>
      <c r="X6498" s="4"/>
      <c r="Y6498" s="4"/>
    </row>
    <row r="6499" spans="20:25" x14ac:dyDescent="0.3">
      <c r="T6499" s="12"/>
      <c r="U6499" s="4"/>
      <c r="V6499" s="4"/>
      <c r="X6499" s="4"/>
      <c r="Y6499" s="4"/>
    </row>
    <row r="6500" spans="20:25" x14ac:dyDescent="0.3">
      <c r="T6500" s="12"/>
      <c r="U6500" s="4"/>
      <c r="V6500" s="4"/>
      <c r="X6500" s="4"/>
      <c r="Y6500" s="4"/>
    </row>
    <row r="6501" spans="20:25" x14ac:dyDescent="0.3">
      <c r="T6501" s="12"/>
      <c r="U6501" s="4"/>
      <c r="V6501" s="4"/>
      <c r="X6501" s="4"/>
      <c r="Y6501" s="4"/>
    </row>
    <row r="6502" spans="20:25" x14ac:dyDescent="0.3">
      <c r="T6502" s="12"/>
      <c r="U6502" s="4"/>
      <c r="V6502" s="4"/>
      <c r="X6502" s="4"/>
      <c r="Y6502" s="4"/>
    </row>
    <row r="6503" spans="20:25" x14ac:dyDescent="0.3">
      <c r="T6503" s="12"/>
      <c r="U6503" s="4"/>
      <c r="V6503" s="4"/>
      <c r="X6503" s="4"/>
      <c r="Y6503" s="4"/>
    </row>
    <row r="6504" spans="20:25" x14ac:dyDescent="0.3">
      <c r="T6504" s="12"/>
      <c r="U6504" s="4"/>
      <c r="V6504" s="4"/>
      <c r="X6504" s="4"/>
      <c r="Y6504" s="4"/>
    </row>
    <row r="6505" spans="20:25" x14ac:dyDescent="0.3">
      <c r="T6505" s="12"/>
      <c r="U6505" s="4"/>
      <c r="V6505" s="4"/>
      <c r="X6505" s="4"/>
      <c r="Y6505" s="4"/>
    </row>
    <row r="6506" spans="20:25" x14ac:dyDescent="0.3">
      <c r="T6506" s="12"/>
      <c r="U6506" s="4"/>
      <c r="V6506" s="4"/>
      <c r="X6506" s="4"/>
      <c r="Y6506" s="4"/>
    </row>
    <row r="6507" spans="20:25" x14ac:dyDescent="0.3">
      <c r="T6507" s="12"/>
      <c r="U6507" s="4"/>
      <c r="V6507" s="4"/>
      <c r="X6507" s="4"/>
      <c r="Y6507" s="4"/>
    </row>
    <row r="6508" spans="20:25" x14ac:dyDescent="0.3">
      <c r="T6508" s="12"/>
      <c r="U6508" s="4"/>
      <c r="V6508" s="4"/>
      <c r="X6508" s="4"/>
      <c r="Y6508" s="4"/>
    </row>
    <row r="6509" spans="20:25" x14ac:dyDescent="0.3">
      <c r="T6509" s="12"/>
      <c r="U6509" s="4"/>
      <c r="V6509" s="4"/>
      <c r="X6509" s="4"/>
      <c r="Y6509" s="4"/>
    </row>
    <row r="6510" spans="20:25" x14ac:dyDescent="0.3">
      <c r="T6510" s="12"/>
      <c r="U6510" s="4"/>
      <c r="V6510" s="4"/>
      <c r="X6510" s="4"/>
      <c r="Y6510" s="4"/>
    </row>
    <row r="6511" spans="20:25" x14ac:dyDescent="0.3">
      <c r="T6511" s="12"/>
      <c r="U6511" s="4"/>
      <c r="V6511" s="4"/>
      <c r="X6511" s="4"/>
      <c r="Y6511" s="4"/>
    </row>
    <row r="6512" spans="20:25" x14ac:dyDescent="0.3">
      <c r="T6512" s="12"/>
      <c r="U6512" s="4"/>
      <c r="V6512" s="4"/>
      <c r="X6512" s="4"/>
      <c r="Y6512" s="4"/>
    </row>
    <row r="6513" spans="20:25" x14ac:dyDescent="0.3">
      <c r="T6513" s="12"/>
      <c r="U6513" s="4"/>
      <c r="V6513" s="4"/>
      <c r="X6513" s="4"/>
      <c r="Y6513" s="4"/>
    </row>
    <row r="6514" spans="20:25" x14ac:dyDescent="0.3">
      <c r="T6514" s="12"/>
      <c r="U6514" s="4"/>
      <c r="V6514" s="4"/>
      <c r="X6514" s="4"/>
      <c r="Y6514" s="4"/>
    </row>
    <row r="6515" spans="20:25" x14ac:dyDescent="0.3">
      <c r="T6515" s="12"/>
      <c r="U6515" s="4"/>
      <c r="V6515" s="4"/>
      <c r="X6515" s="4"/>
      <c r="Y6515" s="4"/>
    </row>
    <row r="6516" spans="20:25" x14ac:dyDescent="0.3">
      <c r="T6516" s="12"/>
      <c r="U6516" s="4"/>
      <c r="V6516" s="4"/>
      <c r="X6516" s="4"/>
      <c r="Y6516" s="4"/>
    </row>
    <row r="6517" spans="20:25" x14ac:dyDescent="0.3">
      <c r="T6517" s="12"/>
      <c r="U6517" s="4"/>
      <c r="V6517" s="4"/>
      <c r="X6517" s="4"/>
      <c r="Y6517" s="4"/>
    </row>
    <row r="6518" spans="20:25" x14ac:dyDescent="0.3">
      <c r="T6518" s="12"/>
      <c r="U6518" s="4"/>
      <c r="V6518" s="4"/>
      <c r="X6518" s="4"/>
      <c r="Y6518" s="4"/>
    </row>
    <row r="6519" spans="20:25" x14ac:dyDescent="0.3">
      <c r="T6519" s="12"/>
      <c r="U6519" s="4"/>
      <c r="V6519" s="4"/>
      <c r="X6519" s="4"/>
      <c r="Y6519" s="4"/>
    </row>
    <row r="6520" spans="20:25" x14ac:dyDescent="0.3">
      <c r="T6520" s="12"/>
      <c r="U6520" s="4"/>
      <c r="V6520" s="4"/>
      <c r="X6520" s="4"/>
      <c r="Y6520" s="4"/>
    </row>
    <row r="6521" spans="20:25" x14ac:dyDescent="0.3">
      <c r="T6521" s="12"/>
      <c r="U6521" s="4"/>
      <c r="V6521" s="4"/>
      <c r="X6521" s="4"/>
      <c r="Y6521" s="4"/>
    </row>
    <row r="6522" spans="20:25" x14ac:dyDescent="0.3">
      <c r="T6522" s="12"/>
      <c r="U6522" s="4"/>
      <c r="V6522" s="4"/>
      <c r="X6522" s="4"/>
      <c r="Y6522" s="4"/>
    </row>
    <row r="6523" spans="20:25" x14ac:dyDescent="0.3">
      <c r="T6523" s="12"/>
      <c r="U6523" s="4"/>
      <c r="V6523" s="4"/>
      <c r="X6523" s="4"/>
      <c r="Y6523" s="4"/>
    </row>
    <row r="6524" spans="20:25" x14ac:dyDescent="0.3">
      <c r="T6524" s="12"/>
      <c r="U6524" s="4"/>
      <c r="V6524" s="4"/>
      <c r="X6524" s="4"/>
      <c r="Y6524" s="4"/>
    </row>
    <row r="6525" spans="20:25" x14ac:dyDescent="0.3">
      <c r="T6525" s="12"/>
      <c r="U6525" s="4"/>
      <c r="V6525" s="4"/>
      <c r="X6525" s="4"/>
      <c r="Y6525" s="4"/>
    </row>
    <row r="6526" spans="20:25" x14ac:dyDescent="0.3">
      <c r="T6526" s="12"/>
      <c r="U6526" s="4"/>
      <c r="V6526" s="4"/>
      <c r="X6526" s="4"/>
      <c r="Y6526" s="4"/>
    </row>
    <row r="6527" spans="20:25" x14ac:dyDescent="0.3">
      <c r="T6527" s="12"/>
      <c r="U6527" s="4"/>
      <c r="V6527" s="4"/>
      <c r="X6527" s="4"/>
      <c r="Y6527" s="4"/>
    </row>
    <row r="6528" spans="20:25" x14ac:dyDescent="0.3">
      <c r="T6528" s="12"/>
      <c r="U6528" s="4"/>
      <c r="V6528" s="4"/>
      <c r="X6528" s="4"/>
      <c r="Y6528" s="4"/>
    </row>
    <row r="6529" spans="20:25" x14ac:dyDescent="0.3">
      <c r="T6529" s="12"/>
      <c r="U6529" s="4"/>
      <c r="V6529" s="4"/>
      <c r="X6529" s="4"/>
      <c r="Y6529" s="4"/>
    </row>
    <row r="6530" spans="20:25" x14ac:dyDescent="0.3">
      <c r="T6530" s="12"/>
      <c r="U6530" s="4"/>
      <c r="V6530" s="4"/>
      <c r="X6530" s="4"/>
      <c r="Y6530" s="4"/>
    </row>
    <row r="6531" spans="20:25" x14ac:dyDescent="0.3">
      <c r="T6531" s="12"/>
      <c r="U6531" s="4"/>
      <c r="V6531" s="4"/>
      <c r="X6531" s="4"/>
      <c r="Y6531" s="4"/>
    </row>
    <row r="6532" spans="20:25" x14ac:dyDescent="0.3">
      <c r="T6532" s="12"/>
      <c r="U6532" s="4"/>
      <c r="V6532" s="4"/>
      <c r="X6532" s="4"/>
      <c r="Y6532" s="4"/>
    </row>
    <row r="6533" spans="20:25" x14ac:dyDescent="0.3">
      <c r="T6533" s="12"/>
      <c r="U6533" s="4"/>
      <c r="V6533" s="4"/>
      <c r="X6533" s="4"/>
      <c r="Y6533" s="4"/>
    </row>
    <row r="6534" spans="20:25" x14ac:dyDescent="0.3">
      <c r="T6534" s="12"/>
      <c r="U6534" s="4"/>
      <c r="V6534" s="4"/>
      <c r="X6534" s="4"/>
      <c r="Y6534" s="4"/>
    </row>
    <row r="6535" spans="20:25" x14ac:dyDescent="0.3">
      <c r="T6535" s="12"/>
      <c r="U6535" s="4"/>
      <c r="V6535" s="4"/>
      <c r="X6535" s="4"/>
      <c r="Y6535" s="4"/>
    </row>
    <row r="6536" spans="20:25" x14ac:dyDescent="0.3">
      <c r="T6536" s="12"/>
      <c r="U6536" s="4"/>
      <c r="V6536" s="4"/>
      <c r="X6536" s="4"/>
      <c r="Y6536" s="4"/>
    </row>
    <row r="6537" spans="20:25" x14ac:dyDescent="0.3">
      <c r="T6537" s="12"/>
      <c r="U6537" s="4"/>
      <c r="V6537" s="4"/>
      <c r="X6537" s="4"/>
      <c r="Y6537" s="4"/>
    </row>
    <row r="6538" spans="20:25" x14ac:dyDescent="0.3">
      <c r="T6538" s="12"/>
      <c r="U6538" s="4"/>
      <c r="V6538" s="4"/>
      <c r="X6538" s="4"/>
      <c r="Y6538" s="4"/>
    </row>
    <row r="6539" spans="20:25" x14ac:dyDescent="0.3">
      <c r="T6539" s="12"/>
      <c r="U6539" s="4"/>
      <c r="V6539" s="4"/>
      <c r="X6539" s="4"/>
      <c r="Y6539" s="4"/>
    </row>
    <row r="6540" spans="20:25" x14ac:dyDescent="0.3">
      <c r="T6540" s="12"/>
      <c r="U6540" s="4"/>
      <c r="V6540" s="4"/>
      <c r="X6540" s="4"/>
      <c r="Y6540" s="4"/>
    </row>
    <row r="6541" spans="20:25" x14ac:dyDescent="0.3">
      <c r="T6541" s="12"/>
      <c r="U6541" s="4"/>
      <c r="V6541" s="4"/>
      <c r="X6541" s="4"/>
      <c r="Y6541" s="4"/>
    </row>
    <row r="6542" spans="20:25" x14ac:dyDescent="0.3">
      <c r="T6542" s="12"/>
      <c r="U6542" s="4"/>
      <c r="V6542" s="4"/>
      <c r="X6542" s="4"/>
      <c r="Y6542" s="4"/>
    </row>
    <row r="6543" spans="20:25" x14ac:dyDescent="0.3">
      <c r="T6543" s="12"/>
      <c r="U6543" s="4"/>
      <c r="V6543" s="4"/>
      <c r="X6543" s="4"/>
      <c r="Y6543" s="4"/>
    </row>
    <row r="6544" spans="20:25" x14ac:dyDescent="0.3">
      <c r="T6544" s="12"/>
      <c r="U6544" s="4"/>
      <c r="V6544" s="4"/>
      <c r="X6544" s="4"/>
      <c r="Y6544" s="4"/>
    </row>
    <row r="6545" spans="20:25" x14ac:dyDescent="0.3">
      <c r="T6545" s="12"/>
      <c r="U6545" s="4"/>
      <c r="V6545" s="4"/>
      <c r="X6545" s="4"/>
      <c r="Y6545" s="4"/>
    </row>
    <row r="6546" spans="20:25" x14ac:dyDescent="0.3">
      <c r="T6546" s="12"/>
      <c r="U6546" s="4"/>
      <c r="V6546" s="4"/>
      <c r="X6546" s="4"/>
      <c r="Y6546" s="4"/>
    </row>
    <row r="6547" spans="20:25" x14ac:dyDescent="0.3">
      <c r="T6547" s="12"/>
      <c r="U6547" s="4"/>
      <c r="V6547" s="4"/>
      <c r="X6547" s="4"/>
      <c r="Y6547" s="4"/>
    </row>
    <row r="6548" spans="20:25" x14ac:dyDescent="0.3">
      <c r="T6548" s="12"/>
      <c r="U6548" s="4"/>
      <c r="V6548" s="4"/>
      <c r="X6548" s="4"/>
      <c r="Y6548" s="4"/>
    </row>
    <row r="6549" spans="20:25" x14ac:dyDescent="0.3">
      <c r="T6549" s="12"/>
      <c r="U6549" s="4"/>
      <c r="V6549" s="4"/>
      <c r="X6549" s="4"/>
      <c r="Y6549" s="4"/>
    </row>
    <row r="6550" spans="20:25" x14ac:dyDescent="0.3">
      <c r="T6550" s="12"/>
      <c r="U6550" s="4"/>
      <c r="V6550" s="4"/>
      <c r="X6550" s="4"/>
      <c r="Y6550" s="4"/>
    </row>
    <row r="6551" spans="20:25" x14ac:dyDescent="0.3">
      <c r="T6551" s="12"/>
      <c r="U6551" s="4"/>
      <c r="V6551" s="4"/>
      <c r="X6551" s="4"/>
      <c r="Y6551" s="4"/>
    </row>
    <row r="6552" spans="20:25" x14ac:dyDescent="0.3">
      <c r="T6552" s="12"/>
      <c r="U6552" s="4"/>
      <c r="V6552" s="4"/>
      <c r="X6552" s="4"/>
      <c r="Y6552" s="4"/>
    </row>
    <row r="6553" spans="20:25" x14ac:dyDescent="0.3">
      <c r="T6553" s="12"/>
      <c r="U6553" s="4"/>
      <c r="V6553" s="4"/>
      <c r="X6553" s="4"/>
      <c r="Y6553" s="4"/>
    </row>
    <row r="6554" spans="20:25" x14ac:dyDescent="0.3">
      <c r="T6554" s="12"/>
      <c r="U6554" s="4"/>
      <c r="V6554" s="4"/>
      <c r="X6554" s="4"/>
      <c r="Y6554" s="4"/>
    </row>
    <row r="6555" spans="20:25" x14ac:dyDescent="0.3">
      <c r="T6555" s="12"/>
      <c r="U6555" s="4"/>
      <c r="V6555" s="4"/>
      <c r="X6555" s="4"/>
      <c r="Y6555" s="4"/>
    </row>
    <row r="6556" spans="20:25" x14ac:dyDescent="0.3">
      <c r="T6556" s="12"/>
      <c r="U6556" s="4"/>
      <c r="V6556" s="4"/>
      <c r="X6556" s="4"/>
      <c r="Y6556" s="4"/>
    </row>
    <row r="6557" spans="20:25" x14ac:dyDescent="0.3">
      <c r="T6557" s="12"/>
      <c r="U6557" s="4"/>
      <c r="V6557" s="4"/>
      <c r="X6557" s="4"/>
      <c r="Y6557" s="4"/>
    </row>
    <row r="6558" spans="20:25" x14ac:dyDescent="0.3">
      <c r="T6558" s="12"/>
      <c r="U6558" s="4"/>
      <c r="V6558" s="4"/>
      <c r="X6558" s="4"/>
      <c r="Y6558" s="4"/>
    </row>
    <row r="6559" spans="20:25" x14ac:dyDescent="0.3">
      <c r="T6559" s="12"/>
      <c r="U6559" s="4"/>
      <c r="V6559" s="4"/>
      <c r="X6559" s="4"/>
      <c r="Y6559" s="4"/>
    </row>
    <row r="6560" spans="20:25" x14ac:dyDescent="0.3">
      <c r="T6560" s="12"/>
      <c r="U6560" s="4"/>
      <c r="V6560" s="4"/>
      <c r="X6560" s="4"/>
      <c r="Y6560" s="4"/>
    </row>
    <row r="6561" spans="20:25" x14ac:dyDescent="0.3">
      <c r="T6561" s="12"/>
      <c r="U6561" s="4"/>
      <c r="V6561" s="4"/>
      <c r="X6561" s="4"/>
      <c r="Y6561" s="4"/>
    </row>
    <row r="6562" spans="20:25" x14ac:dyDescent="0.3">
      <c r="T6562" s="12"/>
      <c r="U6562" s="4"/>
      <c r="V6562" s="4"/>
      <c r="X6562" s="4"/>
      <c r="Y6562" s="4"/>
    </row>
    <row r="6563" spans="20:25" x14ac:dyDescent="0.3">
      <c r="T6563" s="12"/>
      <c r="U6563" s="4"/>
      <c r="V6563" s="4"/>
      <c r="X6563" s="4"/>
      <c r="Y6563" s="4"/>
    </row>
    <row r="6564" spans="20:25" x14ac:dyDescent="0.3">
      <c r="T6564" s="12"/>
      <c r="U6564" s="4"/>
      <c r="V6564" s="4"/>
      <c r="X6564" s="4"/>
      <c r="Y6564" s="4"/>
    </row>
    <row r="6565" spans="20:25" x14ac:dyDescent="0.3">
      <c r="T6565" s="12"/>
      <c r="U6565" s="4"/>
      <c r="V6565" s="4"/>
      <c r="X6565" s="4"/>
      <c r="Y6565" s="4"/>
    </row>
    <row r="6566" spans="20:25" x14ac:dyDescent="0.3">
      <c r="T6566" s="12"/>
      <c r="U6566" s="4"/>
      <c r="V6566" s="4"/>
      <c r="X6566" s="4"/>
      <c r="Y6566" s="4"/>
    </row>
    <row r="6567" spans="20:25" x14ac:dyDescent="0.3">
      <c r="T6567" s="12"/>
      <c r="U6567" s="4"/>
      <c r="V6567" s="4"/>
      <c r="X6567" s="4"/>
      <c r="Y6567" s="4"/>
    </row>
    <row r="6568" spans="20:25" x14ac:dyDescent="0.3">
      <c r="T6568" s="12"/>
      <c r="U6568" s="4"/>
      <c r="V6568" s="4"/>
      <c r="X6568" s="4"/>
      <c r="Y6568" s="4"/>
    </row>
    <row r="6569" spans="20:25" x14ac:dyDescent="0.3">
      <c r="T6569" s="12"/>
      <c r="U6569" s="4"/>
      <c r="V6569" s="4"/>
      <c r="X6569" s="4"/>
      <c r="Y6569" s="4"/>
    </row>
    <row r="6570" spans="20:25" x14ac:dyDescent="0.3">
      <c r="T6570" s="12"/>
      <c r="U6570" s="4"/>
      <c r="V6570" s="4"/>
      <c r="X6570" s="4"/>
      <c r="Y6570" s="4"/>
    </row>
    <row r="6571" spans="20:25" x14ac:dyDescent="0.3">
      <c r="T6571" s="12"/>
      <c r="U6571" s="4"/>
      <c r="V6571" s="4"/>
      <c r="X6571" s="4"/>
      <c r="Y6571" s="4"/>
    </row>
    <row r="6572" spans="20:25" x14ac:dyDescent="0.3">
      <c r="T6572" s="12"/>
      <c r="U6572" s="4"/>
      <c r="V6572" s="4"/>
      <c r="X6572" s="4"/>
      <c r="Y6572" s="4"/>
    </row>
    <row r="6573" spans="20:25" x14ac:dyDescent="0.3">
      <c r="T6573" s="12"/>
      <c r="U6573" s="4"/>
      <c r="V6573" s="4"/>
      <c r="X6573" s="4"/>
      <c r="Y6573" s="4"/>
    </row>
    <row r="6574" spans="20:25" x14ac:dyDescent="0.3">
      <c r="T6574" s="12"/>
      <c r="U6574" s="4"/>
      <c r="V6574" s="4"/>
      <c r="X6574" s="4"/>
      <c r="Y6574" s="4"/>
    </row>
    <row r="6575" spans="20:25" x14ac:dyDescent="0.3">
      <c r="T6575" s="12"/>
      <c r="U6575" s="4"/>
      <c r="V6575" s="4"/>
      <c r="X6575" s="4"/>
      <c r="Y6575" s="4"/>
    </row>
    <row r="6576" spans="20:25" x14ac:dyDescent="0.3">
      <c r="T6576" s="12"/>
      <c r="U6576" s="4"/>
      <c r="V6576" s="4"/>
      <c r="X6576" s="4"/>
      <c r="Y6576" s="4"/>
    </row>
    <row r="6577" spans="20:25" x14ac:dyDescent="0.3">
      <c r="T6577" s="12"/>
      <c r="U6577" s="4"/>
      <c r="V6577" s="4"/>
      <c r="X6577" s="4"/>
      <c r="Y6577" s="4"/>
    </row>
    <row r="6578" spans="20:25" x14ac:dyDescent="0.3">
      <c r="T6578" s="12"/>
      <c r="U6578" s="4"/>
      <c r="V6578" s="4"/>
      <c r="X6578" s="4"/>
      <c r="Y6578" s="4"/>
    </row>
    <row r="6579" spans="20:25" x14ac:dyDescent="0.3">
      <c r="T6579" s="12"/>
      <c r="U6579" s="4"/>
      <c r="V6579" s="4"/>
      <c r="X6579" s="4"/>
      <c r="Y6579" s="4"/>
    </row>
    <row r="6580" spans="20:25" x14ac:dyDescent="0.3">
      <c r="T6580" s="12"/>
      <c r="U6580" s="4"/>
      <c r="V6580" s="4"/>
      <c r="X6580" s="4"/>
      <c r="Y6580" s="4"/>
    </row>
    <row r="6581" spans="20:25" x14ac:dyDescent="0.3">
      <c r="T6581" s="12"/>
      <c r="U6581" s="4"/>
      <c r="V6581" s="4"/>
      <c r="X6581" s="4"/>
      <c r="Y6581" s="4"/>
    </row>
    <row r="6582" spans="20:25" x14ac:dyDescent="0.3">
      <c r="T6582" s="12"/>
      <c r="U6582" s="4"/>
      <c r="V6582" s="4"/>
      <c r="X6582" s="4"/>
      <c r="Y6582" s="4"/>
    </row>
    <row r="6583" spans="20:25" x14ac:dyDescent="0.3">
      <c r="T6583" s="12"/>
      <c r="U6583" s="4"/>
      <c r="V6583" s="4"/>
      <c r="X6583" s="4"/>
      <c r="Y6583" s="4"/>
    </row>
    <row r="6584" spans="20:25" x14ac:dyDescent="0.3">
      <c r="T6584" s="12"/>
      <c r="U6584" s="4"/>
      <c r="V6584" s="4"/>
      <c r="X6584" s="4"/>
      <c r="Y6584" s="4"/>
    </row>
    <row r="6585" spans="20:25" x14ac:dyDescent="0.3">
      <c r="T6585" s="12"/>
      <c r="U6585" s="4"/>
      <c r="V6585" s="4"/>
      <c r="X6585" s="4"/>
      <c r="Y6585" s="4"/>
    </row>
    <row r="6586" spans="20:25" x14ac:dyDescent="0.3">
      <c r="T6586" s="12"/>
      <c r="U6586" s="4"/>
      <c r="V6586" s="4"/>
      <c r="X6586" s="4"/>
      <c r="Y6586" s="4"/>
    </row>
    <row r="6587" spans="20:25" x14ac:dyDescent="0.3">
      <c r="T6587" s="12"/>
      <c r="U6587" s="4"/>
      <c r="V6587" s="4"/>
      <c r="X6587" s="4"/>
      <c r="Y6587" s="4"/>
    </row>
    <row r="6588" spans="20:25" x14ac:dyDescent="0.3">
      <c r="T6588" s="12"/>
      <c r="U6588" s="4"/>
      <c r="V6588" s="4"/>
      <c r="X6588" s="4"/>
      <c r="Y6588" s="4"/>
    </row>
    <row r="6589" spans="20:25" x14ac:dyDescent="0.3">
      <c r="T6589" s="12"/>
      <c r="U6589" s="4"/>
      <c r="V6589" s="4"/>
      <c r="X6589" s="4"/>
      <c r="Y6589" s="4"/>
    </row>
    <row r="6590" spans="20:25" x14ac:dyDescent="0.3">
      <c r="T6590" s="12"/>
      <c r="U6590" s="4"/>
      <c r="V6590" s="4"/>
      <c r="X6590" s="4"/>
      <c r="Y6590" s="4"/>
    </row>
    <row r="6591" spans="20:25" x14ac:dyDescent="0.3">
      <c r="T6591" s="12"/>
      <c r="U6591" s="4"/>
      <c r="V6591" s="4"/>
      <c r="X6591" s="4"/>
      <c r="Y6591" s="4"/>
    </row>
    <row r="6592" spans="20:25" x14ac:dyDescent="0.3">
      <c r="T6592" s="12"/>
      <c r="U6592" s="4"/>
      <c r="V6592" s="4"/>
      <c r="X6592" s="4"/>
      <c r="Y6592" s="4"/>
    </row>
    <row r="6593" spans="20:25" x14ac:dyDescent="0.3">
      <c r="T6593" s="12"/>
      <c r="U6593" s="4"/>
      <c r="V6593" s="4"/>
      <c r="X6593" s="4"/>
      <c r="Y6593" s="4"/>
    </row>
    <row r="6594" spans="20:25" x14ac:dyDescent="0.3">
      <c r="T6594" s="12"/>
      <c r="U6594" s="4"/>
      <c r="V6594" s="4"/>
      <c r="X6594" s="4"/>
      <c r="Y6594" s="4"/>
    </row>
    <row r="6595" spans="20:25" x14ac:dyDescent="0.3">
      <c r="T6595" s="12"/>
      <c r="U6595" s="4"/>
      <c r="V6595" s="4"/>
      <c r="X6595" s="4"/>
      <c r="Y6595" s="4"/>
    </row>
    <row r="6596" spans="20:25" x14ac:dyDescent="0.3">
      <c r="T6596" s="12"/>
      <c r="U6596" s="4"/>
      <c r="V6596" s="4"/>
      <c r="X6596" s="4"/>
      <c r="Y6596" s="4"/>
    </row>
    <row r="6597" spans="20:25" x14ac:dyDescent="0.3">
      <c r="T6597" s="12"/>
      <c r="U6597" s="4"/>
      <c r="V6597" s="4"/>
      <c r="X6597" s="4"/>
      <c r="Y6597" s="4"/>
    </row>
    <row r="6598" spans="20:25" x14ac:dyDescent="0.3">
      <c r="T6598" s="12"/>
      <c r="U6598" s="4"/>
      <c r="V6598" s="4"/>
      <c r="X6598" s="4"/>
      <c r="Y6598" s="4"/>
    </row>
    <row r="6599" spans="20:25" x14ac:dyDescent="0.3">
      <c r="T6599" s="12"/>
      <c r="U6599" s="4"/>
      <c r="V6599" s="4"/>
      <c r="X6599" s="4"/>
      <c r="Y6599" s="4"/>
    </row>
    <row r="6600" spans="20:25" x14ac:dyDescent="0.3">
      <c r="T6600" s="12"/>
      <c r="U6600" s="4"/>
      <c r="V6600" s="4"/>
      <c r="X6600" s="4"/>
      <c r="Y6600" s="4"/>
    </row>
    <row r="6601" spans="20:25" x14ac:dyDescent="0.3">
      <c r="T6601" s="12"/>
      <c r="U6601" s="4"/>
      <c r="V6601" s="4"/>
      <c r="X6601" s="4"/>
      <c r="Y6601" s="4"/>
    </row>
    <row r="6602" spans="20:25" x14ac:dyDescent="0.3">
      <c r="T6602" s="12"/>
      <c r="U6602" s="4"/>
      <c r="V6602" s="4"/>
      <c r="X6602" s="4"/>
      <c r="Y6602" s="4"/>
    </row>
    <row r="6603" spans="20:25" x14ac:dyDescent="0.3">
      <c r="T6603" s="12"/>
      <c r="U6603" s="4"/>
      <c r="V6603" s="4"/>
      <c r="X6603" s="4"/>
      <c r="Y6603" s="4"/>
    </row>
    <row r="6604" spans="20:25" x14ac:dyDescent="0.3">
      <c r="T6604" s="12"/>
      <c r="U6604" s="4"/>
      <c r="V6604" s="4"/>
      <c r="X6604" s="4"/>
      <c r="Y6604" s="4"/>
    </row>
    <row r="6605" spans="20:25" x14ac:dyDescent="0.3">
      <c r="T6605" s="12"/>
      <c r="U6605" s="4"/>
      <c r="V6605" s="4"/>
      <c r="X6605" s="4"/>
      <c r="Y6605" s="4"/>
    </row>
    <row r="6606" spans="20:25" x14ac:dyDescent="0.3">
      <c r="T6606" s="12"/>
      <c r="U6606" s="4"/>
      <c r="V6606" s="4"/>
      <c r="X6606" s="4"/>
      <c r="Y6606" s="4"/>
    </row>
    <row r="6607" spans="20:25" x14ac:dyDescent="0.3">
      <c r="T6607" s="12"/>
      <c r="U6607" s="4"/>
      <c r="V6607" s="4"/>
      <c r="X6607" s="4"/>
      <c r="Y6607" s="4"/>
    </row>
    <row r="6608" spans="20:25" x14ac:dyDescent="0.3">
      <c r="T6608" s="12"/>
      <c r="U6608" s="4"/>
      <c r="V6608" s="4"/>
      <c r="X6608" s="4"/>
      <c r="Y6608" s="4"/>
    </row>
    <row r="6609" spans="20:25" x14ac:dyDescent="0.3">
      <c r="T6609" s="12"/>
      <c r="U6609" s="4"/>
      <c r="V6609" s="4"/>
      <c r="X6609" s="4"/>
      <c r="Y6609" s="4"/>
    </row>
    <row r="6610" spans="20:25" x14ac:dyDescent="0.3">
      <c r="T6610" s="12"/>
      <c r="U6610" s="4"/>
      <c r="V6610" s="4"/>
      <c r="X6610" s="4"/>
      <c r="Y6610" s="4"/>
    </row>
    <row r="6611" spans="20:25" x14ac:dyDescent="0.3">
      <c r="T6611" s="12"/>
      <c r="U6611" s="4"/>
      <c r="V6611" s="4"/>
      <c r="X6611" s="4"/>
      <c r="Y6611" s="4"/>
    </row>
    <row r="6612" spans="20:25" x14ac:dyDescent="0.3">
      <c r="T6612" s="12"/>
      <c r="U6612" s="4"/>
      <c r="V6612" s="4"/>
      <c r="X6612" s="4"/>
      <c r="Y6612" s="4"/>
    </row>
    <row r="6613" spans="20:25" x14ac:dyDescent="0.3">
      <c r="T6613" s="12"/>
      <c r="U6613" s="4"/>
      <c r="V6613" s="4"/>
      <c r="X6613" s="4"/>
      <c r="Y6613" s="4"/>
    </row>
    <row r="6614" spans="20:25" x14ac:dyDescent="0.3">
      <c r="T6614" s="12"/>
      <c r="U6614" s="4"/>
      <c r="V6614" s="4"/>
      <c r="X6614" s="4"/>
      <c r="Y6614" s="4"/>
    </row>
    <row r="6615" spans="20:25" x14ac:dyDescent="0.3">
      <c r="T6615" s="12"/>
      <c r="U6615" s="4"/>
      <c r="V6615" s="4"/>
      <c r="X6615" s="4"/>
      <c r="Y6615" s="4"/>
    </row>
    <row r="6616" spans="20:25" x14ac:dyDescent="0.3">
      <c r="T6616" s="12"/>
      <c r="U6616" s="4"/>
      <c r="V6616" s="4"/>
      <c r="X6616" s="4"/>
      <c r="Y6616" s="4"/>
    </row>
    <row r="6617" spans="20:25" x14ac:dyDescent="0.3">
      <c r="T6617" s="12"/>
      <c r="U6617" s="4"/>
      <c r="V6617" s="4"/>
      <c r="X6617" s="4"/>
      <c r="Y6617" s="4"/>
    </row>
    <row r="6618" spans="20:25" x14ac:dyDescent="0.3">
      <c r="T6618" s="12"/>
      <c r="U6618" s="4"/>
      <c r="V6618" s="4"/>
      <c r="X6618" s="4"/>
      <c r="Y6618" s="4"/>
    </row>
    <row r="6619" spans="20:25" x14ac:dyDescent="0.3">
      <c r="T6619" s="12"/>
      <c r="U6619" s="4"/>
      <c r="V6619" s="4"/>
      <c r="X6619" s="4"/>
      <c r="Y6619" s="4"/>
    </row>
    <row r="6620" spans="20:25" x14ac:dyDescent="0.3">
      <c r="T6620" s="12"/>
      <c r="U6620" s="4"/>
      <c r="V6620" s="4"/>
      <c r="X6620" s="4"/>
      <c r="Y6620" s="4"/>
    </row>
    <row r="6621" spans="20:25" x14ac:dyDescent="0.3">
      <c r="T6621" s="12"/>
      <c r="U6621" s="4"/>
      <c r="V6621" s="4"/>
      <c r="X6621" s="4"/>
      <c r="Y6621" s="4"/>
    </row>
    <row r="6622" spans="20:25" x14ac:dyDescent="0.3">
      <c r="T6622" s="12"/>
      <c r="U6622" s="4"/>
      <c r="V6622" s="4"/>
      <c r="X6622" s="4"/>
      <c r="Y6622" s="4"/>
    </row>
    <row r="6623" spans="20:25" x14ac:dyDescent="0.3">
      <c r="T6623" s="12"/>
      <c r="U6623" s="4"/>
      <c r="V6623" s="4"/>
      <c r="X6623" s="4"/>
      <c r="Y6623" s="4"/>
    </row>
    <row r="6624" spans="20:25" x14ac:dyDescent="0.3">
      <c r="T6624" s="12"/>
      <c r="U6624" s="4"/>
      <c r="V6624" s="4"/>
      <c r="X6624" s="4"/>
      <c r="Y6624" s="4"/>
    </row>
    <row r="6625" spans="20:25" x14ac:dyDescent="0.3">
      <c r="T6625" s="12"/>
      <c r="U6625" s="4"/>
      <c r="V6625" s="4"/>
      <c r="X6625" s="4"/>
      <c r="Y6625" s="4"/>
    </row>
    <row r="6626" spans="20:25" x14ac:dyDescent="0.3">
      <c r="T6626" s="12"/>
      <c r="U6626" s="4"/>
      <c r="V6626" s="4"/>
      <c r="X6626" s="4"/>
      <c r="Y6626" s="4"/>
    </row>
    <row r="6627" spans="20:25" x14ac:dyDescent="0.3">
      <c r="T6627" s="12"/>
      <c r="U6627" s="4"/>
      <c r="V6627" s="4"/>
      <c r="X6627" s="4"/>
      <c r="Y6627" s="4"/>
    </row>
    <row r="6628" spans="20:25" x14ac:dyDescent="0.3">
      <c r="T6628" s="12"/>
      <c r="U6628" s="4"/>
      <c r="V6628" s="4"/>
      <c r="X6628" s="4"/>
      <c r="Y6628" s="4"/>
    </row>
    <row r="6629" spans="20:25" x14ac:dyDescent="0.3">
      <c r="T6629" s="12"/>
      <c r="U6629" s="4"/>
      <c r="V6629" s="4"/>
      <c r="X6629" s="4"/>
      <c r="Y6629" s="4"/>
    </row>
    <row r="6630" spans="20:25" x14ac:dyDescent="0.3">
      <c r="T6630" s="12"/>
      <c r="U6630" s="4"/>
      <c r="V6630" s="4"/>
      <c r="X6630" s="4"/>
      <c r="Y6630" s="4"/>
    </row>
    <row r="6631" spans="20:25" x14ac:dyDescent="0.3">
      <c r="T6631" s="12"/>
      <c r="U6631" s="4"/>
      <c r="V6631" s="4"/>
      <c r="X6631" s="4"/>
      <c r="Y6631" s="4"/>
    </row>
    <row r="6632" spans="20:25" x14ac:dyDescent="0.3">
      <c r="T6632" s="12"/>
      <c r="U6632" s="4"/>
      <c r="V6632" s="4"/>
      <c r="X6632" s="4"/>
      <c r="Y6632" s="4"/>
    </row>
    <row r="6633" spans="20:25" x14ac:dyDescent="0.3">
      <c r="T6633" s="12"/>
      <c r="U6633" s="4"/>
      <c r="V6633" s="4"/>
      <c r="X6633" s="4"/>
      <c r="Y6633" s="4"/>
    </row>
    <row r="6634" spans="20:25" x14ac:dyDescent="0.3">
      <c r="T6634" s="12"/>
      <c r="U6634" s="4"/>
      <c r="V6634" s="4"/>
      <c r="X6634" s="4"/>
      <c r="Y6634" s="4"/>
    </row>
    <row r="6635" spans="20:25" x14ac:dyDescent="0.3">
      <c r="T6635" s="12"/>
      <c r="U6635" s="4"/>
      <c r="V6635" s="4"/>
      <c r="X6635" s="4"/>
      <c r="Y6635" s="4"/>
    </row>
    <row r="6636" spans="20:25" x14ac:dyDescent="0.3">
      <c r="T6636" s="12"/>
      <c r="U6636" s="4"/>
      <c r="V6636" s="4"/>
      <c r="X6636" s="4"/>
      <c r="Y6636" s="4"/>
    </row>
    <row r="6637" spans="20:25" x14ac:dyDescent="0.3">
      <c r="T6637" s="12"/>
      <c r="U6637" s="4"/>
      <c r="V6637" s="4"/>
      <c r="X6637" s="4"/>
      <c r="Y6637" s="4"/>
    </row>
    <row r="6638" spans="20:25" x14ac:dyDescent="0.3">
      <c r="T6638" s="12"/>
      <c r="U6638" s="4"/>
      <c r="V6638" s="4"/>
      <c r="X6638" s="4"/>
      <c r="Y6638" s="4"/>
    </row>
    <row r="6639" spans="20:25" x14ac:dyDescent="0.3">
      <c r="T6639" s="12"/>
      <c r="U6639" s="4"/>
      <c r="V6639" s="4"/>
      <c r="X6639" s="4"/>
      <c r="Y6639" s="4"/>
    </row>
    <row r="6640" spans="20:25" x14ac:dyDescent="0.3">
      <c r="T6640" s="12"/>
      <c r="U6640" s="4"/>
      <c r="V6640" s="4"/>
      <c r="X6640" s="4"/>
      <c r="Y6640" s="4"/>
    </row>
    <row r="6641" spans="20:25" x14ac:dyDescent="0.3">
      <c r="T6641" s="12"/>
      <c r="U6641" s="4"/>
      <c r="V6641" s="4"/>
      <c r="X6641" s="4"/>
      <c r="Y6641" s="4"/>
    </row>
    <row r="6642" spans="20:25" x14ac:dyDescent="0.3">
      <c r="T6642" s="12"/>
      <c r="U6642" s="4"/>
      <c r="V6642" s="4"/>
      <c r="X6642" s="4"/>
      <c r="Y6642" s="4"/>
    </row>
    <row r="6643" spans="20:25" x14ac:dyDescent="0.3">
      <c r="T6643" s="12"/>
      <c r="U6643" s="4"/>
      <c r="V6643" s="4"/>
      <c r="X6643" s="4"/>
      <c r="Y6643" s="4"/>
    </row>
    <row r="6644" spans="20:25" x14ac:dyDescent="0.3">
      <c r="T6644" s="12"/>
      <c r="U6644" s="4"/>
      <c r="V6644" s="4"/>
      <c r="X6644" s="4"/>
      <c r="Y6644" s="4"/>
    </row>
    <row r="6645" spans="20:25" x14ac:dyDescent="0.3">
      <c r="T6645" s="12"/>
      <c r="U6645" s="4"/>
      <c r="V6645" s="4"/>
      <c r="X6645" s="4"/>
      <c r="Y6645" s="4"/>
    </row>
    <row r="6646" spans="20:25" x14ac:dyDescent="0.3">
      <c r="T6646" s="12"/>
      <c r="U6646" s="4"/>
      <c r="V6646" s="4"/>
      <c r="X6646" s="4"/>
      <c r="Y6646" s="4"/>
    </row>
    <row r="6647" spans="20:25" x14ac:dyDescent="0.3">
      <c r="T6647" s="12"/>
      <c r="U6647" s="4"/>
      <c r="V6647" s="4"/>
      <c r="X6647" s="4"/>
      <c r="Y6647" s="4"/>
    </row>
    <row r="6648" spans="20:25" x14ac:dyDescent="0.3">
      <c r="T6648" s="12"/>
      <c r="U6648" s="4"/>
      <c r="V6648" s="4"/>
      <c r="X6648" s="4"/>
      <c r="Y6648" s="4"/>
    </row>
    <row r="6649" spans="20:25" x14ac:dyDescent="0.3">
      <c r="T6649" s="12"/>
      <c r="U6649" s="4"/>
      <c r="V6649" s="4"/>
      <c r="X6649" s="4"/>
      <c r="Y6649" s="4"/>
    </row>
    <row r="6650" spans="20:25" x14ac:dyDescent="0.3">
      <c r="T6650" s="12"/>
      <c r="U6650" s="4"/>
      <c r="V6650" s="4"/>
      <c r="X6650" s="4"/>
      <c r="Y6650" s="4"/>
    </row>
    <row r="6651" spans="20:25" x14ac:dyDescent="0.3">
      <c r="T6651" s="12"/>
      <c r="U6651" s="4"/>
      <c r="V6651" s="4"/>
      <c r="X6651" s="4"/>
      <c r="Y6651" s="4"/>
    </row>
    <row r="6652" spans="20:25" x14ac:dyDescent="0.3">
      <c r="T6652" s="12"/>
      <c r="U6652" s="4"/>
      <c r="V6652" s="4"/>
      <c r="X6652" s="4"/>
      <c r="Y6652" s="4"/>
    </row>
    <row r="6653" spans="20:25" x14ac:dyDescent="0.3">
      <c r="T6653" s="12"/>
      <c r="U6653" s="4"/>
      <c r="V6653" s="4"/>
      <c r="X6653" s="4"/>
      <c r="Y6653" s="4"/>
    </row>
    <row r="6654" spans="20:25" x14ac:dyDescent="0.3">
      <c r="T6654" s="12"/>
      <c r="U6654" s="4"/>
      <c r="V6654" s="4"/>
      <c r="X6654" s="4"/>
      <c r="Y6654" s="4"/>
    </row>
    <row r="6655" spans="20:25" x14ac:dyDescent="0.3">
      <c r="T6655" s="12"/>
      <c r="U6655" s="4"/>
      <c r="V6655" s="4"/>
      <c r="X6655" s="4"/>
      <c r="Y6655" s="4"/>
    </row>
    <row r="6656" spans="20:25" x14ac:dyDescent="0.3">
      <c r="T6656" s="12"/>
      <c r="U6656" s="4"/>
      <c r="V6656" s="4"/>
      <c r="X6656" s="4"/>
      <c r="Y6656" s="4"/>
    </row>
    <row r="6657" spans="20:25" x14ac:dyDescent="0.3">
      <c r="T6657" s="12"/>
      <c r="U6657" s="4"/>
      <c r="V6657" s="4"/>
      <c r="X6657" s="4"/>
      <c r="Y6657" s="4"/>
    </row>
    <row r="6658" spans="20:25" x14ac:dyDescent="0.3">
      <c r="T6658" s="12"/>
      <c r="U6658" s="4"/>
      <c r="V6658" s="4"/>
      <c r="X6658" s="4"/>
      <c r="Y6658" s="4"/>
    </row>
    <row r="6659" spans="20:25" x14ac:dyDescent="0.3">
      <c r="T6659" s="12"/>
      <c r="U6659" s="4"/>
      <c r="V6659" s="4"/>
      <c r="X6659" s="4"/>
      <c r="Y6659" s="4"/>
    </row>
    <row r="6660" spans="20:25" x14ac:dyDescent="0.3">
      <c r="T6660" s="12"/>
      <c r="U6660" s="4"/>
      <c r="V6660" s="4"/>
      <c r="X6660" s="4"/>
      <c r="Y6660" s="4"/>
    </row>
    <row r="6661" spans="20:25" x14ac:dyDescent="0.3">
      <c r="T6661" s="12"/>
      <c r="U6661" s="4"/>
      <c r="V6661" s="4"/>
      <c r="X6661" s="4"/>
      <c r="Y6661" s="4"/>
    </row>
    <row r="6662" spans="20:25" x14ac:dyDescent="0.3">
      <c r="T6662" s="12"/>
      <c r="U6662" s="4"/>
      <c r="V6662" s="4"/>
      <c r="X6662" s="4"/>
      <c r="Y6662" s="4"/>
    </row>
    <row r="6663" spans="20:25" x14ac:dyDescent="0.3">
      <c r="T6663" s="12"/>
      <c r="U6663" s="4"/>
      <c r="V6663" s="4"/>
      <c r="X6663" s="4"/>
      <c r="Y6663" s="4"/>
    </row>
    <row r="6664" spans="20:25" x14ac:dyDescent="0.3">
      <c r="T6664" s="12"/>
      <c r="U6664" s="4"/>
      <c r="V6664" s="4"/>
      <c r="X6664" s="4"/>
      <c r="Y6664" s="4"/>
    </row>
    <row r="6665" spans="20:25" x14ac:dyDescent="0.3">
      <c r="T6665" s="12"/>
      <c r="U6665" s="4"/>
      <c r="V6665" s="4"/>
      <c r="X6665" s="4"/>
      <c r="Y6665" s="4"/>
    </row>
    <row r="6666" spans="20:25" x14ac:dyDescent="0.3">
      <c r="T6666" s="12"/>
      <c r="U6666" s="4"/>
      <c r="V6666" s="4"/>
      <c r="X6666" s="4"/>
      <c r="Y6666" s="4"/>
    </row>
    <row r="6667" spans="20:25" x14ac:dyDescent="0.3">
      <c r="T6667" s="12"/>
      <c r="U6667" s="4"/>
      <c r="V6667" s="4"/>
      <c r="X6667" s="4"/>
      <c r="Y6667" s="4"/>
    </row>
    <row r="6668" spans="20:25" x14ac:dyDescent="0.3">
      <c r="T6668" s="12"/>
      <c r="U6668" s="4"/>
      <c r="V6668" s="4"/>
      <c r="X6668" s="4"/>
      <c r="Y6668" s="4"/>
    </row>
    <row r="6669" spans="20:25" x14ac:dyDescent="0.3">
      <c r="T6669" s="12"/>
      <c r="U6669" s="4"/>
      <c r="V6669" s="4"/>
      <c r="X6669" s="4"/>
      <c r="Y6669" s="4"/>
    </row>
    <row r="6670" spans="20:25" x14ac:dyDescent="0.3">
      <c r="T6670" s="12"/>
      <c r="U6670" s="4"/>
      <c r="V6670" s="4"/>
      <c r="X6670" s="4"/>
      <c r="Y6670" s="4"/>
    </row>
    <row r="6671" spans="20:25" x14ac:dyDescent="0.3">
      <c r="T6671" s="12"/>
      <c r="U6671" s="4"/>
      <c r="V6671" s="4"/>
      <c r="X6671" s="4"/>
      <c r="Y6671" s="4"/>
    </row>
    <row r="6672" spans="20:25" x14ac:dyDescent="0.3">
      <c r="T6672" s="12"/>
      <c r="U6672" s="4"/>
      <c r="V6672" s="4"/>
      <c r="X6672" s="4"/>
      <c r="Y6672" s="4"/>
    </row>
    <row r="6673" spans="20:25" x14ac:dyDescent="0.3">
      <c r="T6673" s="12"/>
      <c r="U6673" s="4"/>
      <c r="V6673" s="4"/>
      <c r="X6673" s="4"/>
      <c r="Y6673" s="4"/>
    </row>
    <row r="6674" spans="20:25" x14ac:dyDescent="0.3">
      <c r="T6674" s="12"/>
      <c r="U6674" s="4"/>
      <c r="V6674" s="4"/>
      <c r="X6674" s="4"/>
      <c r="Y6674" s="4"/>
    </row>
    <row r="6675" spans="20:25" x14ac:dyDescent="0.3">
      <c r="T6675" s="12"/>
      <c r="U6675" s="4"/>
      <c r="V6675" s="4"/>
      <c r="X6675" s="4"/>
      <c r="Y6675" s="4"/>
    </row>
    <row r="6676" spans="20:25" x14ac:dyDescent="0.3">
      <c r="T6676" s="12"/>
      <c r="U6676" s="4"/>
      <c r="V6676" s="4"/>
      <c r="X6676" s="4"/>
      <c r="Y6676" s="4"/>
    </row>
    <row r="6677" spans="20:25" x14ac:dyDescent="0.3">
      <c r="T6677" s="12"/>
      <c r="U6677" s="4"/>
      <c r="V6677" s="4"/>
      <c r="X6677" s="4"/>
      <c r="Y6677" s="4"/>
    </row>
    <row r="6678" spans="20:25" x14ac:dyDescent="0.3">
      <c r="T6678" s="12"/>
      <c r="U6678" s="4"/>
      <c r="V6678" s="4"/>
      <c r="X6678" s="4"/>
      <c r="Y6678" s="4"/>
    </row>
    <row r="6679" spans="20:25" x14ac:dyDescent="0.3">
      <c r="T6679" s="12"/>
      <c r="U6679" s="4"/>
      <c r="V6679" s="4"/>
      <c r="X6679" s="4"/>
      <c r="Y6679" s="4"/>
    </row>
    <row r="6680" spans="20:25" x14ac:dyDescent="0.3">
      <c r="T6680" s="12"/>
      <c r="U6680" s="4"/>
      <c r="V6680" s="4"/>
      <c r="X6680" s="4"/>
      <c r="Y6680" s="4"/>
    </row>
    <row r="6681" spans="20:25" x14ac:dyDescent="0.3">
      <c r="T6681" s="12"/>
      <c r="U6681" s="4"/>
      <c r="V6681" s="4"/>
      <c r="X6681" s="4"/>
      <c r="Y6681" s="4"/>
    </row>
    <row r="6682" spans="20:25" x14ac:dyDescent="0.3">
      <c r="T6682" s="12"/>
      <c r="U6682" s="4"/>
      <c r="V6682" s="4"/>
      <c r="X6682" s="4"/>
      <c r="Y6682" s="4"/>
    </row>
    <row r="6683" spans="20:25" x14ac:dyDescent="0.3">
      <c r="T6683" s="12"/>
      <c r="U6683" s="4"/>
      <c r="V6683" s="4"/>
      <c r="X6683" s="4"/>
      <c r="Y6683" s="4"/>
    </row>
    <row r="6684" spans="20:25" x14ac:dyDescent="0.3">
      <c r="T6684" s="12"/>
      <c r="U6684" s="4"/>
      <c r="V6684" s="4"/>
      <c r="X6684" s="4"/>
      <c r="Y6684" s="4"/>
    </row>
    <row r="6685" spans="20:25" x14ac:dyDescent="0.3">
      <c r="T6685" s="12"/>
      <c r="U6685" s="4"/>
      <c r="V6685" s="4"/>
      <c r="X6685" s="4"/>
      <c r="Y6685" s="4"/>
    </row>
    <row r="6686" spans="20:25" x14ac:dyDescent="0.3">
      <c r="T6686" s="12"/>
      <c r="U6686" s="4"/>
      <c r="V6686" s="4"/>
      <c r="X6686" s="4"/>
      <c r="Y6686" s="4"/>
    </row>
    <row r="6687" spans="20:25" x14ac:dyDescent="0.3">
      <c r="T6687" s="12"/>
      <c r="U6687" s="4"/>
      <c r="V6687" s="4"/>
      <c r="X6687" s="4"/>
      <c r="Y6687" s="4"/>
    </row>
    <row r="6688" spans="20:25" x14ac:dyDescent="0.3">
      <c r="T6688" s="12"/>
      <c r="U6688" s="4"/>
      <c r="V6688" s="4"/>
      <c r="X6688" s="4"/>
      <c r="Y6688" s="4"/>
    </row>
    <row r="6689" spans="20:25" x14ac:dyDescent="0.3">
      <c r="T6689" s="12"/>
      <c r="U6689" s="4"/>
      <c r="V6689" s="4"/>
      <c r="X6689" s="4"/>
      <c r="Y6689" s="4"/>
    </row>
    <row r="6690" spans="20:25" x14ac:dyDescent="0.3">
      <c r="T6690" s="12"/>
      <c r="U6690" s="4"/>
      <c r="V6690" s="4"/>
      <c r="X6690" s="4"/>
      <c r="Y6690" s="4"/>
    </row>
    <row r="6691" spans="20:25" x14ac:dyDescent="0.3">
      <c r="T6691" s="12"/>
      <c r="U6691" s="4"/>
      <c r="V6691" s="4"/>
      <c r="X6691" s="4"/>
      <c r="Y6691" s="4"/>
    </row>
    <row r="6692" spans="20:25" x14ac:dyDescent="0.3">
      <c r="T6692" s="12"/>
      <c r="U6692" s="4"/>
      <c r="V6692" s="4"/>
      <c r="X6692" s="4"/>
      <c r="Y6692" s="4"/>
    </row>
    <row r="6693" spans="20:25" x14ac:dyDescent="0.3">
      <c r="T6693" s="12"/>
      <c r="U6693" s="4"/>
      <c r="V6693" s="4"/>
      <c r="X6693" s="4"/>
      <c r="Y6693" s="4"/>
    </row>
    <row r="6694" spans="20:25" x14ac:dyDescent="0.3">
      <c r="T6694" s="12"/>
      <c r="U6694" s="4"/>
      <c r="V6694" s="4"/>
      <c r="X6694" s="4"/>
      <c r="Y6694" s="4"/>
    </row>
    <row r="6695" spans="20:25" x14ac:dyDescent="0.3">
      <c r="T6695" s="12"/>
      <c r="U6695" s="4"/>
      <c r="V6695" s="4"/>
      <c r="X6695" s="4"/>
      <c r="Y6695" s="4"/>
    </row>
    <row r="6696" spans="20:25" x14ac:dyDescent="0.3">
      <c r="T6696" s="12"/>
      <c r="U6696" s="4"/>
      <c r="V6696" s="4"/>
      <c r="X6696" s="4"/>
      <c r="Y6696" s="4"/>
    </row>
    <row r="6697" spans="20:25" x14ac:dyDescent="0.3">
      <c r="T6697" s="12"/>
      <c r="U6697" s="4"/>
      <c r="V6697" s="4"/>
      <c r="X6697" s="4"/>
      <c r="Y6697" s="4"/>
    </row>
    <row r="6698" spans="20:25" x14ac:dyDescent="0.3">
      <c r="T6698" s="12"/>
      <c r="U6698" s="4"/>
      <c r="V6698" s="4"/>
      <c r="X6698" s="4"/>
      <c r="Y6698" s="4"/>
    </row>
    <row r="6699" spans="20:25" x14ac:dyDescent="0.3">
      <c r="T6699" s="12"/>
      <c r="U6699" s="4"/>
      <c r="V6699" s="4"/>
      <c r="X6699" s="4"/>
      <c r="Y6699" s="4"/>
    </row>
    <row r="6700" spans="20:25" x14ac:dyDescent="0.3">
      <c r="T6700" s="12"/>
      <c r="U6700" s="4"/>
      <c r="V6700" s="4"/>
      <c r="X6700" s="4"/>
      <c r="Y6700" s="4"/>
    </row>
    <row r="6701" spans="20:25" x14ac:dyDescent="0.3">
      <c r="T6701" s="12"/>
      <c r="U6701" s="4"/>
      <c r="V6701" s="4"/>
      <c r="X6701" s="4"/>
      <c r="Y6701" s="4"/>
    </row>
    <row r="6702" spans="20:25" x14ac:dyDescent="0.3">
      <c r="T6702" s="12"/>
      <c r="U6702" s="4"/>
      <c r="V6702" s="4"/>
      <c r="X6702" s="4"/>
      <c r="Y6702" s="4"/>
    </row>
    <row r="6703" spans="20:25" x14ac:dyDescent="0.3">
      <c r="T6703" s="12"/>
      <c r="U6703" s="4"/>
      <c r="V6703" s="4"/>
      <c r="X6703" s="4"/>
      <c r="Y6703" s="4"/>
    </row>
    <row r="6704" spans="20:25" x14ac:dyDescent="0.3">
      <c r="T6704" s="12"/>
      <c r="U6704" s="4"/>
      <c r="V6704" s="4"/>
      <c r="X6704" s="4"/>
      <c r="Y6704" s="4"/>
    </row>
    <row r="6705" spans="20:25" x14ac:dyDescent="0.3">
      <c r="T6705" s="12"/>
      <c r="U6705" s="4"/>
      <c r="V6705" s="4"/>
      <c r="X6705" s="4"/>
      <c r="Y6705" s="4"/>
    </row>
    <row r="6706" spans="20:25" x14ac:dyDescent="0.3">
      <c r="T6706" s="12"/>
      <c r="U6706" s="4"/>
      <c r="V6706" s="4"/>
      <c r="X6706" s="4"/>
      <c r="Y6706" s="4"/>
    </row>
    <row r="6707" spans="20:25" x14ac:dyDescent="0.3">
      <c r="T6707" s="12"/>
      <c r="U6707" s="4"/>
      <c r="V6707" s="4"/>
      <c r="X6707" s="4"/>
      <c r="Y6707" s="4"/>
    </row>
    <row r="6708" spans="20:25" x14ac:dyDescent="0.3">
      <c r="T6708" s="12"/>
      <c r="U6708" s="4"/>
      <c r="V6708" s="4"/>
      <c r="X6708" s="4"/>
      <c r="Y6708" s="4"/>
    </row>
    <row r="6709" spans="20:25" x14ac:dyDescent="0.3">
      <c r="T6709" s="12"/>
      <c r="U6709" s="4"/>
      <c r="V6709" s="4"/>
      <c r="X6709" s="4"/>
      <c r="Y6709" s="4"/>
    </row>
    <row r="6710" spans="20:25" x14ac:dyDescent="0.3">
      <c r="T6710" s="12"/>
      <c r="U6710" s="4"/>
      <c r="V6710" s="4"/>
      <c r="X6710" s="4"/>
      <c r="Y6710" s="4"/>
    </row>
    <row r="6711" spans="20:25" x14ac:dyDescent="0.3">
      <c r="T6711" s="12"/>
      <c r="U6711" s="4"/>
      <c r="V6711" s="4"/>
      <c r="X6711" s="4"/>
      <c r="Y6711" s="4"/>
    </row>
    <row r="6712" spans="20:25" x14ac:dyDescent="0.3">
      <c r="T6712" s="12"/>
      <c r="U6712" s="4"/>
      <c r="V6712" s="4"/>
      <c r="X6712" s="4"/>
      <c r="Y6712" s="4"/>
    </row>
    <row r="6713" spans="20:25" x14ac:dyDescent="0.3">
      <c r="T6713" s="12"/>
      <c r="U6713" s="4"/>
      <c r="V6713" s="4"/>
      <c r="X6713" s="4"/>
      <c r="Y6713" s="4"/>
    </row>
    <row r="6714" spans="20:25" x14ac:dyDescent="0.3">
      <c r="T6714" s="12"/>
      <c r="U6714" s="4"/>
      <c r="V6714" s="4"/>
      <c r="X6714" s="4"/>
      <c r="Y6714" s="4"/>
    </row>
    <row r="6715" spans="20:25" x14ac:dyDescent="0.3">
      <c r="T6715" s="12"/>
      <c r="U6715" s="4"/>
      <c r="V6715" s="4"/>
      <c r="X6715" s="4"/>
      <c r="Y6715" s="4"/>
    </row>
    <row r="6716" spans="20:25" x14ac:dyDescent="0.3">
      <c r="T6716" s="12"/>
      <c r="U6716" s="4"/>
      <c r="V6716" s="4"/>
      <c r="X6716" s="4"/>
      <c r="Y6716" s="4"/>
    </row>
    <row r="6717" spans="20:25" x14ac:dyDescent="0.3">
      <c r="T6717" s="12"/>
      <c r="U6717" s="4"/>
      <c r="V6717" s="4"/>
      <c r="X6717" s="4"/>
      <c r="Y6717" s="4"/>
    </row>
    <row r="6718" spans="20:25" x14ac:dyDescent="0.3">
      <c r="T6718" s="12"/>
      <c r="U6718" s="4"/>
      <c r="V6718" s="4"/>
      <c r="X6718" s="4"/>
      <c r="Y6718" s="4"/>
    </row>
    <row r="6719" spans="20:25" x14ac:dyDescent="0.3">
      <c r="T6719" s="12"/>
      <c r="U6719" s="4"/>
      <c r="V6719" s="4"/>
      <c r="X6719" s="4"/>
      <c r="Y6719" s="4"/>
    </row>
    <row r="6720" spans="20:25" x14ac:dyDescent="0.3">
      <c r="T6720" s="12"/>
      <c r="U6720" s="4"/>
      <c r="V6720" s="4"/>
      <c r="X6720" s="4"/>
      <c r="Y6720" s="4"/>
    </row>
    <row r="6721" spans="20:25" x14ac:dyDescent="0.3">
      <c r="T6721" s="12"/>
      <c r="U6721" s="4"/>
      <c r="V6721" s="4"/>
      <c r="X6721" s="4"/>
      <c r="Y6721" s="4"/>
    </row>
    <row r="6722" spans="20:25" x14ac:dyDescent="0.3">
      <c r="T6722" s="12"/>
      <c r="U6722" s="4"/>
      <c r="V6722" s="4"/>
      <c r="X6722" s="4"/>
      <c r="Y6722" s="4"/>
    </row>
    <row r="6723" spans="20:25" x14ac:dyDescent="0.3">
      <c r="T6723" s="12"/>
      <c r="U6723" s="4"/>
      <c r="V6723" s="4"/>
      <c r="X6723" s="4"/>
      <c r="Y6723" s="4"/>
    </row>
    <row r="6724" spans="20:25" x14ac:dyDescent="0.3">
      <c r="T6724" s="12"/>
      <c r="U6724" s="4"/>
      <c r="V6724" s="4"/>
      <c r="X6724" s="4"/>
      <c r="Y6724" s="4"/>
    </row>
    <row r="6725" spans="20:25" x14ac:dyDescent="0.3">
      <c r="T6725" s="12"/>
      <c r="U6725" s="4"/>
      <c r="V6725" s="4"/>
      <c r="X6725" s="4"/>
      <c r="Y6725" s="4"/>
    </row>
    <row r="6726" spans="20:25" x14ac:dyDescent="0.3">
      <c r="T6726" s="12"/>
      <c r="U6726" s="4"/>
      <c r="V6726" s="4"/>
      <c r="X6726" s="4"/>
      <c r="Y6726" s="4"/>
    </row>
    <row r="6727" spans="20:25" x14ac:dyDescent="0.3">
      <c r="T6727" s="12"/>
      <c r="U6727" s="4"/>
      <c r="V6727" s="4"/>
      <c r="X6727" s="4"/>
      <c r="Y6727" s="4"/>
    </row>
    <row r="6728" spans="20:25" x14ac:dyDescent="0.3">
      <c r="T6728" s="12"/>
      <c r="U6728" s="4"/>
      <c r="V6728" s="4"/>
      <c r="X6728" s="4"/>
      <c r="Y6728" s="4"/>
    </row>
    <row r="6729" spans="20:25" x14ac:dyDescent="0.3">
      <c r="T6729" s="12"/>
      <c r="U6729" s="4"/>
      <c r="V6729" s="4"/>
      <c r="X6729" s="4"/>
      <c r="Y6729" s="4"/>
    </row>
    <row r="6730" spans="20:25" x14ac:dyDescent="0.3">
      <c r="T6730" s="12"/>
      <c r="U6730" s="4"/>
      <c r="V6730" s="4"/>
      <c r="X6730" s="4"/>
      <c r="Y6730" s="4"/>
    </row>
    <row r="6731" spans="20:25" x14ac:dyDescent="0.3">
      <c r="T6731" s="12"/>
      <c r="U6731" s="4"/>
      <c r="V6731" s="4"/>
      <c r="X6731" s="4"/>
      <c r="Y6731" s="4"/>
    </row>
    <row r="6732" spans="20:25" x14ac:dyDescent="0.3">
      <c r="T6732" s="12"/>
      <c r="U6732" s="4"/>
      <c r="V6732" s="4"/>
      <c r="X6732" s="4"/>
      <c r="Y6732" s="4"/>
    </row>
    <row r="6733" spans="20:25" x14ac:dyDescent="0.3">
      <c r="T6733" s="12"/>
      <c r="U6733" s="4"/>
      <c r="V6733" s="4"/>
      <c r="X6733" s="4"/>
      <c r="Y6733" s="4"/>
    </row>
    <row r="6734" spans="20:25" x14ac:dyDescent="0.3">
      <c r="T6734" s="12"/>
      <c r="U6734" s="4"/>
      <c r="V6734" s="4"/>
      <c r="X6734" s="4"/>
      <c r="Y6734" s="4"/>
    </row>
    <row r="6735" spans="20:25" x14ac:dyDescent="0.3">
      <c r="T6735" s="12"/>
      <c r="U6735" s="4"/>
      <c r="V6735" s="4"/>
      <c r="X6735" s="4"/>
      <c r="Y6735" s="4"/>
    </row>
    <row r="6736" spans="20:25" x14ac:dyDescent="0.3">
      <c r="T6736" s="12"/>
      <c r="U6736" s="4"/>
      <c r="V6736" s="4"/>
      <c r="X6736" s="4"/>
      <c r="Y6736" s="4"/>
    </row>
    <row r="6737" spans="20:25" x14ac:dyDescent="0.3">
      <c r="T6737" s="12"/>
      <c r="U6737" s="4"/>
      <c r="V6737" s="4"/>
      <c r="X6737" s="4"/>
      <c r="Y6737" s="4"/>
    </row>
    <row r="6738" spans="20:25" x14ac:dyDescent="0.3">
      <c r="T6738" s="12"/>
      <c r="U6738" s="4"/>
      <c r="V6738" s="4"/>
      <c r="X6738" s="4"/>
      <c r="Y6738" s="4"/>
    </row>
    <row r="6739" spans="20:25" x14ac:dyDescent="0.3">
      <c r="T6739" s="12"/>
      <c r="U6739" s="4"/>
      <c r="V6739" s="4"/>
      <c r="X6739" s="4"/>
      <c r="Y6739" s="4"/>
    </row>
    <row r="6740" spans="20:25" x14ac:dyDescent="0.3">
      <c r="T6740" s="12"/>
      <c r="U6740" s="4"/>
      <c r="V6740" s="4"/>
      <c r="X6740" s="4"/>
      <c r="Y6740" s="4"/>
    </row>
    <row r="6741" spans="20:25" x14ac:dyDescent="0.3">
      <c r="T6741" s="12"/>
      <c r="U6741" s="4"/>
      <c r="V6741" s="4"/>
      <c r="X6741" s="4"/>
      <c r="Y6741" s="4"/>
    </row>
    <row r="6742" spans="20:25" x14ac:dyDescent="0.3">
      <c r="T6742" s="12"/>
      <c r="U6742" s="4"/>
      <c r="V6742" s="4"/>
      <c r="X6742" s="4"/>
      <c r="Y6742" s="4"/>
    </row>
    <row r="6743" spans="20:25" x14ac:dyDescent="0.3">
      <c r="T6743" s="12"/>
      <c r="U6743" s="4"/>
      <c r="V6743" s="4"/>
      <c r="X6743" s="4"/>
      <c r="Y6743" s="4"/>
    </row>
    <row r="6744" spans="20:25" x14ac:dyDescent="0.3">
      <c r="T6744" s="12"/>
      <c r="U6744" s="4"/>
      <c r="V6744" s="4"/>
      <c r="X6744" s="4"/>
      <c r="Y6744" s="4"/>
    </row>
    <row r="6745" spans="20:25" x14ac:dyDescent="0.3">
      <c r="T6745" s="12"/>
      <c r="U6745" s="4"/>
      <c r="V6745" s="4"/>
      <c r="X6745" s="4"/>
      <c r="Y6745" s="4"/>
    </row>
    <row r="6746" spans="20:25" x14ac:dyDescent="0.3">
      <c r="T6746" s="12"/>
      <c r="U6746" s="4"/>
      <c r="V6746" s="4"/>
      <c r="X6746" s="4"/>
      <c r="Y6746" s="4"/>
    </row>
    <row r="6747" spans="20:25" x14ac:dyDescent="0.3">
      <c r="T6747" s="12"/>
      <c r="U6747" s="4"/>
      <c r="V6747" s="4"/>
      <c r="X6747" s="4"/>
      <c r="Y6747" s="4"/>
    </row>
    <row r="6748" spans="20:25" x14ac:dyDescent="0.3">
      <c r="T6748" s="12"/>
      <c r="U6748" s="4"/>
      <c r="V6748" s="4"/>
      <c r="X6748" s="4"/>
      <c r="Y6748" s="4"/>
    </row>
    <row r="6749" spans="20:25" x14ac:dyDescent="0.3">
      <c r="T6749" s="12"/>
      <c r="U6749" s="4"/>
      <c r="V6749" s="4"/>
      <c r="X6749" s="4"/>
      <c r="Y6749" s="4"/>
    </row>
    <row r="6750" spans="20:25" x14ac:dyDescent="0.3">
      <c r="T6750" s="12"/>
      <c r="U6750" s="4"/>
      <c r="V6750" s="4"/>
      <c r="X6750" s="4"/>
      <c r="Y6750" s="4"/>
    </row>
    <row r="6751" spans="20:25" x14ac:dyDescent="0.3">
      <c r="T6751" s="12"/>
      <c r="U6751" s="4"/>
      <c r="V6751" s="4"/>
      <c r="X6751" s="4"/>
      <c r="Y6751" s="4"/>
    </row>
    <row r="6752" spans="20:25" x14ac:dyDescent="0.3">
      <c r="T6752" s="12"/>
      <c r="U6752" s="4"/>
      <c r="V6752" s="4"/>
      <c r="X6752" s="4"/>
      <c r="Y6752" s="4"/>
    </row>
    <row r="6753" spans="20:25" x14ac:dyDescent="0.3">
      <c r="T6753" s="12"/>
      <c r="U6753" s="4"/>
      <c r="V6753" s="4"/>
      <c r="X6753" s="4"/>
      <c r="Y6753" s="4"/>
    </row>
    <row r="6754" spans="20:25" x14ac:dyDescent="0.3">
      <c r="T6754" s="12"/>
      <c r="U6754" s="4"/>
      <c r="V6754" s="4"/>
      <c r="X6754" s="4"/>
      <c r="Y6754" s="4"/>
    </row>
    <row r="6755" spans="20:25" x14ac:dyDescent="0.3">
      <c r="T6755" s="12"/>
      <c r="U6755" s="4"/>
      <c r="V6755" s="4"/>
      <c r="X6755" s="4"/>
      <c r="Y6755" s="4"/>
    </row>
    <row r="6756" spans="20:25" x14ac:dyDescent="0.3">
      <c r="T6756" s="12"/>
      <c r="U6756" s="4"/>
      <c r="V6756" s="4"/>
      <c r="X6756" s="4"/>
      <c r="Y6756" s="4"/>
    </row>
    <row r="6757" spans="20:25" x14ac:dyDescent="0.3">
      <c r="T6757" s="12"/>
      <c r="U6757" s="4"/>
      <c r="V6757" s="4"/>
      <c r="X6757" s="4"/>
      <c r="Y6757" s="4"/>
    </row>
    <row r="6758" spans="20:25" x14ac:dyDescent="0.3">
      <c r="T6758" s="12"/>
      <c r="U6758" s="4"/>
      <c r="V6758" s="4"/>
      <c r="X6758" s="4"/>
      <c r="Y6758" s="4"/>
    </row>
    <row r="6759" spans="20:25" x14ac:dyDescent="0.3">
      <c r="T6759" s="12"/>
      <c r="U6759" s="4"/>
      <c r="V6759" s="4"/>
      <c r="X6759" s="4"/>
      <c r="Y6759" s="4"/>
    </row>
    <row r="6760" spans="20:25" x14ac:dyDescent="0.3">
      <c r="T6760" s="12"/>
      <c r="U6760" s="4"/>
      <c r="V6760" s="4"/>
      <c r="X6760" s="4"/>
      <c r="Y6760" s="4"/>
    </row>
    <row r="6761" spans="20:25" x14ac:dyDescent="0.3">
      <c r="T6761" s="12"/>
      <c r="U6761" s="4"/>
      <c r="V6761" s="4"/>
      <c r="X6761" s="4"/>
      <c r="Y6761" s="4"/>
    </row>
    <row r="6762" spans="20:25" x14ac:dyDescent="0.3">
      <c r="T6762" s="12"/>
      <c r="U6762" s="4"/>
      <c r="V6762" s="4"/>
      <c r="X6762" s="4"/>
      <c r="Y6762" s="4"/>
    </row>
    <row r="6763" spans="20:25" x14ac:dyDescent="0.3">
      <c r="T6763" s="12"/>
      <c r="U6763" s="4"/>
      <c r="V6763" s="4"/>
      <c r="X6763" s="4"/>
      <c r="Y6763" s="4"/>
    </row>
    <row r="6764" spans="20:25" x14ac:dyDescent="0.3">
      <c r="T6764" s="12"/>
      <c r="U6764" s="4"/>
      <c r="V6764" s="4"/>
      <c r="X6764" s="4"/>
      <c r="Y6764" s="4"/>
    </row>
    <row r="6765" spans="20:25" x14ac:dyDescent="0.3">
      <c r="T6765" s="12"/>
      <c r="U6765" s="4"/>
      <c r="V6765" s="4"/>
      <c r="X6765" s="4"/>
      <c r="Y6765" s="4"/>
    </row>
    <row r="6766" spans="20:25" x14ac:dyDescent="0.3">
      <c r="T6766" s="12"/>
      <c r="U6766" s="4"/>
      <c r="V6766" s="4"/>
      <c r="X6766" s="4"/>
      <c r="Y6766" s="4"/>
    </row>
    <row r="6767" spans="20:25" x14ac:dyDescent="0.3">
      <c r="T6767" s="12"/>
      <c r="U6767" s="4"/>
      <c r="V6767" s="4"/>
      <c r="X6767" s="4"/>
      <c r="Y6767" s="4"/>
    </row>
    <row r="6768" spans="20:25" x14ac:dyDescent="0.3">
      <c r="T6768" s="12"/>
      <c r="U6768" s="4"/>
      <c r="V6768" s="4"/>
      <c r="X6768" s="4"/>
      <c r="Y6768" s="4"/>
    </row>
    <row r="6769" spans="20:25" x14ac:dyDescent="0.3">
      <c r="T6769" s="12"/>
      <c r="U6769" s="4"/>
      <c r="V6769" s="4"/>
      <c r="X6769" s="4"/>
      <c r="Y6769" s="4"/>
    </row>
    <row r="6770" spans="20:25" x14ac:dyDescent="0.3">
      <c r="T6770" s="12"/>
      <c r="U6770" s="4"/>
      <c r="V6770" s="4"/>
      <c r="X6770" s="4"/>
      <c r="Y6770" s="4"/>
    </row>
    <row r="6771" spans="20:25" x14ac:dyDescent="0.3">
      <c r="T6771" s="12"/>
      <c r="U6771" s="4"/>
      <c r="V6771" s="4"/>
      <c r="X6771" s="4"/>
      <c r="Y6771" s="4"/>
    </row>
    <row r="6772" spans="20:25" x14ac:dyDescent="0.3">
      <c r="T6772" s="12"/>
      <c r="U6772" s="4"/>
      <c r="V6772" s="4"/>
      <c r="X6772" s="4"/>
      <c r="Y6772" s="4"/>
    </row>
    <row r="6773" spans="20:25" x14ac:dyDescent="0.3">
      <c r="T6773" s="12"/>
      <c r="U6773" s="4"/>
      <c r="V6773" s="4"/>
      <c r="X6773" s="4"/>
      <c r="Y6773" s="4"/>
    </row>
    <row r="6774" spans="20:25" x14ac:dyDescent="0.3">
      <c r="T6774" s="12"/>
      <c r="U6774" s="4"/>
      <c r="V6774" s="4"/>
      <c r="X6774" s="4"/>
      <c r="Y6774" s="4"/>
    </row>
    <row r="6775" spans="20:25" x14ac:dyDescent="0.3">
      <c r="T6775" s="12"/>
      <c r="U6775" s="4"/>
      <c r="V6775" s="4"/>
      <c r="X6775" s="4"/>
      <c r="Y6775" s="4"/>
    </row>
    <row r="6776" spans="20:25" x14ac:dyDescent="0.3">
      <c r="T6776" s="12"/>
      <c r="U6776" s="4"/>
      <c r="V6776" s="4"/>
      <c r="X6776" s="4"/>
      <c r="Y6776" s="4"/>
    </row>
    <row r="6777" spans="20:25" x14ac:dyDescent="0.3">
      <c r="T6777" s="12"/>
      <c r="U6777" s="4"/>
      <c r="V6777" s="4"/>
      <c r="X6777" s="4"/>
      <c r="Y6777" s="4"/>
    </row>
    <row r="6778" spans="20:25" x14ac:dyDescent="0.3">
      <c r="T6778" s="12"/>
      <c r="U6778" s="4"/>
      <c r="V6778" s="4"/>
      <c r="X6778" s="4"/>
      <c r="Y6778" s="4"/>
    </row>
    <row r="6779" spans="20:25" x14ac:dyDescent="0.3">
      <c r="T6779" s="12"/>
      <c r="U6779" s="4"/>
      <c r="V6779" s="4"/>
      <c r="X6779" s="4"/>
      <c r="Y6779" s="4"/>
    </row>
    <row r="6780" spans="20:25" x14ac:dyDescent="0.3">
      <c r="T6780" s="12"/>
      <c r="U6780" s="4"/>
      <c r="V6780" s="4"/>
      <c r="X6780" s="4"/>
      <c r="Y6780" s="4"/>
    </row>
    <row r="6781" spans="20:25" x14ac:dyDescent="0.3">
      <c r="T6781" s="12"/>
      <c r="U6781" s="4"/>
      <c r="V6781" s="4"/>
      <c r="X6781" s="4"/>
      <c r="Y6781" s="4"/>
    </row>
    <row r="6782" spans="20:25" x14ac:dyDescent="0.3">
      <c r="T6782" s="12"/>
      <c r="U6782" s="4"/>
      <c r="V6782" s="4"/>
      <c r="X6782" s="4"/>
      <c r="Y6782" s="4"/>
    </row>
    <row r="6783" spans="20:25" x14ac:dyDescent="0.3">
      <c r="T6783" s="12"/>
      <c r="U6783" s="4"/>
      <c r="V6783" s="4"/>
      <c r="X6783" s="4"/>
      <c r="Y6783" s="4"/>
    </row>
    <row r="6784" spans="20:25" x14ac:dyDescent="0.3">
      <c r="T6784" s="12"/>
      <c r="U6784" s="4"/>
      <c r="V6784" s="4"/>
      <c r="X6784" s="4"/>
      <c r="Y6784" s="4"/>
    </row>
    <row r="6785" spans="20:25" x14ac:dyDescent="0.3">
      <c r="T6785" s="12"/>
      <c r="U6785" s="4"/>
      <c r="V6785" s="4"/>
      <c r="X6785" s="4"/>
      <c r="Y6785" s="4"/>
    </row>
    <row r="6786" spans="20:25" x14ac:dyDescent="0.3">
      <c r="T6786" s="12"/>
      <c r="U6786" s="4"/>
      <c r="V6786" s="4"/>
      <c r="X6786" s="4"/>
      <c r="Y6786" s="4"/>
    </row>
    <row r="6787" spans="20:25" x14ac:dyDescent="0.3">
      <c r="T6787" s="12"/>
      <c r="U6787" s="4"/>
      <c r="V6787" s="4"/>
      <c r="X6787" s="4"/>
      <c r="Y6787" s="4"/>
    </row>
    <row r="6788" spans="20:25" x14ac:dyDescent="0.3">
      <c r="T6788" s="12"/>
      <c r="U6788" s="4"/>
      <c r="V6788" s="4"/>
      <c r="X6788" s="4"/>
      <c r="Y6788" s="4"/>
    </row>
    <row r="6789" spans="20:25" x14ac:dyDescent="0.3">
      <c r="T6789" s="12"/>
      <c r="U6789" s="4"/>
      <c r="V6789" s="4"/>
      <c r="X6789" s="4"/>
      <c r="Y6789" s="4"/>
    </row>
    <row r="6790" spans="20:25" x14ac:dyDescent="0.3">
      <c r="T6790" s="12"/>
      <c r="U6790" s="4"/>
      <c r="V6790" s="4"/>
      <c r="X6790" s="4"/>
      <c r="Y6790" s="4"/>
    </row>
    <row r="6791" spans="20:25" x14ac:dyDescent="0.3">
      <c r="T6791" s="12"/>
      <c r="U6791" s="4"/>
      <c r="V6791" s="4"/>
      <c r="X6791" s="4"/>
      <c r="Y6791" s="4"/>
    </row>
    <row r="6792" spans="20:25" x14ac:dyDescent="0.3">
      <c r="T6792" s="12"/>
      <c r="U6792" s="4"/>
      <c r="V6792" s="4"/>
      <c r="X6792" s="4"/>
      <c r="Y6792" s="4"/>
    </row>
    <row r="6793" spans="20:25" x14ac:dyDescent="0.3">
      <c r="T6793" s="12"/>
      <c r="U6793" s="4"/>
      <c r="V6793" s="4"/>
      <c r="X6793" s="4"/>
      <c r="Y6793" s="4"/>
    </row>
    <row r="6794" spans="20:25" x14ac:dyDescent="0.3">
      <c r="T6794" s="12"/>
      <c r="U6794" s="4"/>
      <c r="V6794" s="4"/>
      <c r="X6794" s="4"/>
      <c r="Y6794" s="4"/>
    </row>
    <row r="6795" spans="20:25" x14ac:dyDescent="0.3">
      <c r="T6795" s="12"/>
      <c r="U6795" s="4"/>
      <c r="V6795" s="4"/>
      <c r="X6795" s="4"/>
      <c r="Y6795" s="4"/>
    </row>
    <row r="6796" spans="20:25" x14ac:dyDescent="0.3">
      <c r="T6796" s="12"/>
      <c r="U6796" s="4"/>
      <c r="V6796" s="4"/>
      <c r="X6796" s="4"/>
      <c r="Y6796" s="4"/>
    </row>
    <row r="6797" spans="20:25" x14ac:dyDescent="0.3">
      <c r="T6797" s="12"/>
      <c r="U6797" s="4"/>
      <c r="V6797" s="4"/>
      <c r="X6797" s="4"/>
      <c r="Y6797" s="4"/>
    </row>
    <row r="6798" spans="20:25" x14ac:dyDescent="0.3">
      <c r="T6798" s="12"/>
      <c r="U6798" s="4"/>
      <c r="V6798" s="4"/>
      <c r="X6798" s="4"/>
      <c r="Y6798" s="4"/>
    </row>
    <row r="6799" spans="20:25" x14ac:dyDescent="0.3">
      <c r="T6799" s="12"/>
      <c r="U6799" s="4"/>
      <c r="V6799" s="4"/>
      <c r="X6799" s="4"/>
      <c r="Y6799" s="4"/>
    </row>
    <row r="6800" spans="20:25" x14ac:dyDescent="0.3">
      <c r="T6800" s="12"/>
      <c r="U6800" s="4"/>
      <c r="V6800" s="4"/>
      <c r="X6800" s="4"/>
      <c r="Y6800" s="4"/>
    </row>
    <row r="6801" spans="20:25" x14ac:dyDescent="0.3">
      <c r="T6801" s="12"/>
      <c r="U6801" s="4"/>
      <c r="V6801" s="4"/>
      <c r="X6801" s="4"/>
      <c r="Y6801" s="4"/>
    </row>
    <row r="6802" spans="20:25" x14ac:dyDescent="0.3">
      <c r="T6802" s="12"/>
      <c r="U6802" s="4"/>
      <c r="V6802" s="4"/>
      <c r="X6802" s="4"/>
      <c r="Y6802" s="4"/>
    </row>
    <row r="6803" spans="20:25" x14ac:dyDescent="0.3">
      <c r="T6803" s="12"/>
      <c r="U6803" s="4"/>
      <c r="V6803" s="4"/>
      <c r="X6803" s="4"/>
      <c r="Y6803" s="4"/>
    </row>
    <row r="6804" spans="20:25" x14ac:dyDescent="0.3">
      <c r="T6804" s="12"/>
      <c r="U6804" s="4"/>
      <c r="V6804" s="4"/>
      <c r="X6804" s="4"/>
      <c r="Y6804" s="4"/>
    </row>
    <row r="6805" spans="20:25" x14ac:dyDescent="0.3">
      <c r="T6805" s="12"/>
      <c r="U6805" s="4"/>
      <c r="V6805" s="4"/>
      <c r="X6805" s="4"/>
      <c r="Y6805" s="4"/>
    </row>
    <row r="6806" spans="20:25" x14ac:dyDescent="0.3">
      <c r="T6806" s="12"/>
      <c r="U6806" s="4"/>
      <c r="V6806" s="4"/>
      <c r="X6806" s="4"/>
      <c r="Y6806" s="4"/>
    </row>
    <row r="6807" spans="20:25" x14ac:dyDescent="0.3">
      <c r="T6807" s="12"/>
      <c r="U6807" s="4"/>
      <c r="V6807" s="4"/>
      <c r="X6807" s="4"/>
      <c r="Y6807" s="4"/>
    </row>
    <row r="6808" spans="20:25" x14ac:dyDescent="0.3">
      <c r="T6808" s="12"/>
      <c r="U6808" s="4"/>
      <c r="V6808" s="4"/>
      <c r="X6808" s="4"/>
      <c r="Y6808" s="4"/>
    </row>
    <row r="6809" spans="20:25" x14ac:dyDescent="0.3">
      <c r="T6809" s="12"/>
      <c r="U6809" s="4"/>
      <c r="V6809" s="4"/>
      <c r="X6809" s="4"/>
      <c r="Y6809" s="4"/>
    </row>
    <row r="6810" spans="20:25" x14ac:dyDescent="0.3">
      <c r="T6810" s="12"/>
      <c r="U6810" s="4"/>
      <c r="V6810" s="4"/>
      <c r="X6810" s="4"/>
      <c r="Y6810" s="4"/>
    </row>
    <row r="6811" spans="20:25" x14ac:dyDescent="0.3">
      <c r="T6811" s="12"/>
      <c r="U6811" s="4"/>
      <c r="V6811" s="4"/>
      <c r="X6811" s="4"/>
      <c r="Y6811" s="4"/>
    </row>
    <row r="6812" spans="20:25" x14ac:dyDescent="0.3">
      <c r="T6812" s="12"/>
      <c r="U6812" s="4"/>
      <c r="V6812" s="4"/>
      <c r="X6812" s="4"/>
      <c r="Y6812" s="4"/>
    </row>
    <row r="6813" spans="20:25" x14ac:dyDescent="0.3">
      <c r="T6813" s="12"/>
      <c r="U6813" s="4"/>
      <c r="V6813" s="4"/>
      <c r="X6813" s="4"/>
      <c r="Y6813" s="4"/>
    </row>
    <row r="6814" spans="20:25" x14ac:dyDescent="0.3">
      <c r="T6814" s="12"/>
      <c r="U6814" s="4"/>
      <c r="V6814" s="4"/>
      <c r="X6814" s="4"/>
      <c r="Y6814" s="4"/>
    </row>
    <row r="6815" spans="20:25" x14ac:dyDescent="0.3">
      <c r="T6815" s="12"/>
      <c r="U6815" s="4"/>
      <c r="V6815" s="4"/>
      <c r="X6815" s="4"/>
      <c r="Y6815" s="4"/>
    </row>
    <row r="6816" spans="20:25" x14ac:dyDescent="0.3">
      <c r="T6816" s="12"/>
      <c r="U6816" s="4"/>
      <c r="V6816" s="4"/>
      <c r="X6816" s="4"/>
      <c r="Y6816" s="4"/>
    </row>
    <row r="6817" spans="20:25" x14ac:dyDescent="0.3">
      <c r="T6817" s="12"/>
      <c r="U6817" s="4"/>
      <c r="V6817" s="4"/>
      <c r="X6817" s="4"/>
      <c r="Y6817" s="4"/>
    </row>
    <row r="6818" spans="20:25" x14ac:dyDescent="0.3">
      <c r="T6818" s="12"/>
      <c r="U6818" s="4"/>
      <c r="V6818" s="4"/>
      <c r="X6818" s="4"/>
      <c r="Y6818" s="4"/>
    </row>
    <row r="6819" spans="20:25" x14ac:dyDescent="0.3">
      <c r="T6819" s="12"/>
      <c r="U6819" s="4"/>
      <c r="V6819" s="4"/>
      <c r="X6819" s="4"/>
      <c r="Y6819" s="4"/>
    </row>
    <row r="6820" spans="20:25" x14ac:dyDescent="0.3">
      <c r="T6820" s="12"/>
      <c r="U6820" s="4"/>
      <c r="V6820" s="4"/>
      <c r="X6820" s="4"/>
      <c r="Y6820" s="4"/>
    </row>
    <row r="6821" spans="20:25" x14ac:dyDescent="0.3">
      <c r="T6821" s="12"/>
      <c r="U6821" s="4"/>
      <c r="V6821" s="4"/>
      <c r="X6821" s="4"/>
      <c r="Y6821" s="4"/>
    </row>
    <row r="6822" spans="20:25" x14ac:dyDescent="0.3">
      <c r="T6822" s="12"/>
      <c r="U6822" s="4"/>
      <c r="V6822" s="4"/>
      <c r="X6822" s="4"/>
      <c r="Y6822" s="4"/>
    </row>
    <row r="6823" spans="20:25" x14ac:dyDescent="0.3">
      <c r="T6823" s="12"/>
      <c r="U6823" s="4"/>
      <c r="V6823" s="4"/>
      <c r="X6823" s="4"/>
      <c r="Y6823" s="4"/>
    </row>
    <row r="6824" spans="20:25" x14ac:dyDescent="0.3">
      <c r="T6824" s="12"/>
      <c r="U6824" s="4"/>
      <c r="V6824" s="4"/>
      <c r="X6824" s="4"/>
      <c r="Y6824" s="4"/>
    </row>
    <row r="6825" spans="20:25" x14ac:dyDescent="0.3">
      <c r="T6825" s="12"/>
      <c r="U6825" s="4"/>
      <c r="V6825" s="4"/>
      <c r="X6825" s="4"/>
      <c r="Y6825" s="4"/>
    </row>
    <row r="6826" spans="20:25" x14ac:dyDescent="0.3">
      <c r="T6826" s="12"/>
      <c r="U6826" s="4"/>
      <c r="V6826" s="4"/>
      <c r="X6826" s="4"/>
      <c r="Y6826" s="4"/>
    </row>
    <row r="6827" spans="20:25" x14ac:dyDescent="0.3">
      <c r="T6827" s="12"/>
      <c r="U6827" s="4"/>
      <c r="V6827" s="4"/>
      <c r="X6827" s="4"/>
      <c r="Y6827" s="4"/>
    </row>
    <row r="6828" spans="20:25" x14ac:dyDescent="0.3">
      <c r="T6828" s="12"/>
      <c r="U6828" s="4"/>
      <c r="V6828" s="4"/>
      <c r="X6828" s="4"/>
      <c r="Y6828" s="4"/>
    </row>
    <row r="6829" spans="20:25" x14ac:dyDescent="0.3">
      <c r="T6829" s="12"/>
      <c r="U6829" s="4"/>
      <c r="V6829" s="4"/>
      <c r="X6829" s="4"/>
      <c r="Y6829" s="4"/>
    </row>
    <row r="6830" spans="20:25" x14ac:dyDescent="0.3">
      <c r="T6830" s="12"/>
      <c r="U6830" s="4"/>
      <c r="V6830" s="4"/>
      <c r="X6830" s="4"/>
      <c r="Y6830" s="4"/>
    </row>
    <row r="6831" spans="20:25" x14ac:dyDescent="0.3">
      <c r="T6831" s="12"/>
      <c r="U6831" s="4"/>
      <c r="V6831" s="4"/>
      <c r="X6831" s="4"/>
      <c r="Y6831" s="4"/>
    </row>
    <row r="6832" spans="20:25" x14ac:dyDescent="0.3">
      <c r="T6832" s="12"/>
      <c r="U6832" s="4"/>
      <c r="V6832" s="4"/>
      <c r="X6832" s="4"/>
      <c r="Y6832" s="4"/>
    </row>
    <row r="6833" spans="20:25" x14ac:dyDescent="0.3">
      <c r="T6833" s="12"/>
      <c r="U6833" s="4"/>
      <c r="V6833" s="4"/>
      <c r="X6833" s="4"/>
      <c r="Y6833" s="4"/>
    </row>
    <row r="6834" spans="20:25" x14ac:dyDescent="0.3">
      <c r="T6834" s="12"/>
      <c r="U6834" s="4"/>
      <c r="V6834" s="4"/>
      <c r="X6834" s="4"/>
      <c r="Y6834" s="4"/>
    </row>
    <row r="6835" spans="20:25" x14ac:dyDescent="0.3">
      <c r="T6835" s="12"/>
      <c r="U6835" s="4"/>
      <c r="V6835" s="4"/>
      <c r="X6835" s="4"/>
      <c r="Y6835" s="4"/>
    </row>
    <row r="6836" spans="20:25" x14ac:dyDescent="0.3">
      <c r="T6836" s="12"/>
      <c r="U6836" s="4"/>
      <c r="V6836" s="4"/>
      <c r="X6836" s="4"/>
      <c r="Y6836" s="4"/>
    </row>
    <row r="6837" spans="20:25" x14ac:dyDescent="0.3">
      <c r="T6837" s="12"/>
      <c r="U6837" s="4"/>
      <c r="V6837" s="4"/>
      <c r="X6837" s="4"/>
      <c r="Y6837" s="4"/>
    </row>
    <row r="6838" spans="20:25" x14ac:dyDescent="0.3">
      <c r="T6838" s="12"/>
      <c r="U6838" s="4"/>
      <c r="V6838" s="4"/>
      <c r="X6838" s="4"/>
      <c r="Y6838" s="4"/>
    </row>
    <row r="6839" spans="20:25" x14ac:dyDescent="0.3">
      <c r="T6839" s="12"/>
      <c r="U6839" s="4"/>
      <c r="V6839" s="4"/>
      <c r="X6839" s="4"/>
      <c r="Y6839" s="4"/>
    </row>
    <row r="6840" spans="20:25" x14ac:dyDescent="0.3">
      <c r="T6840" s="12"/>
      <c r="U6840" s="4"/>
      <c r="V6840" s="4"/>
      <c r="X6840" s="4"/>
      <c r="Y6840" s="4"/>
    </row>
    <row r="6841" spans="20:25" x14ac:dyDescent="0.3">
      <c r="T6841" s="12"/>
      <c r="U6841" s="4"/>
      <c r="V6841" s="4"/>
      <c r="X6841" s="4"/>
      <c r="Y6841" s="4"/>
    </row>
    <row r="6842" spans="20:25" x14ac:dyDescent="0.3">
      <c r="T6842" s="12"/>
      <c r="U6842" s="4"/>
      <c r="V6842" s="4"/>
      <c r="X6842" s="4"/>
      <c r="Y6842" s="4"/>
    </row>
    <row r="6843" spans="20:25" x14ac:dyDescent="0.3">
      <c r="T6843" s="12"/>
      <c r="U6843" s="4"/>
      <c r="V6843" s="4"/>
      <c r="X6843" s="4"/>
      <c r="Y6843" s="4"/>
    </row>
    <row r="6844" spans="20:25" x14ac:dyDescent="0.3">
      <c r="T6844" s="12"/>
      <c r="U6844" s="4"/>
      <c r="V6844" s="4"/>
      <c r="X6844" s="4"/>
      <c r="Y6844" s="4"/>
    </row>
    <row r="6845" spans="20:25" x14ac:dyDescent="0.3">
      <c r="T6845" s="12"/>
      <c r="U6845" s="4"/>
      <c r="V6845" s="4"/>
      <c r="X6845" s="4"/>
      <c r="Y6845" s="4"/>
    </row>
    <row r="6846" spans="20:25" x14ac:dyDescent="0.3">
      <c r="T6846" s="12"/>
      <c r="U6846" s="4"/>
      <c r="V6846" s="4"/>
      <c r="X6846" s="4"/>
      <c r="Y6846" s="4"/>
    </row>
    <row r="6847" spans="20:25" x14ac:dyDescent="0.3">
      <c r="T6847" s="12"/>
      <c r="U6847" s="4"/>
      <c r="V6847" s="4"/>
      <c r="X6847" s="4"/>
      <c r="Y6847" s="4"/>
    </row>
    <row r="6848" spans="20:25" x14ac:dyDescent="0.3">
      <c r="T6848" s="12"/>
      <c r="U6848" s="4"/>
      <c r="V6848" s="4"/>
      <c r="X6848" s="4"/>
      <c r="Y6848" s="4"/>
    </row>
    <row r="6849" spans="20:25" x14ac:dyDescent="0.3">
      <c r="T6849" s="12"/>
      <c r="U6849" s="4"/>
      <c r="V6849" s="4"/>
      <c r="X6849" s="4"/>
      <c r="Y6849" s="4"/>
    </row>
    <row r="6850" spans="20:25" x14ac:dyDescent="0.3">
      <c r="T6850" s="12"/>
      <c r="U6850" s="4"/>
      <c r="V6850" s="4"/>
      <c r="X6850" s="4"/>
      <c r="Y6850" s="4"/>
    </row>
    <row r="6851" spans="20:25" x14ac:dyDescent="0.3">
      <c r="T6851" s="12"/>
      <c r="U6851" s="4"/>
      <c r="V6851" s="4"/>
      <c r="X6851" s="4"/>
      <c r="Y6851" s="4"/>
    </row>
    <row r="6852" spans="20:25" x14ac:dyDescent="0.3">
      <c r="T6852" s="12"/>
      <c r="U6852" s="4"/>
      <c r="V6852" s="4"/>
      <c r="X6852" s="4"/>
      <c r="Y6852" s="4"/>
    </row>
    <row r="6853" spans="20:25" x14ac:dyDescent="0.3">
      <c r="T6853" s="12"/>
      <c r="U6853" s="4"/>
      <c r="V6853" s="4"/>
      <c r="X6853" s="4"/>
      <c r="Y6853" s="4"/>
    </row>
    <row r="6854" spans="20:25" x14ac:dyDescent="0.3">
      <c r="T6854" s="12"/>
      <c r="U6854" s="4"/>
      <c r="V6854" s="4"/>
      <c r="X6854" s="4"/>
      <c r="Y6854" s="4"/>
    </row>
    <row r="6855" spans="20:25" x14ac:dyDescent="0.3">
      <c r="T6855" s="12"/>
      <c r="U6855" s="4"/>
      <c r="V6855" s="4"/>
      <c r="X6855" s="4"/>
      <c r="Y6855" s="4"/>
    </row>
    <row r="6856" spans="20:25" x14ac:dyDescent="0.3">
      <c r="T6856" s="12"/>
      <c r="U6856" s="4"/>
      <c r="V6856" s="4"/>
      <c r="X6856" s="4"/>
      <c r="Y6856" s="4"/>
    </row>
    <row r="6857" spans="20:25" x14ac:dyDescent="0.3">
      <c r="T6857" s="12"/>
      <c r="U6857" s="4"/>
      <c r="V6857" s="4"/>
      <c r="X6857" s="4"/>
      <c r="Y6857" s="4"/>
    </row>
    <row r="6858" spans="20:25" x14ac:dyDescent="0.3">
      <c r="T6858" s="12"/>
      <c r="U6858" s="4"/>
      <c r="V6858" s="4"/>
      <c r="X6858" s="4"/>
      <c r="Y6858" s="4"/>
    </row>
    <row r="6859" spans="20:25" x14ac:dyDescent="0.3">
      <c r="T6859" s="12"/>
      <c r="U6859" s="4"/>
      <c r="V6859" s="4"/>
      <c r="X6859" s="4"/>
      <c r="Y6859" s="4"/>
    </row>
    <row r="6860" spans="20:25" x14ac:dyDescent="0.3">
      <c r="T6860" s="12"/>
      <c r="U6860" s="4"/>
      <c r="V6860" s="4"/>
      <c r="X6860" s="4"/>
      <c r="Y6860" s="4"/>
    </row>
    <row r="6861" spans="20:25" x14ac:dyDescent="0.3">
      <c r="T6861" s="12"/>
      <c r="U6861" s="4"/>
      <c r="V6861" s="4"/>
      <c r="X6861" s="4"/>
      <c r="Y6861" s="4"/>
    </row>
    <row r="6862" spans="20:25" x14ac:dyDescent="0.3">
      <c r="T6862" s="12"/>
      <c r="U6862" s="4"/>
      <c r="V6862" s="4"/>
      <c r="X6862" s="4"/>
      <c r="Y6862" s="4"/>
    </row>
    <row r="6863" spans="20:25" x14ac:dyDescent="0.3">
      <c r="T6863" s="12"/>
      <c r="U6863" s="4"/>
      <c r="V6863" s="4"/>
      <c r="X6863" s="4"/>
      <c r="Y6863" s="4"/>
    </row>
    <row r="6864" spans="20:25" x14ac:dyDescent="0.3">
      <c r="T6864" s="12"/>
      <c r="U6864" s="4"/>
      <c r="V6864" s="4"/>
      <c r="X6864" s="4"/>
      <c r="Y6864" s="4"/>
    </row>
    <row r="6865" spans="20:25" x14ac:dyDescent="0.3">
      <c r="T6865" s="12"/>
      <c r="U6865" s="4"/>
      <c r="V6865" s="4"/>
      <c r="X6865" s="4"/>
      <c r="Y6865" s="4"/>
    </row>
    <row r="6866" spans="20:25" x14ac:dyDescent="0.3">
      <c r="T6866" s="12"/>
      <c r="U6866" s="4"/>
      <c r="V6866" s="4"/>
      <c r="X6866" s="4"/>
      <c r="Y6866" s="4"/>
    </row>
    <row r="6867" spans="20:25" x14ac:dyDescent="0.3">
      <c r="T6867" s="12"/>
      <c r="U6867" s="4"/>
      <c r="V6867" s="4"/>
      <c r="X6867" s="4"/>
      <c r="Y6867" s="4"/>
    </row>
    <row r="6868" spans="20:25" x14ac:dyDescent="0.3">
      <c r="T6868" s="12"/>
      <c r="U6868" s="4"/>
      <c r="V6868" s="4"/>
      <c r="X6868" s="4"/>
      <c r="Y6868" s="4"/>
    </row>
    <row r="6869" spans="20:25" x14ac:dyDescent="0.3">
      <c r="T6869" s="12"/>
      <c r="U6869" s="4"/>
      <c r="V6869" s="4"/>
      <c r="X6869" s="4"/>
      <c r="Y6869" s="4"/>
    </row>
    <row r="6870" spans="20:25" x14ac:dyDescent="0.3">
      <c r="T6870" s="12"/>
      <c r="U6870" s="4"/>
      <c r="V6870" s="4"/>
      <c r="X6870" s="4"/>
      <c r="Y6870" s="4"/>
    </row>
    <row r="6871" spans="20:25" x14ac:dyDescent="0.3">
      <c r="T6871" s="12"/>
      <c r="U6871" s="4"/>
      <c r="V6871" s="4"/>
      <c r="X6871" s="4"/>
      <c r="Y6871" s="4"/>
    </row>
    <row r="6872" spans="20:25" x14ac:dyDescent="0.3">
      <c r="T6872" s="12"/>
      <c r="U6872" s="4"/>
      <c r="V6872" s="4"/>
      <c r="X6872" s="4"/>
      <c r="Y6872" s="4"/>
    </row>
    <row r="6873" spans="20:25" x14ac:dyDescent="0.3">
      <c r="T6873" s="12"/>
      <c r="U6873" s="4"/>
      <c r="V6873" s="4"/>
      <c r="X6873" s="4"/>
      <c r="Y6873" s="4"/>
    </row>
    <row r="6874" spans="20:25" x14ac:dyDescent="0.3">
      <c r="T6874" s="12"/>
      <c r="U6874" s="4"/>
      <c r="V6874" s="4"/>
      <c r="X6874" s="4"/>
      <c r="Y6874" s="4"/>
    </row>
    <row r="6875" spans="20:25" x14ac:dyDescent="0.3">
      <c r="T6875" s="12"/>
      <c r="U6875" s="4"/>
      <c r="V6875" s="4"/>
      <c r="X6875" s="4"/>
      <c r="Y6875" s="4"/>
    </row>
    <row r="6876" spans="20:25" x14ac:dyDescent="0.3">
      <c r="T6876" s="12"/>
      <c r="U6876" s="4"/>
      <c r="V6876" s="4"/>
      <c r="X6876" s="4"/>
      <c r="Y6876" s="4"/>
    </row>
    <row r="6877" spans="20:25" x14ac:dyDescent="0.3">
      <c r="T6877" s="12"/>
      <c r="U6877" s="4"/>
      <c r="V6877" s="4"/>
      <c r="X6877" s="4"/>
      <c r="Y6877" s="4"/>
    </row>
    <row r="6878" spans="20:25" x14ac:dyDescent="0.3">
      <c r="T6878" s="12"/>
      <c r="U6878" s="4"/>
      <c r="V6878" s="4"/>
      <c r="X6878" s="4"/>
      <c r="Y6878" s="4"/>
    </row>
    <row r="6879" spans="20:25" x14ac:dyDescent="0.3">
      <c r="T6879" s="12"/>
      <c r="U6879" s="4"/>
      <c r="V6879" s="4"/>
      <c r="X6879" s="4"/>
      <c r="Y6879" s="4"/>
    </row>
    <row r="6880" spans="20:25" x14ac:dyDescent="0.3">
      <c r="T6880" s="12"/>
      <c r="U6880" s="4"/>
      <c r="V6880" s="4"/>
      <c r="X6880" s="4"/>
      <c r="Y6880" s="4"/>
    </row>
    <row r="6881" spans="20:25" x14ac:dyDescent="0.3">
      <c r="T6881" s="12"/>
      <c r="U6881" s="4"/>
      <c r="V6881" s="4"/>
      <c r="X6881" s="4"/>
      <c r="Y6881" s="4"/>
    </row>
    <row r="6882" spans="20:25" x14ac:dyDescent="0.3">
      <c r="T6882" s="12"/>
      <c r="U6882" s="4"/>
      <c r="V6882" s="4"/>
      <c r="X6882" s="4"/>
      <c r="Y6882" s="4"/>
    </row>
    <row r="6883" spans="20:25" x14ac:dyDescent="0.3">
      <c r="T6883" s="12"/>
      <c r="U6883" s="4"/>
      <c r="V6883" s="4"/>
      <c r="X6883" s="4"/>
      <c r="Y6883" s="4"/>
    </row>
    <row r="6884" spans="20:25" x14ac:dyDescent="0.3">
      <c r="T6884" s="12"/>
      <c r="U6884" s="4"/>
      <c r="V6884" s="4"/>
      <c r="X6884" s="4"/>
      <c r="Y6884" s="4"/>
    </row>
    <row r="6885" spans="20:25" x14ac:dyDescent="0.3">
      <c r="T6885" s="12"/>
      <c r="U6885" s="4"/>
      <c r="V6885" s="4"/>
      <c r="X6885" s="4"/>
      <c r="Y6885" s="4"/>
    </row>
    <row r="6886" spans="20:25" x14ac:dyDescent="0.3">
      <c r="T6886" s="12"/>
      <c r="U6886" s="4"/>
      <c r="V6886" s="4"/>
      <c r="X6886" s="4"/>
      <c r="Y6886" s="4"/>
    </row>
    <row r="6887" spans="20:25" x14ac:dyDescent="0.3">
      <c r="T6887" s="12"/>
      <c r="U6887" s="4"/>
      <c r="V6887" s="4"/>
      <c r="X6887" s="4"/>
      <c r="Y6887" s="4"/>
    </row>
    <row r="6888" spans="20:25" x14ac:dyDescent="0.3">
      <c r="T6888" s="12"/>
      <c r="U6888" s="4"/>
      <c r="V6888" s="4"/>
      <c r="X6888" s="4"/>
      <c r="Y6888" s="4"/>
    </row>
    <row r="6889" spans="20:25" x14ac:dyDescent="0.3">
      <c r="T6889" s="12"/>
      <c r="U6889" s="4"/>
      <c r="V6889" s="4"/>
      <c r="X6889" s="4"/>
      <c r="Y6889" s="4"/>
    </row>
    <row r="6890" spans="20:25" x14ac:dyDescent="0.3">
      <c r="T6890" s="12"/>
      <c r="U6890" s="4"/>
      <c r="V6890" s="4"/>
      <c r="X6890" s="4"/>
      <c r="Y6890" s="4"/>
    </row>
    <row r="6891" spans="20:25" x14ac:dyDescent="0.3">
      <c r="T6891" s="12"/>
      <c r="U6891" s="4"/>
      <c r="V6891" s="4"/>
      <c r="X6891" s="4"/>
      <c r="Y6891" s="4"/>
    </row>
    <row r="6892" spans="20:25" x14ac:dyDescent="0.3">
      <c r="T6892" s="12"/>
      <c r="U6892" s="4"/>
      <c r="V6892" s="4"/>
      <c r="X6892" s="4"/>
      <c r="Y6892" s="4"/>
    </row>
    <row r="6893" spans="20:25" x14ac:dyDescent="0.3">
      <c r="T6893" s="12"/>
      <c r="U6893" s="4"/>
      <c r="V6893" s="4"/>
      <c r="X6893" s="4"/>
      <c r="Y6893" s="4"/>
    </row>
    <row r="6894" spans="20:25" x14ac:dyDescent="0.3">
      <c r="T6894" s="12"/>
      <c r="U6894" s="4"/>
      <c r="V6894" s="4"/>
      <c r="X6894" s="4"/>
      <c r="Y6894" s="4"/>
    </row>
    <row r="6895" spans="20:25" x14ac:dyDescent="0.3">
      <c r="T6895" s="12"/>
      <c r="U6895" s="4"/>
      <c r="V6895" s="4"/>
      <c r="X6895" s="4"/>
      <c r="Y6895" s="4"/>
    </row>
    <row r="6896" spans="20:25" x14ac:dyDescent="0.3">
      <c r="T6896" s="12"/>
      <c r="U6896" s="4"/>
      <c r="V6896" s="4"/>
      <c r="X6896" s="4"/>
      <c r="Y6896" s="4"/>
    </row>
    <row r="6897" spans="20:25" x14ac:dyDescent="0.3">
      <c r="T6897" s="12"/>
      <c r="U6897" s="4"/>
      <c r="V6897" s="4"/>
      <c r="X6897" s="4"/>
      <c r="Y6897" s="4"/>
    </row>
    <row r="6898" spans="20:25" x14ac:dyDescent="0.3">
      <c r="T6898" s="12"/>
      <c r="U6898" s="4"/>
      <c r="V6898" s="4"/>
      <c r="X6898" s="4"/>
      <c r="Y6898" s="4"/>
    </row>
    <row r="6899" spans="20:25" x14ac:dyDescent="0.3">
      <c r="T6899" s="12"/>
      <c r="U6899" s="4"/>
      <c r="V6899" s="4"/>
      <c r="X6899" s="4"/>
      <c r="Y6899" s="4"/>
    </row>
    <row r="6900" spans="20:25" x14ac:dyDescent="0.3">
      <c r="T6900" s="12"/>
      <c r="U6900" s="4"/>
      <c r="V6900" s="4"/>
      <c r="X6900" s="4"/>
      <c r="Y6900" s="4"/>
    </row>
    <row r="6901" spans="20:25" x14ac:dyDescent="0.3">
      <c r="T6901" s="12"/>
      <c r="U6901" s="4"/>
      <c r="V6901" s="4"/>
      <c r="X6901" s="4"/>
      <c r="Y6901" s="4"/>
    </row>
    <row r="6902" spans="20:25" x14ac:dyDescent="0.3">
      <c r="T6902" s="12"/>
      <c r="U6902" s="4"/>
      <c r="V6902" s="4"/>
      <c r="X6902" s="4"/>
      <c r="Y6902" s="4"/>
    </row>
    <row r="6903" spans="20:25" x14ac:dyDescent="0.3">
      <c r="T6903" s="12"/>
      <c r="U6903" s="4"/>
      <c r="V6903" s="4"/>
      <c r="X6903" s="4"/>
      <c r="Y6903" s="4"/>
    </row>
    <row r="6904" spans="20:25" x14ac:dyDescent="0.3">
      <c r="T6904" s="12"/>
      <c r="U6904" s="4"/>
      <c r="V6904" s="4"/>
      <c r="X6904" s="4"/>
      <c r="Y6904" s="4"/>
    </row>
    <row r="6905" spans="20:25" x14ac:dyDescent="0.3">
      <c r="T6905" s="12"/>
      <c r="U6905" s="4"/>
      <c r="V6905" s="4"/>
      <c r="X6905" s="4"/>
      <c r="Y6905" s="4"/>
    </row>
    <row r="6906" spans="20:25" x14ac:dyDescent="0.3">
      <c r="T6906" s="12"/>
      <c r="U6906" s="4"/>
      <c r="V6906" s="4"/>
      <c r="X6906" s="4"/>
      <c r="Y6906" s="4"/>
    </row>
    <row r="6907" spans="20:25" x14ac:dyDescent="0.3">
      <c r="T6907" s="12"/>
      <c r="U6907" s="4"/>
      <c r="V6907" s="4"/>
      <c r="X6907" s="4"/>
      <c r="Y6907" s="4"/>
    </row>
    <row r="6908" spans="20:25" x14ac:dyDescent="0.3">
      <c r="T6908" s="12"/>
      <c r="U6908" s="4"/>
      <c r="V6908" s="4"/>
      <c r="X6908" s="4"/>
      <c r="Y6908" s="4"/>
    </row>
    <row r="6909" spans="20:25" x14ac:dyDescent="0.3">
      <c r="T6909" s="12"/>
      <c r="U6909" s="4"/>
      <c r="V6909" s="4"/>
      <c r="X6909" s="4"/>
      <c r="Y6909" s="4"/>
    </row>
    <row r="6910" spans="20:25" x14ac:dyDescent="0.3">
      <c r="T6910" s="12"/>
      <c r="U6910" s="4"/>
      <c r="V6910" s="4"/>
      <c r="X6910" s="4"/>
      <c r="Y6910" s="4"/>
    </row>
    <row r="6911" spans="20:25" x14ac:dyDescent="0.3">
      <c r="T6911" s="12"/>
      <c r="U6911" s="4"/>
      <c r="V6911" s="4"/>
      <c r="X6911" s="4"/>
      <c r="Y6911" s="4"/>
    </row>
    <row r="6912" spans="20:25" x14ac:dyDescent="0.3">
      <c r="T6912" s="12"/>
      <c r="U6912" s="4"/>
      <c r="V6912" s="4"/>
      <c r="X6912" s="4"/>
      <c r="Y6912" s="4"/>
    </row>
    <row r="6913" spans="20:25" x14ac:dyDescent="0.3">
      <c r="T6913" s="12"/>
      <c r="U6913" s="4"/>
      <c r="V6913" s="4"/>
      <c r="X6913" s="4"/>
      <c r="Y6913" s="4"/>
    </row>
    <row r="6914" spans="20:25" x14ac:dyDescent="0.3">
      <c r="T6914" s="12"/>
      <c r="U6914" s="4"/>
      <c r="V6914" s="4"/>
      <c r="X6914" s="4"/>
      <c r="Y6914" s="4"/>
    </row>
    <row r="6915" spans="20:25" x14ac:dyDescent="0.3">
      <c r="T6915" s="12"/>
      <c r="U6915" s="4"/>
      <c r="V6915" s="4"/>
      <c r="X6915" s="4"/>
      <c r="Y6915" s="4"/>
    </row>
    <row r="6916" spans="20:25" x14ac:dyDescent="0.3">
      <c r="T6916" s="12"/>
      <c r="U6916" s="4"/>
      <c r="V6916" s="4"/>
      <c r="X6916" s="4"/>
      <c r="Y6916" s="4"/>
    </row>
    <row r="6917" spans="20:25" x14ac:dyDescent="0.3">
      <c r="T6917" s="12"/>
      <c r="U6917" s="4"/>
      <c r="V6917" s="4"/>
      <c r="X6917" s="4"/>
      <c r="Y6917" s="4"/>
    </row>
    <row r="6918" spans="20:25" x14ac:dyDescent="0.3">
      <c r="T6918" s="12"/>
      <c r="U6918" s="4"/>
      <c r="V6918" s="4"/>
      <c r="X6918" s="4"/>
      <c r="Y6918" s="4"/>
    </row>
    <row r="6919" spans="20:25" x14ac:dyDescent="0.3">
      <c r="T6919" s="12"/>
      <c r="U6919" s="4"/>
      <c r="V6919" s="4"/>
      <c r="X6919" s="4"/>
      <c r="Y6919" s="4"/>
    </row>
    <row r="6920" spans="20:25" x14ac:dyDescent="0.3">
      <c r="T6920" s="12"/>
      <c r="U6920" s="4"/>
      <c r="V6920" s="4"/>
      <c r="X6920" s="4"/>
      <c r="Y6920" s="4"/>
    </row>
    <row r="6921" spans="20:25" x14ac:dyDescent="0.3">
      <c r="T6921" s="12"/>
      <c r="U6921" s="4"/>
      <c r="V6921" s="4"/>
      <c r="X6921" s="4"/>
      <c r="Y6921" s="4"/>
    </row>
    <row r="6922" spans="20:25" x14ac:dyDescent="0.3">
      <c r="T6922" s="12"/>
      <c r="U6922" s="4"/>
      <c r="V6922" s="4"/>
      <c r="X6922" s="4"/>
      <c r="Y6922" s="4"/>
    </row>
    <row r="6923" spans="20:25" x14ac:dyDescent="0.3">
      <c r="T6923" s="12"/>
      <c r="U6923" s="4"/>
      <c r="V6923" s="4"/>
      <c r="X6923" s="4"/>
      <c r="Y6923" s="4"/>
    </row>
    <row r="6924" spans="20:25" x14ac:dyDescent="0.3">
      <c r="T6924" s="12"/>
      <c r="U6924" s="4"/>
      <c r="V6924" s="4"/>
      <c r="X6924" s="4"/>
      <c r="Y6924" s="4"/>
    </row>
    <row r="6925" spans="20:25" x14ac:dyDescent="0.3">
      <c r="T6925" s="12"/>
      <c r="U6925" s="4"/>
      <c r="V6925" s="4"/>
      <c r="X6925" s="4"/>
      <c r="Y6925" s="4"/>
    </row>
    <row r="6926" spans="20:25" x14ac:dyDescent="0.3">
      <c r="T6926" s="12"/>
      <c r="U6926" s="4"/>
      <c r="V6926" s="4"/>
      <c r="X6926" s="4"/>
      <c r="Y6926" s="4"/>
    </row>
    <row r="6927" spans="20:25" x14ac:dyDescent="0.3">
      <c r="T6927" s="12"/>
      <c r="U6927" s="4"/>
      <c r="V6927" s="4"/>
      <c r="X6927" s="4"/>
      <c r="Y6927" s="4"/>
    </row>
    <row r="6928" spans="20:25" x14ac:dyDescent="0.3">
      <c r="T6928" s="12"/>
      <c r="U6928" s="4"/>
      <c r="V6928" s="4"/>
      <c r="X6928" s="4"/>
      <c r="Y6928" s="4"/>
    </row>
    <row r="6929" spans="20:25" x14ac:dyDescent="0.3">
      <c r="T6929" s="12"/>
      <c r="U6929" s="4"/>
      <c r="V6929" s="4"/>
      <c r="X6929" s="4"/>
      <c r="Y6929" s="4"/>
    </row>
    <row r="6930" spans="20:25" x14ac:dyDescent="0.3">
      <c r="T6930" s="12"/>
      <c r="U6930" s="4"/>
      <c r="V6930" s="4"/>
      <c r="X6930" s="4"/>
      <c r="Y6930" s="4"/>
    </row>
    <row r="6931" spans="20:25" x14ac:dyDescent="0.3">
      <c r="T6931" s="12"/>
      <c r="U6931" s="4"/>
      <c r="V6931" s="4"/>
      <c r="X6931" s="4"/>
      <c r="Y6931" s="4"/>
    </row>
    <row r="6932" spans="20:25" x14ac:dyDescent="0.3">
      <c r="T6932" s="12"/>
      <c r="U6932" s="4"/>
      <c r="V6932" s="4"/>
      <c r="X6932" s="4"/>
      <c r="Y6932" s="4"/>
    </row>
    <row r="6933" spans="20:25" x14ac:dyDescent="0.3">
      <c r="T6933" s="12"/>
      <c r="U6933" s="4"/>
      <c r="V6933" s="4"/>
      <c r="X6933" s="4"/>
      <c r="Y6933" s="4"/>
    </row>
    <row r="6934" spans="20:25" x14ac:dyDescent="0.3">
      <c r="T6934" s="12"/>
      <c r="U6934" s="4"/>
      <c r="V6934" s="4"/>
      <c r="X6934" s="4"/>
      <c r="Y6934" s="4"/>
    </row>
    <row r="6935" spans="20:25" x14ac:dyDescent="0.3">
      <c r="T6935" s="12"/>
      <c r="U6935" s="4"/>
      <c r="V6935" s="4"/>
      <c r="X6935" s="4"/>
      <c r="Y6935" s="4"/>
    </row>
    <row r="6936" spans="20:25" x14ac:dyDescent="0.3">
      <c r="T6936" s="12"/>
      <c r="U6936" s="4"/>
      <c r="V6936" s="4"/>
      <c r="X6936" s="4"/>
      <c r="Y6936" s="4"/>
    </row>
    <row r="6937" spans="20:25" x14ac:dyDescent="0.3">
      <c r="T6937" s="12"/>
      <c r="U6937" s="4"/>
      <c r="V6937" s="4"/>
      <c r="X6937" s="4"/>
      <c r="Y6937" s="4"/>
    </row>
    <row r="6938" spans="20:25" x14ac:dyDescent="0.3">
      <c r="T6938" s="12"/>
      <c r="U6938" s="4"/>
      <c r="V6938" s="4"/>
      <c r="X6938" s="4"/>
      <c r="Y6938" s="4"/>
    </row>
    <row r="6939" spans="20:25" x14ac:dyDescent="0.3">
      <c r="T6939" s="12"/>
      <c r="U6939" s="4"/>
      <c r="V6939" s="4"/>
      <c r="X6939" s="4"/>
      <c r="Y6939" s="4"/>
    </row>
    <row r="6940" spans="20:25" x14ac:dyDescent="0.3">
      <c r="T6940" s="12"/>
      <c r="U6940" s="4"/>
      <c r="V6940" s="4"/>
      <c r="X6940" s="4"/>
      <c r="Y6940" s="4"/>
    </row>
    <row r="6941" spans="20:25" x14ac:dyDescent="0.3">
      <c r="T6941" s="12"/>
      <c r="U6941" s="4"/>
      <c r="V6941" s="4"/>
      <c r="X6941" s="4"/>
      <c r="Y6941" s="4"/>
    </row>
    <row r="6942" spans="20:25" x14ac:dyDescent="0.3">
      <c r="T6942" s="12"/>
      <c r="U6942" s="4"/>
      <c r="V6942" s="4"/>
      <c r="X6942" s="4"/>
      <c r="Y6942" s="4"/>
    </row>
    <row r="6943" spans="20:25" x14ac:dyDescent="0.3">
      <c r="T6943" s="12"/>
      <c r="U6943" s="4"/>
      <c r="V6943" s="4"/>
      <c r="X6943" s="4"/>
      <c r="Y6943" s="4"/>
    </row>
    <row r="6944" spans="20:25" x14ac:dyDescent="0.3">
      <c r="T6944" s="12"/>
      <c r="U6944" s="4"/>
      <c r="V6944" s="4"/>
      <c r="X6944" s="4"/>
      <c r="Y6944" s="4"/>
    </row>
    <row r="6945" spans="20:25" x14ac:dyDescent="0.3">
      <c r="T6945" s="12"/>
      <c r="U6945" s="4"/>
      <c r="V6945" s="4"/>
      <c r="X6945" s="4"/>
      <c r="Y6945" s="4"/>
    </row>
    <row r="6946" spans="20:25" x14ac:dyDescent="0.3">
      <c r="T6946" s="12"/>
      <c r="U6946" s="4"/>
      <c r="V6946" s="4"/>
      <c r="X6946" s="4"/>
      <c r="Y6946" s="4"/>
    </row>
    <row r="6947" spans="20:25" x14ac:dyDescent="0.3">
      <c r="T6947" s="12"/>
      <c r="U6947" s="4"/>
      <c r="V6947" s="4"/>
      <c r="X6947" s="4"/>
      <c r="Y6947" s="4"/>
    </row>
    <row r="6948" spans="20:25" x14ac:dyDescent="0.3">
      <c r="T6948" s="12"/>
      <c r="U6948" s="4"/>
      <c r="V6948" s="4"/>
      <c r="X6948" s="4"/>
      <c r="Y6948" s="4"/>
    </row>
    <row r="6949" spans="20:25" x14ac:dyDescent="0.3">
      <c r="T6949" s="12"/>
      <c r="U6949" s="4"/>
      <c r="V6949" s="4"/>
      <c r="X6949" s="4"/>
      <c r="Y6949" s="4"/>
    </row>
    <row r="6950" spans="20:25" x14ac:dyDescent="0.3">
      <c r="T6950" s="12"/>
      <c r="U6950" s="4"/>
      <c r="V6950" s="4"/>
      <c r="X6950" s="4"/>
      <c r="Y6950" s="4"/>
    </row>
    <row r="6951" spans="20:25" x14ac:dyDescent="0.3">
      <c r="T6951" s="12"/>
      <c r="U6951" s="4"/>
      <c r="V6951" s="4"/>
      <c r="X6951" s="4"/>
      <c r="Y6951" s="4"/>
    </row>
    <row r="6952" spans="20:25" x14ac:dyDescent="0.3">
      <c r="T6952" s="12"/>
      <c r="U6952" s="4"/>
      <c r="V6952" s="4"/>
      <c r="X6952" s="4"/>
      <c r="Y6952" s="4"/>
    </row>
    <row r="6953" spans="20:25" x14ac:dyDescent="0.3">
      <c r="T6953" s="12"/>
      <c r="U6953" s="4"/>
      <c r="V6953" s="4"/>
      <c r="X6953" s="4"/>
      <c r="Y6953" s="4"/>
    </row>
    <row r="6954" spans="20:25" x14ac:dyDescent="0.3">
      <c r="T6954" s="12"/>
      <c r="U6954" s="4"/>
      <c r="V6954" s="4"/>
      <c r="X6954" s="4"/>
      <c r="Y6954" s="4"/>
    </row>
    <row r="6955" spans="20:25" x14ac:dyDescent="0.3">
      <c r="T6955" s="12"/>
      <c r="U6955" s="4"/>
      <c r="V6955" s="4"/>
      <c r="X6955" s="4"/>
      <c r="Y6955" s="4"/>
    </row>
    <row r="6956" spans="20:25" x14ac:dyDescent="0.3">
      <c r="T6956" s="12"/>
      <c r="U6956" s="4"/>
      <c r="V6956" s="4"/>
      <c r="X6956" s="4"/>
      <c r="Y6956" s="4"/>
    </row>
    <row r="6957" spans="20:25" x14ac:dyDescent="0.3">
      <c r="T6957" s="12"/>
      <c r="U6957" s="4"/>
      <c r="V6957" s="4"/>
      <c r="X6957" s="4"/>
      <c r="Y6957" s="4"/>
    </row>
    <row r="6958" spans="20:25" x14ac:dyDescent="0.3">
      <c r="T6958" s="12"/>
      <c r="U6958" s="4"/>
      <c r="V6958" s="4"/>
      <c r="X6958" s="4"/>
      <c r="Y6958" s="4"/>
    </row>
    <row r="6959" spans="20:25" x14ac:dyDescent="0.3">
      <c r="T6959" s="12"/>
      <c r="U6959" s="4"/>
      <c r="V6959" s="4"/>
      <c r="X6959" s="4"/>
      <c r="Y6959" s="4"/>
    </row>
    <row r="6960" spans="20:25" x14ac:dyDescent="0.3">
      <c r="T6960" s="12"/>
      <c r="U6960" s="4"/>
      <c r="V6960" s="4"/>
      <c r="X6960" s="4"/>
      <c r="Y6960" s="4"/>
    </row>
    <row r="6961" spans="20:25" x14ac:dyDescent="0.3">
      <c r="T6961" s="12"/>
      <c r="U6961" s="4"/>
      <c r="V6961" s="4"/>
      <c r="X6961" s="4"/>
      <c r="Y6961" s="4"/>
    </row>
    <row r="6962" spans="20:25" x14ac:dyDescent="0.3">
      <c r="T6962" s="12"/>
      <c r="U6962" s="4"/>
      <c r="V6962" s="4"/>
      <c r="X6962" s="4"/>
      <c r="Y6962" s="4"/>
    </row>
    <row r="6963" spans="20:25" x14ac:dyDescent="0.3">
      <c r="T6963" s="12"/>
      <c r="U6963" s="4"/>
      <c r="V6963" s="4"/>
      <c r="X6963" s="4"/>
      <c r="Y6963" s="4"/>
    </row>
    <row r="6964" spans="20:25" x14ac:dyDescent="0.3">
      <c r="T6964" s="12"/>
      <c r="U6964" s="4"/>
      <c r="V6964" s="4"/>
      <c r="X6964" s="4"/>
      <c r="Y6964" s="4"/>
    </row>
    <row r="6965" spans="20:25" x14ac:dyDescent="0.3">
      <c r="T6965" s="12"/>
      <c r="U6965" s="4"/>
      <c r="V6965" s="4"/>
      <c r="X6965" s="4"/>
      <c r="Y6965" s="4"/>
    </row>
    <row r="6966" spans="20:25" x14ac:dyDescent="0.3">
      <c r="T6966" s="12"/>
      <c r="U6966" s="4"/>
      <c r="V6966" s="4"/>
      <c r="X6966" s="4"/>
      <c r="Y6966" s="4"/>
    </row>
    <row r="6967" spans="20:25" x14ac:dyDescent="0.3">
      <c r="T6967" s="12"/>
      <c r="U6967" s="4"/>
      <c r="V6967" s="4"/>
      <c r="X6967" s="4"/>
      <c r="Y6967" s="4"/>
    </row>
    <row r="6968" spans="20:25" x14ac:dyDescent="0.3">
      <c r="T6968" s="12"/>
      <c r="U6968" s="4"/>
      <c r="V6968" s="4"/>
      <c r="X6968" s="4"/>
      <c r="Y6968" s="4"/>
    </row>
    <row r="6969" spans="20:25" x14ac:dyDescent="0.3">
      <c r="T6969" s="12"/>
      <c r="U6969" s="4"/>
      <c r="V6969" s="4"/>
      <c r="X6969" s="4"/>
      <c r="Y6969" s="4"/>
    </row>
    <row r="6970" spans="20:25" x14ac:dyDescent="0.3">
      <c r="T6970" s="12"/>
      <c r="U6970" s="4"/>
      <c r="V6970" s="4"/>
      <c r="X6970" s="4"/>
      <c r="Y6970" s="4"/>
    </row>
    <row r="6971" spans="20:25" x14ac:dyDescent="0.3">
      <c r="T6971" s="12"/>
      <c r="U6971" s="4"/>
      <c r="V6971" s="4"/>
      <c r="X6971" s="4"/>
      <c r="Y6971" s="4"/>
    </row>
    <row r="6972" spans="20:25" x14ac:dyDescent="0.3">
      <c r="T6972" s="12"/>
      <c r="U6972" s="4"/>
      <c r="V6972" s="4"/>
      <c r="X6972" s="4"/>
      <c r="Y6972" s="4"/>
    </row>
    <row r="6973" spans="20:25" x14ac:dyDescent="0.3">
      <c r="T6973" s="12"/>
      <c r="U6973" s="4"/>
      <c r="V6973" s="4"/>
      <c r="X6973" s="4"/>
      <c r="Y6973" s="4"/>
    </row>
    <row r="6974" spans="20:25" x14ac:dyDescent="0.3">
      <c r="T6974" s="12"/>
      <c r="U6974" s="4"/>
      <c r="V6974" s="4"/>
      <c r="X6974" s="4"/>
      <c r="Y6974" s="4"/>
    </row>
    <row r="6975" spans="20:25" x14ac:dyDescent="0.3">
      <c r="T6975" s="12"/>
      <c r="U6975" s="4"/>
      <c r="V6975" s="4"/>
      <c r="X6975" s="4"/>
      <c r="Y6975" s="4"/>
    </row>
    <row r="6976" spans="20:25" x14ac:dyDescent="0.3">
      <c r="T6976" s="12"/>
      <c r="U6976" s="4"/>
      <c r="V6976" s="4"/>
      <c r="X6976" s="4"/>
      <c r="Y6976" s="4"/>
    </row>
    <row r="6977" spans="20:25" x14ac:dyDescent="0.3">
      <c r="T6977" s="12"/>
      <c r="U6977" s="4"/>
      <c r="V6977" s="4"/>
      <c r="X6977" s="4"/>
      <c r="Y6977" s="4"/>
    </row>
    <row r="6978" spans="20:25" x14ac:dyDescent="0.3">
      <c r="T6978" s="12"/>
      <c r="U6978" s="4"/>
      <c r="V6978" s="4"/>
      <c r="X6978" s="4"/>
      <c r="Y6978" s="4"/>
    </row>
    <row r="6979" spans="20:25" x14ac:dyDescent="0.3">
      <c r="T6979" s="12"/>
      <c r="U6979" s="4"/>
      <c r="V6979" s="4"/>
      <c r="X6979" s="4"/>
      <c r="Y6979" s="4"/>
    </row>
    <row r="6980" spans="20:25" x14ac:dyDescent="0.3">
      <c r="T6980" s="12"/>
      <c r="U6980" s="4"/>
      <c r="V6980" s="4"/>
      <c r="X6980" s="4"/>
      <c r="Y6980" s="4"/>
    </row>
    <row r="6981" spans="20:25" x14ac:dyDescent="0.3">
      <c r="T6981" s="12"/>
      <c r="U6981" s="4"/>
      <c r="V6981" s="4"/>
      <c r="X6981" s="4"/>
      <c r="Y6981" s="4"/>
    </row>
    <row r="6982" spans="20:25" x14ac:dyDescent="0.3">
      <c r="T6982" s="12"/>
      <c r="U6982" s="4"/>
      <c r="V6982" s="4"/>
      <c r="X6982" s="4"/>
      <c r="Y6982" s="4"/>
    </row>
    <row r="6983" spans="20:25" x14ac:dyDescent="0.3">
      <c r="T6983" s="12"/>
      <c r="U6983" s="4"/>
      <c r="V6983" s="4"/>
      <c r="X6983" s="4"/>
      <c r="Y6983" s="4"/>
    </row>
    <row r="6984" spans="20:25" x14ac:dyDescent="0.3">
      <c r="T6984" s="12"/>
      <c r="U6984" s="4"/>
      <c r="V6984" s="4"/>
      <c r="X6984" s="4"/>
      <c r="Y6984" s="4"/>
    </row>
    <row r="6985" spans="20:25" x14ac:dyDescent="0.3">
      <c r="T6985" s="12"/>
      <c r="U6985" s="4"/>
      <c r="V6985" s="4"/>
      <c r="X6985" s="4"/>
      <c r="Y6985" s="4"/>
    </row>
    <row r="6986" spans="20:25" x14ac:dyDescent="0.3">
      <c r="T6986" s="12"/>
      <c r="U6986" s="4"/>
      <c r="V6986" s="4"/>
      <c r="X6986" s="4"/>
      <c r="Y6986" s="4"/>
    </row>
    <row r="6987" spans="20:25" x14ac:dyDescent="0.3">
      <c r="T6987" s="12"/>
      <c r="U6987" s="4"/>
      <c r="V6987" s="4"/>
      <c r="X6987" s="4"/>
      <c r="Y6987" s="4"/>
    </row>
    <row r="6988" spans="20:25" x14ac:dyDescent="0.3">
      <c r="T6988" s="12"/>
      <c r="U6988" s="4"/>
      <c r="V6988" s="4"/>
      <c r="X6988" s="4"/>
      <c r="Y6988" s="4"/>
    </row>
    <row r="6989" spans="20:25" x14ac:dyDescent="0.3">
      <c r="T6989" s="12"/>
      <c r="U6989" s="4"/>
      <c r="V6989" s="4"/>
      <c r="X6989" s="4"/>
      <c r="Y6989" s="4"/>
    </row>
    <row r="6990" spans="20:25" x14ac:dyDescent="0.3">
      <c r="T6990" s="12"/>
      <c r="U6990" s="4"/>
      <c r="V6990" s="4"/>
      <c r="X6990" s="4"/>
      <c r="Y6990" s="4"/>
    </row>
    <row r="6991" spans="20:25" x14ac:dyDescent="0.3">
      <c r="T6991" s="12"/>
      <c r="U6991" s="4"/>
      <c r="V6991" s="4"/>
      <c r="X6991" s="4"/>
      <c r="Y6991" s="4"/>
    </row>
    <row r="6992" spans="20:25" x14ac:dyDescent="0.3">
      <c r="T6992" s="12"/>
      <c r="U6992" s="4"/>
      <c r="V6992" s="4"/>
      <c r="X6992" s="4"/>
      <c r="Y6992" s="4"/>
    </row>
    <row r="6993" spans="20:25" x14ac:dyDescent="0.3">
      <c r="T6993" s="12"/>
      <c r="U6993" s="4"/>
      <c r="V6993" s="4"/>
      <c r="X6993" s="4"/>
      <c r="Y6993" s="4"/>
    </row>
    <row r="6994" spans="20:25" x14ac:dyDescent="0.3">
      <c r="T6994" s="12"/>
      <c r="U6994" s="4"/>
      <c r="V6994" s="4"/>
      <c r="X6994" s="4"/>
      <c r="Y6994" s="4"/>
    </row>
    <row r="6995" spans="20:25" x14ac:dyDescent="0.3">
      <c r="T6995" s="12"/>
      <c r="U6995" s="4"/>
      <c r="V6995" s="4"/>
      <c r="X6995" s="4"/>
      <c r="Y6995" s="4"/>
    </row>
    <row r="6996" spans="20:25" x14ac:dyDescent="0.3">
      <c r="T6996" s="12"/>
      <c r="U6996" s="4"/>
      <c r="V6996" s="4"/>
      <c r="X6996" s="4"/>
      <c r="Y6996" s="4"/>
    </row>
    <row r="6997" spans="20:25" x14ac:dyDescent="0.3">
      <c r="T6997" s="12"/>
      <c r="U6997" s="4"/>
      <c r="V6997" s="4"/>
      <c r="X6997" s="4"/>
      <c r="Y6997" s="4"/>
    </row>
    <row r="6998" spans="20:25" x14ac:dyDescent="0.3">
      <c r="T6998" s="12"/>
      <c r="U6998" s="4"/>
      <c r="V6998" s="4"/>
      <c r="X6998" s="4"/>
      <c r="Y6998" s="4"/>
    </row>
    <row r="6999" spans="20:25" x14ac:dyDescent="0.3">
      <c r="T6999" s="12"/>
      <c r="U6999" s="4"/>
      <c r="V6999" s="4"/>
      <c r="X6999" s="4"/>
      <c r="Y6999" s="4"/>
    </row>
    <row r="7000" spans="20:25" x14ac:dyDescent="0.3">
      <c r="T7000" s="12"/>
      <c r="U7000" s="4"/>
      <c r="V7000" s="4"/>
      <c r="X7000" s="4"/>
      <c r="Y7000" s="4"/>
    </row>
    <row r="7001" spans="20:25" x14ac:dyDescent="0.3">
      <c r="T7001" s="12"/>
      <c r="U7001" s="4"/>
      <c r="V7001" s="4"/>
      <c r="X7001" s="4"/>
      <c r="Y7001" s="4"/>
    </row>
    <row r="7002" spans="20:25" x14ac:dyDescent="0.3">
      <c r="T7002" s="12"/>
      <c r="U7002" s="4"/>
      <c r="V7002" s="4"/>
      <c r="X7002" s="4"/>
      <c r="Y7002" s="4"/>
    </row>
    <row r="7003" spans="20:25" x14ac:dyDescent="0.3">
      <c r="T7003" s="12"/>
      <c r="U7003" s="4"/>
      <c r="V7003" s="4"/>
      <c r="X7003" s="4"/>
      <c r="Y7003" s="4"/>
    </row>
    <row r="7004" spans="20:25" x14ac:dyDescent="0.3">
      <c r="T7004" s="12"/>
      <c r="U7004" s="4"/>
      <c r="V7004" s="4"/>
      <c r="X7004" s="4"/>
      <c r="Y7004" s="4"/>
    </row>
    <row r="7005" spans="20:25" x14ac:dyDescent="0.3">
      <c r="T7005" s="12"/>
      <c r="U7005" s="4"/>
      <c r="V7005" s="4"/>
      <c r="X7005" s="4"/>
      <c r="Y7005" s="4"/>
    </row>
    <row r="7006" spans="20:25" x14ac:dyDescent="0.3">
      <c r="T7006" s="12"/>
      <c r="U7006" s="4"/>
      <c r="V7006" s="4"/>
      <c r="X7006" s="4"/>
      <c r="Y7006" s="4"/>
    </row>
    <row r="7007" spans="20:25" x14ac:dyDescent="0.3">
      <c r="T7007" s="12"/>
      <c r="U7007" s="4"/>
      <c r="V7007" s="4"/>
      <c r="X7007" s="4"/>
      <c r="Y7007" s="4"/>
    </row>
    <row r="7008" spans="20:25" x14ac:dyDescent="0.3">
      <c r="T7008" s="12"/>
      <c r="U7008" s="4"/>
      <c r="V7008" s="4"/>
      <c r="X7008" s="4"/>
      <c r="Y7008" s="4"/>
    </row>
    <row r="7009" spans="20:25" x14ac:dyDescent="0.3">
      <c r="T7009" s="12"/>
      <c r="U7009" s="4"/>
      <c r="V7009" s="4"/>
      <c r="X7009" s="4"/>
      <c r="Y7009" s="4"/>
    </row>
    <row r="7010" spans="20:25" x14ac:dyDescent="0.3">
      <c r="T7010" s="12"/>
      <c r="U7010" s="4"/>
      <c r="V7010" s="4"/>
      <c r="X7010" s="4"/>
      <c r="Y7010" s="4"/>
    </row>
    <row r="7011" spans="20:25" x14ac:dyDescent="0.3">
      <c r="T7011" s="12"/>
      <c r="U7011" s="4"/>
      <c r="V7011" s="4"/>
      <c r="X7011" s="4"/>
      <c r="Y7011" s="4"/>
    </row>
    <row r="7012" spans="20:25" x14ac:dyDescent="0.3">
      <c r="T7012" s="12"/>
      <c r="U7012" s="4"/>
      <c r="V7012" s="4"/>
      <c r="X7012" s="4"/>
      <c r="Y7012" s="4"/>
    </row>
    <row r="7013" spans="20:25" x14ac:dyDescent="0.3">
      <c r="T7013" s="12"/>
      <c r="U7013" s="4"/>
      <c r="V7013" s="4"/>
      <c r="X7013" s="4"/>
      <c r="Y7013" s="4"/>
    </row>
    <row r="7014" spans="20:25" x14ac:dyDescent="0.3">
      <c r="T7014" s="12"/>
      <c r="U7014" s="4"/>
      <c r="V7014" s="4"/>
      <c r="X7014" s="4"/>
      <c r="Y7014" s="4"/>
    </row>
    <row r="7015" spans="20:25" x14ac:dyDescent="0.3">
      <c r="T7015" s="12"/>
      <c r="U7015" s="4"/>
      <c r="V7015" s="4"/>
      <c r="X7015" s="4"/>
      <c r="Y7015" s="4"/>
    </row>
    <row r="7016" spans="20:25" x14ac:dyDescent="0.3">
      <c r="T7016" s="12"/>
      <c r="U7016" s="4"/>
      <c r="V7016" s="4"/>
      <c r="X7016" s="4"/>
      <c r="Y7016" s="4"/>
    </row>
    <row r="7017" spans="20:25" x14ac:dyDescent="0.3">
      <c r="T7017" s="12"/>
      <c r="U7017" s="4"/>
      <c r="V7017" s="4"/>
      <c r="X7017" s="4"/>
      <c r="Y7017" s="4"/>
    </row>
    <row r="7018" spans="20:25" x14ac:dyDescent="0.3">
      <c r="T7018" s="12"/>
      <c r="U7018" s="4"/>
      <c r="V7018" s="4"/>
      <c r="X7018" s="4"/>
      <c r="Y7018" s="4"/>
    </row>
    <row r="7019" spans="20:25" x14ac:dyDescent="0.3">
      <c r="T7019" s="12"/>
      <c r="U7019" s="4"/>
      <c r="V7019" s="4"/>
      <c r="X7019" s="4"/>
      <c r="Y7019" s="4"/>
    </row>
    <row r="7020" spans="20:25" x14ac:dyDescent="0.3">
      <c r="T7020" s="12"/>
      <c r="U7020" s="4"/>
      <c r="V7020" s="4"/>
      <c r="X7020" s="4"/>
      <c r="Y7020" s="4"/>
    </row>
    <row r="7021" spans="20:25" x14ac:dyDescent="0.3">
      <c r="T7021" s="12"/>
      <c r="U7021" s="4"/>
      <c r="V7021" s="4"/>
      <c r="X7021" s="4"/>
      <c r="Y7021" s="4"/>
    </row>
    <row r="7022" spans="20:25" x14ac:dyDescent="0.3">
      <c r="T7022" s="12"/>
      <c r="U7022" s="4"/>
      <c r="V7022" s="4"/>
      <c r="X7022" s="4"/>
      <c r="Y7022" s="4"/>
    </row>
    <row r="7023" spans="20:25" x14ac:dyDescent="0.3">
      <c r="T7023" s="12"/>
      <c r="U7023" s="4"/>
      <c r="V7023" s="4"/>
      <c r="X7023" s="4"/>
      <c r="Y7023" s="4"/>
    </row>
    <row r="7024" spans="20:25" x14ac:dyDescent="0.3">
      <c r="T7024" s="12"/>
      <c r="U7024" s="4"/>
      <c r="V7024" s="4"/>
      <c r="X7024" s="4"/>
      <c r="Y7024" s="4"/>
    </row>
    <row r="7025" spans="20:25" x14ac:dyDescent="0.3">
      <c r="T7025" s="12"/>
      <c r="U7025" s="4"/>
      <c r="V7025" s="4"/>
      <c r="X7025" s="4"/>
      <c r="Y7025" s="4"/>
    </row>
    <row r="7026" spans="20:25" x14ac:dyDescent="0.3">
      <c r="T7026" s="12"/>
      <c r="U7026" s="4"/>
      <c r="V7026" s="4"/>
      <c r="X7026" s="4"/>
      <c r="Y7026" s="4"/>
    </row>
    <row r="7027" spans="20:25" x14ac:dyDescent="0.3">
      <c r="T7027" s="12"/>
      <c r="U7027" s="4"/>
      <c r="V7027" s="4"/>
      <c r="X7027" s="4"/>
      <c r="Y7027" s="4"/>
    </row>
    <row r="7028" spans="20:25" x14ac:dyDescent="0.3">
      <c r="T7028" s="12"/>
      <c r="U7028" s="4"/>
      <c r="V7028" s="4"/>
      <c r="X7028" s="4"/>
      <c r="Y7028" s="4"/>
    </row>
    <row r="7029" spans="20:25" x14ac:dyDescent="0.3">
      <c r="T7029" s="12"/>
      <c r="U7029" s="4"/>
      <c r="V7029" s="4"/>
      <c r="X7029" s="4"/>
      <c r="Y7029" s="4"/>
    </row>
    <row r="7030" spans="20:25" x14ac:dyDescent="0.3">
      <c r="T7030" s="12"/>
      <c r="U7030" s="4"/>
      <c r="V7030" s="4"/>
      <c r="X7030" s="4"/>
      <c r="Y7030" s="4"/>
    </row>
    <row r="7031" spans="20:25" x14ac:dyDescent="0.3">
      <c r="T7031" s="12"/>
      <c r="U7031" s="4"/>
      <c r="V7031" s="4"/>
      <c r="X7031" s="4"/>
      <c r="Y7031" s="4"/>
    </row>
    <row r="7032" spans="20:25" x14ac:dyDescent="0.3">
      <c r="T7032" s="12"/>
      <c r="U7032" s="4"/>
      <c r="V7032" s="4"/>
      <c r="X7032" s="4"/>
      <c r="Y7032" s="4"/>
    </row>
    <row r="7033" spans="20:25" x14ac:dyDescent="0.3">
      <c r="T7033" s="12"/>
      <c r="U7033" s="4"/>
      <c r="V7033" s="4"/>
      <c r="X7033" s="4"/>
      <c r="Y7033" s="4"/>
    </row>
    <row r="7034" spans="20:25" x14ac:dyDescent="0.3">
      <c r="T7034" s="12"/>
      <c r="U7034" s="4"/>
      <c r="V7034" s="4"/>
      <c r="X7034" s="4"/>
      <c r="Y7034" s="4"/>
    </row>
    <row r="7035" spans="20:25" x14ac:dyDescent="0.3">
      <c r="T7035" s="12"/>
      <c r="U7035" s="4"/>
      <c r="V7035" s="4"/>
      <c r="X7035" s="4"/>
      <c r="Y7035" s="4"/>
    </row>
    <row r="7036" spans="20:25" x14ac:dyDescent="0.3">
      <c r="T7036" s="12"/>
      <c r="U7036" s="4"/>
      <c r="V7036" s="4"/>
      <c r="X7036" s="4"/>
      <c r="Y7036" s="4"/>
    </row>
    <row r="7037" spans="20:25" x14ac:dyDescent="0.3">
      <c r="T7037" s="12"/>
      <c r="U7037" s="4"/>
      <c r="V7037" s="4"/>
      <c r="X7037" s="4"/>
      <c r="Y7037" s="4"/>
    </row>
    <row r="7038" spans="20:25" x14ac:dyDescent="0.3">
      <c r="T7038" s="12"/>
      <c r="U7038" s="4"/>
      <c r="V7038" s="4"/>
      <c r="X7038" s="4"/>
      <c r="Y7038" s="4"/>
    </row>
    <row r="7039" spans="20:25" x14ac:dyDescent="0.3">
      <c r="T7039" s="12"/>
      <c r="U7039" s="4"/>
      <c r="V7039" s="4"/>
      <c r="X7039" s="4"/>
      <c r="Y7039" s="4"/>
    </row>
    <row r="7040" spans="20:25" x14ac:dyDescent="0.3">
      <c r="T7040" s="12"/>
      <c r="U7040" s="4"/>
      <c r="V7040" s="4"/>
      <c r="X7040" s="4"/>
      <c r="Y7040" s="4"/>
    </row>
    <row r="7041" spans="20:25" x14ac:dyDescent="0.3">
      <c r="T7041" s="12"/>
      <c r="U7041" s="4"/>
      <c r="V7041" s="4"/>
      <c r="X7041" s="4"/>
      <c r="Y7041" s="4"/>
    </row>
    <row r="7042" spans="20:25" x14ac:dyDescent="0.3">
      <c r="T7042" s="12"/>
      <c r="U7042" s="4"/>
      <c r="V7042" s="4"/>
      <c r="X7042" s="4"/>
      <c r="Y7042" s="4"/>
    </row>
    <row r="7043" spans="20:25" x14ac:dyDescent="0.3">
      <c r="T7043" s="12"/>
      <c r="U7043" s="4"/>
      <c r="V7043" s="4"/>
      <c r="X7043" s="4"/>
      <c r="Y7043" s="4"/>
    </row>
    <row r="7044" spans="20:25" x14ac:dyDescent="0.3">
      <c r="T7044" s="12"/>
      <c r="U7044" s="4"/>
      <c r="V7044" s="4"/>
      <c r="X7044" s="4"/>
      <c r="Y7044" s="4"/>
    </row>
    <row r="7045" spans="20:25" x14ac:dyDescent="0.3">
      <c r="T7045" s="12"/>
      <c r="U7045" s="4"/>
      <c r="V7045" s="4"/>
      <c r="X7045" s="4"/>
      <c r="Y7045" s="4"/>
    </row>
    <row r="7046" spans="20:25" x14ac:dyDescent="0.3">
      <c r="T7046" s="12"/>
      <c r="U7046" s="4"/>
      <c r="V7046" s="4"/>
      <c r="X7046" s="4"/>
      <c r="Y7046" s="4"/>
    </row>
    <row r="7047" spans="20:25" x14ac:dyDescent="0.3">
      <c r="T7047" s="12"/>
      <c r="U7047" s="4"/>
      <c r="V7047" s="4"/>
      <c r="X7047" s="4"/>
      <c r="Y7047" s="4"/>
    </row>
    <row r="7048" spans="20:25" x14ac:dyDescent="0.3">
      <c r="T7048" s="12"/>
      <c r="U7048" s="4"/>
      <c r="V7048" s="4"/>
      <c r="X7048" s="4"/>
      <c r="Y7048" s="4"/>
    </row>
    <row r="7049" spans="20:25" x14ac:dyDescent="0.3">
      <c r="T7049" s="12"/>
      <c r="U7049" s="4"/>
      <c r="V7049" s="4"/>
      <c r="X7049" s="4"/>
      <c r="Y7049" s="4"/>
    </row>
    <row r="7050" spans="20:25" x14ac:dyDescent="0.3">
      <c r="T7050" s="12"/>
      <c r="U7050" s="4"/>
      <c r="V7050" s="4"/>
      <c r="X7050" s="4"/>
      <c r="Y7050" s="4"/>
    </row>
    <row r="7051" spans="20:25" x14ac:dyDescent="0.3">
      <c r="T7051" s="12"/>
      <c r="U7051" s="4"/>
      <c r="V7051" s="4"/>
      <c r="X7051" s="4"/>
      <c r="Y7051" s="4"/>
    </row>
    <row r="7052" spans="20:25" x14ac:dyDescent="0.3">
      <c r="T7052" s="12"/>
      <c r="U7052" s="4"/>
      <c r="V7052" s="4"/>
      <c r="X7052" s="4"/>
      <c r="Y7052" s="4"/>
    </row>
    <row r="7053" spans="20:25" x14ac:dyDescent="0.3">
      <c r="T7053" s="12"/>
      <c r="U7053" s="4"/>
      <c r="V7053" s="4"/>
      <c r="X7053" s="4"/>
      <c r="Y7053" s="4"/>
    </row>
    <row r="7054" spans="20:25" x14ac:dyDescent="0.3">
      <c r="T7054" s="12"/>
      <c r="U7054" s="4"/>
      <c r="V7054" s="4"/>
      <c r="X7054" s="4"/>
      <c r="Y7054" s="4"/>
    </row>
    <row r="7055" spans="20:25" x14ac:dyDescent="0.3">
      <c r="T7055" s="12"/>
      <c r="U7055" s="4"/>
      <c r="V7055" s="4"/>
      <c r="X7055" s="4"/>
      <c r="Y7055" s="4"/>
    </row>
    <row r="7056" spans="20:25" x14ac:dyDescent="0.3">
      <c r="T7056" s="12"/>
      <c r="U7056" s="4"/>
      <c r="V7056" s="4"/>
      <c r="X7056" s="4"/>
      <c r="Y7056" s="4"/>
    </row>
    <row r="7057" spans="20:25" x14ac:dyDescent="0.3">
      <c r="T7057" s="12"/>
      <c r="U7057" s="4"/>
      <c r="V7057" s="4"/>
      <c r="X7057" s="4"/>
      <c r="Y7057" s="4"/>
    </row>
    <row r="7058" spans="20:25" x14ac:dyDescent="0.3">
      <c r="T7058" s="12"/>
      <c r="U7058" s="4"/>
      <c r="V7058" s="4"/>
      <c r="X7058" s="4"/>
      <c r="Y7058" s="4"/>
    </row>
    <row r="7059" spans="20:25" x14ac:dyDescent="0.3">
      <c r="T7059" s="12"/>
      <c r="U7059" s="4"/>
      <c r="V7059" s="4"/>
      <c r="X7059" s="4"/>
      <c r="Y7059" s="4"/>
    </row>
    <row r="7060" spans="20:25" x14ac:dyDescent="0.3">
      <c r="T7060" s="12"/>
      <c r="U7060" s="4"/>
      <c r="V7060" s="4"/>
      <c r="X7060" s="4"/>
      <c r="Y7060" s="4"/>
    </row>
    <row r="7061" spans="20:25" x14ac:dyDescent="0.3">
      <c r="T7061" s="12"/>
      <c r="U7061" s="4"/>
      <c r="V7061" s="4"/>
      <c r="X7061" s="4"/>
      <c r="Y7061" s="4"/>
    </row>
    <row r="7062" spans="20:25" x14ac:dyDescent="0.3">
      <c r="T7062" s="12"/>
      <c r="U7062" s="4"/>
      <c r="V7062" s="4"/>
      <c r="X7062" s="4"/>
      <c r="Y7062" s="4"/>
    </row>
    <row r="7063" spans="20:25" x14ac:dyDescent="0.3">
      <c r="T7063" s="12"/>
      <c r="U7063" s="4"/>
      <c r="V7063" s="4"/>
      <c r="X7063" s="4"/>
      <c r="Y7063" s="4"/>
    </row>
    <row r="7064" spans="20:25" x14ac:dyDescent="0.3">
      <c r="T7064" s="12"/>
      <c r="U7064" s="4"/>
      <c r="V7064" s="4"/>
      <c r="X7064" s="4"/>
      <c r="Y7064" s="4"/>
    </row>
    <row r="7065" spans="20:25" x14ac:dyDescent="0.3">
      <c r="T7065" s="12"/>
      <c r="U7065" s="4"/>
      <c r="V7065" s="4"/>
      <c r="X7065" s="4"/>
      <c r="Y7065" s="4"/>
    </row>
    <row r="7066" spans="20:25" x14ac:dyDescent="0.3">
      <c r="T7066" s="12"/>
      <c r="U7066" s="4"/>
      <c r="V7066" s="4"/>
      <c r="X7066" s="4"/>
      <c r="Y7066" s="4"/>
    </row>
    <row r="7067" spans="20:25" x14ac:dyDescent="0.3">
      <c r="T7067" s="12"/>
      <c r="U7067" s="4"/>
      <c r="V7067" s="4"/>
      <c r="X7067" s="4"/>
      <c r="Y7067" s="4"/>
    </row>
    <row r="7068" spans="20:25" x14ac:dyDescent="0.3">
      <c r="T7068" s="12"/>
      <c r="U7068" s="4"/>
      <c r="V7068" s="4"/>
      <c r="X7068" s="4"/>
      <c r="Y7068" s="4"/>
    </row>
    <row r="7069" spans="20:25" x14ac:dyDescent="0.3">
      <c r="T7069" s="12"/>
      <c r="U7069" s="4"/>
      <c r="V7069" s="4"/>
      <c r="X7069" s="4"/>
      <c r="Y7069" s="4"/>
    </row>
    <row r="7070" spans="20:25" x14ac:dyDescent="0.3">
      <c r="T7070" s="12"/>
      <c r="U7070" s="4"/>
      <c r="V7070" s="4"/>
      <c r="X7070" s="4"/>
      <c r="Y7070" s="4"/>
    </row>
    <row r="7071" spans="20:25" x14ac:dyDescent="0.3">
      <c r="T7071" s="12"/>
      <c r="U7071" s="4"/>
      <c r="V7071" s="4"/>
      <c r="X7071" s="4"/>
      <c r="Y7071" s="4"/>
    </row>
    <row r="7072" spans="20:25" x14ac:dyDescent="0.3">
      <c r="T7072" s="12"/>
      <c r="U7072" s="4"/>
      <c r="V7072" s="4"/>
      <c r="X7072" s="4"/>
      <c r="Y7072" s="4"/>
    </row>
    <row r="7073" spans="20:25" x14ac:dyDescent="0.3">
      <c r="T7073" s="12"/>
      <c r="U7073" s="4"/>
      <c r="V7073" s="4"/>
      <c r="X7073" s="4"/>
      <c r="Y7073" s="4"/>
    </row>
    <row r="7074" spans="20:25" x14ac:dyDescent="0.3">
      <c r="T7074" s="12"/>
      <c r="U7074" s="4"/>
      <c r="V7074" s="4"/>
      <c r="X7074" s="4"/>
      <c r="Y7074" s="4"/>
    </row>
    <row r="7075" spans="20:25" x14ac:dyDescent="0.3">
      <c r="T7075" s="12"/>
      <c r="U7075" s="4"/>
      <c r="V7075" s="4"/>
      <c r="X7075" s="4"/>
      <c r="Y7075" s="4"/>
    </row>
    <row r="7076" spans="20:25" x14ac:dyDescent="0.3">
      <c r="T7076" s="12"/>
      <c r="U7076" s="4"/>
      <c r="V7076" s="4"/>
      <c r="X7076" s="4"/>
      <c r="Y7076" s="4"/>
    </row>
    <row r="7077" spans="20:25" x14ac:dyDescent="0.3">
      <c r="T7077" s="12"/>
      <c r="U7077" s="4"/>
      <c r="V7077" s="4"/>
      <c r="X7077" s="4"/>
      <c r="Y7077" s="4"/>
    </row>
    <row r="7078" spans="20:25" x14ac:dyDescent="0.3">
      <c r="T7078" s="12"/>
      <c r="U7078" s="4"/>
      <c r="V7078" s="4"/>
      <c r="X7078" s="4"/>
      <c r="Y7078" s="4"/>
    </row>
    <row r="7079" spans="20:25" x14ac:dyDescent="0.3">
      <c r="T7079" s="12"/>
      <c r="U7079" s="4"/>
      <c r="V7079" s="4"/>
      <c r="X7079" s="4"/>
      <c r="Y7079" s="4"/>
    </row>
    <row r="7080" spans="20:25" x14ac:dyDescent="0.3">
      <c r="T7080" s="12"/>
      <c r="U7080" s="4"/>
      <c r="V7080" s="4"/>
      <c r="X7080" s="4"/>
      <c r="Y7080" s="4"/>
    </row>
    <row r="7081" spans="20:25" x14ac:dyDescent="0.3">
      <c r="T7081" s="12"/>
      <c r="U7081" s="4"/>
      <c r="V7081" s="4"/>
      <c r="X7081" s="4"/>
      <c r="Y7081" s="4"/>
    </row>
    <row r="7082" spans="20:25" x14ac:dyDescent="0.3">
      <c r="T7082" s="12"/>
      <c r="U7082" s="4"/>
      <c r="V7082" s="4"/>
      <c r="X7082" s="4"/>
      <c r="Y7082" s="4"/>
    </row>
    <row r="7083" spans="20:25" x14ac:dyDescent="0.3">
      <c r="T7083" s="12"/>
      <c r="U7083" s="4"/>
      <c r="V7083" s="4"/>
      <c r="X7083" s="4"/>
      <c r="Y7083" s="4"/>
    </row>
    <row r="7084" spans="20:25" x14ac:dyDescent="0.3">
      <c r="T7084" s="12"/>
      <c r="U7084" s="4"/>
      <c r="V7084" s="4"/>
      <c r="X7084" s="4"/>
      <c r="Y7084" s="4"/>
    </row>
    <row r="7085" spans="20:25" x14ac:dyDescent="0.3">
      <c r="T7085" s="12"/>
      <c r="U7085" s="4"/>
      <c r="V7085" s="4"/>
      <c r="X7085" s="4"/>
      <c r="Y7085" s="4"/>
    </row>
    <row r="7086" spans="20:25" x14ac:dyDescent="0.3">
      <c r="T7086" s="12"/>
      <c r="U7086" s="4"/>
      <c r="V7086" s="4"/>
      <c r="X7086" s="4"/>
      <c r="Y7086" s="4"/>
    </row>
    <row r="7087" spans="20:25" x14ac:dyDescent="0.3">
      <c r="T7087" s="12"/>
      <c r="U7087" s="4"/>
      <c r="V7087" s="4"/>
      <c r="X7087" s="4"/>
      <c r="Y7087" s="4"/>
    </row>
    <row r="7088" spans="20:25" x14ac:dyDescent="0.3">
      <c r="T7088" s="12"/>
      <c r="U7088" s="4"/>
      <c r="V7088" s="4"/>
      <c r="X7088" s="4"/>
      <c r="Y7088" s="4"/>
    </row>
    <row r="7089" spans="20:25" x14ac:dyDescent="0.3">
      <c r="T7089" s="12"/>
      <c r="U7089" s="4"/>
      <c r="V7089" s="4"/>
      <c r="X7089" s="4"/>
      <c r="Y7089" s="4"/>
    </row>
    <row r="7090" spans="20:25" x14ac:dyDescent="0.3">
      <c r="T7090" s="12"/>
      <c r="U7090" s="4"/>
      <c r="V7090" s="4"/>
      <c r="X7090" s="4"/>
      <c r="Y7090" s="4"/>
    </row>
    <row r="7091" spans="20:25" x14ac:dyDescent="0.3">
      <c r="T7091" s="12"/>
      <c r="U7091" s="4"/>
      <c r="V7091" s="4"/>
      <c r="X7091" s="4"/>
      <c r="Y7091" s="4"/>
    </row>
    <row r="7092" spans="20:25" x14ac:dyDescent="0.3">
      <c r="T7092" s="12"/>
      <c r="U7092" s="4"/>
      <c r="V7092" s="4"/>
      <c r="X7092" s="4"/>
      <c r="Y7092" s="4"/>
    </row>
    <row r="7093" spans="20:25" x14ac:dyDescent="0.3">
      <c r="T7093" s="12"/>
      <c r="U7093" s="4"/>
      <c r="V7093" s="4"/>
      <c r="X7093" s="4"/>
      <c r="Y7093" s="4"/>
    </row>
    <row r="7094" spans="20:25" x14ac:dyDescent="0.3">
      <c r="T7094" s="12"/>
      <c r="U7094" s="4"/>
      <c r="V7094" s="4"/>
      <c r="X7094" s="4"/>
      <c r="Y7094" s="4"/>
    </row>
    <row r="7095" spans="20:25" x14ac:dyDescent="0.3">
      <c r="T7095" s="12"/>
      <c r="U7095" s="4"/>
      <c r="V7095" s="4"/>
      <c r="X7095" s="4"/>
      <c r="Y7095" s="4"/>
    </row>
    <row r="7096" spans="20:25" x14ac:dyDescent="0.3">
      <c r="T7096" s="12"/>
      <c r="U7096" s="4"/>
      <c r="V7096" s="4"/>
      <c r="X7096" s="4"/>
      <c r="Y7096" s="4"/>
    </row>
    <row r="7097" spans="20:25" x14ac:dyDescent="0.3">
      <c r="T7097" s="12"/>
      <c r="U7097" s="4"/>
      <c r="V7097" s="4"/>
      <c r="X7097" s="4"/>
      <c r="Y7097" s="4"/>
    </row>
    <row r="7098" spans="20:25" x14ac:dyDescent="0.3">
      <c r="T7098" s="12"/>
      <c r="U7098" s="4"/>
      <c r="V7098" s="4"/>
      <c r="X7098" s="4"/>
      <c r="Y7098" s="4"/>
    </row>
    <row r="7099" spans="20:25" x14ac:dyDescent="0.3">
      <c r="T7099" s="12"/>
      <c r="U7099" s="4"/>
      <c r="V7099" s="4"/>
      <c r="X7099" s="4"/>
      <c r="Y7099" s="4"/>
    </row>
    <row r="7100" spans="20:25" x14ac:dyDescent="0.3">
      <c r="T7100" s="12"/>
      <c r="U7100" s="4"/>
      <c r="V7100" s="4"/>
      <c r="X7100" s="4"/>
      <c r="Y7100" s="4"/>
    </row>
    <row r="7101" spans="20:25" x14ac:dyDescent="0.3">
      <c r="T7101" s="12"/>
      <c r="U7101" s="4"/>
      <c r="V7101" s="4"/>
      <c r="X7101" s="4"/>
      <c r="Y7101" s="4"/>
    </row>
    <row r="7102" spans="20:25" x14ac:dyDescent="0.3">
      <c r="T7102" s="12"/>
      <c r="U7102" s="4"/>
      <c r="V7102" s="4"/>
      <c r="X7102" s="4"/>
      <c r="Y7102" s="4"/>
    </row>
    <row r="7103" spans="20:25" x14ac:dyDescent="0.3">
      <c r="T7103" s="12"/>
      <c r="U7103" s="4"/>
      <c r="V7103" s="4"/>
      <c r="X7103" s="4"/>
      <c r="Y7103" s="4"/>
    </row>
    <row r="7104" spans="20:25" x14ac:dyDescent="0.3">
      <c r="T7104" s="12"/>
      <c r="U7104" s="4"/>
      <c r="V7104" s="4"/>
      <c r="X7104" s="4"/>
      <c r="Y7104" s="4"/>
    </row>
    <row r="7105" spans="20:25" x14ac:dyDescent="0.3">
      <c r="T7105" s="12"/>
      <c r="U7105" s="4"/>
      <c r="V7105" s="4"/>
      <c r="X7105" s="4"/>
      <c r="Y7105" s="4"/>
    </row>
    <row r="7106" spans="20:25" x14ac:dyDescent="0.3">
      <c r="T7106" s="12"/>
      <c r="U7106" s="4"/>
      <c r="V7106" s="4"/>
      <c r="X7106" s="4"/>
      <c r="Y7106" s="4"/>
    </row>
    <row r="7107" spans="20:25" x14ac:dyDescent="0.3">
      <c r="T7107" s="12"/>
      <c r="U7107" s="4"/>
      <c r="V7107" s="4"/>
      <c r="X7107" s="4"/>
      <c r="Y7107" s="4"/>
    </row>
    <row r="7108" spans="20:25" x14ac:dyDescent="0.3">
      <c r="T7108" s="12"/>
      <c r="U7108" s="4"/>
      <c r="V7108" s="4"/>
      <c r="X7108" s="4"/>
      <c r="Y7108" s="4"/>
    </row>
    <row r="7109" spans="20:25" x14ac:dyDescent="0.3">
      <c r="T7109" s="12"/>
      <c r="U7109" s="4"/>
      <c r="V7109" s="4"/>
      <c r="X7109" s="4"/>
      <c r="Y7109" s="4"/>
    </row>
    <row r="7110" spans="20:25" x14ac:dyDescent="0.3">
      <c r="T7110" s="12"/>
      <c r="U7110" s="4"/>
      <c r="V7110" s="4"/>
      <c r="X7110" s="4"/>
      <c r="Y7110" s="4"/>
    </row>
    <row r="7111" spans="20:25" x14ac:dyDescent="0.3">
      <c r="T7111" s="12"/>
      <c r="U7111" s="4"/>
      <c r="V7111" s="4"/>
      <c r="X7111" s="4"/>
      <c r="Y7111" s="4"/>
    </row>
    <row r="7112" spans="20:25" x14ac:dyDescent="0.3">
      <c r="T7112" s="12"/>
      <c r="U7112" s="4"/>
      <c r="V7112" s="4"/>
      <c r="X7112" s="4"/>
      <c r="Y7112" s="4"/>
    </row>
    <row r="7113" spans="20:25" x14ac:dyDescent="0.3">
      <c r="T7113" s="12"/>
      <c r="U7113" s="4"/>
      <c r="V7113" s="4"/>
      <c r="X7113" s="4"/>
      <c r="Y7113" s="4"/>
    </row>
    <row r="7114" spans="20:25" x14ac:dyDescent="0.3">
      <c r="T7114" s="12"/>
      <c r="U7114" s="4"/>
      <c r="V7114" s="4"/>
      <c r="X7114" s="4"/>
      <c r="Y7114" s="4"/>
    </row>
    <row r="7115" spans="20:25" x14ac:dyDescent="0.3">
      <c r="T7115" s="12"/>
      <c r="U7115" s="4"/>
      <c r="V7115" s="4"/>
      <c r="X7115" s="4"/>
      <c r="Y7115" s="4"/>
    </row>
    <row r="7116" spans="20:25" x14ac:dyDescent="0.3">
      <c r="T7116" s="12"/>
      <c r="U7116" s="4"/>
      <c r="V7116" s="4"/>
      <c r="X7116" s="4"/>
      <c r="Y7116" s="4"/>
    </row>
    <row r="7117" spans="20:25" x14ac:dyDescent="0.3">
      <c r="T7117" s="12"/>
      <c r="U7117" s="4"/>
      <c r="V7117" s="4"/>
      <c r="X7117" s="4"/>
      <c r="Y7117" s="4"/>
    </row>
    <row r="7118" spans="20:25" x14ac:dyDescent="0.3">
      <c r="T7118" s="12"/>
      <c r="U7118" s="4"/>
      <c r="V7118" s="4"/>
      <c r="X7118" s="4"/>
      <c r="Y7118" s="4"/>
    </row>
    <row r="7119" spans="20:25" x14ac:dyDescent="0.3">
      <c r="T7119" s="12"/>
      <c r="U7119" s="4"/>
      <c r="V7119" s="4"/>
      <c r="X7119" s="4"/>
      <c r="Y7119" s="4"/>
    </row>
    <row r="7120" spans="20:25" x14ac:dyDescent="0.3">
      <c r="T7120" s="12"/>
      <c r="U7120" s="4"/>
      <c r="V7120" s="4"/>
      <c r="X7120" s="4"/>
      <c r="Y7120" s="4"/>
    </row>
    <row r="7121" spans="20:25" x14ac:dyDescent="0.3">
      <c r="T7121" s="12"/>
      <c r="U7121" s="4"/>
      <c r="V7121" s="4"/>
      <c r="X7121" s="4"/>
      <c r="Y7121" s="4"/>
    </row>
    <row r="7122" spans="20:25" x14ac:dyDescent="0.3">
      <c r="T7122" s="12"/>
      <c r="U7122" s="4"/>
      <c r="V7122" s="4"/>
      <c r="X7122" s="4"/>
      <c r="Y7122" s="4"/>
    </row>
    <row r="7123" spans="20:25" x14ac:dyDescent="0.3">
      <c r="T7123" s="12"/>
      <c r="U7123" s="4"/>
      <c r="V7123" s="4"/>
      <c r="X7123" s="4"/>
      <c r="Y7123" s="4"/>
    </row>
    <row r="7124" spans="20:25" x14ac:dyDescent="0.3">
      <c r="T7124" s="12"/>
      <c r="U7124" s="4"/>
      <c r="V7124" s="4"/>
      <c r="X7124" s="4"/>
      <c r="Y7124" s="4"/>
    </row>
    <row r="7125" spans="20:25" x14ac:dyDescent="0.3">
      <c r="T7125" s="12"/>
      <c r="U7125" s="4"/>
      <c r="V7125" s="4"/>
      <c r="X7125" s="4"/>
      <c r="Y7125" s="4"/>
    </row>
    <row r="7126" spans="20:25" x14ac:dyDescent="0.3">
      <c r="T7126" s="12"/>
      <c r="U7126" s="4"/>
      <c r="V7126" s="4"/>
      <c r="X7126" s="4"/>
      <c r="Y7126" s="4"/>
    </row>
    <row r="7127" spans="20:25" x14ac:dyDescent="0.3">
      <c r="T7127" s="12"/>
      <c r="U7127" s="4"/>
      <c r="V7127" s="4"/>
      <c r="X7127" s="4"/>
      <c r="Y7127" s="4"/>
    </row>
    <row r="7128" spans="20:25" x14ac:dyDescent="0.3">
      <c r="T7128" s="12"/>
      <c r="U7128" s="4"/>
      <c r="V7128" s="4"/>
      <c r="X7128" s="4"/>
      <c r="Y7128" s="4"/>
    </row>
    <row r="7129" spans="20:25" x14ac:dyDescent="0.3">
      <c r="T7129" s="12"/>
      <c r="U7129" s="4"/>
      <c r="V7129" s="4"/>
      <c r="X7129" s="4"/>
      <c r="Y7129" s="4"/>
    </row>
    <row r="7130" spans="20:25" x14ac:dyDescent="0.3">
      <c r="T7130" s="12"/>
      <c r="U7130" s="4"/>
      <c r="V7130" s="4"/>
      <c r="X7130" s="4"/>
      <c r="Y7130" s="4"/>
    </row>
    <row r="7131" spans="20:25" x14ac:dyDescent="0.3">
      <c r="T7131" s="12"/>
      <c r="U7131" s="4"/>
      <c r="V7131" s="4"/>
      <c r="X7131" s="4"/>
      <c r="Y7131" s="4"/>
    </row>
    <row r="7132" spans="20:25" x14ac:dyDescent="0.3">
      <c r="T7132" s="12"/>
      <c r="U7132" s="4"/>
      <c r="V7132" s="4"/>
      <c r="X7132" s="4"/>
      <c r="Y7132" s="4"/>
    </row>
    <row r="7133" spans="20:25" x14ac:dyDescent="0.3">
      <c r="T7133" s="12"/>
      <c r="U7133" s="4"/>
      <c r="V7133" s="4"/>
      <c r="X7133" s="4"/>
      <c r="Y7133" s="4"/>
    </row>
    <row r="7134" spans="20:25" x14ac:dyDescent="0.3">
      <c r="T7134" s="12"/>
      <c r="U7134" s="4"/>
      <c r="V7134" s="4"/>
      <c r="X7134" s="4"/>
      <c r="Y7134" s="4"/>
    </row>
    <row r="7135" spans="20:25" x14ac:dyDescent="0.3">
      <c r="T7135" s="12"/>
      <c r="U7135" s="4"/>
      <c r="V7135" s="4"/>
      <c r="X7135" s="4"/>
      <c r="Y7135" s="4"/>
    </row>
    <row r="7136" spans="20:25" x14ac:dyDescent="0.3">
      <c r="T7136" s="12"/>
      <c r="U7136" s="4"/>
      <c r="V7136" s="4"/>
      <c r="X7136" s="4"/>
      <c r="Y7136" s="4"/>
    </row>
    <row r="7137" spans="20:25" x14ac:dyDescent="0.3">
      <c r="T7137" s="12"/>
      <c r="U7137" s="4"/>
      <c r="V7137" s="4"/>
      <c r="X7137" s="4"/>
      <c r="Y7137" s="4"/>
    </row>
    <row r="7138" spans="20:25" x14ac:dyDescent="0.3">
      <c r="T7138" s="12"/>
      <c r="U7138" s="4"/>
      <c r="V7138" s="4"/>
      <c r="X7138" s="4"/>
      <c r="Y7138" s="4"/>
    </row>
    <row r="7139" spans="20:25" x14ac:dyDescent="0.3">
      <c r="T7139" s="12"/>
      <c r="U7139" s="4"/>
      <c r="V7139" s="4"/>
      <c r="X7139" s="4"/>
      <c r="Y7139" s="4"/>
    </row>
    <row r="7140" spans="20:25" x14ac:dyDescent="0.3">
      <c r="T7140" s="12"/>
      <c r="U7140" s="4"/>
      <c r="V7140" s="4"/>
      <c r="X7140" s="4"/>
      <c r="Y7140" s="4"/>
    </row>
    <row r="7141" spans="20:25" x14ac:dyDescent="0.3">
      <c r="T7141" s="12"/>
      <c r="U7141" s="4"/>
      <c r="V7141" s="4"/>
      <c r="X7141" s="4"/>
      <c r="Y7141" s="4"/>
    </row>
    <row r="7142" spans="20:25" x14ac:dyDescent="0.3">
      <c r="T7142" s="12"/>
      <c r="U7142" s="4"/>
      <c r="V7142" s="4"/>
      <c r="X7142" s="4"/>
      <c r="Y7142" s="4"/>
    </row>
    <row r="7143" spans="20:25" x14ac:dyDescent="0.3">
      <c r="T7143" s="12"/>
      <c r="U7143" s="4"/>
      <c r="V7143" s="4"/>
      <c r="X7143" s="4"/>
      <c r="Y7143" s="4"/>
    </row>
    <row r="7144" spans="20:25" x14ac:dyDescent="0.3">
      <c r="T7144" s="12"/>
      <c r="U7144" s="4"/>
      <c r="V7144" s="4"/>
      <c r="X7144" s="4"/>
      <c r="Y7144" s="4"/>
    </row>
    <row r="7145" spans="20:25" x14ac:dyDescent="0.3">
      <c r="T7145" s="12"/>
      <c r="U7145" s="4"/>
      <c r="V7145" s="4"/>
      <c r="X7145" s="4"/>
      <c r="Y7145" s="4"/>
    </row>
    <row r="7146" spans="20:25" x14ac:dyDescent="0.3">
      <c r="T7146" s="12"/>
      <c r="U7146" s="4"/>
      <c r="V7146" s="4"/>
      <c r="X7146" s="4"/>
      <c r="Y7146" s="4"/>
    </row>
    <row r="7147" spans="20:25" x14ac:dyDescent="0.3">
      <c r="T7147" s="12"/>
      <c r="U7147" s="4"/>
      <c r="V7147" s="4"/>
      <c r="X7147" s="4"/>
      <c r="Y7147" s="4"/>
    </row>
    <row r="7148" spans="20:25" x14ac:dyDescent="0.3">
      <c r="T7148" s="12"/>
      <c r="U7148" s="4"/>
      <c r="V7148" s="4"/>
      <c r="X7148" s="4"/>
      <c r="Y7148" s="4"/>
    </row>
    <row r="7149" spans="20:25" x14ac:dyDescent="0.3">
      <c r="T7149" s="12"/>
      <c r="U7149" s="4"/>
      <c r="V7149" s="4"/>
      <c r="X7149" s="4"/>
      <c r="Y7149" s="4"/>
    </row>
    <row r="7150" spans="20:25" x14ac:dyDescent="0.3">
      <c r="T7150" s="12"/>
      <c r="U7150" s="4"/>
      <c r="V7150" s="4"/>
      <c r="X7150" s="4"/>
      <c r="Y7150" s="4"/>
    </row>
    <row r="7151" spans="20:25" x14ac:dyDescent="0.3">
      <c r="T7151" s="12"/>
      <c r="U7151" s="4"/>
      <c r="V7151" s="4"/>
      <c r="X7151" s="4"/>
      <c r="Y7151" s="4"/>
    </row>
    <row r="7152" spans="20:25" x14ac:dyDescent="0.3">
      <c r="T7152" s="12"/>
      <c r="U7152" s="4"/>
      <c r="V7152" s="4"/>
      <c r="X7152" s="4"/>
      <c r="Y7152" s="4"/>
    </row>
    <row r="7153" spans="20:25" x14ac:dyDescent="0.3">
      <c r="T7153" s="12"/>
      <c r="U7153" s="4"/>
      <c r="V7153" s="4"/>
      <c r="X7153" s="4"/>
      <c r="Y7153" s="4"/>
    </row>
    <row r="7154" spans="20:25" x14ac:dyDescent="0.3">
      <c r="T7154" s="12"/>
      <c r="U7154" s="4"/>
      <c r="V7154" s="4"/>
      <c r="X7154" s="4"/>
      <c r="Y7154" s="4"/>
    </row>
    <row r="7155" spans="20:25" x14ac:dyDescent="0.3">
      <c r="T7155" s="12"/>
      <c r="U7155" s="4"/>
      <c r="V7155" s="4"/>
      <c r="X7155" s="4"/>
      <c r="Y7155" s="4"/>
    </row>
    <row r="7156" spans="20:25" x14ac:dyDescent="0.3">
      <c r="T7156" s="12"/>
      <c r="U7156" s="4"/>
      <c r="V7156" s="4"/>
      <c r="X7156" s="4"/>
      <c r="Y7156" s="4"/>
    </row>
    <row r="7157" spans="20:25" x14ac:dyDescent="0.3">
      <c r="T7157" s="12"/>
      <c r="U7157" s="4"/>
      <c r="V7157" s="4"/>
      <c r="X7157" s="4"/>
      <c r="Y7157" s="4"/>
    </row>
    <row r="7158" spans="20:25" x14ac:dyDescent="0.3">
      <c r="T7158" s="12"/>
      <c r="U7158" s="4"/>
      <c r="V7158" s="4"/>
      <c r="X7158" s="4"/>
      <c r="Y7158" s="4"/>
    </row>
    <row r="7159" spans="20:25" x14ac:dyDescent="0.3">
      <c r="T7159" s="12"/>
      <c r="U7159" s="4"/>
      <c r="V7159" s="4"/>
      <c r="X7159" s="4"/>
      <c r="Y7159" s="4"/>
    </row>
    <row r="7160" spans="20:25" x14ac:dyDescent="0.3">
      <c r="T7160" s="12"/>
      <c r="U7160" s="4"/>
      <c r="V7160" s="4"/>
      <c r="X7160" s="4"/>
      <c r="Y7160" s="4"/>
    </row>
    <row r="7161" spans="20:25" x14ac:dyDescent="0.3">
      <c r="T7161" s="12"/>
      <c r="U7161" s="4"/>
      <c r="V7161" s="4"/>
      <c r="X7161" s="4"/>
      <c r="Y7161" s="4"/>
    </row>
    <row r="7162" spans="20:25" x14ac:dyDescent="0.3">
      <c r="T7162" s="12"/>
      <c r="U7162" s="4"/>
      <c r="V7162" s="4"/>
      <c r="X7162" s="4"/>
      <c r="Y7162" s="4"/>
    </row>
    <row r="7163" spans="20:25" x14ac:dyDescent="0.3">
      <c r="T7163" s="12"/>
      <c r="U7163" s="4"/>
      <c r="V7163" s="4"/>
      <c r="X7163" s="4"/>
      <c r="Y7163" s="4"/>
    </row>
    <row r="7164" spans="20:25" x14ac:dyDescent="0.3">
      <c r="T7164" s="12"/>
      <c r="U7164" s="4"/>
      <c r="V7164" s="4"/>
      <c r="X7164" s="4"/>
      <c r="Y7164" s="4"/>
    </row>
    <row r="7165" spans="20:25" x14ac:dyDescent="0.3">
      <c r="T7165" s="12"/>
      <c r="U7165" s="4"/>
      <c r="V7165" s="4"/>
      <c r="X7165" s="4"/>
      <c r="Y7165" s="4"/>
    </row>
    <row r="7166" spans="20:25" x14ac:dyDescent="0.3">
      <c r="T7166" s="12"/>
      <c r="U7166" s="4"/>
      <c r="V7166" s="4"/>
      <c r="X7166" s="4"/>
      <c r="Y7166" s="4"/>
    </row>
    <row r="7167" spans="20:25" x14ac:dyDescent="0.3">
      <c r="T7167" s="12"/>
      <c r="U7167" s="4"/>
      <c r="V7167" s="4"/>
      <c r="X7167" s="4"/>
      <c r="Y7167" s="4"/>
    </row>
    <row r="7168" spans="20:25" x14ac:dyDescent="0.3">
      <c r="T7168" s="12"/>
      <c r="U7168" s="4"/>
      <c r="V7168" s="4"/>
      <c r="X7168" s="4"/>
      <c r="Y7168" s="4"/>
    </row>
    <row r="7169" spans="20:25" x14ac:dyDescent="0.3">
      <c r="T7169" s="12"/>
      <c r="U7169" s="4"/>
      <c r="V7169" s="4"/>
      <c r="X7169" s="4"/>
      <c r="Y7169" s="4"/>
    </row>
    <row r="7170" spans="20:25" x14ac:dyDescent="0.3">
      <c r="T7170" s="12"/>
      <c r="U7170" s="4"/>
      <c r="V7170" s="4"/>
      <c r="X7170" s="4"/>
      <c r="Y7170" s="4"/>
    </row>
    <row r="7171" spans="20:25" x14ac:dyDescent="0.3">
      <c r="T7171" s="12"/>
      <c r="U7171" s="4"/>
      <c r="V7171" s="4"/>
      <c r="X7171" s="4"/>
      <c r="Y7171" s="4"/>
    </row>
    <row r="7172" spans="20:25" x14ac:dyDescent="0.3">
      <c r="T7172" s="12"/>
      <c r="U7172" s="4"/>
      <c r="V7172" s="4"/>
      <c r="X7172" s="4"/>
      <c r="Y7172" s="4"/>
    </row>
    <row r="7173" spans="20:25" x14ac:dyDescent="0.3">
      <c r="T7173" s="12"/>
      <c r="U7173" s="4"/>
      <c r="V7173" s="4"/>
      <c r="X7173" s="4"/>
      <c r="Y7173" s="4"/>
    </row>
    <row r="7174" spans="20:25" x14ac:dyDescent="0.3">
      <c r="T7174" s="12"/>
      <c r="U7174" s="4"/>
      <c r="V7174" s="4"/>
      <c r="X7174" s="4"/>
      <c r="Y7174" s="4"/>
    </row>
    <row r="7175" spans="20:25" x14ac:dyDescent="0.3">
      <c r="T7175" s="12"/>
      <c r="U7175" s="4"/>
      <c r="V7175" s="4"/>
      <c r="X7175" s="4"/>
      <c r="Y7175" s="4"/>
    </row>
    <row r="7176" spans="20:25" x14ac:dyDescent="0.3">
      <c r="T7176" s="12"/>
      <c r="U7176" s="4"/>
      <c r="V7176" s="4"/>
      <c r="X7176" s="4"/>
      <c r="Y7176" s="4"/>
    </row>
    <row r="7177" spans="20:25" x14ac:dyDescent="0.3">
      <c r="T7177" s="12"/>
      <c r="U7177" s="4"/>
      <c r="V7177" s="4"/>
      <c r="X7177" s="4"/>
      <c r="Y7177" s="4"/>
    </row>
    <row r="7178" spans="20:25" x14ac:dyDescent="0.3">
      <c r="T7178" s="12"/>
      <c r="U7178" s="4"/>
      <c r="V7178" s="4"/>
      <c r="X7178" s="4"/>
      <c r="Y7178" s="4"/>
    </row>
    <row r="7179" spans="20:25" x14ac:dyDescent="0.3">
      <c r="T7179" s="12"/>
      <c r="U7179" s="4"/>
      <c r="V7179" s="4"/>
      <c r="X7179" s="4"/>
      <c r="Y7179" s="4"/>
    </row>
    <row r="7180" spans="20:25" x14ac:dyDescent="0.3">
      <c r="T7180" s="12"/>
      <c r="U7180" s="4"/>
      <c r="V7180" s="4"/>
      <c r="X7180" s="4"/>
      <c r="Y7180" s="4"/>
    </row>
    <row r="7181" spans="20:25" x14ac:dyDescent="0.3">
      <c r="T7181" s="12"/>
      <c r="U7181" s="4"/>
      <c r="V7181" s="4"/>
      <c r="X7181" s="4"/>
      <c r="Y7181" s="4"/>
    </row>
    <row r="7182" spans="20:25" x14ac:dyDescent="0.3">
      <c r="T7182" s="12"/>
      <c r="U7182" s="4"/>
      <c r="V7182" s="4"/>
      <c r="X7182" s="4"/>
      <c r="Y7182" s="4"/>
    </row>
    <row r="7183" spans="20:25" x14ac:dyDescent="0.3">
      <c r="T7183" s="12"/>
      <c r="U7183" s="4"/>
      <c r="V7183" s="4"/>
      <c r="X7183" s="4"/>
      <c r="Y7183" s="4"/>
    </row>
    <row r="7184" spans="20:25" x14ac:dyDescent="0.3">
      <c r="T7184" s="12"/>
      <c r="U7184" s="4"/>
      <c r="V7184" s="4"/>
      <c r="X7184" s="4"/>
      <c r="Y7184" s="4"/>
    </row>
    <row r="7185" spans="20:25" x14ac:dyDescent="0.3">
      <c r="T7185" s="12"/>
      <c r="U7185" s="4"/>
      <c r="V7185" s="4"/>
      <c r="X7185" s="4"/>
      <c r="Y7185" s="4"/>
    </row>
    <row r="7186" spans="20:25" x14ac:dyDescent="0.3">
      <c r="T7186" s="12"/>
      <c r="U7186" s="4"/>
      <c r="V7186" s="4"/>
      <c r="X7186" s="4"/>
      <c r="Y7186" s="4"/>
    </row>
    <row r="7187" spans="20:25" x14ac:dyDescent="0.3">
      <c r="T7187" s="12"/>
      <c r="U7187" s="4"/>
      <c r="V7187" s="4"/>
      <c r="X7187" s="4"/>
      <c r="Y7187" s="4"/>
    </row>
    <row r="7188" spans="20:25" x14ac:dyDescent="0.3">
      <c r="T7188" s="12"/>
      <c r="U7188" s="4"/>
      <c r="V7188" s="4"/>
      <c r="X7188" s="4"/>
      <c r="Y7188" s="4"/>
    </row>
    <row r="7189" spans="20:25" x14ac:dyDescent="0.3">
      <c r="T7189" s="12"/>
      <c r="U7189" s="4"/>
      <c r="V7189" s="4"/>
      <c r="X7189" s="4"/>
      <c r="Y7189" s="4"/>
    </row>
    <row r="7190" spans="20:25" x14ac:dyDescent="0.3">
      <c r="T7190" s="12"/>
      <c r="U7190" s="4"/>
      <c r="V7190" s="4"/>
      <c r="X7190" s="4"/>
      <c r="Y7190" s="4"/>
    </row>
    <row r="7191" spans="20:25" x14ac:dyDescent="0.3">
      <c r="T7191" s="12"/>
      <c r="U7191" s="4"/>
      <c r="V7191" s="4"/>
      <c r="X7191" s="4"/>
      <c r="Y7191" s="4"/>
    </row>
    <row r="7192" spans="20:25" x14ac:dyDescent="0.3">
      <c r="T7192" s="12"/>
      <c r="U7192" s="4"/>
      <c r="V7192" s="4"/>
      <c r="X7192" s="4"/>
      <c r="Y7192" s="4"/>
    </row>
    <row r="7193" spans="20:25" x14ac:dyDescent="0.3">
      <c r="T7193" s="12"/>
      <c r="U7193" s="4"/>
      <c r="V7193" s="4"/>
      <c r="X7193" s="4"/>
      <c r="Y7193" s="4"/>
    </row>
    <row r="7194" spans="20:25" x14ac:dyDescent="0.3">
      <c r="T7194" s="12"/>
      <c r="U7194" s="4"/>
      <c r="V7194" s="4"/>
      <c r="X7194" s="4"/>
      <c r="Y7194" s="4"/>
    </row>
    <row r="7195" spans="20:25" x14ac:dyDescent="0.3">
      <c r="T7195" s="12"/>
      <c r="U7195" s="4"/>
      <c r="V7195" s="4"/>
      <c r="X7195" s="4"/>
      <c r="Y7195" s="4"/>
    </row>
    <row r="7196" spans="20:25" x14ac:dyDescent="0.3">
      <c r="T7196" s="12"/>
      <c r="U7196" s="4"/>
      <c r="V7196" s="4"/>
      <c r="X7196" s="4"/>
      <c r="Y7196" s="4"/>
    </row>
    <row r="7197" spans="20:25" x14ac:dyDescent="0.3">
      <c r="T7197" s="12"/>
      <c r="U7197" s="4"/>
      <c r="V7197" s="4"/>
      <c r="X7197" s="4"/>
      <c r="Y7197" s="4"/>
    </row>
    <row r="7198" spans="20:25" x14ac:dyDescent="0.3">
      <c r="T7198" s="12"/>
      <c r="U7198" s="4"/>
      <c r="V7198" s="4"/>
      <c r="X7198" s="4"/>
      <c r="Y7198" s="4"/>
    </row>
    <row r="7199" spans="20:25" x14ac:dyDescent="0.3">
      <c r="T7199" s="12"/>
      <c r="U7199" s="4"/>
      <c r="V7199" s="4"/>
      <c r="X7199" s="4"/>
      <c r="Y7199" s="4"/>
    </row>
    <row r="7200" spans="20:25" x14ac:dyDescent="0.3">
      <c r="T7200" s="12"/>
      <c r="U7200" s="4"/>
      <c r="V7200" s="4"/>
      <c r="X7200" s="4"/>
      <c r="Y7200" s="4"/>
    </row>
    <row r="7201" spans="20:25" x14ac:dyDescent="0.3">
      <c r="T7201" s="12"/>
      <c r="U7201" s="4"/>
      <c r="V7201" s="4"/>
      <c r="X7201" s="4"/>
      <c r="Y7201" s="4"/>
    </row>
    <row r="7202" spans="20:25" x14ac:dyDescent="0.3">
      <c r="T7202" s="12"/>
      <c r="U7202" s="4"/>
      <c r="V7202" s="4"/>
      <c r="X7202" s="4"/>
      <c r="Y7202" s="4"/>
    </row>
    <row r="7203" spans="20:25" x14ac:dyDescent="0.3">
      <c r="T7203" s="12"/>
      <c r="U7203" s="4"/>
      <c r="V7203" s="4"/>
      <c r="X7203" s="4"/>
      <c r="Y7203" s="4"/>
    </row>
    <row r="7204" spans="20:25" x14ac:dyDescent="0.3">
      <c r="T7204" s="12"/>
      <c r="U7204" s="4"/>
      <c r="V7204" s="4"/>
      <c r="X7204" s="4"/>
      <c r="Y7204" s="4"/>
    </row>
    <row r="7205" spans="20:25" x14ac:dyDescent="0.3">
      <c r="T7205" s="12"/>
      <c r="U7205" s="4"/>
      <c r="V7205" s="4"/>
      <c r="X7205" s="4"/>
      <c r="Y7205" s="4"/>
    </row>
    <row r="7206" spans="20:25" x14ac:dyDescent="0.3">
      <c r="T7206" s="12"/>
      <c r="U7206" s="4"/>
      <c r="V7206" s="4"/>
      <c r="X7206" s="4"/>
      <c r="Y7206" s="4"/>
    </row>
    <row r="7207" spans="20:25" x14ac:dyDescent="0.3">
      <c r="T7207" s="12"/>
      <c r="U7207" s="4"/>
      <c r="V7207" s="4"/>
      <c r="X7207" s="4"/>
      <c r="Y7207" s="4"/>
    </row>
    <row r="7208" spans="20:25" x14ac:dyDescent="0.3">
      <c r="T7208" s="12"/>
      <c r="U7208" s="4"/>
      <c r="V7208" s="4"/>
      <c r="X7208" s="4"/>
      <c r="Y7208" s="4"/>
    </row>
    <row r="7209" spans="20:25" x14ac:dyDescent="0.3">
      <c r="T7209" s="12"/>
      <c r="U7209" s="4"/>
      <c r="V7209" s="4"/>
      <c r="X7209" s="4"/>
      <c r="Y7209" s="4"/>
    </row>
    <row r="7210" spans="20:25" x14ac:dyDescent="0.3">
      <c r="T7210" s="12"/>
      <c r="U7210" s="4"/>
      <c r="V7210" s="4"/>
      <c r="X7210" s="4"/>
      <c r="Y7210" s="4"/>
    </row>
    <row r="7211" spans="20:25" x14ac:dyDescent="0.3">
      <c r="T7211" s="12"/>
      <c r="U7211" s="4"/>
      <c r="V7211" s="4"/>
      <c r="X7211" s="4"/>
      <c r="Y7211" s="4"/>
    </row>
    <row r="7212" spans="20:25" x14ac:dyDescent="0.3">
      <c r="T7212" s="12"/>
      <c r="U7212" s="4"/>
      <c r="V7212" s="4"/>
      <c r="X7212" s="4"/>
      <c r="Y7212" s="4"/>
    </row>
    <row r="7213" spans="20:25" x14ac:dyDescent="0.3">
      <c r="T7213" s="12"/>
      <c r="U7213" s="4"/>
      <c r="V7213" s="4"/>
      <c r="X7213" s="4"/>
      <c r="Y7213" s="4"/>
    </row>
    <row r="7214" spans="20:25" x14ac:dyDescent="0.3">
      <c r="T7214" s="12"/>
      <c r="U7214" s="4"/>
      <c r="V7214" s="4"/>
      <c r="X7214" s="4"/>
      <c r="Y7214" s="4"/>
    </row>
    <row r="7215" spans="20:25" x14ac:dyDescent="0.3">
      <c r="T7215" s="12"/>
      <c r="U7215" s="4"/>
      <c r="V7215" s="4"/>
      <c r="X7215" s="4"/>
      <c r="Y7215" s="4"/>
    </row>
    <row r="7216" spans="20:25" x14ac:dyDescent="0.3">
      <c r="T7216" s="12"/>
      <c r="U7216" s="4"/>
      <c r="V7216" s="4"/>
      <c r="X7216" s="4"/>
      <c r="Y7216" s="4"/>
    </row>
    <row r="7217" spans="20:25" x14ac:dyDescent="0.3">
      <c r="T7217" s="12"/>
      <c r="U7217" s="4"/>
      <c r="V7217" s="4"/>
      <c r="X7217" s="4"/>
      <c r="Y7217" s="4"/>
    </row>
    <row r="7218" spans="20:25" x14ac:dyDescent="0.3">
      <c r="T7218" s="12"/>
      <c r="U7218" s="4"/>
      <c r="V7218" s="4"/>
      <c r="X7218" s="4"/>
      <c r="Y7218" s="4"/>
    </row>
    <row r="7219" spans="20:25" x14ac:dyDescent="0.3">
      <c r="T7219" s="12"/>
      <c r="U7219" s="4"/>
      <c r="V7219" s="4"/>
      <c r="X7219" s="4"/>
      <c r="Y7219" s="4"/>
    </row>
    <row r="7220" spans="20:25" x14ac:dyDescent="0.3">
      <c r="T7220" s="12"/>
      <c r="U7220" s="4"/>
      <c r="V7220" s="4"/>
      <c r="X7220" s="4"/>
      <c r="Y7220" s="4"/>
    </row>
    <row r="7221" spans="20:25" x14ac:dyDescent="0.3">
      <c r="T7221" s="12"/>
      <c r="U7221" s="4"/>
      <c r="V7221" s="4"/>
      <c r="X7221" s="4"/>
      <c r="Y7221" s="4"/>
    </row>
    <row r="7222" spans="20:25" x14ac:dyDescent="0.3">
      <c r="T7222" s="12"/>
      <c r="U7222" s="4"/>
      <c r="V7222" s="4"/>
      <c r="X7222" s="4"/>
      <c r="Y7222" s="4"/>
    </row>
    <row r="7223" spans="20:25" x14ac:dyDescent="0.3">
      <c r="T7223" s="12"/>
      <c r="U7223" s="4"/>
      <c r="V7223" s="4"/>
      <c r="X7223" s="4"/>
      <c r="Y7223" s="4"/>
    </row>
    <row r="7224" spans="20:25" x14ac:dyDescent="0.3">
      <c r="T7224" s="12"/>
      <c r="U7224" s="4"/>
      <c r="V7224" s="4"/>
      <c r="X7224" s="4"/>
      <c r="Y7224" s="4"/>
    </row>
    <row r="7225" spans="20:25" x14ac:dyDescent="0.3">
      <c r="T7225" s="12"/>
      <c r="U7225" s="4"/>
      <c r="V7225" s="4"/>
      <c r="X7225" s="4"/>
      <c r="Y7225" s="4"/>
    </row>
    <row r="7226" spans="20:25" x14ac:dyDescent="0.3">
      <c r="T7226" s="12"/>
      <c r="U7226" s="4"/>
      <c r="V7226" s="4"/>
      <c r="X7226" s="4"/>
      <c r="Y7226" s="4"/>
    </row>
    <row r="7227" spans="20:25" x14ac:dyDescent="0.3">
      <c r="T7227" s="12"/>
      <c r="U7227" s="4"/>
      <c r="V7227" s="4"/>
      <c r="X7227" s="4"/>
      <c r="Y7227" s="4"/>
    </row>
    <row r="7228" spans="20:25" x14ac:dyDescent="0.3">
      <c r="T7228" s="12"/>
      <c r="U7228" s="4"/>
      <c r="V7228" s="4"/>
      <c r="X7228" s="4"/>
      <c r="Y7228" s="4"/>
    </row>
    <row r="7229" spans="20:25" x14ac:dyDescent="0.3">
      <c r="T7229" s="12"/>
      <c r="U7229" s="4"/>
      <c r="V7229" s="4"/>
      <c r="X7229" s="4"/>
      <c r="Y7229" s="4"/>
    </row>
    <row r="7230" spans="20:25" x14ac:dyDescent="0.3">
      <c r="T7230" s="12"/>
      <c r="U7230" s="4"/>
      <c r="V7230" s="4"/>
      <c r="X7230" s="4"/>
      <c r="Y7230" s="4"/>
    </row>
    <row r="7231" spans="20:25" x14ac:dyDescent="0.3">
      <c r="T7231" s="12"/>
      <c r="U7231" s="4"/>
      <c r="V7231" s="4"/>
      <c r="X7231" s="4"/>
      <c r="Y7231" s="4"/>
    </row>
    <row r="7232" spans="20:25" x14ac:dyDescent="0.3">
      <c r="T7232" s="12"/>
      <c r="U7232" s="4"/>
      <c r="V7232" s="4"/>
      <c r="X7232" s="4"/>
      <c r="Y7232" s="4"/>
    </row>
    <row r="7233" spans="20:25" x14ac:dyDescent="0.3">
      <c r="T7233" s="12"/>
      <c r="U7233" s="4"/>
      <c r="V7233" s="4"/>
      <c r="X7233" s="4"/>
      <c r="Y7233" s="4"/>
    </row>
    <row r="7234" spans="20:25" x14ac:dyDescent="0.3">
      <c r="T7234" s="12"/>
      <c r="U7234" s="4"/>
      <c r="V7234" s="4"/>
      <c r="X7234" s="4"/>
      <c r="Y7234" s="4"/>
    </row>
    <row r="7235" spans="20:25" x14ac:dyDescent="0.3">
      <c r="T7235" s="12"/>
      <c r="U7235" s="4"/>
      <c r="V7235" s="4"/>
      <c r="X7235" s="4"/>
      <c r="Y7235" s="4"/>
    </row>
    <row r="7236" spans="20:25" x14ac:dyDescent="0.3">
      <c r="T7236" s="12"/>
      <c r="U7236" s="4"/>
      <c r="V7236" s="4"/>
      <c r="X7236" s="4"/>
      <c r="Y7236" s="4"/>
    </row>
    <row r="7237" spans="20:25" x14ac:dyDescent="0.3">
      <c r="T7237" s="12"/>
      <c r="U7237" s="4"/>
      <c r="V7237" s="4"/>
      <c r="X7237" s="4"/>
      <c r="Y7237" s="4"/>
    </row>
    <row r="7238" spans="20:25" x14ac:dyDescent="0.3">
      <c r="T7238" s="12"/>
      <c r="U7238" s="4"/>
      <c r="V7238" s="4"/>
      <c r="X7238" s="4"/>
      <c r="Y7238" s="4"/>
    </row>
    <row r="7239" spans="20:25" x14ac:dyDescent="0.3">
      <c r="T7239" s="12"/>
      <c r="U7239" s="4"/>
      <c r="V7239" s="4"/>
      <c r="X7239" s="4"/>
      <c r="Y7239" s="4"/>
    </row>
    <row r="7240" spans="20:25" x14ac:dyDescent="0.3">
      <c r="T7240" s="12"/>
      <c r="U7240" s="4"/>
      <c r="V7240" s="4"/>
      <c r="X7240" s="4"/>
      <c r="Y7240" s="4"/>
    </row>
    <row r="7241" spans="20:25" x14ac:dyDescent="0.3">
      <c r="T7241" s="12"/>
      <c r="U7241" s="4"/>
      <c r="V7241" s="4"/>
      <c r="X7241" s="4"/>
      <c r="Y7241" s="4"/>
    </row>
    <row r="7242" spans="20:25" x14ac:dyDescent="0.3">
      <c r="T7242" s="12"/>
      <c r="U7242" s="4"/>
      <c r="V7242" s="4"/>
      <c r="X7242" s="4"/>
      <c r="Y7242" s="4"/>
    </row>
    <row r="7243" spans="20:25" x14ac:dyDescent="0.3">
      <c r="T7243" s="12"/>
      <c r="U7243" s="4"/>
      <c r="V7243" s="4"/>
      <c r="X7243" s="4"/>
      <c r="Y7243" s="4"/>
    </row>
    <row r="7244" spans="20:25" x14ac:dyDescent="0.3">
      <c r="T7244" s="12"/>
      <c r="U7244" s="4"/>
      <c r="V7244" s="4"/>
      <c r="X7244" s="4"/>
      <c r="Y7244" s="4"/>
    </row>
    <row r="7245" spans="20:25" x14ac:dyDescent="0.3">
      <c r="T7245" s="12"/>
      <c r="U7245" s="4"/>
      <c r="V7245" s="4"/>
      <c r="X7245" s="4"/>
      <c r="Y7245" s="4"/>
    </row>
    <row r="7246" spans="20:25" x14ac:dyDescent="0.3">
      <c r="T7246" s="12"/>
      <c r="U7246" s="4"/>
      <c r="V7246" s="4"/>
      <c r="X7246" s="4"/>
      <c r="Y7246" s="4"/>
    </row>
    <row r="7247" spans="20:25" x14ac:dyDescent="0.3">
      <c r="T7247" s="12"/>
      <c r="U7247" s="4"/>
      <c r="V7247" s="4"/>
      <c r="X7247" s="4"/>
      <c r="Y7247" s="4"/>
    </row>
    <row r="7248" spans="20:25" x14ac:dyDescent="0.3">
      <c r="T7248" s="12"/>
      <c r="U7248" s="4"/>
      <c r="V7248" s="4"/>
      <c r="X7248" s="4"/>
      <c r="Y7248" s="4"/>
    </row>
    <row r="7249" spans="20:25" x14ac:dyDescent="0.3">
      <c r="T7249" s="12"/>
      <c r="U7249" s="4"/>
      <c r="V7249" s="4"/>
      <c r="X7249" s="4"/>
      <c r="Y7249" s="4"/>
    </row>
    <row r="7250" spans="20:25" x14ac:dyDescent="0.3">
      <c r="T7250" s="12"/>
      <c r="U7250" s="4"/>
      <c r="V7250" s="4"/>
      <c r="X7250" s="4"/>
      <c r="Y7250" s="4"/>
    </row>
    <row r="7251" spans="20:25" x14ac:dyDescent="0.3">
      <c r="T7251" s="12"/>
      <c r="U7251" s="4"/>
      <c r="V7251" s="4"/>
      <c r="X7251" s="4"/>
      <c r="Y7251" s="4"/>
    </row>
    <row r="7252" spans="20:25" x14ac:dyDescent="0.3">
      <c r="T7252" s="12"/>
      <c r="U7252" s="4"/>
      <c r="V7252" s="4"/>
      <c r="X7252" s="4"/>
      <c r="Y7252" s="4"/>
    </row>
    <row r="7253" spans="20:25" x14ac:dyDescent="0.3">
      <c r="T7253" s="12"/>
      <c r="U7253" s="4"/>
      <c r="V7253" s="4"/>
      <c r="X7253" s="4"/>
      <c r="Y7253" s="4"/>
    </row>
    <row r="7254" spans="20:25" x14ac:dyDescent="0.3">
      <c r="T7254" s="12"/>
      <c r="U7254" s="4"/>
      <c r="V7254" s="4"/>
      <c r="X7254" s="4"/>
      <c r="Y7254" s="4"/>
    </row>
    <row r="7255" spans="20:25" x14ac:dyDescent="0.3">
      <c r="T7255" s="12"/>
      <c r="U7255" s="4"/>
      <c r="V7255" s="4"/>
      <c r="X7255" s="4"/>
      <c r="Y7255" s="4"/>
    </row>
    <row r="7256" spans="20:25" x14ac:dyDescent="0.3">
      <c r="T7256" s="12"/>
      <c r="U7256" s="4"/>
      <c r="V7256" s="4"/>
      <c r="X7256" s="4"/>
      <c r="Y7256" s="4"/>
    </row>
    <row r="7257" spans="20:25" x14ac:dyDescent="0.3">
      <c r="T7257" s="12"/>
      <c r="U7257" s="4"/>
      <c r="V7257" s="4"/>
      <c r="X7257" s="4"/>
      <c r="Y7257" s="4"/>
    </row>
    <row r="7258" spans="20:25" x14ac:dyDescent="0.3">
      <c r="T7258" s="12"/>
      <c r="U7258" s="4"/>
      <c r="V7258" s="4"/>
      <c r="X7258" s="4"/>
      <c r="Y7258" s="4"/>
    </row>
    <row r="7259" spans="20:25" x14ac:dyDescent="0.3">
      <c r="T7259" s="12"/>
      <c r="U7259" s="4"/>
      <c r="V7259" s="4"/>
      <c r="X7259" s="4"/>
      <c r="Y7259" s="4"/>
    </row>
    <row r="7260" spans="20:25" x14ac:dyDescent="0.3">
      <c r="T7260" s="12"/>
      <c r="U7260" s="4"/>
      <c r="V7260" s="4"/>
      <c r="X7260" s="4"/>
      <c r="Y7260" s="4"/>
    </row>
    <row r="7261" spans="20:25" x14ac:dyDescent="0.3">
      <c r="T7261" s="12"/>
      <c r="U7261" s="4"/>
      <c r="V7261" s="4"/>
      <c r="X7261" s="4"/>
      <c r="Y7261" s="4"/>
    </row>
    <row r="7262" spans="20:25" x14ac:dyDescent="0.3">
      <c r="T7262" s="12"/>
      <c r="U7262" s="4"/>
      <c r="V7262" s="4"/>
      <c r="X7262" s="4"/>
      <c r="Y7262" s="4"/>
    </row>
    <row r="7263" spans="20:25" x14ac:dyDescent="0.3">
      <c r="T7263" s="12"/>
      <c r="U7263" s="4"/>
      <c r="V7263" s="4"/>
      <c r="X7263" s="4"/>
      <c r="Y7263" s="4"/>
    </row>
    <row r="7264" spans="20:25" x14ac:dyDescent="0.3">
      <c r="T7264" s="12"/>
      <c r="U7264" s="4"/>
      <c r="V7264" s="4"/>
      <c r="X7264" s="4"/>
      <c r="Y7264" s="4"/>
    </row>
    <row r="7265" spans="20:25" x14ac:dyDescent="0.3">
      <c r="T7265" s="12"/>
      <c r="U7265" s="4"/>
      <c r="V7265" s="4"/>
      <c r="X7265" s="4"/>
      <c r="Y7265" s="4"/>
    </row>
    <row r="7266" spans="20:25" x14ac:dyDescent="0.3">
      <c r="T7266" s="12"/>
      <c r="U7266" s="4"/>
      <c r="V7266" s="4"/>
      <c r="X7266" s="4"/>
      <c r="Y7266" s="4"/>
    </row>
    <row r="7267" spans="20:25" x14ac:dyDescent="0.3">
      <c r="T7267" s="12"/>
      <c r="U7267" s="4"/>
      <c r="V7267" s="4"/>
      <c r="X7267" s="4"/>
      <c r="Y7267" s="4"/>
    </row>
    <row r="7268" spans="20:25" x14ac:dyDescent="0.3">
      <c r="T7268" s="12"/>
      <c r="U7268" s="4"/>
      <c r="V7268" s="4"/>
      <c r="X7268" s="4"/>
      <c r="Y7268" s="4"/>
    </row>
    <row r="7269" spans="20:25" x14ac:dyDescent="0.3">
      <c r="T7269" s="12"/>
      <c r="U7269" s="4"/>
      <c r="V7269" s="4"/>
      <c r="X7269" s="4"/>
      <c r="Y7269" s="4"/>
    </row>
    <row r="7270" spans="20:25" x14ac:dyDescent="0.3">
      <c r="T7270" s="12"/>
      <c r="U7270" s="4"/>
      <c r="V7270" s="4"/>
      <c r="X7270" s="4"/>
      <c r="Y7270" s="4"/>
    </row>
    <row r="7271" spans="20:25" x14ac:dyDescent="0.3">
      <c r="T7271" s="12"/>
      <c r="U7271" s="4"/>
      <c r="V7271" s="4"/>
      <c r="X7271" s="4"/>
      <c r="Y7271" s="4"/>
    </row>
    <row r="7272" spans="20:25" x14ac:dyDescent="0.3">
      <c r="T7272" s="12"/>
      <c r="U7272" s="4"/>
      <c r="V7272" s="4"/>
      <c r="X7272" s="4"/>
      <c r="Y7272" s="4"/>
    </row>
    <row r="7273" spans="20:25" x14ac:dyDescent="0.3">
      <c r="T7273" s="12"/>
      <c r="U7273" s="4"/>
      <c r="V7273" s="4"/>
      <c r="X7273" s="4"/>
      <c r="Y7273" s="4"/>
    </row>
    <row r="7274" spans="20:25" x14ac:dyDescent="0.3">
      <c r="T7274" s="12"/>
      <c r="U7274" s="4"/>
      <c r="V7274" s="4"/>
      <c r="X7274" s="4"/>
      <c r="Y7274" s="4"/>
    </row>
    <row r="7275" spans="20:25" x14ac:dyDescent="0.3">
      <c r="T7275" s="12"/>
      <c r="U7275" s="4"/>
      <c r="V7275" s="4"/>
      <c r="X7275" s="4"/>
      <c r="Y7275" s="4"/>
    </row>
    <row r="7276" spans="20:25" x14ac:dyDescent="0.3">
      <c r="T7276" s="12"/>
      <c r="U7276" s="4"/>
      <c r="V7276" s="4"/>
      <c r="X7276" s="4"/>
      <c r="Y7276" s="4"/>
    </row>
    <row r="7277" spans="20:25" x14ac:dyDescent="0.3">
      <c r="T7277" s="12"/>
      <c r="U7277" s="4"/>
      <c r="V7277" s="4"/>
      <c r="X7277" s="4"/>
      <c r="Y7277" s="4"/>
    </row>
    <row r="7278" spans="20:25" x14ac:dyDescent="0.3">
      <c r="T7278" s="12"/>
      <c r="U7278" s="4"/>
      <c r="V7278" s="4"/>
      <c r="X7278" s="4"/>
      <c r="Y7278" s="4"/>
    </row>
    <row r="7279" spans="20:25" x14ac:dyDescent="0.3">
      <c r="T7279" s="12"/>
      <c r="U7279" s="4"/>
      <c r="V7279" s="4"/>
      <c r="X7279" s="4"/>
      <c r="Y7279" s="4"/>
    </row>
    <row r="7280" spans="20:25" x14ac:dyDescent="0.3">
      <c r="T7280" s="12"/>
      <c r="U7280" s="4"/>
      <c r="V7280" s="4"/>
      <c r="X7280" s="4"/>
      <c r="Y7280" s="4"/>
    </row>
    <row r="7281" spans="20:25" x14ac:dyDescent="0.3">
      <c r="T7281" s="12"/>
      <c r="U7281" s="4"/>
      <c r="V7281" s="4"/>
      <c r="X7281" s="4"/>
      <c r="Y7281" s="4"/>
    </row>
    <row r="7282" spans="20:25" x14ac:dyDescent="0.3">
      <c r="T7282" s="12"/>
      <c r="U7282" s="4"/>
      <c r="V7282" s="4"/>
      <c r="X7282" s="4"/>
      <c r="Y7282" s="4"/>
    </row>
    <row r="7283" spans="20:25" x14ac:dyDescent="0.3">
      <c r="T7283" s="12"/>
      <c r="U7283" s="4"/>
      <c r="V7283" s="4"/>
      <c r="X7283" s="4"/>
      <c r="Y7283" s="4"/>
    </row>
    <row r="7284" spans="20:25" x14ac:dyDescent="0.3">
      <c r="T7284" s="12"/>
      <c r="U7284" s="4"/>
      <c r="V7284" s="4"/>
      <c r="X7284" s="4"/>
      <c r="Y7284" s="4"/>
    </row>
    <row r="7285" spans="20:25" x14ac:dyDescent="0.3">
      <c r="T7285" s="12"/>
      <c r="U7285" s="4"/>
      <c r="V7285" s="4"/>
      <c r="X7285" s="4"/>
      <c r="Y7285" s="4"/>
    </row>
    <row r="7286" spans="20:25" x14ac:dyDescent="0.3">
      <c r="T7286" s="12"/>
      <c r="U7286" s="4"/>
      <c r="V7286" s="4"/>
      <c r="X7286" s="4"/>
      <c r="Y7286" s="4"/>
    </row>
    <row r="7287" spans="20:25" x14ac:dyDescent="0.3">
      <c r="T7287" s="12"/>
      <c r="U7287" s="4"/>
      <c r="V7287" s="4"/>
      <c r="X7287" s="4"/>
      <c r="Y7287" s="4"/>
    </row>
    <row r="7288" spans="20:25" x14ac:dyDescent="0.3">
      <c r="T7288" s="12"/>
      <c r="U7288" s="4"/>
      <c r="V7288" s="4"/>
      <c r="X7288" s="4"/>
      <c r="Y7288" s="4"/>
    </row>
    <row r="7289" spans="20:25" x14ac:dyDescent="0.3">
      <c r="T7289" s="12"/>
      <c r="U7289" s="4"/>
      <c r="V7289" s="4"/>
      <c r="X7289" s="4"/>
      <c r="Y7289" s="4"/>
    </row>
    <row r="7290" spans="20:25" x14ac:dyDescent="0.3">
      <c r="T7290" s="12"/>
      <c r="U7290" s="4"/>
      <c r="V7290" s="4"/>
      <c r="X7290" s="4"/>
      <c r="Y7290" s="4"/>
    </row>
    <row r="7291" spans="20:25" x14ac:dyDescent="0.3">
      <c r="T7291" s="12"/>
      <c r="U7291" s="4"/>
      <c r="V7291" s="4"/>
      <c r="X7291" s="4"/>
      <c r="Y7291" s="4"/>
    </row>
    <row r="7292" spans="20:25" x14ac:dyDescent="0.3">
      <c r="T7292" s="12"/>
      <c r="U7292" s="4"/>
      <c r="V7292" s="4"/>
      <c r="X7292" s="4"/>
      <c r="Y7292" s="4"/>
    </row>
    <row r="7293" spans="20:25" x14ac:dyDescent="0.3">
      <c r="T7293" s="12"/>
      <c r="U7293" s="4"/>
      <c r="V7293" s="4"/>
      <c r="X7293" s="4"/>
      <c r="Y7293" s="4"/>
    </row>
    <row r="7294" spans="20:25" x14ac:dyDescent="0.3">
      <c r="T7294" s="12"/>
      <c r="U7294" s="4"/>
      <c r="V7294" s="4"/>
      <c r="X7294" s="4"/>
      <c r="Y7294" s="4"/>
    </row>
    <row r="7295" spans="20:25" x14ac:dyDescent="0.3">
      <c r="T7295" s="12"/>
      <c r="U7295" s="4"/>
      <c r="V7295" s="4"/>
      <c r="X7295" s="4"/>
      <c r="Y7295" s="4"/>
    </row>
    <row r="7296" spans="20:25" x14ac:dyDescent="0.3">
      <c r="T7296" s="12"/>
      <c r="U7296" s="4"/>
      <c r="V7296" s="4"/>
      <c r="X7296" s="4"/>
      <c r="Y7296" s="4"/>
    </row>
    <row r="7297" spans="20:25" x14ac:dyDescent="0.3">
      <c r="T7297" s="12"/>
      <c r="U7297" s="4"/>
      <c r="V7297" s="4"/>
      <c r="X7297" s="4"/>
      <c r="Y7297" s="4"/>
    </row>
    <row r="7298" spans="20:25" x14ac:dyDescent="0.3">
      <c r="T7298" s="12"/>
      <c r="U7298" s="4"/>
      <c r="V7298" s="4"/>
      <c r="X7298" s="4"/>
      <c r="Y7298" s="4"/>
    </row>
    <row r="7299" spans="20:25" x14ac:dyDescent="0.3">
      <c r="T7299" s="12"/>
      <c r="U7299" s="4"/>
      <c r="V7299" s="4"/>
      <c r="X7299" s="4"/>
      <c r="Y7299" s="4"/>
    </row>
    <row r="7300" spans="20:25" x14ac:dyDescent="0.3">
      <c r="T7300" s="12"/>
      <c r="U7300" s="4"/>
      <c r="V7300" s="4"/>
      <c r="X7300" s="4"/>
      <c r="Y7300" s="4"/>
    </row>
    <row r="7301" spans="20:25" x14ac:dyDescent="0.3">
      <c r="T7301" s="12"/>
      <c r="U7301" s="4"/>
      <c r="V7301" s="4"/>
      <c r="X7301" s="4"/>
      <c r="Y7301" s="4"/>
    </row>
    <row r="7302" spans="20:25" x14ac:dyDescent="0.3">
      <c r="T7302" s="12"/>
      <c r="U7302" s="4"/>
      <c r="V7302" s="4"/>
      <c r="X7302" s="4"/>
      <c r="Y7302" s="4"/>
    </row>
    <row r="7303" spans="20:25" x14ac:dyDescent="0.3">
      <c r="T7303" s="12"/>
      <c r="U7303" s="4"/>
      <c r="V7303" s="4"/>
      <c r="X7303" s="4"/>
      <c r="Y7303" s="4"/>
    </row>
    <row r="7304" spans="20:25" x14ac:dyDescent="0.3">
      <c r="T7304" s="12"/>
      <c r="U7304" s="4"/>
      <c r="V7304" s="4"/>
      <c r="X7304" s="4"/>
      <c r="Y7304" s="4"/>
    </row>
    <row r="7305" spans="20:25" x14ac:dyDescent="0.3">
      <c r="T7305" s="12"/>
      <c r="U7305" s="4"/>
      <c r="V7305" s="4"/>
      <c r="X7305" s="4"/>
      <c r="Y7305" s="4"/>
    </row>
    <row r="7306" spans="20:25" x14ac:dyDescent="0.3">
      <c r="T7306" s="12"/>
      <c r="U7306" s="4"/>
      <c r="V7306" s="4"/>
      <c r="X7306" s="4"/>
      <c r="Y7306" s="4"/>
    </row>
    <row r="7307" spans="20:25" x14ac:dyDescent="0.3">
      <c r="T7307" s="12"/>
      <c r="U7307" s="4"/>
      <c r="V7307" s="4"/>
      <c r="X7307" s="4"/>
      <c r="Y7307" s="4"/>
    </row>
    <row r="7308" spans="20:25" x14ac:dyDescent="0.3">
      <c r="T7308" s="12"/>
      <c r="U7308" s="4"/>
      <c r="V7308" s="4"/>
      <c r="X7308" s="4"/>
      <c r="Y7308" s="4"/>
    </row>
    <row r="7309" spans="20:25" x14ac:dyDescent="0.3">
      <c r="T7309" s="12"/>
      <c r="U7309" s="4"/>
      <c r="V7309" s="4"/>
      <c r="X7309" s="4"/>
      <c r="Y7309" s="4"/>
    </row>
    <row r="7310" spans="20:25" x14ac:dyDescent="0.3">
      <c r="T7310" s="12"/>
      <c r="U7310" s="4"/>
      <c r="V7310" s="4"/>
      <c r="X7310" s="4"/>
      <c r="Y7310" s="4"/>
    </row>
    <row r="7311" spans="20:25" x14ac:dyDescent="0.3">
      <c r="T7311" s="12"/>
      <c r="U7311" s="4"/>
      <c r="V7311" s="4"/>
      <c r="X7311" s="4"/>
      <c r="Y7311" s="4"/>
    </row>
    <row r="7312" spans="20:25" x14ac:dyDescent="0.3">
      <c r="T7312" s="12"/>
      <c r="U7312" s="4"/>
      <c r="V7312" s="4"/>
      <c r="X7312" s="4"/>
      <c r="Y7312" s="4"/>
    </row>
    <row r="7313" spans="20:25" x14ac:dyDescent="0.3">
      <c r="T7313" s="12"/>
      <c r="U7313" s="4"/>
      <c r="V7313" s="4"/>
      <c r="X7313" s="4"/>
      <c r="Y7313" s="4"/>
    </row>
    <row r="7314" spans="20:25" x14ac:dyDescent="0.3">
      <c r="T7314" s="12"/>
      <c r="U7314" s="4"/>
      <c r="V7314" s="4"/>
      <c r="X7314" s="4"/>
      <c r="Y7314" s="4"/>
    </row>
    <row r="7315" spans="20:25" x14ac:dyDescent="0.3">
      <c r="T7315" s="12"/>
      <c r="U7315" s="4"/>
      <c r="V7315" s="4"/>
      <c r="X7315" s="4"/>
      <c r="Y7315" s="4"/>
    </row>
    <row r="7316" spans="20:25" x14ac:dyDescent="0.3">
      <c r="T7316" s="12"/>
      <c r="U7316" s="4"/>
      <c r="V7316" s="4"/>
      <c r="X7316" s="4"/>
      <c r="Y7316" s="4"/>
    </row>
    <row r="7317" spans="20:25" x14ac:dyDescent="0.3">
      <c r="T7317" s="12"/>
      <c r="U7317" s="4"/>
      <c r="V7317" s="4"/>
      <c r="X7317" s="4"/>
      <c r="Y7317" s="4"/>
    </row>
    <row r="7318" spans="20:25" x14ac:dyDescent="0.3">
      <c r="T7318" s="12"/>
      <c r="U7318" s="4"/>
      <c r="V7318" s="4"/>
      <c r="X7318" s="4"/>
      <c r="Y7318" s="4"/>
    </row>
    <row r="7319" spans="20:25" x14ac:dyDescent="0.3">
      <c r="T7319" s="12"/>
      <c r="U7319" s="4"/>
      <c r="V7319" s="4"/>
      <c r="X7319" s="4"/>
      <c r="Y7319" s="4"/>
    </row>
    <row r="7320" spans="20:25" x14ac:dyDescent="0.3">
      <c r="T7320" s="12"/>
      <c r="U7320" s="4"/>
      <c r="V7320" s="4"/>
      <c r="X7320" s="4"/>
      <c r="Y7320" s="4"/>
    </row>
    <row r="7321" spans="20:25" x14ac:dyDescent="0.3">
      <c r="T7321" s="12"/>
      <c r="U7321" s="4"/>
      <c r="V7321" s="4"/>
      <c r="X7321" s="4"/>
      <c r="Y7321" s="4"/>
    </row>
    <row r="7322" spans="20:25" x14ac:dyDescent="0.3">
      <c r="T7322" s="12"/>
      <c r="U7322" s="4"/>
      <c r="V7322" s="4"/>
      <c r="X7322" s="4"/>
      <c r="Y7322" s="4"/>
    </row>
    <row r="7323" spans="20:25" x14ac:dyDescent="0.3">
      <c r="T7323" s="12"/>
      <c r="U7323" s="4"/>
      <c r="V7323" s="4"/>
      <c r="X7323" s="4"/>
      <c r="Y7323" s="4"/>
    </row>
    <row r="7324" spans="20:25" x14ac:dyDescent="0.3">
      <c r="T7324" s="12"/>
      <c r="U7324" s="4"/>
      <c r="V7324" s="4"/>
      <c r="X7324" s="4"/>
      <c r="Y7324" s="4"/>
    </row>
    <row r="7325" spans="20:25" x14ac:dyDescent="0.3">
      <c r="T7325" s="12"/>
      <c r="U7325" s="4"/>
      <c r="V7325" s="4"/>
      <c r="X7325" s="4"/>
      <c r="Y7325" s="4"/>
    </row>
    <row r="7326" spans="20:25" x14ac:dyDescent="0.3">
      <c r="T7326" s="12"/>
      <c r="U7326" s="4"/>
      <c r="V7326" s="4"/>
      <c r="X7326" s="4"/>
      <c r="Y7326" s="4"/>
    </row>
    <row r="7327" spans="20:25" x14ac:dyDescent="0.3">
      <c r="T7327" s="12"/>
      <c r="U7327" s="4"/>
      <c r="V7327" s="4"/>
      <c r="X7327" s="4"/>
      <c r="Y7327" s="4"/>
    </row>
    <row r="7328" spans="20:25" x14ac:dyDescent="0.3">
      <c r="T7328" s="12"/>
      <c r="U7328" s="4"/>
      <c r="V7328" s="4"/>
      <c r="X7328" s="4"/>
      <c r="Y7328" s="4"/>
    </row>
    <row r="7329" spans="20:25" x14ac:dyDescent="0.3">
      <c r="T7329" s="12"/>
      <c r="U7329" s="4"/>
      <c r="V7329" s="4"/>
      <c r="X7329" s="4"/>
      <c r="Y7329" s="4"/>
    </row>
    <row r="7330" spans="20:25" x14ac:dyDescent="0.3">
      <c r="T7330" s="12"/>
      <c r="U7330" s="4"/>
      <c r="V7330" s="4"/>
      <c r="X7330" s="4"/>
      <c r="Y7330" s="4"/>
    </row>
    <row r="7331" spans="20:25" x14ac:dyDescent="0.3">
      <c r="T7331" s="12"/>
      <c r="U7331" s="4"/>
      <c r="V7331" s="4"/>
      <c r="X7331" s="4"/>
      <c r="Y7331" s="4"/>
    </row>
    <row r="7332" spans="20:25" x14ac:dyDescent="0.3">
      <c r="T7332" s="12"/>
      <c r="U7332" s="4"/>
      <c r="V7332" s="4"/>
      <c r="X7332" s="4"/>
      <c r="Y7332" s="4"/>
    </row>
    <row r="7333" spans="20:25" x14ac:dyDescent="0.3">
      <c r="T7333" s="12"/>
      <c r="U7333" s="4"/>
      <c r="V7333" s="4"/>
      <c r="X7333" s="4"/>
      <c r="Y7333" s="4"/>
    </row>
    <row r="7334" spans="20:25" x14ac:dyDescent="0.3">
      <c r="T7334" s="12"/>
      <c r="U7334" s="4"/>
      <c r="V7334" s="4"/>
      <c r="X7334" s="4"/>
      <c r="Y7334" s="4"/>
    </row>
    <row r="7335" spans="20:25" x14ac:dyDescent="0.3">
      <c r="T7335" s="12"/>
      <c r="U7335" s="4"/>
      <c r="V7335" s="4"/>
      <c r="X7335" s="4"/>
      <c r="Y7335" s="4"/>
    </row>
    <row r="7336" spans="20:25" x14ac:dyDescent="0.3">
      <c r="T7336" s="12"/>
      <c r="U7336" s="4"/>
      <c r="V7336" s="4"/>
      <c r="X7336" s="4"/>
      <c r="Y7336" s="4"/>
    </row>
    <row r="7337" spans="20:25" x14ac:dyDescent="0.3">
      <c r="T7337" s="12"/>
      <c r="U7337" s="4"/>
      <c r="V7337" s="4"/>
      <c r="X7337" s="4"/>
      <c r="Y7337" s="4"/>
    </row>
    <row r="7338" spans="20:25" x14ac:dyDescent="0.3">
      <c r="T7338" s="12"/>
      <c r="U7338" s="4"/>
      <c r="V7338" s="4"/>
      <c r="X7338" s="4"/>
      <c r="Y7338" s="4"/>
    </row>
    <row r="7339" spans="20:25" x14ac:dyDescent="0.3">
      <c r="T7339" s="12"/>
      <c r="U7339" s="4"/>
      <c r="V7339" s="4"/>
      <c r="X7339" s="4"/>
      <c r="Y7339" s="4"/>
    </row>
    <row r="7340" spans="20:25" x14ac:dyDescent="0.3">
      <c r="T7340" s="12"/>
      <c r="U7340" s="4"/>
      <c r="V7340" s="4"/>
      <c r="X7340" s="4"/>
      <c r="Y7340" s="4"/>
    </row>
    <row r="7341" spans="20:25" x14ac:dyDescent="0.3">
      <c r="T7341" s="12"/>
      <c r="U7341" s="4"/>
      <c r="V7341" s="4"/>
      <c r="X7341" s="4"/>
      <c r="Y7341" s="4"/>
    </row>
    <row r="7342" spans="20:25" x14ac:dyDescent="0.3">
      <c r="T7342" s="12"/>
      <c r="U7342" s="4"/>
      <c r="V7342" s="4"/>
      <c r="X7342" s="4"/>
      <c r="Y7342" s="4"/>
    </row>
    <row r="7343" spans="20:25" x14ac:dyDescent="0.3">
      <c r="T7343" s="12"/>
      <c r="U7343" s="4"/>
      <c r="V7343" s="4"/>
      <c r="X7343" s="4"/>
      <c r="Y7343" s="4"/>
    </row>
    <row r="7344" spans="20:25" x14ac:dyDescent="0.3">
      <c r="T7344" s="12"/>
      <c r="U7344" s="4"/>
      <c r="V7344" s="4"/>
      <c r="X7344" s="4"/>
      <c r="Y7344" s="4"/>
    </row>
    <row r="7345" spans="20:25" x14ac:dyDescent="0.3">
      <c r="T7345" s="12"/>
      <c r="U7345" s="4"/>
      <c r="V7345" s="4"/>
      <c r="X7345" s="4"/>
      <c r="Y7345" s="4"/>
    </row>
    <row r="7346" spans="20:25" x14ac:dyDescent="0.3">
      <c r="T7346" s="12"/>
      <c r="U7346" s="4"/>
      <c r="V7346" s="4"/>
      <c r="X7346" s="4"/>
      <c r="Y7346" s="4"/>
    </row>
    <row r="7347" spans="20:25" x14ac:dyDescent="0.3">
      <c r="T7347" s="12"/>
      <c r="U7347" s="4"/>
      <c r="V7347" s="4"/>
      <c r="X7347" s="4"/>
      <c r="Y7347" s="4"/>
    </row>
    <row r="7348" spans="20:25" x14ac:dyDescent="0.3">
      <c r="T7348" s="12"/>
      <c r="U7348" s="4"/>
      <c r="V7348" s="4"/>
      <c r="X7348" s="4"/>
      <c r="Y7348" s="4"/>
    </row>
    <row r="7349" spans="20:25" x14ac:dyDescent="0.3">
      <c r="T7349" s="12"/>
      <c r="U7349" s="4"/>
      <c r="V7349" s="4"/>
      <c r="X7349" s="4"/>
      <c r="Y7349" s="4"/>
    </row>
    <row r="7350" spans="20:25" x14ac:dyDescent="0.3">
      <c r="T7350" s="12"/>
      <c r="U7350" s="4"/>
      <c r="V7350" s="4"/>
      <c r="X7350" s="4"/>
      <c r="Y7350" s="4"/>
    </row>
    <row r="7351" spans="20:25" x14ac:dyDescent="0.3">
      <c r="T7351" s="12"/>
      <c r="U7351" s="4"/>
      <c r="V7351" s="4"/>
      <c r="X7351" s="4"/>
      <c r="Y7351" s="4"/>
    </row>
    <row r="7352" spans="20:25" x14ac:dyDescent="0.3">
      <c r="T7352" s="12"/>
      <c r="U7352" s="4"/>
      <c r="V7352" s="4"/>
      <c r="X7352" s="4"/>
      <c r="Y7352" s="4"/>
    </row>
    <row r="7353" spans="20:25" x14ac:dyDescent="0.3">
      <c r="T7353" s="12"/>
      <c r="U7353" s="4"/>
      <c r="V7353" s="4"/>
      <c r="X7353" s="4"/>
      <c r="Y7353" s="4"/>
    </row>
    <row r="7354" spans="20:25" x14ac:dyDescent="0.3">
      <c r="T7354" s="12"/>
      <c r="U7354" s="4"/>
      <c r="V7354" s="4"/>
      <c r="X7354" s="4"/>
      <c r="Y7354" s="4"/>
    </row>
    <row r="7355" spans="20:25" x14ac:dyDescent="0.3">
      <c r="T7355" s="12"/>
      <c r="U7355" s="4"/>
      <c r="V7355" s="4"/>
      <c r="X7355" s="4"/>
      <c r="Y7355" s="4"/>
    </row>
    <row r="7356" spans="20:25" x14ac:dyDescent="0.3">
      <c r="T7356" s="12"/>
      <c r="U7356" s="4"/>
      <c r="V7356" s="4"/>
      <c r="X7356" s="4"/>
      <c r="Y7356" s="4"/>
    </row>
    <row r="7357" spans="20:25" x14ac:dyDescent="0.3">
      <c r="T7357" s="12"/>
      <c r="U7357" s="4"/>
      <c r="V7357" s="4"/>
      <c r="X7357" s="4"/>
      <c r="Y7357" s="4"/>
    </row>
    <row r="7358" spans="20:25" x14ac:dyDescent="0.3">
      <c r="T7358" s="12"/>
      <c r="U7358" s="4"/>
      <c r="V7358" s="4"/>
      <c r="X7358" s="4"/>
      <c r="Y7358" s="4"/>
    </row>
    <row r="7359" spans="20:25" x14ac:dyDescent="0.3">
      <c r="T7359" s="12"/>
      <c r="U7359" s="4"/>
      <c r="V7359" s="4"/>
      <c r="X7359" s="4"/>
      <c r="Y7359" s="4"/>
    </row>
    <row r="7360" spans="20:25" x14ac:dyDescent="0.3">
      <c r="T7360" s="12"/>
      <c r="U7360" s="4"/>
      <c r="V7360" s="4"/>
      <c r="X7360" s="4"/>
      <c r="Y7360" s="4"/>
    </row>
    <row r="7361" spans="20:25" x14ac:dyDescent="0.3">
      <c r="T7361" s="12"/>
      <c r="U7361" s="4"/>
      <c r="V7361" s="4"/>
      <c r="X7361" s="4"/>
      <c r="Y7361" s="4"/>
    </row>
    <row r="7362" spans="20:25" x14ac:dyDescent="0.3">
      <c r="T7362" s="12"/>
      <c r="U7362" s="4"/>
      <c r="V7362" s="4"/>
      <c r="X7362" s="4"/>
      <c r="Y7362" s="4"/>
    </row>
    <row r="7363" spans="20:25" x14ac:dyDescent="0.3">
      <c r="T7363" s="12"/>
      <c r="U7363" s="4"/>
      <c r="V7363" s="4"/>
      <c r="X7363" s="4"/>
      <c r="Y7363" s="4"/>
    </row>
    <row r="7364" spans="20:25" x14ac:dyDescent="0.3">
      <c r="T7364" s="12"/>
      <c r="U7364" s="4"/>
      <c r="V7364" s="4"/>
      <c r="X7364" s="4"/>
      <c r="Y7364" s="4"/>
    </row>
    <row r="7365" spans="20:25" x14ac:dyDescent="0.3">
      <c r="T7365" s="12"/>
      <c r="U7365" s="4"/>
      <c r="V7365" s="4"/>
      <c r="X7365" s="4"/>
      <c r="Y7365" s="4"/>
    </row>
    <row r="7366" spans="20:25" x14ac:dyDescent="0.3">
      <c r="T7366" s="12"/>
      <c r="U7366" s="4"/>
      <c r="V7366" s="4"/>
      <c r="X7366" s="4"/>
      <c r="Y7366" s="4"/>
    </row>
    <row r="7367" spans="20:25" x14ac:dyDescent="0.3">
      <c r="T7367" s="12"/>
      <c r="U7367" s="4"/>
      <c r="V7367" s="4"/>
      <c r="X7367" s="4"/>
      <c r="Y7367" s="4"/>
    </row>
    <row r="7368" spans="20:25" x14ac:dyDescent="0.3">
      <c r="T7368" s="12"/>
      <c r="U7368" s="4"/>
      <c r="V7368" s="4"/>
      <c r="X7368" s="4"/>
      <c r="Y7368" s="4"/>
    </row>
    <row r="7369" spans="20:25" x14ac:dyDescent="0.3">
      <c r="T7369" s="12"/>
      <c r="U7369" s="4"/>
      <c r="V7369" s="4"/>
      <c r="X7369" s="4"/>
      <c r="Y7369" s="4"/>
    </row>
    <row r="7370" spans="20:25" x14ac:dyDescent="0.3">
      <c r="T7370" s="12"/>
      <c r="U7370" s="4"/>
      <c r="V7370" s="4"/>
      <c r="X7370" s="4"/>
      <c r="Y7370" s="4"/>
    </row>
    <row r="7371" spans="20:25" x14ac:dyDescent="0.3">
      <c r="T7371" s="12"/>
      <c r="U7371" s="4"/>
      <c r="V7371" s="4"/>
      <c r="X7371" s="4"/>
      <c r="Y7371" s="4"/>
    </row>
    <row r="7372" spans="20:25" x14ac:dyDescent="0.3">
      <c r="T7372" s="12"/>
      <c r="U7372" s="4"/>
      <c r="V7372" s="4"/>
      <c r="X7372" s="4"/>
      <c r="Y7372" s="4"/>
    </row>
    <row r="7373" spans="20:25" x14ac:dyDescent="0.3">
      <c r="T7373" s="12"/>
      <c r="U7373" s="4"/>
      <c r="V7373" s="4"/>
      <c r="X7373" s="4"/>
      <c r="Y7373" s="4"/>
    </row>
    <row r="7374" spans="20:25" x14ac:dyDescent="0.3">
      <c r="T7374" s="12"/>
      <c r="U7374" s="4"/>
      <c r="V7374" s="4"/>
      <c r="X7374" s="4"/>
      <c r="Y7374" s="4"/>
    </row>
    <row r="7375" spans="20:25" x14ac:dyDescent="0.3">
      <c r="T7375" s="12"/>
      <c r="U7375" s="4"/>
      <c r="V7375" s="4"/>
      <c r="X7375" s="4"/>
      <c r="Y7375" s="4"/>
    </row>
    <row r="7376" spans="20:25" x14ac:dyDescent="0.3">
      <c r="T7376" s="12"/>
      <c r="U7376" s="4"/>
      <c r="V7376" s="4"/>
      <c r="X7376" s="4"/>
      <c r="Y7376" s="4"/>
    </row>
    <row r="7377" spans="20:25" x14ac:dyDescent="0.3">
      <c r="T7377" s="12"/>
      <c r="U7377" s="4"/>
      <c r="V7377" s="4"/>
      <c r="X7377" s="4"/>
      <c r="Y7377" s="4"/>
    </row>
    <row r="7378" spans="20:25" x14ac:dyDescent="0.3">
      <c r="T7378" s="12"/>
      <c r="U7378" s="4"/>
      <c r="V7378" s="4"/>
      <c r="X7378" s="4"/>
      <c r="Y7378" s="4"/>
    </row>
    <row r="7379" spans="20:25" x14ac:dyDescent="0.3">
      <c r="T7379" s="12"/>
      <c r="U7379" s="4"/>
      <c r="V7379" s="4"/>
      <c r="X7379" s="4"/>
      <c r="Y7379" s="4"/>
    </row>
    <row r="7380" spans="20:25" x14ac:dyDescent="0.3">
      <c r="T7380" s="12"/>
      <c r="U7380" s="4"/>
      <c r="V7380" s="4"/>
      <c r="X7380" s="4"/>
      <c r="Y7380" s="4"/>
    </row>
    <row r="7381" spans="20:25" x14ac:dyDescent="0.3">
      <c r="T7381" s="12"/>
      <c r="U7381" s="4"/>
      <c r="V7381" s="4"/>
      <c r="X7381" s="4"/>
      <c r="Y7381" s="4"/>
    </row>
    <row r="7382" spans="20:25" x14ac:dyDescent="0.3">
      <c r="T7382" s="12"/>
      <c r="U7382" s="4"/>
      <c r="V7382" s="4"/>
      <c r="X7382" s="4"/>
      <c r="Y7382" s="4"/>
    </row>
    <row r="7383" spans="20:25" x14ac:dyDescent="0.3">
      <c r="T7383" s="12"/>
      <c r="U7383" s="4"/>
      <c r="V7383" s="4"/>
      <c r="X7383" s="4"/>
      <c r="Y7383" s="4"/>
    </row>
    <row r="7384" spans="20:25" x14ac:dyDescent="0.3">
      <c r="T7384" s="12"/>
      <c r="U7384" s="4"/>
      <c r="V7384" s="4"/>
      <c r="X7384" s="4"/>
      <c r="Y7384" s="4"/>
    </row>
    <row r="7385" spans="20:25" x14ac:dyDescent="0.3">
      <c r="T7385" s="12"/>
      <c r="U7385" s="4"/>
      <c r="V7385" s="4"/>
      <c r="X7385" s="4"/>
      <c r="Y7385" s="4"/>
    </row>
    <row r="7386" spans="20:25" x14ac:dyDescent="0.3">
      <c r="T7386" s="12"/>
      <c r="U7386" s="4"/>
      <c r="V7386" s="4"/>
      <c r="X7386" s="4"/>
      <c r="Y7386" s="4"/>
    </row>
    <row r="7387" spans="20:25" x14ac:dyDescent="0.3">
      <c r="T7387" s="12"/>
      <c r="U7387" s="4"/>
      <c r="V7387" s="4"/>
      <c r="X7387" s="4"/>
      <c r="Y7387" s="4"/>
    </row>
    <row r="7388" spans="20:25" x14ac:dyDescent="0.3">
      <c r="T7388" s="12"/>
      <c r="U7388" s="4"/>
      <c r="V7388" s="4"/>
      <c r="X7388" s="4"/>
      <c r="Y7388" s="4"/>
    </row>
    <row r="7389" spans="20:25" x14ac:dyDescent="0.3">
      <c r="T7389" s="12"/>
      <c r="U7389" s="4"/>
      <c r="V7389" s="4"/>
      <c r="X7389" s="4"/>
      <c r="Y7389" s="4"/>
    </row>
    <row r="7390" spans="20:25" x14ac:dyDescent="0.3">
      <c r="T7390" s="12"/>
      <c r="U7390" s="4"/>
      <c r="V7390" s="4"/>
      <c r="X7390" s="4"/>
      <c r="Y7390" s="4"/>
    </row>
    <row r="7391" spans="20:25" x14ac:dyDescent="0.3">
      <c r="T7391" s="12"/>
      <c r="U7391" s="4"/>
      <c r="V7391" s="4"/>
      <c r="X7391" s="4"/>
      <c r="Y7391" s="4"/>
    </row>
    <row r="7392" spans="20:25" x14ac:dyDescent="0.3">
      <c r="T7392" s="12"/>
      <c r="U7392" s="4"/>
      <c r="V7392" s="4"/>
      <c r="X7392" s="4"/>
      <c r="Y7392" s="4"/>
    </row>
    <row r="7393" spans="20:25" x14ac:dyDescent="0.3">
      <c r="T7393" s="12"/>
      <c r="U7393" s="4"/>
      <c r="V7393" s="4"/>
      <c r="X7393" s="4"/>
      <c r="Y7393" s="4"/>
    </row>
    <row r="7394" spans="20:25" x14ac:dyDescent="0.3">
      <c r="T7394" s="12"/>
      <c r="U7394" s="4"/>
      <c r="V7394" s="4"/>
      <c r="X7394" s="4"/>
      <c r="Y7394" s="4"/>
    </row>
    <row r="7395" spans="20:25" x14ac:dyDescent="0.3">
      <c r="T7395" s="12"/>
      <c r="U7395" s="4"/>
      <c r="V7395" s="4"/>
      <c r="X7395" s="4"/>
      <c r="Y7395" s="4"/>
    </row>
    <row r="7396" spans="20:25" x14ac:dyDescent="0.3">
      <c r="T7396" s="12"/>
      <c r="U7396" s="4"/>
      <c r="V7396" s="4"/>
      <c r="X7396" s="4"/>
      <c r="Y7396" s="4"/>
    </row>
    <row r="7397" spans="20:25" x14ac:dyDescent="0.3">
      <c r="T7397" s="12"/>
      <c r="U7397" s="4"/>
      <c r="V7397" s="4"/>
      <c r="X7397" s="4"/>
      <c r="Y7397" s="4"/>
    </row>
    <row r="7398" spans="20:25" x14ac:dyDescent="0.3">
      <c r="T7398" s="12"/>
      <c r="U7398" s="4"/>
      <c r="V7398" s="4"/>
      <c r="X7398" s="4"/>
      <c r="Y7398" s="4"/>
    </row>
    <row r="7399" spans="20:25" x14ac:dyDescent="0.3">
      <c r="T7399" s="12"/>
      <c r="U7399" s="4"/>
      <c r="V7399" s="4"/>
      <c r="X7399" s="4"/>
      <c r="Y7399" s="4"/>
    </row>
    <row r="7400" spans="20:25" x14ac:dyDescent="0.3">
      <c r="T7400" s="12"/>
      <c r="U7400" s="4"/>
      <c r="V7400" s="4"/>
      <c r="X7400" s="4"/>
      <c r="Y7400" s="4"/>
    </row>
    <row r="7401" spans="20:25" x14ac:dyDescent="0.3">
      <c r="T7401" s="12"/>
      <c r="U7401" s="4"/>
      <c r="V7401" s="4"/>
      <c r="X7401" s="4"/>
      <c r="Y7401" s="4"/>
    </row>
    <row r="7402" spans="20:25" x14ac:dyDescent="0.3">
      <c r="T7402" s="12"/>
      <c r="U7402" s="4"/>
      <c r="V7402" s="4"/>
      <c r="X7402" s="4"/>
      <c r="Y7402" s="4"/>
    </row>
    <row r="7403" spans="20:25" x14ac:dyDescent="0.3">
      <c r="T7403" s="12"/>
      <c r="U7403" s="4"/>
      <c r="V7403" s="4"/>
      <c r="X7403" s="4"/>
      <c r="Y7403" s="4"/>
    </row>
    <row r="7404" spans="20:25" x14ac:dyDescent="0.3">
      <c r="T7404" s="12"/>
      <c r="U7404" s="4"/>
      <c r="V7404" s="4"/>
      <c r="X7404" s="4"/>
      <c r="Y7404" s="4"/>
    </row>
    <row r="7405" spans="20:25" x14ac:dyDescent="0.3">
      <c r="T7405" s="12"/>
      <c r="U7405" s="4"/>
      <c r="V7405" s="4"/>
      <c r="X7405" s="4"/>
      <c r="Y7405" s="4"/>
    </row>
    <row r="7406" spans="20:25" x14ac:dyDescent="0.3">
      <c r="T7406" s="12"/>
      <c r="U7406" s="4"/>
      <c r="V7406" s="4"/>
      <c r="X7406" s="4"/>
      <c r="Y7406" s="4"/>
    </row>
    <row r="7407" spans="20:25" x14ac:dyDescent="0.3">
      <c r="T7407" s="12"/>
      <c r="U7407" s="4"/>
      <c r="V7407" s="4"/>
      <c r="X7407" s="4"/>
      <c r="Y7407" s="4"/>
    </row>
    <row r="7408" spans="20:25" x14ac:dyDescent="0.3">
      <c r="T7408" s="12"/>
      <c r="U7408" s="4"/>
      <c r="V7408" s="4"/>
      <c r="X7408" s="4"/>
      <c r="Y7408" s="4"/>
    </row>
    <row r="7409" spans="20:25" x14ac:dyDescent="0.3">
      <c r="T7409" s="12"/>
      <c r="U7409" s="4"/>
      <c r="V7409" s="4"/>
      <c r="X7409" s="4"/>
      <c r="Y7409" s="4"/>
    </row>
    <row r="7410" spans="20:25" x14ac:dyDescent="0.3">
      <c r="T7410" s="12"/>
      <c r="U7410" s="4"/>
      <c r="V7410" s="4"/>
      <c r="X7410" s="4"/>
      <c r="Y7410" s="4"/>
    </row>
    <row r="7411" spans="20:25" x14ac:dyDescent="0.3">
      <c r="T7411" s="12"/>
      <c r="U7411" s="4"/>
      <c r="V7411" s="4"/>
      <c r="X7411" s="4"/>
      <c r="Y7411" s="4"/>
    </row>
    <row r="7412" spans="20:25" x14ac:dyDescent="0.3">
      <c r="T7412" s="12"/>
      <c r="U7412" s="4"/>
      <c r="V7412" s="4"/>
      <c r="X7412" s="4"/>
      <c r="Y7412" s="4"/>
    </row>
    <row r="7413" spans="20:25" x14ac:dyDescent="0.3">
      <c r="T7413" s="12"/>
      <c r="U7413" s="4"/>
      <c r="V7413" s="4"/>
      <c r="X7413" s="4"/>
      <c r="Y7413" s="4"/>
    </row>
    <row r="7414" spans="20:25" x14ac:dyDescent="0.3">
      <c r="T7414" s="12"/>
      <c r="U7414" s="4"/>
      <c r="V7414" s="4"/>
      <c r="X7414" s="4"/>
      <c r="Y7414" s="4"/>
    </row>
    <row r="7415" spans="20:25" x14ac:dyDescent="0.3">
      <c r="T7415" s="12"/>
      <c r="U7415" s="4"/>
      <c r="V7415" s="4"/>
      <c r="X7415" s="4"/>
      <c r="Y7415" s="4"/>
    </row>
    <row r="7416" spans="20:25" x14ac:dyDescent="0.3">
      <c r="T7416" s="12"/>
      <c r="U7416" s="4"/>
      <c r="V7416" s="4"/>
      <c r="X7416" s="4"/>
      <c r="Y7416" s="4"/>
    </row>
    <row r="7417" spans="20:25" x14ac:dyDescent="0.3">
      <c r="T7417" s="12"/>
      <c r="U7417" s="4"/>
      <c r="V7417" s="4"/>
      <c r="X7417" s="4"/>
      <c r="Y7417" s="4"/>
    </row>
    <row r="7418" spans="20:25" x14ac:dyDescent="0.3">
      <c r="T7418" s="12"/>
      <c r="U7418" s="4"/>
      <c r="V7418" s="4"/>
      <c r="X7418" s="4"/>
      <c r="Y7418" s="4"/>
    </row>
    <row r="7419" spans="20:25" x14ac:dyDescent="0.3">
      <c r="T7419" s="12"/>
      <c r="U7419" s="4"/>
      <c r="V7419" s="4"/>
      <c r="X7419" s="4"/>
      <c r="Y7419" s="4"/>
    </row>
    <row r="7420" spans="20:25" x14ac:dyDescent="0.3">
      <c r="T7420" s="12"/>
      <c r="U7420" s="4"/>
      <c r="V7420" s="4"/>
      <c r="X7420" s="4"/>
      <c r="Y7420" s="4"/>
    </row>
    <row r="7421" spans="20:25" x14ac:dyDescent="0.3">
      <c r="T7421" s="12"/>
      <c r="U7421" s="4"/>
      <c r="V7421" s="4"/>
      <c r="X7421" s="4"/>
      <c r="Y7421" s="4"/>
    </row>
    <row r="7422" spans="20:25" x14ac:dyDescent="0.3">
      <c r="T7422" s="12"/>
      <c r="U7422" s="4"/>
      <c r="V7422" s="4"/>
      <c r="X7422" s="4"/>
      <c r="Y7422" s="4"/>
    </row>
    <row r="7423" spans="20:25" x14ac:dyDescent="0.3">
      <c r="T7423" s="12"/>
      <c r="U7423" s="4"/>
      <c r="V7423" s="4"/>
      <c r="X7423" s="4"/>
      <c r="Y7423" s="4"/>
    </row>
    <row r="7424" spans="20:25" x14ac:dyDescent="0.3">
      <c r="T7424" s="12"/>
      <c r="U7424" s="4"/>
      <c r="V7424" s="4"/>
      <c r="X7424" s="4"/>
      <c r="Y7424" s="4"/>
    </row>
    <row r="7425" spans="20:25" x14ac:dyDescent="0.3">
      <c r="T7425" s="12"/>
      <c r="U7425" s="4"/>
      <c r="V7425" s="4"/>
      <c r="X7425" s="4"/>
      <c r="Y7425" s="4"/>
    </row>
    <row r="7426" spans="20:25" x14ac:dyDescent="0.3">
      <c r="T7426" s="12"/>
      <c r="U7426" s="4"/>
      <c r="V7426" s="4"/>
      <c r="X7426" s="4"/>
      <c r="Y7426" s="4"/>
    </row>
    <row r="7427" spans="20:25" x14ac:dyDescent="0.3">
      <c r="T7427" s="12"/>
      <c r="U7427" s="4"/>
      <c r="V7427" s="4"/>
      <c r="X7427" s="4"/>
      <c r="Y7427" s="4"/>
    </row>
    <row r="7428" spans="20:25" x14ac:dyDescent="0.3">
      <c r="T7428" s="12"/>
      <c r="U7428" s="4"/>
      <c r="V7428" s="4"/>
      <c r="X7428" s="4"/>
      <c r="Y7428" s="4"/>
    </row>
    <row r="7429" spans="20:25" x14ac:dyDescent="0.3">
      <c r="T7429" s="12"/>
      <c r="U7429" s="4"/>
      <c r="V7429" s="4"/>
      <c r="X7429" s="4"/>
      <c r="Y7429" s="4"/>
    </row>
    <row r="7430" spans="20:25" x14ac:dyDescent="0.3">
      <c r="T7430" s="12"/>
      <c r="U7430" s="4"/>
      <c r="V7430" s="4"/>
      <c r="X7430" s="4"/>
      <c r="Y7430" s="4"/>
    </row>
    <row r="7431" spans="20:25" x14ac:dyDescent="0.3">
      <c r="T7431" s="12"/>
      <c r="U7431" s="4"/>
      <c r="V7431" s="4"/>
      <c r="X7431" s="4"/>
      <c r="Y7431" s="4"/>
    </row>
    <row r="7432" spans="20:25" x14ac:dyDescent="0.3">
      <c r="T7432" s="12"/>
      <c r="U7432" s="4"/>
      <c r="V7432" s="4"/>
      <c r="X7432" s="4"/>
      <c r="Y7432" s="4"/>
    </row>
    <row r="7433" spans="20:25" x14ac:dyDescent="0.3">
      <c r="T7433" s="12"/>
      <c r="U7433" s="4"/>
      <c r="V7433" s="4"/>
      <c r="X7433" s="4"/>
      <c r="Y7433" s="4"/>
    </row>
    <row r="7434" spans="20:25" x14ac:dyDescent="0.3">
      <c r="T7434" s="12"/>
      <c r="U7434" s="4"/>
      <c r="V7434" s="4"/>
      <c r="X7434" s="4"/>
      <c r="Y7434" s="4"/>
    </row>
    <row r="7435" spans="20:25" x14ac:dyDescent="0.3">
      <c r="T7435" s="12"/>
      <c r="U7435" s="4"/>
      <c r="V7435" s="4"/>
      <c r="X7435" s="4"/>
      <c r="Y7435" s="4"/>
    </row>
    <row r="7436" spans="20:25" x14ac:dyDescent="0.3">
      <c r="T7436" s="12"/>
      <c r="U7436" s="4"/>
      <c r="V7436" s="4"/>
      <c r="X7436" s="4"/>
      <c r="Y7436" s="4"/>
    </row>
    <row r="7437" spans="20:25" x14ac:dyDescent="0.3">
      <c r="T7437" s="12"/>
      <c r="U7437" s="4"/>
      <c r="V7437" s="4"/>
      <c r="X7437" s="4"/>
      <c r="Y7437" s="4"/>
    </row>
    <row r="7438" spans="20:25" x14ac:dyDescent="0.3">
      <c r="T7438" s="12"/>
      <c r="U7438" s="4"/>
      <c r="V7438" s="4"/>
      <c r="X7438" s="4"/>
      <c r="Y7438" s="4"/>
    </row>
    <row r="7439" spans="20:25" x14ac:dyDescent="0.3">
      <c r="T7439" s="12"/>
      <c r="U7439" s="4"/>
      <c r="V7439" s="4"/>
      <c r="X7439" s="4"/>
      <c r="Y7439" s="4"/>
    </row>
    <row r="7440" spans="20:25" x14ac:dyDescent="0.3">
      <c r="T7440" s="12"/>
      <c r="U7440" s="4"/>
      <c r="V7440" s="4"/>
      <c r="X7440" s="4"/>
      <c r="Y7440" s="4"/>
    </row>
    <row r="7441" spans="20:25" x14ac:dyDescent="0.3">
      <c r="T7441" s="12"/>
      <c r="U7441" s="4"/>
      <c r="V7441" s="4"/>
      <c r="X7441" s="4"/>
      <c r="Y7441" s="4"/>
    </row>
    <row r="7442" spans="20:25" x14ac:dyDescent="0.3">
      <c r="T7442" s="12"/>
      <c r="U7442" s="4"/>
      <c r="V7442" s="4"/>
      <c r="X7442" s="4"/>
      <c r="Y7442" s="4"/>
    </row>
    <row r="7443" spans="20:25" x14ac:dyDescent="0.3">
      <c r="T7443" s="12"/>
      <c r="U7443" s="4"/>
      <c r="V7443" s="4"/>
      <c r="X7443" s="4"/>
      <c r="Y7443" s="4"/>
    </row>
    <row r="7444" spans="20:25" x14ac:dyDescent="0.3">
      <c r="T7444" s="12"/>
      <c r="U7444" s="4"/>
      <c r="V7444" s="4"/>
      <c r="X7444" s="4"/>
      <c r="Y7444" s="4"/>
    </row>
    <row r="7445" spans="20:25" x14ac:dyDescent="0.3">
      <c r="T7445" s="12"/>
      <c r="U7445" s="4"/>
      <c r="V7445" s="4"/>
      <c r="X7445" s="4"/>
      <c r="Y7445" s="4"/>
    </row>
    <row r="7446" spans="20:25" x14ac:dyDescent="0.3">
      <c r="T7446" s="12"/>
      <c r="U7446" s="4"/>
      <c r="V7446" s="4"/>
      <c r="X7446" s="4"/>
      <c r="Y7446" s="4"/>
    </row>
    <row r="7447" spans="20:25" x14ac:dyDescent="0.3">
      <c r="T7447" s="12"/>
      <c r="U7447" s="4"/>
      <c r="V7447" s="4"/>
      <c r="X7447" s="4"/>
      <c r="Y7447" s="4"/>
    </row>
    <row r="7448" spans="20:25" x14ac:dyDescent="0.3">
      <c r="T7448" s="12"/>
      <c r="U7448" s="4"/>
      <c r="V7448" s="4"/>
      <c r="X7448" s="4"/>
      <c r="Y7448" s="4"/>
    </row>
    <row r="7449" spans="20:25" x14ac:dyDescent="0.3">
      <c r="T7449" s="12"/>
      <c r="U7449" s="4"/>
      <c r="V7449" s="4"/>
      <c r="X7449" s="4"/>
      <c r="Y7449" s="4"/>
    </row>
    <row r="7450" spans="20:25" x14ac:dyDescent="0.3">
      <c r="T7450" s="12"/>
      <c r="U7450" s="4"/>
      <c r="V7450" s="4"/>
      <c r="X7450" s="4"/>
      <c r="Y7450" s="4"/>
    </row>
    <row r="7451" spans="20:25" x14ac:dyDescent="0.3">
      <c r="T7451" s="12"/>
      <c r="U7451" s="4"/>
      <c r="V7451" s="4"/>
      <c r="X7451" s="4"/>
      <c r="Y7451" s="4"/>
    </row>
    <row r="7452" spans="20:25" x14ac:dyDescent="0.3">
      <c r="T7452" s="12"/>
      <c r="U7452" s="4"/>
      <c r="V7452" s="4"/>
      <c r="X7452" s="4"/>
      <c r="Y7452" s="4"/>
    </row>
    <row r="7453" spans="20:25" x14ac:dyDescent="0.3">
      <c r="T7453" s="12"/>
      <c r="U7453" s="4"/>
      <c r="V7453" s="4"/>
      <c r="X7453" s="4"/>
      <c r="Y7453" s="4"/>
    </row>
    <row r="7454" spans="20:25" x14ac:dyDescent="0.3">
      <c r="T7454" s="12"/>
      <c r="U7454" s="4"/>
      <c r="V7454" s="4"/>
      <c r="X7454" s="4"/>
      <c r="Y7454" s="4"/>
    </row>
    <row r="7455" spans="20:25" x14ac:dyDescent="0.3">
      <c r="T7455" s="12"/>
      <c r="U7455" s="4"/>
      <c r="V7455" s="4"/>
      <c r="X7455" s="4"/>
      <c r="Y7455" s="4"/>
    </row>
    <row r="7456" spans="20:25" x14ac:dyDescent="0.3">
      <c r="T7456" s="12"/>
      <c r="U7456" s="4"/>
      <c r="V7456" s="4"/>
      <c r="X7456" s="4"/>
      <c r="Y7456" s="4"/>
    </row>
    <row r="7457" spans="20:25" x14ac:dyDescent="0.3">
      <c r="T7457" s="12"/>
      <c r="U7457" s="4"/>
      <c r="V7457" s="4"/>
      <c r="X7457" s="4"/>
      <c r="Y7457" s="4"/>
    </row>
    <row r="7458" spans="20:25" x14ac:dyDescent="0.3">
      <c r="T7458" s="12"/>
      <c r="U7458" s="4"/>
      <c r="V7458" s="4"/>
      <c r="X7458" s="4"/>
      <c r="Y7458" s="4"/>
    </row>
    <row r="7459" spans="20:25" x14ac:dyDescent="0.3">
      <c r="T7459" s="12"/>
      <c r="U7459" s="4"/>
      <c r="V7459" s="4"/>
      <c r="X7459" s="4"/>
      <c r="Y7459" s="4"/>
    </row>
    <row r="7460" spans="20:25" x14ac:dyDescent="0.3">
      <c r="T7460" s="12"/>
      <c r="U7460" s="4"/>
      <c r="V7460" s="4"/>
      <c r="X7460" s="4"/>
      <c r="Y7460" s="4"/>
    </row>
    <row r="7461" spans="20:25" x14ac:dyDescent="0.3">
      <c r="T7461" s="12"/>
      <c r="U7461" s="4"/>
      <c r="V7461" s="4"/>
      <c r="X7461" s="4"/>
      <c r="Y7461" s="4"/>
    </row>
    <row r="7462" spans="20:25" x14ac:dyDescent="0.3">
      <c r="T7462" s="12"/>
      <c r="U7462" s="4"/>
      <c r="V7462" s="4"/>
      <c r="X7462" s="4"/>
      <c r="Y7462" s="4"/>
    </row>
    <row r="7463" spans="20:25" x14ac:dyDescent="0.3">
      <c r="T7463" s="12"/>
      <c r="U7463" s="4"/>
      <c r="V7463" s="4"/>
      <c r="X7463" s="4"/>
      <c r="Y7463" s="4"/>
    </row>
    <row r="7464" spans="20:25" x14ac:dyDescent="0.3">
      <c r="T7464" s="12"/>
      <c r="U7464" s="4"/>
      <c r="V7464" s="4"/>
      <c r="X7464" s="4"/>
      <c r="Y7464" s="4"/>
    </row>
    <row r="7465" spans="20:25" x14ac:dyDescent="0.3">
      <c r="T7465" s="12"/>
      <c r="U7465" s="4"/>
      <c r="V7465" s="4"/>
      <c r="X7465" s="4"/>
      <c r="Y7465" s="4"/>
    </row>
    <row r="7466" spans="20:25" x14ac:dyDescent="0.3">
      <c r="T7466" s="12"/>
      <c r="U7466" s="4"/>
      <c r="V7466" s="4"/>
      <c r="X7466" s="4"/>
      <c r="Y7466" s="4"/>
    </row>
    <row r="7467" spans="20:25" x14ac:dyDescent="0.3">
      <c r="T7467" s="12"/>
      <c r="U7467" s="4"/>
      <c r="V7467" s="4"/>
      <c r="X7467" s="4"/>
      <c r="Y7467" s="4"/>
    </row>
    <row r="7468" spans="20:25" x14ac:dyDescent="0.3">
      <c r="T7468" s="12"/>
      <c r="U7468" s="4"/>
      <c r="V7468" s="4"/>
      <c r="X7468" s="4"/>
      <c r="Y7468" s="4"/>
    </row>
    <row r="7469" spans="20:25" x14ac:dyDescent="0.3">
      <c r="T7469" s="12"/>
      <c r="U7469" s="4"/>
      <c r="V7469" s="4"/>
      <c r="X7469" s="4"/>
      <c r="Y7469" s="4"/>
    </row>
    <row r="7470" spans="20:25" x14ac:dyDescent="0.3">
      <c r="T7470" s="12"/>
      <c r="U7470" s="4"/>
      <c r="V7470" s="4"/>
      <c r="X7470" s="4"/>
      <c r="Y7470" s="4"/>
    </row>
    <row r="7471" spans="20:25" x14ac:dyDescent="0.3">
      <c r="T7471" s="12"/>
      <c r="U7471" s="4"/>
      <c r="V7471" s="4"/>
      <c r="X7471" s="4"/>
      <c r="Y7471" s="4"/>
    </row>
    <row r="7472" spans="20:25" x14ac:dyDescent="0.3">
      <c r="T7472" s="12"/>
      <c r="U7472" s="4"/>
      <c r="V7472" s="4"/>
      <c r="X7472" s="4"/>
      <c r="Y7472" s="4"/>
    </row>
    <row r="7473" spans="20:25" x14ac:dyDescent="0.3">
      <c r="T7473" s="12"/>
      <c r="U7473" s="4"/>
      <c r="V7473" s="4"/>
      <c r="X7473" s="4"/>
      <c r="Y7473" s="4"/>
    </row>
    <row r="7474" spans="20:25" x14ac:dyDescent="0.3">
      <c r="T7474" s="12"/>
      <c r="U7474" s="4"/>
      <c r="V7474" s="4"/>
      <c r="X7474" s="4"/>
      <c r="Y7474" s="4"/>
    </row>
    <row r="7475" spans="20:25" x14ac:dyDescent="0.3">
      <c r="T7475" s="12"/>
      <c r="U7475" s="4"/>
      <c r="V7475" s="4"/>
      <c r="X7475" s="4"/>
      <c r="Y7475" s="4"/>
    </row>
    <row r="7476" spans="20:25" x14ac:dyDescent="0.3">
      <c r="T7476" s="12"/>
      <c r="U7476" s="4"/>
      <c r="V7476" s="4"/>
      <c r="X7476" s="4"/>
      <c r="Y7476" s="4"/>
    </row>
    <row r="7477" spans="20:25" x14ac:dyDescent="0.3">
      <c r="T7477" s="12"/>
      <c r="U7477" s="4"/>
      <c r="V7477" s="4"/>
      <c r="X7477" s="4"/>
      <c r="Y7477" s="4"/>
    </row>
    <row r="7478" spans="20:25" x14ac:dyDescent="0.3">
      <c r="T7478" s="12"/>
      <c r="U7478" s="4"/>
      <c r="V7478" s="4"/>
      <c r="X7478" s="4"/>
      <c r="Y7478" s="4"/>
    </row>
    <row r="7479" spans="20:25" x14ac:dyDescent="0.3">
      <c r="T7479" s="12"/>
      <c r="U7479" s="4"/>
      <c r="V7479" s="4"/>
      <c r="X7479" s="4"/>
      <c r="Y7479" s="4"/>
    </row>
    <row r="7480" spans="20:25" x14ac:dyDescent="0.3">
      <c r="T7480" s="12"/>
      <c r="U7480" s="4"/>
      <c r="V7480" s="4"/>
      <c r="X7480" s="4"/>
      <c r="Y7480" s="4"/>
    </row>
    <row r="7481" spans="20:25" x14ac:dyDescent="0.3">
      <c r="T7481" s="12"/>
      <c r="U7481" s="4"/>
      <c r="V7481" s="4"/>
      <c r="X7481" s="4"/>
      <c r="Y7481" s="4"/>
    </row>
    <row r="7482" spans="20:25" x14ac:dyDescent="0.3">
      <c r="T7482" s="12"/>
      <c r="U7482" s="4"/>
      <c r="V7482" s="4"/>
      <c r="X7482" s="4"/>
      <c r="Y7482" s="4"/>
    </row>
    <row r="7483" spans="20:25" x14ac:dyDescent="0.3">
      <c r="T7483" s="12"/>
      <c r="U7483" s="4"/>
      <c r="V7483" s="4"/>
      <c r="X7483" s="4"/>
      <c r="Y7483" s="4"/>
    </row>
    <row r="7484" spans="20:25" x14ac:dyDescent="0.3">
      <c r="T7484" s="12"/>
      <c r="U7484" s="4"/>
      <c r="V7484" s="4"/>
      <c r="X7484" s="4"/>
      <c r="Y7484" s="4"/>
    </row>
    <row r="7485" spans="20:25" x14ac:dyDescent="0.3">
      <c r="T7485" s="12"/>
      <c r="U7485" s="4"/>
      <c r="V7485" s="4"/>
      <c r="X7485" s="4"/>
      <c r="Y7485" s="4"/>
    </row>
    <row r="7486" spans="20:25" x14ac:dyDescent="0.3">
      <c r="T7486" s="12"/>
      <c r="U7486" s="4"/>
      <c r="V7486" s="4"/>
      <c r="X7486" s="4"/>
      <c r="Y7486" s="4"/>
    </row>
    <row r="7487" spans="20:25" x14ac:dyDescent="0.3">
      <c r="T7487" s="12"/>
      <c r="U7487" s="4"/>
      <c r="V7487" s="4"/>
      <c r="X7487" s="4"/>
      <c r="Y7487" s="4"/>
    </row>
    <row r="7488" spans="20:25" x14ac:dyDescent="0.3">
      <c r="T7488" s="12"/>
      <c r="U7488" s="4"/>
      <c r="V7488" s="4"/>
      <c r="X7488" s="4"/>
      <c r="Y7488" s="4"/>
    </row>
    <row r="7489" spans="20:25" x14ac:dyDescent="0.3">
      <c r="T7489" s="12"/>
      <c r="U7489" s="4"/>
      <c r="V7489" s="4"/>
      <c r="X7489" s="4"/>
      <c r="Y7489" s="4"/>
    </row>
    <row r="7490" spans="20:25" x14ac:dyDescent="0.3">
      <c r="T7490" s="12"/>
      <c r="U7490" s="4"/>
      <c r="V7490" s="4"/>
      <c r="X7490" s="4"/>
      <c r="Y7490" s="4"/>
    </row>
    <row r="7491" spans="20:25" x14ac:dyDescent="0.3">
      <c r="T7491" s="12"/>
      <c r="U7491" s="4"/>
      <c r="V7491" s="4"/>
      <c r="X7491" s="4"/>
      <c r="Y7491" s="4"/>
    </row>
    <row r="7492" spans="20:25" x14ac:dyDescent="0.3">
      <c r="T7492" s="12"/>
      <c r="U7492" s="4"/>
      <c r="V7492" s="4"/>
      <c r="X7492" s="4"/>
      <c r="Y7492" s="4"/>
    </row>
    <row r="7493" spans="20:25" x14ac:dyDescent="0.3">
      <c r="T7493" s="12"/>
      <c r="U7493" s="4"/>
      <c r="V7493" s="4"/>
      <c r="X7493" s="4"/>
      <c r="Y7493" s="4"/>
    </row>
    <row r="7494" spans="20:25" x14ac:dyDescent="0.3">
      <c r="T7494" s="12"/>
      <c r="U7494" s="4"/>
      <c r="V7494" s="4"/>
      <c r="X7494" s="4"/>
      <c r="Y7494" s="4"/>
    </row>
    <row r="7495" spans="20:25" x14ac:dyDescent="0.3">
      <c r="T7495" s="12"/>
      <c r="U7495" s="4"/>
      <c r="V7495" s="4"/>
      <c r="X7495" s="4"/>
      <c r="Y7495" s="4"/>
    </row>
    <row r="7496" spans="20:25" x14ac:dyDescent="0.3">
      <c r="T7496" s="12"/>
      <c r="U7496" s="4"/>
      <c r="V7496" s="4"/>
      <c r="X7496" s="4"/>
      <c r="Y7496" s="4"/>
    </row>
    <row r="7497" spans="20:25" x14ac:dyDescent="0.3">
      <c r="T7497" s="12"/>
      <c r="U7497" s="4"/>
      <c r="V7497" s="4"/>
      <c r="X7497" s="4"/>
      <c r="Y7497" s="4"/>
    </row>
    <row r="7498" spans="20:25" x14ac:dyDescent="0.3">
      <c r="T7498" s="12"/>
      <c r="U7498" s="4"/>
      <c r="V7498" s="4"/>
      <c r="X7498" s="4"/>
      <c r="Y7498" s="4"/>
    </row>
    <row r="7499" spans="20:25" x14ac:dyDescent="0.3">
      <c r="T7499" s="12"/>
      <c r="U7499" s="4"/>
      <c r="V7499" s="4"/>
      <c r="X7499" s="4"/>
      <c r="Y7499" s="4"/>
    </row>
    <row r="7500" spans="20:25" x14ac:dyDescent="0.3">
      <c r="T7500" s="12"/>
      <c r="U7500" s="4"/>
      <c r="V7500" s="4"/>
      <c r="X7500" s="4"/>
      <c r="Y7500" s="4"/>
    </row>
    <row r="7501" spans="20:25" x14ac:dyDescent="0.3">
      <c r="T7501" s="12"/>
      <c r="U7501" s="4"/>
      <c r="V7501" s="4"/>
      <c r="X7501" s="4"/>
      <c r="Y7501" s="4"/>
    </row>
    <row r="7502" spans="20:25" x14ac:dyDescent="0.3">
      <c r="T7502" s="12"/>
      <c r="U7502" s="4"/>
      <c r="V7502" s="4"/>
      <c r="X7502" s="4"/>
      <c r="Y7502" s="4"/>
    </row>
    <row r="7503" spans="20:25" x14ac:dyDescent="0.3">
      <c r="T7503" s="12"/>
      <c r="U7503" s="4"/>
      <c r="V7503" s="4"/>
      <c r="X7503" s="4"/>
      <c r="Y7503" s="4"/>
    </row>
    <row r="7504" spans="20:25" x14ac:dyDescent="0.3">
      <c r="T7504" s="12"/>
      <c r="U7504" s="4"/>
      <c r="V7504" s="4"/>
      <c r="X7504" s="4"/>
      <c r="Y7504" s="4"/>
    </row>
    <row r="7505" spans="20:25" x14ac:dyDescent="0.3">
      <c r="T7505" s="12"/>
      <c r="U7505" s="4"/>
      <c r="V7505" s="4"/>
      <c r="X7505" s="4"/>
      <c r="Y7505" s="4"/>
    </row>
    <row r="7506" spans="20:25" x14ac:dyDescent="0.3">
      <c r="T7506" s="12"/>
      <c r="U7506" s="4"/>
      <c r="V7506" s="4"/>
      <c r="X7506" s="4"/>
      <c r="Y7506" s="4"/>
    </row>
    <row r="7507" spans="20:25" x14ac:dyDescent="0.3">
      <c r="T7507" s="12"/>
      <c r="U7507" s="4"/>
      <c r="V7507" s="4"/>
      <c r="X7507" s="4"/>
      <c r="Y7507" s="4"/>
    </row>
    <row r="7508" spans="20:25" x14ac:dyDescent="0.3">
      <c r="T7508" s="12"/>
      <c r="U7508" s="4"/>
      <c r="V7508" s="4"/>
      <c r="X7508" s="4"/>
      <c r="Y7508" s="4"/>
    </row>
    <row r="7509" spans="20:25" x14ac:dyDescent="0.3">
      <c r="T7509" s="12"/>
      <c r="U7509" s="4"/>
      <c r="V7509" s="4"/>
      <c r="X7509" s="4"/>
      <c r="Y7509" s="4"/>
    </row>
    <row r="7510" spans="20:25" x14ac:dyDescent="0.3">
      <c r="T7510" s="12"/>
      <c r="U7510" s="4"/>
      <c r="V7510" s="4"/>
      <c r="X7510" s="4"/>
      <c r="Y7510" s="4"/>
    </row>
    <row r="7511" spans="20:25" x14ac:dyDescent="0.3">
      <c r="T7511" s="12"/>
      <c r="U7511" s="4"/>
      <c r="V7511" s="4"/>
      <c r="X7511" s="4"/>
      <c r="Y7511" s="4"/>
    </row>
    <row r="7512" spans="20:25" x14ac:dyDescent="0.3">
      <c r="T7512" s="12"/>
      <c r="U7512" s="4"/>
      <c r="V7512" s="4"/>
      <c r="X7512" s="4"/>
      <c r="Y7512" s="4"/>
    </row>
    <row r="7513" spans="20:25" x14ac:dyDescent="0.3">
      <c r="T7513" s="12"/>
      <c r="U7513" s="4"/>
      <c r="V7513" s="4"/>
      <c r="X7513" s="4"/>
      <c r="Y7513" s="4"/>
    </row>
    <row r="7514" spans="20:25" x14ac:dyDescent="0.3">
      <c r="T7514" s="12"/>
      <c r="U7514" s="4"/>
      <c r="V7514" s="4"/>
      <c r="X7514" s="4"/>
      <c r="Y7514" s="4"/>
    </row>
    <row r="7515" spans="20:25" x14ac:dyDescent="0.3">
      <c r="T7515" s="12"/>
      <c r="U7515" s="4"/>
      <c r="V7515" s="4"/>
      <c r="X7515" s="4"/>
      <c r="Y7515" s="4"/>
    </row>
    <row r="7516" spans="20:25" x14ac:dyDescent="0.3">
      <c r="T7516" s="12"/>
      <c r="U7516" s="4"/>
      <c r="V7516" s="4"/>
      <c r="X7516" s="4"/>
      <c r="Y7516" s="4"/>
    </row>
    <row r="7517" spans="20:25" x14ac:dyDescent="0.3">
      <c r="T7517" s="12"/>
      <c r="U7517" s="4"/>
      <c r="V7517" s="4"/>
      <c r="X7517" s="4"/>
      <c r="Y7517" s="4"/>
    </row>
    <row r="7518" spans="20:25" x14ac:dyDescent="0.3">
      <c r="T7518" s="12"/>
      <c r="U7518" s="4"/>
      <c r="V7518" s="4"/>
      <c r="X7518" s="4"/>
      <c r="Y7518" s="4"/>
    </row>
    <row r="7519" spans="20:25" x14ac:dyDescent="0.3">
      <c r="T7519" s="12"/>
      <c r="U7519" s="4"/>
      <c r="V7519" s="4"/>
      <c r="X7519" s="4"/>
      <c r="Y7519" s="4"/>
    </row>
    <row r="7520" spans="20:25" x14ac:dyDescent="0.3">
      <c r="T7520" s="12"/>
      <c r="U7520" s="4"/>
      <c r="V7520" s="4"/>
      <c r="X7520" s="4"/>
      <c r="Y7520" s="4"/>
    </row>
    <row r="7521" spans="20:25" x14ac:dyDescent="0.3">
      <c r="T7521" s="12"/>
      <c r="U7521" s="4"/>
      <c r="V7521" s="4"/>
      <c r="X7521" s="4"/>
      <c r="Y7521" s="4"/>
    </row>
    <row r="7522" spans="20:25" x14ac:dyDescent="0.3">
      <c r="T7522" s="12"/>
      <c r="U7522" s="4"/>
      <c r="V7522" s="4"/>
      <c r="X7522" s="4"/>
      <c r="Y7522" s="4"/>
    </row>
    <row r="7523" spans="20:25" x14ac:dyDescent="0.3">
      <c r="T7523" s="12"/>
      <c r="U7523" s="4"/>
      <c r="V7523" s="4"/>
      <c r="X7523" s="4"/>
      <c r="Y7523" s="4"/>
    </row>
    <row r="7524" spans="20:25" x14ac:dyDescent="0.3">
      <c r="T7524" s="12"/>
      <c r="U7524" s="4"/>
      <c r="V7524" s="4"/>
      <c r="X7524" s="4"/>
      <c r="Y7524" s="4"/>
    </row>
    <row r="7525" spans="20:25" x14ac:dyDescent="0.3">
      <c r="T7525" s="12"/>
      <c r="U7525" s="4"/>
      <c r="V7525" s="4"/>
      <c r="X7525" s="4"/>
      <c r="Y7525" s="4"/>
    </row>
    <row r="7526" spans="20:25" x14ac:dyDescent="0.3">
      <c r="T7526" s="12"/>
      <c r="U7526" s="4"/>
      <c r="V7526" s="4"/>
      <c r="X7526" s="4"/>
      <c r="Y7526" s="4"/>
    </row>
    <row r="7527" spans="20:25" x14ac:dyDescent="0.3">
      <c r="T7527" s="12"/>
      <c r="U7527" s="4"/>
      <c r="V7527" s="4"/>
      <c r="X7527" s="4"/>
      <c r="Y7527" s="4"/>
    </row>
    <row r="7528" spans="20:25" x14ac:dyDescent="0.3">
      <c r="T7528" s="12"/>
      <c r="U7528" s="4"/>
      <c r="V7528" s="4"/>
      <c r="X7528" s="4"/>
      <c r="Y7528" s="4"/>
    </row>
    <row r="7529" spans="20:25" x14ac:dyDescent="0.3">
      <c r="T7529" s="12"/>
      <c r="U7529" s="4"/>
      <c r="V7529" s="4"/>
      <c r="X7529" s="4"/>
      <c r="Y7529" s="4"/>
    </row>
    <row r="7530" spans="20:25" x14ac:dyDescent="0.3">
      <c r="T7530" s="12"/>
      <c r="U7530" s="4"/>
      <c r="V7530" s="4"/>
      <c r="X7530" s="4"/>
      <c r="Y7530" s="4"/>
    </row>
    <row r="7531" spans="20:25" x14ac:dyDescent="0.3">
      <c r="T7531" s="12"/>
      <c r="U7531" s="4"/>
      <c r="V7531" s="4"/>
      <c r="X7531" s="4"/>
      <c r="Y7531" s="4"/>
    </row>
    <row r="7532" spans="20:25" x14ac:dyDescent="0.3">
      <c r="T7532" s="12"/>
      <c r="U7532" s="4"/>
      <c r="V7532" s="4"/>
      <c r="X7532" s="4"/>
      <c r="Y7532" s="4"/>
    </row>
    <row r="7533" spans="20:25" x14ac:dyDescent="0.3">
      <c r="T7533" s="12"/>
      <c r="U7533" s="4"/>
      <c r="V7533" s="4"/>
      <c r="X7533" s="4"/>
      <c r="Y7533" s="4"/>
    </row>
    <row r="7534" spans="20:25" x14ac:dyDescent="0.3">
      <c r="T7534" s="12"/>
      <c r="U7534" s="4"/>
      <c r="V7534" s="4"/>
      <c r="X7534" s="4"/>
      <c r="Y7534" s="4"/>
    </row>
    <row r="7535" spans="20:25" x14ac:dyDescent="0.3">
      <c r="T7535" s="12"/>
      <c r="U7535" s="4"/>
      <c r="V7535" s="4"/>
      <c r="X7535" s="4"/>
      <c r="Y7535" s="4"/>
    </row>
    <row r="7536" spans="20:25" x14ac:dyDescent="0.3">
      <c r="T7536" s="12"/>
      <c r="U7536" s="4"/>
      <c r="V7536" s="4"/>
      <c r="X7536" s="4"/>
      <c r="Y7536" s="4"/>
    </row>
    <row r="7537" spans="20:25" x14ac:dyDescent="0.3">
      <c r="T7537" s="12"/>
      <c r="U7537" s="4"/>
      <c r="V7537" s="4"/>
      <c r="X7537" s="4"/>
      <c r="Y7537" s="4"/>
    </row>
    <row r="7538" spans="20:25" x14ac:dyDescent="0.3">
      <c r="T7538" s="12"/>
      <c r="U7538" s="4"/>
      <c r="V7538" s="4"/>
      <c r="X7538" s="4"/>
      <c r="Y7538" s="4"/>
    </row>
    <row r="7539" spans="20:25" x14ac:dyDescent="0.3">
      <c r="T7539" s="12"/>
      <c r="U7539" s="4"/>
      <c r="V7539" s="4"/>
      <c r="X7539" s="4"/>
      <c r="Y7539" s="4"/>
    </row>
    <row r="7540" spans="20:25" x14ac:dyDescent="0.3">
      <c r="T7540" s="12"/>
      <c r="U7540" s="4"/>
      <c r="V7540" s="4"/>
      <c r="X7540" s="4"/>
      <c r="Y7540" s="4"/>
    </row>
    <row r="7541" spans="20:25" x14ac:dyDescent="0.3">
      <c r="T7541" s="12"/>
      <c r="U7541" s="4"/>
      <c r="V7541" s="4"/>
      <c r="X7541" s="4"/>
      <c r="Y7541" s="4"/>
    </row>
    <row r="7542" spans="20:25" x14ac:dyDescent="0.3">
      <c r="T7542" s="12"/>
      <c r="U7542" s="4"/>
      <c r="V7542" s="4"/>
      <c r="X7542" s="4"/>
      <c r="Y7542" s="4"/>
    </row>
    <row r="7543" spans="20:25" x14ac:dyDescent="0.3">
      <c r="T7543" s="12"/>
      <c r="U7543" s="4"/>
      <c r="V7543" s="4"/>
      <c r="X7543" s="4"/>
      <c r="Y7543" s="4"/>
    </row>
    <row r="7544" spans="20:25" x14ac:dyDescent="0.3">
      <c r="T7544" s="12"/>
      <c r="U7544" s="4"/>
      <c r="V7544" s="4"/>
      <c r="X7544" s="4"/>
      <c r="Y7544" s="4"/>
    </row>
    <row r="7545" spans="20:25" x14ac:dyDescent="0.3">
      <c r="T7545" s="12"/>
      <c r="U7545" s="4"/>
      <c r="V7545" s="4"/>
      <c r="X7545" s="4"/>
      <c r="Y7545" s="4"/>
    </row>
    <row r="7546" spans="20:25" x14ac:dyDescent="0.3">
      <c r="T7546" s="12"/>
      <c r="U7546" s="4"/>
      <c r="V7546" s="4"/>
      <c r="X7546" s="4"/>
      <c r="Y7546" s="4"/>
    </row>
    <row r="7547" spans="20:25" x14ac:dyDescent="0.3">
      <c r="T7547" s="12"/>
      <c r="U7547" s="4"/>
      <c r="V7547" s="4"/>
      <c r="X7547" s="4"/>
      <c r="Y7547" s="4"/>
    </row>
    <row r="7548" spans="20:25" x14ac:dyDescent="0.3">
      <c r="T7548" s="12"/>
      <c r="U7548" s="4"/>
      <c r="V7548" s="4"/>
      <c r="X7548" s="4"/>
      <c r="Y7548" s="4"/>
    </row>
    <row r="7549" spans="20:25" x14ac:dyDescent="0.3">
      <c r="T7549" s="12"/>
      <c r="U7549" s="4"/>
      <c r="V7549" s="4"/>
      <c r="X7549" s="4"/>
      <c r="Y7549" s="4"/>
    </row>
    <row r="7550" spans="20:25" x14ac:dyDescent="0.3">
      <c r="T7550" s="12"/>
      <c r="U7550" s="4"/>
      <c r="V7550" s="4"/>
      <c r="X7550" s="4"/>
      <c r="Y7550" s="4"/>
    </row>
    <row r="7551" spans="20:25" x14ac:dyDescent="0.3">
      <c r="T7551" s="12"/>
      <c r="U7551" s="4"/>
      <c r="V7551" s="4"/>
      <c r="X7551" s="4"/>
      <c r="Y7551" s="4"/>
    </row>
    <row r="7552" spans="20:25" x14ac:dyDescent="0.3">
      <c r="T7552" s="12"/>
      <c r="U7552" s="4"/>
      <c r="V7552" s="4"/>
      <c r="X7552" s="4"/>
      <c r="Y7552" s="4"/>
    </row>
    <row r="7553" spans="20:25" x14ac:dyDescent="0.3">
      <c r="T7553" s="12"/>
      <c r="U7553" s="4"/>
      <c r="V7553" s="4"/>
      <c r="X7553" s="4"/>
      <c r="Y7553" s="4"/>
    </row>
    <row r="7554" spans="20:25" x14ac:dyDescent="0.3">
      <c r="T7554" s="12"/>
      <c r="U7554" s="4"/>
      <c r="V7554" s="4"/>
      <c r="X7554" s="4"/>
      <c r="Y7554" s="4"/>
    </row>
    <row r="7555" spans="20:25" x14ac:dyDescent="0.3">
      <c r="T7555" s="12"/>
      <c r="U7555" s="4"/>
      <c r="V7555" s="4"/>
      <c r="X7555" s="4"/>
      <c r="Y7555" s="4"/>
    </row>
    <row r="7556" spans="20:25" x14ac:dyDescent="0.3">
      <c r="T7556" s="12"/>
      <c r="U7556" s="4"/>
      <c r="V7556" s="4"/>
      <c r="X7556" s="4"/>
      <c r="Y7556" s="4"/>
    </row>
    <row r="7557" spans="20:25" x14ac:dyDescent="0.3">
      <c r="T7557" s="12"/>
      <c r="U7557" s="4"/>
      <c r="V7557" s="4"/>
      <c r="X7557" s="4"/>
      <c r="Y7557" s="4"/>
    </row>
    <row r="7558" spans="20:25" x14ac:dyDescent="0.3">
      <c r="T7558" s="12"/>
      <c r="U7558" s="4"/>
      <c r="V7558" s="4"/>
      <c r="X7558" s="4"/>
      <c r="Y7558" s="4"/>
    </row>
    <row r="7559" spans="20:25" x14ac:dyDescent="0.3">
      <c r="T7559" s="12"/>
      <c r="U7559" s="4"/>
      <c r="V7559" s="4"/>
      <c r="X7559" s="4"/>
      <c r="Y7559" s="4"/>
    </row>
    <row r="7560" spans="20:25" x14ac:dyDescent="0.3">
      <c r="T7560" s="12"/>
      <c r="U7560" s="4"/>
      <c r="V7560" s="4"/>
      <c r="X7560" s="4"/>
      <c r="Y7560" s="4"/>
    </row>
    <row r="7561" spans="20:25" x14ac:dyDescent="0.3">
      <c r="T7561" s="12"/>
      <c r="U7561" s="4"/>
      <c r="V7561" s="4"/>
      <c r="X7561" s="4"/>
      <c r="Y7561" s="4"/>
    </row>
    <row r="7562" spans="20:25" x14ac:dyDescent="0.3">
      <c r="T7562" s="12"/>
      <c r="U7562" s="4"/>
      <c r="V7562" s="4"/>
      <c r="X7562" s="4"/>
      <c r="Y7562" s="4"/>
    </row>
    <row r="7563" spans="20:25" x14ac:dyDescent="0.3">
      <c r="T7563" s="12"/>
      <c r="U7563" s="4"/>
      <c r="V7563" s="4"/>
      <c r="X7563" s="4"/>
      <c r="Y7563" s="4"/>
    </row>
    <row r="7564" spans="20:25" x14ac:dyDescent="0.3">
      <c r="T7564" s="12"/>
      <c r="U7564" s="4"/>
      <c r="V7564" s="4"/>
      <c r="X7564" s="4"/>
      <c r="Y7564" s="4"/>
    </row>
    <row r="7565" spans="20:25" x14ac:dyDescent="0.3">
      <c r="T7565" s="12"/>
      <c r="U7565" s="4"/>
      <c r="V7565" s="4"/>
      <c r="X7565" s="4"/>
      <c r="Y7565" s="4"/>
    </row>
    <row r="7566" spans="20:25" x14ac:dyDescent="0.3">
      <c r="T7566" s="12"/>
      <c r="U7566" s="4"/>
      <c r="V7566" s="4"/>
      <c r="X7566" s="4"/>
      <c r="Y7566" s="4"/>
    </row>
    <row r="7567" spans="20:25" x14ac:dyDescent="0.3">
      <c r="T7567" s="12"/>
      <c r="U7567" s="4"/>
      <c r="V7567" s="4"/>
      <c r="X7567" s="4"/>
      <c r="Y7567" s="4"/>
    </row>
    <row r="7568" spans="20:25" x14ac:dyDescent="0.3">
      <c r="T7568" s="12"/>
      <c r="U7568" s="4"/>
      <c r="V7568" s="4"/>
      <c r="X7568" s="4"/>
      <c r="Y7568" s="4"/>
    </row>
    <row r="7569" spans="20:25" x14ac:dyDescent="0.3">
      <c r="T7569" s="12"/>
      <c r="U7569" s="4"/>
      <c r="V7569" s="4"/>
      <c r="X7569" s="4"/>
      <c r="Y7569" s="4"/>
    </row>
    <row r="7570" spans="20:25" x14ac:dyDescent="0.3">
      <c r="T7570" s="12"/>
      <c r="U7570" s="4"/>
      <c r="V7570" s="4"/>
      <c r="X7570" s="4"/>
      <c r="Y7570" s="4"/>
    </row>
    <row r="7571" spans="20:25" x14ac:dyDescent="0.3">
      <c r="T7571" s="12"/>
      <c r="U7571" s="4"/>
      <c r="V7571" s="4"/>
      <c r="X7571" s="4"/>
      <c r="Y7571" s="4"/>
    </row>
    <row r="7572" spans="20:25" x14ac:dyDescent="0.3">
      <c r="T7572" s="12"/>
      <c r="U7572" s="4"/>
      <c r="V7572" s="4"/>
      <c r="X7572" s="4"/>
      <c r="Y7572" s="4"/>
    </row>
    <row r="7573" spans="20:25" x14ac:dyDescent="0.3">
      <c r="T7573" s="12"/>
      <c r="U7573" s="4"/>
      <c r="V7573" s="4"/>
      <c r="X7573" s="4"/>
      <c r="Y7573" s="4"/>
    </row>
    <row r="7574" spans="20:25" x14ac:dyDescent="0.3">
      <c r="T7574" s="12"/>
      <c r="U7574" s="4"/>
      <c r="V7574" s="4"/>
      <c r="X7574" s="4"/>
      <c r="Y7574" s="4"/>
    </row>
    <row r="7575" spans="20:25" x14ac:dyDescent="0.3">
      <c r="T7575" s="12"/>
      <c r="U7575" s="4"/>
      <c r="V7575" s="4"/>
      <c r="X7575" s="4"/>
      <c r="Y7575" s="4"/>
    </row>
    <row r="7576" spans="20:25" x14ac:dyDescent="0.3">
      <c r="T7576" s="12"/>
      <c r="U7576" s="4"/>
      <c r="V7576" s="4"/>
      <c r="X7576" s="4"/>
      <c r="Y7576" s="4"/>
    </row>
    <row r="7577" spans="20:25" x14ac:dyDescent="0.3">
      <c r="T7577" s="12"/>
      <c r="U7577" s="4"/>
      <c r="V7577" s="4"/>
      <c r="X7577" s="4"/>
      <c r="Y7577" s="4"/>
    </row>
    <row r="7578" spans="20:25" x14ac:dyDescent="0.3">
      <c r="T7578" s="12"/>
      <c r="U7578" s="4"/>
      <c r="V7578" s="4"/>
      <c r="X7578" s="4"/>
      <c r="Y7578" s="4"/>
    </row>
    <row r="7579" spans="20:25" x14ac:dyDescent="0.3">
      <c r="T7579" s="12"/>
      <c r="U7579" s="4"/>
      <c r="V7579" s="4"/>
      <c r="X7579" s="4"/>
      <c r="Y7579" s="4"/>
    </row>
    <row r="7580" spans="20:25" x14ac:dyDescent="0.3">
      <c r="T7580" s="12"/>
      <c r="U7580" s="4"/>
      <c r="V7580" s="4"/>
      <c r="X7580" s="4"/>
      <c r="Y7580" s="4"/>
    </row>
    <row r="7581" spans="20:25" x14ac:dyDescent="0.3">
      <c r="T7581" s="12"/>
      <c r="U7581" s="4"/>
      <c r="V7581" s="4"/>
      <c r="X7581" s="4"/>
      <c r="Y7581" s="4"/>
    </row>
    <row r="7582" spans="20:25" x14ac:dyDescent="0.3">
      <c r="T7582" s="12"/>
      <c r="U7582" s="4"/>
      <c r="V7582" s="4"/>
      <c r="X7582" s="4"/>
      <c r="Y7582" s="4"/>
    </row>
    <row r="7583" spans="20:25" x14ac:dyDescent="0.3">
      <c r="T7583" s="12"/>
      <c r="U7583" s="4"/>
      <c r="V7583" s="4"/>
      <c r="X7583" s="4"/>
      <c r="Y7583" s="4"/>
    </row>
    <row r="7584" spans="20:25" x14ac:dyDescent="0.3">
      <c r="T7584" s="12"/>
      <c r="U7584" s="4"/>
      <c r="V7584" s="4"/>
      <c r="X7584" s="4"/>
      <c r="Y7584" s="4"/>
    </row>
    <row r="7585" spans="20:25" x14ac:dyDescent="0.3">
      <c r="T7585" s="12"/>
      <c r="U7585" s="4"/>
      <c r="V7585" s="4"/>
      <c r="X7585" s="4"/>
      <c r="Y7585" s="4"/>
    </row>
    <row r="7586" spans="20:25" x14ac:dyDescent="0.3">
      <c r="T7586" s="12"/>
      <c r="U7586" s="4"/>
      <c r="V7586" s="4"/>
      <c r="X7586" s="4"/>
      <c r="Y7586" s="4"/>
    </row>
    <row r="7587" spans="20:25" x14ac:dyDescent="0.3">
      <c r="T7587" s="12"/>
      <c r="U7587" s="4"/>
      <c r="V7587" s="4"/>
      <c r="X7587" s="4"/>
      <c r="Y7587" s="4"/>
    </row>
    <row r="7588" spans="20:25" x14ac:dyDescent="0.3">
      <c r="T7588" s="12"/>
      <c r="U7588" s="4"/>
      <c r="V7588" s="4"/>
      <c r="X7588" s="4"/>
      <c r="Y7588" s="4"/>
    </row>
    <row r="7589" spans="20:25" x14ac:dyDescent="0.3">
      <c r="T7589" s="12"/>
      <c r="U7589" s="4"/>
      <c r="V7589" s="4"/>
      <c r="X7589" s="4"/>
      <c r="Y7589" s="4"/>
    </row>
    <row r="7590" spans="20:25" x14ac:dyDescent="0.3">
      <c r="T7590" s="12"/>
      <c r="U7590" s="4"/>
      <c r="V7590" s="4"/>
      <c r="X7590" s="4"/>
      <c r="Y7590" s="4"/>
    </row>
    <row r="7591" spans="20:25" x14ac:dyDescent="0.3">
      <c r="T7591" s="12"/>
      <c r="U7591" s="4"/>
      <c r="V7591" s="4"/>
      <c r="X7591" s="4"/>
      <c r="Y7591" s="4"/>
    </row>
    <row r="7592" spans="20:25" x14ac:dyDescent="0.3">
      <c r="T7592" s="12"/>
      <c r="U7592" s="4"/>
      <c r="V7592" s="4"/>
      <c r="X7592" s="4"/>
      <c r="Y7592" s="4"/>
    </row>
    <row r="7593" spans="20:25" x14ac:dyDescent="0.3">
      <c r="T7593" s="12"/>
      <c r="U7593" s="4"/>
      <c r="V7593" s="4"/>
      <c r="X7593" s="4"/>
      <c r="Y7593" s="4"/>
    </row>
    <row r="7594" spans="20:25" x14ac:dyDescent="0.3">
      <c r="T7594" s="12"/>
      <c r="U7594" s="4"/>
      <c r="V7594" s="4"/>
      <c r="X7594" s="4"/>
      <c r="Y7594" s="4"/>
    </row>
    <row r="7595" spans="20:25" x14ac:dyDescent="0.3">
      <c r="T7595" s="12"/>
      <c r="U7595" s="4"/>
      <c r="V7595" s="4"/>
      <c r="X7595" s="4"/>
      <c r="Y7595" s="4"/>
    </row>
    <row r="7596" spans="20:25" x14ac:dyDescent="0.3">
      <c r="T7596" s="12"/>
      <c r="U7596" s="4"/>
      <c r="V7596" s="4"/>
      <c r="X7596" s="4"/>
      <c r="Y7596" s="4"/>
    </row>
    <row r="7597" spans="20:25" x14ac:dyDescent="0.3">
      <c r="T7597" s="12"/>
      <c r="U7597" s="4"/>
      <c r="V7597" s="4"/>
      <c r="X7597" s="4"/>
      <c r="Y7597" s="4"/>
    </row>
    <row r="7598" spans="20:25" x14ac:dyDescent="0.3">
      <c r="T7598" s="12"/>
      <c r="U7598" s="4"/>
      <c r="V7598" s="4"/>
      <c r="X7598" s="4"/>
      <c r="Y7598" s="4"/>
    </row>
    <row r="7599" spans="20:25" x14ac:dyDescent="0.3">
      <c r="T7599" s="12"/>
      <c r="U7599" s="4"/>
      <c r="V7599" s="4"/>
      <c r="X7599" s="4"/>
      <c r="Y7599" s="4"/>
    </row>
    <row r="7600" spans="20:25" x14ac:dyDescent="0.3">
      <c r="T7600" s="12"/>
      <c r="U7600" s="4"/>
      <c r="V7600" s="4"/>
      <c r="X7600" s="4"/>
      <c r="Y7600" s="4"/>
    </row>
    <row r="7601" spans="20:25" x14ac:dyDescent="0.3">
      <c r="T7601" s="12"/>
      <c r="U7601" s="4"/>
      <c r="V7601" s="4"/>
      <c r="X7601" s="4"/>
      <c r="Y7601" s="4"/>
    </row>
    <row r="7602" spans="20:25" x14ac:dyDescent="0.3">
      <c r="T7602" s="12"/>
      <c r="U7602" s="4"/>
      <c r="V7602" s="4"/>
      <c r="X7602" s="4"/>
      <c r="Y7602" s="4"/>
    </row>
    <row r="7603" spans="20:25" x14ac:dyDescent="0.3">
      <c r="T7603" s="12"/>
      <c r="U7603" s="4"/>
      <c r="V7603" s="4"/>
      <c r="X7603" s="4"/>
      <c r="Y7603" s="4"/>
    </row>
    <row r="7604" spans="20:25" x14ac:dyDescent="0.3">
      <c r="T7604" s="12"/>
      <c r="U7604" s="4"/>
      <c r="V7604" s="4"/>
      <c r="X7604" s="4"/>
      <c r="Y7604" s="4"/>
    </row>
    <row r="7605" spans="20:25" x14ac:dyDescent="0.3">
      <c r="T7605" s="12"/>
      <c r="U7605" s="4"/>
      <c r="V7605" s="4"/>
      <c r="X7605" s="4"/>
      <c r="Y7605" s="4"/>
    </row>
    <row r="7606" spans="20:25" x14ac:dyDescent="0.3">
      <c r="T7606" s="12"/>
      <c r="U7606" s="4"/>
      <c r="V7606" s="4"/>
      <c r="X7606" s="4"/>
      <c r="Y7606" s="4"/>
    </row>
    <row r="7607" spans="20:25" x14ac:dyDescent="0.3">
      <c r="T7607" s="12"/>
      <c r="U7607" s="4"/>
      <c r="V7607" s="4"/>
      <c r="X7607" s="4"/>
      <c r="Y7607" s="4"/>
    </row>
    <row r="7608" spans="20:25" x14ac:dyDescent="0.3">
      <c r="T7608" s="12"/>
      <c r="U7608" s="4"/>
      <c r="V7608" s="4"/>
      <c r="X7608" s="4"/>
      <c r="Y7608" s="4"/>
    </row>
    <row r="7609" spans="20:25" x14ac:dyDescent="0.3">
      <c r="T7609" s="12"/>
      <c r="U7609" s="4"/>
      <c r="V7609" s="4"/>
      <c r="X7609" s="4"/>
      <c r="Y7609" s="4"/>
    </row>
    <row r="7610" spans="20:25" x14ac:dyDescent="0.3">
      <c r="T7610" s="12"/>
      <c r="U7610" s="4"/>
      <c r="V7610" s="4"/>
      <c r="X7610" s="4"/>
      <c r="Y7610" s="4"/>
    </row>
    <row r="7611" spans="20:25" x14ac:dyDescent="0.3">
      <c r="T7611" s="12"/>
      <c r="U7611" s="4"/>
      <c r="V7611" s="4"/>
      <c r="X7611" s="4"/>
      <c r="Y7611" s="4"/>
    </row>
    <row r="7612" spans="20:25" x14ac:dyDescent="0.3">
      <c r="T7612" s="12"/>
      <c r="U7612" s="4"/>
      <c r="V7612" s="4"/>
      <c r="X7612" s="4"/>
      <c r="Y7612" s="4"/>
    </row>
    <row r="7613" spans="20:25" x14ac:dyDescent="0.3">
      <c r="T7613" s="12"/>
      <c r="U7613" s="4"/>
      <c r="V7613" s="4"/>
      <c r="X7613" s="4"/>
      <c r="Y7613" s="4"/>
    </row>
    <row r="7614" spans="20:25" x14ac:dyDescent="0.3">
      <c r="T7614" s="12"/>
      <c r="U7614" s="4"/>
      <c r="V7614" s="4"/>
      <c r="X7614" s="4"/>
      <c r="Y7614" s="4"/>
    </row>
    <row r="7615" spans="20:25" x14ac:dyDescent="0.3">
      <c r="T7615" s="12"/>
      <c r="U7615" s="4"/>
      <c r="V7615" s="4"/>
      <c r="X7615" s="4"/>
      <c r="Y7615" s="4"/>
    </row>
    <row r="7616" spans="20:25" x14ac:dyDescent="0.3">
      <c r="T7616" s="12"/>
      <c r="U7616" s="4"/>
      <c r="V7616" s="4"/>
      <c r="X7616" s="4"/>
      <c r="Y7616" s="4"/>
    </row>
    <row r="7617" spans="20:25" x14ac:dyDescent="0.3">
      <c r="T7617" s="12"/>
      <c r="U7617" s="4"/>
      <c r="V7617" s="4"/>
      <c r="X7617" s="4"/>
      <c r="Y7617" s="4"/>
    </row>
    <row r="7618" spans="20:25" x14ac:dyDescent="0.3">
      <c r="T7618" s="12"/>
      <c r="U7618" s="4"/>
      <c r="V7618" s="4"/>
      <c r="X7618" s="4"/>
      <c r="Y7618" s="4"/>
    </row>
    <row r="7619" spans="20:25" x14ac:dyDescent="0.3">
      <c r="T7619" s="12"/>
      <c r="U7619" s="4"/>
      <c r="V7619" s="4"/>
      <c r="X7619" s="4"/>
      <c r="Y7619" s="4"/>
    </row>
    <row r="7620" spans="20:25" x14ac:dyDescent="0.3">
      <c r="T7620" s="12"/>
      <c r="U7620" s="4"/>
      <c r="V7620" s="4"/>
      <c r="X7620" s="4"/>
      <c r="Y7620" s="4"/>
    </row>
    <row r="7621" spans="20:25" x14ac:dyDescent="0.3">
      <c r="T7621" s="12"/>
      <c r="U7621" s="4"/>
      <c r="V7621" s="4"/>
      <c r="X7621" s="4"/>
      <c r="Y7621" s="4"/>
    </row>
    <row r="7622" spans="20:25" x14ac:dyDescent="0.3">
      <c r="T7622" s="12"/>
      <c r="U7622" s="4"/>
      <c r="V7622" s="4"/>
      <c r="X7622" s="4"/>
      <c r="Y7622" s="4"/>
    </row>
    <row r="7623" spans="20:25" x14ac:dyDescent="0.3">
      <c r="T7623" s="12"/>
      <c r="U7623" s="4"/>
      <c r="V7623" s="4"/>
      <c r="X7623" s="4"/>
      <c r="Y7623" s="4"/>
    </row>
    <row r="7624" spans="20:25" x14ac:dyDescent="0.3">
      <c r="T7624" s="12"/>
      <c r="U7624" s="4"/>
      <c r="V7624" s="4"/>
      <c r="X7624" s="4"/>
      <c r="Y7624" s="4"/>
    </row>
    <row r="7625" spans="20:25" x14ac:dyDescent="0.3">
      <c r="T7625" s="12"/>
      <c r="U7625" s="4"/>
      <c r="V7625" s="4"/>
      <c r="X7625" s="4"/>
      <c r="Y7625" s="4"/>
    </row>
    <row r="7626" spans="20:25" x14ac:dyDescent="0.3">
      <c r="T7626" s="12"/>
      <c r="U7626" s="4"/>
      <c r="V7626" s="4"/>
      <c r="X7626" s="4"/>
      <c r="Y7626" s="4"/>
    </row>
    <row r="7627" spans="20:25" x14ac:dyDescent="0.3">
      <c r="T7627" s="12"/>
      <c r="U7627" s="4"/>
      <c r="V7627" s="4"/>
      <c r="X7627" s="4"/>
      <c r="Y7627" s="4"/>
    </row>
    <row r="7628" spans="20:25" x14ac:dyDescent="0.3">
      <c r="T7628" s="12"/>
      <c r="U7628" s="4"/>
      <c r="V7628" s="4"/>
      <c r="X7628" s="4"/>
      <c r="Y7628" s="4"/>
    </row>
    <row r="7629" spans="20:25" x14ac:dyDescent="0.3">
      <c r="T7629" s="12"/>
      <c r="U7629" s="4"/>
      <c r="V7629" s="4"/>
      <c r="X7629" s="4"/>
      <c r="Y7629" s="4"/>
    </row>
    <row r="7630" spans="20:25" x14ac:dyDescent="0.3">
      <c r="T7630" s="12"/>
      <c r="U7630" s="4"/>
      <c r="V7630" s="4"/>
      <c r="X7630" s="4"/>
      <c r="Y7630" s="4"/>
    </row>
    <row r="7631" spans="20:25" x14ac:dyDescent="0.3">
      <c r="T7631" s="12"/>
      <c r="U7631" s="4"/>
      <c r="V7631" s="4"/>
      <c r="X7631" s="4"/>
      <c r="Y7631" s="4"/>
    </row>
    <row r="7632" spans="20:25" x14ac:dyDescent="0.3">
      <c r="T7632" s="12"/>
      <c r="U7632" s="4"/>
      <c r="V7632" s="4"/>
      <c r="X7632" s="4"/>
      <c r="Y7632" s="4"/>
    </row>
    <row r="7633" spans="20:25" x14ac:dyDescent="0.3">
      <c r="T7633" s="12"/>
      <c r="U7633" s="4"/>
      <c r="V7633" s="4"/>
      <c r="X7633" s="4"/>
      <c r="Y7633" s="4"/>
    </row>
    <row r="7634" spans="20:25" x14ac:dyDescent="0.3">
      <c r="T7634" s="12"/>
      <c r="U7634" s="4"/>
      <c r="V7634" s="4"/>
      <c r="X7634" s="4"/>
      <c r="Y7634" s="4"/>
    </row>
    <row r="7635" spans="20:25" x14ac:dyDescent="0.3">
      <c r="T7635" s="12"/>
      <c r="U7635" s="4"/>
      <c r="V7635" s="4"/>
      <c r="X7635" s="4"/>
      <c r="Y7635" s="4"/>
    </row>
    <row r="7636" spans="20:25" x14ac:dyDescent="0.3">
      <c r="T7636" s="12"/>
      <c r="U7636" s="4"/>
      <c r="V7636" s="4"/>
      <c r="X7636" s="4"/>
      <c r="Y7636" s="4"/>
    </row>
    <row r="7637" spans="20:25" x14ac:dyDescent="0.3">
      <c r="T7637" s="12"/>
      <c r="U7637" s="4"/>
      <c r="V7637" s="4"/>
      <c r="X7637" s="4"/>
      <c r="Y7637" s="4"/>
    </row>
    <row r="7638" spans="20:25" x14ac:dyDescent="0.3">
      <c r="T7638" s="12"/>
      <c r="U7638" s="4"/>
      <c r="V7638" s="4"/>
      <c r="X7638" s="4"/>
      <c r="Y7638" s="4"/>
    </row>
    <row r="7639" spans="20:25" x14ac:dyDescent="0.3">
      <c r="T7639" s="12"/>
      <c r="U7639" s="4"/>
      <c r="V7639" s="4"/>
      <c r="X7639" s="4"/>
      <c r="Y7639" s="4"/>
    </row>
    <row r="7640" spans="20:25" x14ac:dyDescent="0.3">
      <c r="T7640" s="12"/>
      <c r="U7640" s="4"/>
      <c r="V7640" s="4"/>
      <c r="X7640" s="4"/>
      <c r="Y7640" s="4"/>
    </row>
    <row r="7641" spans="20:25" x14ac:dyDescent="0.3">
      <c r="T7641" s="12"/>
      <c r="U7641" s="4"/>
      <c r="V7641" s="4"/>
      <c r="X7641" s="4"/>
      <c r="Y7641" s="4"/>
    </row>
    <row r="7642" spans="20:25" x14ac:dyDescent="0.3">
      <c r="T7642" s="12"/>
      <c r="U7642" s="4"/>
      <c r="V7642" s="4"/>
      <c r="X7642" s="4"/>
      <c r="Y7642" s="4"/>
    </row>
    <row r="7643" spans="20:25" x14ac:dyDescent="0.3">
      <c r="T7643" s="12"/>
      <c r="U7643" s="4"/>
      <c r="V7643" s="4"/>
      <c r="X7643" s="4"/>
      <c r="Y7643" s="4"/>
    </row>
    <row r="7644" spans="20:25" x14ac:dyDescent="0.3">
      <c r="T7644" s="12"/>
      <c r="U7644" s="4"/>
      <c r="V7644" s="4"/>
      <c r="X7644" s="4"/>
      <c r="Y7644" s="4"/>
    </row>
    <row r="7645" spans="20:25" x14ac:dyDescent="0.3">
      <c r="T7645" s="12"/>
      <c r="U7645" s="4"/>
      <c r="V7645" s="4"/>
      <c r="X7645" s="4"/>
      <c r="Y7645" s="4"/>
    </row>
    <row r="7646" spans="20:25" x14ac:dyDescent="0.3">
      <c r="T7646" s="12"/>
      <c r="U7646" s="4"/>
      <c r="V7646" s="4"/>
      <c r="X7646" s="4"/>
      <c r="Y7646" s="4"/>
    </row>
    <row r="7647" spans="20:25" x14ac:dyDescent="0.3">
      <c r="T7647" s="12"/>
      <c r="U7647" s="4"/>
      <c r="V7647" s="4"/>
      <c r="X7647" s="4"/>
      <c r="Y7647" s="4"/>
    </row>
    <row r="7648" spans="20:25" x14ac:dyDescent="0.3">
      <c r="T7648" s="12"/>
      <c r="U7648" s="4"/>
      <c r="V7648" s="4"/>
      <c r="X7648" s="4"/>
      <c r="Y7648" s="4"/>
    </row>
    <row r="7649" spans="20:25" x14ac:dyDescent="0.3">
      <c r="T7649" s="12"/>
      <c r="U7649" s="4"/>
      <c r="V7649" s="4"/>
      <c r="X7649" s="4"/>
      <c r="Y7649" s="4"/>
    </row>
    <row r="7650" spans="20:25" x14ac:dyDescent="0.3">
      <c r="T7650" s="12"/>
      <c r="U7650" s="4"/>
      <c r="V7650" s="4"/>
      <c r="X7650" s="4"/>
      <c r="Y7650" s="4"/>
    </row>
    <row r="7651" spans="20:25" x14ac:dyDescent="0.3">
      <c r="T7651" s="12"/>
      <c r="U7651" s="4"/>
      <c r="V7651" s="4"/>
      <c r="X7651" s="4"/>
      <c r="Y7651" s="4"/>
    </row>
    <row r="7652" spans="20:25" x14ac:dyDescent="0.3">
      <c r="T7652" s="12"/>
      <c r="U7652" s="4"/>
      <c r="V7652" s="4"/>
      <c r="X7652" s="4"/>
      <c r="Y7652" s="4"/>
    </row>
    <row r="7653" spans="20:25" x14ac:dyDescent="0.3">
      <c r="T7653" s="12"/>
      <c r="U7653" s="4"/>
      <c r="V7653" s="4"/>
      <c r="X7653" s="4"/>
      <c r="Y7653" s="4"/>
    </row>
    <row r="7654" spans="20:25" x14ac:dyDescent="0.3">
      <c r="T7654" s="12"/>
      <c r="U7654" s="4"/>
      <c r="V7654" s="4"/>
      <c r="X7654" s="4"/>
      <c r="Y7654" s="4"/>
    </row>
    <row r="7655" spans="20:25" x14ac:dyDescent="0.3">
      <c r="T7655" s="12"/>
      <c r="U7655" s="4"/>
      <c r="V7655" s="4"/>
      <c r="X7655" s="4"/>
      <c r="Y7655" s="4"/>
    </row>
    <row r="7656" spans="20:25" x14ac:dyDescent="0.3">
      <c r="T7656" s="12"/>
      <c r="U7656" s="4"/>
      <c r="V7656" s="4"/>
      <c r="X7656" s="4"/>
      <c r="Y7656" s="4"/>
    </row>
    <row r="7657" spans="20:25" x14ac:dyDescent="0.3">
      <c r="T7657" s="12"/>
      <c r="U7657" s="4"/>
      <c r="V7657" s="4"/>
      <c r="X7657" s="4"/>
      <c r="Y7657" s="4"/>
    </row>
    <row r="7658" spans="20:25" x14ac:dyDescent="0.3">
      <c r="T7658" s="12"/>
      <c r="U7658" s="4"/>
      <c r="V7658" s="4"/>
      <c r="X7658" s="4"/>
      <c r="Y7658" s="4"/>
    </row>
    <row r="7659" spans="20:25" x14ac:dyDescent="0.3">
      <c r="T7659" s="12"/>
      <c r="U7659" s="4"/>
      <c r="V7659" s="4"/>
      <c r="X7659" s="4"/>
      <c r="Y7659" s="4"/>
    </row>
    <row r="7660" spans="20:25" x14ac:dyDescent="0.3">
      <c r="T7660" s="12"/>
      <c r="U7660" s="4"/>
      <c r="V7660" s="4"/>
      <c r="X7660" s="4"/>
      <c r="Y7660" s="4"/>
    </row>
    <row r="7661" spans="20:25" x14ac:dyDescent="0.3">
      <c r="T7661" s="12"/>
      <c r="U7661" s="4"/>
      <c r="V7661" s="4"/>
      <c r="X7661" s="4"/>
      <c r="Y7661" s="4"/>
    </row>
    <row r="7662" spans="20:25" x14ac:dyDescent="0.3">
      <c r="T7662" s="12"/>
      <c r="U7662" s="4"/>
      <c r="V7662" s="4"/>
      <c r="X7662" s="4"/>
      <c r="Y7662" s="4"/>
    </row>
    <row r="7663" spans="20:25" x14ac:dyDescent="0.3">
      <c r="T7663" s="12"/>
      <c r="U7663" s="4"/>
      <c r="V7663" s="4"/>
      <c r="X7663" s="4"/>
      <c r="Y7663" s="4"/>
    </row>
    <row r="7664" spans="20:25" x14ac:dyDescent="0.3">
      <c r="T7664" s="12"/>
      <c r="U7664" s="4"/>
      <c r="V7664" s="4"/>
      <c r="X7664" s="4"/>
      <c r="Y7664" s="4"/>
    </row>
    <row r="7665" spans="20:25" x14ac:dyDescent="0.3">
      <c r="T7665" s="12"/>
      <c r="U7665" s="4"/>
      <c r="V7665" s="4"/>
      <c r="X7665" s="4"/>
      <c r="Y7665" s="4"/>
    </row>
    <row r="7666" spans="20:25" x14ac:dyDescent="0.3">
      <c r="T7666" s="12"/>
      <c r="U7666" s="4"/>
      <c r="V7666" s="4"/>
      <c r="X7666" s="4"/>
      <c r="Y7666" s="4"/>
    </row>
    <row r="7667" spans="20:25" x14ac:dyDescent="0.3">
      <c r="T7667" s="12"/>
      <c r="U7667" s="4"/>
      <c r="V7667" s="4"/>
      <c r="X7667" s="4"/>
      <c r="Y7667" s="4"/>
    </row>
    <row r="7668" spans="20:25" x14ac:dyDescent="0.3">
      <c r="T7668" s="12"/>
      <c r="U7668" s="4"/>
      <c r="V7668" s="4"/>
      <c r="X7668" s="4"/>
      <c r="Y7668" s="4"/>
    </row>
    <row r="7669" spans="20:25" x14ac:dyDescent="0.3">
      <c r="T7669" s="12"/>
      <c r="U7669" s="4"/>
      <c r="V7669" s="4"/>
      <c r="X7669" s="4"/>
      <c r="Y7669" s="4"/>
    </row>
    <row r="7670" spans="20:25" x14ac:dyDescent="0.3">
      <c r="T7670" s="12"/>
      <c r="U7670" s="4"/>
      <c r="V7670" s="4"/>
      <c r="X7670" s="4"/>
      <c r="Y7670" s="4"/>
    </row>
    <row r="7671" spans="20:25" x14ac:dyDescent="0.3">
      <c r="T7671" s="12"/>
      <c r="U7671" s="4"/>
      <c r="V7671" s="4"/>
      <c r="X7671" s="4"/>
      <c r="Y7671" s="4"/>
    </row>
    <row r="7672" spans="20:25" x14ac:dyDescent="0.3">
      <c r="T7672" s="12"/>
      <c r="U7672" s="4"/>
      <c r="V7672" s="4"/>
      <c r="X7672" s="4"/>
      <c r="Y7672" s="4"/>
    </row>
    <row r="7673" spans="20:25" x14ac:dyDescent="0.3">
      <c r="T7673" s="12"/>
      <c r="U7673" s="4"/>
      <c r="V7673" s="4"/>
      <c r="X7673" s="4"/>
      <c r="Y7673" s="4"/>
    </row>
    <row r="7674" spans="20:25" x14ac:dyDescent="0.3">
      <c r="T7674" s="12"/>
      <c r="U7674" s="4"/>
      <c r="V7674" s="4"/>
      <c r="X7674" s="4"/>
      <c r="Y7674" s="4"/>
    </row>
    <row r="7675" spans="20:25" x14ac:dyDescent="0.3">
      <c r="T7675" s="12"/>
      <c r="U7675" s="4"/>
      <c r="V7675" s="4"/>
      <c r="X7675" s="4"/>
      <c r="Y7675" s="4"/>
    </row>
    <row r="7676" spans="20:25" x14ac:dyDescent="0.3">
      <c r="T7676" s="12"/>
      <c r="U7676" s="4"/>
      <c r="V7676" s="4"/>
      <c r="X7676" s="4"/>
      <c r="Y7676" s="4"/>
    </row>
    <row r="7677" spans="20:25" x14ac:dyDescent="0.3">
      <c r="T7677" s="12"/>
      <c r="U7677" s="4"/>
      <c r="V7677" s="4"/>
      <c r="X7677" s="4"/>
      <c r="Y7677" s="4"/>
    </row>
    <row r="7678" spans="20:25" x14ac:dyDescent="0.3">
      <c r="T7678" s="12"/>
      <c r="U7678" s="4"/>
      <c r="V7678" s="4"/>
      <c r="X7678" s="4"/>
      <c r="Y7678" s="4"/>
    </row>
    <row r="7679" spans="20:25" x14ac:dyDescent="0.3">
      <c r="T7679" s="12"/>
      <c r="U7679" s="4"/>
      <c r="V7679" s="4"/>
      <c r="X7679" s="4"/>
      <c r="Y7679" s="4"/>
    </row>
    <row r="7680" spans="20:25" x14ac:dyDescent="0.3">
      <c r="T7680" s="12"/>
      <c r="U7680" s="4"/>
      <c r="V7680" s="4"/>
      <c r="X7680" s="4"/>
      <c r="Y7680" s="4"/>
    </row>
    <row r="7681" spans="20:25" x14ac:dyDescent="0.3">
      <c r="T7681" s="12"/>
      <c r="U7681" s="4"/>
      <c r="V7681" s="4"/>
      <c r="X7681" s="4"/>
      <c r="Y7681" s="4"/>
    </row>
    <row r="7682" spans="20:25" x14ac:dyDescent="0.3">
      <c r="T7682" s="12"/>
      <c r="U7682" s="4"/>
      <c r="V7682" s="4"/>
      <c r="X7682" s="4"/>
      <c r="Y7682" s="4"/>
    </row>
    <row r="7683" spans="20:25" x14ac:dyDescent="0.3">
      <c r="T7683" s="12"/>
      <c r="U7683" s="4"/>
      <c r="V7683" s="4"/>
      <c r="X7683" s="4"/>
      <c r="Y7683" s="4"/>
    </row>
    <row r="7684" spans="20:25" x14ac:dyDescent="0.3">
      <c r="T7684" s="12"/>
      <c r="U7684" s="4"/>
      <c r="V7684" s="4"/>
      <c r="X7684" s="4"/>
      <c r="Y7684" s="4"/>
    </row>
    <row r="7685" spans="20:25" x14ac:dyDescent="0.3">
      <c r="T7685" s="12"/>
      <c r="U7685" s="4"/>
      <c r="V7685" s="4"/>
      <c r="X7685" s="4"/>
      <c r="Y7685" s="4"/>
    </row>
    <row r="7686" spans="20:25" x14ac:dyDescent="0.3">
      <c r="T7686" s="12"/>
      <c r="U7686" s="4"/>
      <c r="V7686" s="4"/>
      <c r="X7686" s="4"/>
      <c r="Y7686" s="4"/>
    </row>
    <row r="7687" spans="20:25" x14ac:dyDescent="0.3">
      <c r="T7687" s="12"/>
      <c r="U7687" s="4"/>
      <c r="V7687" s="4"/>
      <c r="X7687" s="4"/>
      <c r="Y7687" s="4"/>
    </row>
    <row r="7688" spans="20:25" x14ac:dyDescent="0.3">
      <c r="T7688" s="12"/>
      <c r="U7688" s="4"/>
      <c r="V7688" s="4"/>
      <c r="X7688" s="4"/>
      <c r="Y7688" s="4"/>
    </row>
    <row r="7689" spans="20:25" x14ac:dyDescent="0.3">
      <c r="T7689" s="12"/>
      <c r="U7689" s="4"/>
      <c r="V7689" s="4"/>
      <c r="X7689" s="4"/>
      <c r="Y7689" s="4"/>
    </row>
    <row r="7690" spans="20:25" x14ac:dyDescent="0.3">
      <c r="T7690" s="12"/>
      <c r="U7690" s="4"/>
      <c r="V7690" s="4"/>
      <c r="X7690" s="4"/>
      <c r="Y7690" s="4"/>
    </row>
    <row r="7691" spans="20:25" x14ac:dyDescent="0.3">
      <c r="T7691" s="12"/>
      <c r="U7691" s="4"/>
      <c r="V7691" s="4"/>
      <c r="X7691" s="4"/>
      <c r="Y7691" s="4"/>
    </row>
    <row r="7692" spans="20:25" x14ac:dyDescent="0.3">
      <c r="T7692" s="12"/>
      <c r="U7692" s="4"/>
      <c r="V7692" s="4"/>
      <c r="X7692" s="4"/>
      <c r="Y7692" s="4"/>
    </row>
    <row r="7693" spans="20:25" x14ac:dyDescent="0.3">
      <c r="T7693" s="12"/>
      <c r="U7693" s="4"/>
      <c r="V7693" s="4"/>
      <c r="X7693" s="4"/>
      <c r="Y7693" s="4"/>
    </row>
    <row r="7694" spans="20:25" x14ac:dyDescent="0.3">
      <c r="T7694" s="12"/>
      <c r="U7694" s="4"/>
      <c r="V7694" s="4"/>
      <c r="X7694" s="4"/>
      <c r="Y7694" s="4"/>
    </row>
    <row r="7695" spans="20:25" x14ac:dyDescent="0.3">
      <c r="T7695" s="12"/>
      <c r="U7695" s="4"/>
      <c r="V7695" s="4"/>
      <c r="X7695" s="4"/>
      <c r="Y7695" s="4"/>
    </row>
    <row r="7696" spans="20:25" x14ac:dyDescent="0.3">
      <c r="T7696" s="12"/>
      <c r="U7696" s="4"/>
      <c r="V7696" s="4"/>
      <c r="X7696" s="4"/>
      <c r="Y7696" s="4"/>
    </row>
    <row r="7697" spans="20:25" x14ac:dyDescent="0.3">
      <c r="T7697" s="12"/>
      <c r="U7697" s="4"/>
      <c r="V7697" s="4"/>
      <c r="X7697" s="4"/>
      <c r="Y7697" s="4"/>
    </row>
    <row r="7698" spans="20:25" x14ac:dyDescent="0.3">
      <c r="T7698" s="12"/>
      <c r="U7698" s="4"/>
      <c r="V7698" s="4"/>
      <c r="X7698" s="4"/>
      <c r="Y7698" s="4"/>
    </row>
    <row r="7699" spans="20:25" x14ac:dyDescent="0.3">
      <c r="T7699" s="12"/>
      <c r="U7699" s="4"/>
      <c r="V7699" s="4"/>
      <c r="X7699" s="4"/>
      <c r="Y7699" s="4"/>
    </row>
    <row r="7700" spans="20:25" x14ac:dyDescent="0.3">
      <c r="T7700" s="12"/>
      <c r="U7700" s="4"/>
      <c r="V7700" s="4"/>
      <c r="X7700" s="4"/>
      <c r="Y7700" s="4"/>
    </row>
    <row r="7701" spans="20:25" x14ac:dyDescent="0.3">
      <c r="T7701" s="12"/>
      <c r="U7701" s="4"/>
      <c r="V7701" s="4"/>
      <c r="X7701" s="4"/>
      <c r="Y7701" s="4"/>
    </row>
    <row r="7702" spans="20:25" x14ac:dyDescent="0.3">
      <c r="T7702" s="12"/>
      <c r="U7702" s="4"/>
      <c r="V7702" s="4"/>
      <c r="X7702" s="4"/>
      <c r="Y7702" s="4"/>
    </row>
    <row r="7703" spans="20:25" x14ac:dyDescent="0.3">
      <c r="T7703" s="12"/>
      <c r="U7703" s="4"/>
      <c r="V7703" s="4"/>
      <c r="X7703" s="4"/>
      <c r="Y7703" s="4"/>
    </row>
    <row r="7704" spans="20:25" x14ac:dyDescent="0.3">
      <c r="T7704" s="12"/>
      <c r="U7704" s="4"/>
      <c r="V7704" s="4"/>
      <c r="X7704" s="4"/>
      <c r="Y7704" s="4"/>
    </row>
    <row r="7705" spans="20:25" x14ac:dyDescent="0.3">
      <c r="T7705" s="12"/>
      <c r="U7705" s="4"/>
      <c r="V7705" s="4"/>
      <c r="X7705" s="4"/>
      <c r="Y7705" s="4"/>
    </row>
    <row r="7706" spans="20:25" x14ac:dyDescent="0.3">
      <c r="T7706" s="12"/>
      <c r="U7706" s="4"/>
      <c r="V7706" s="4"/>
      <c r="X7706" s="4"/>
      <c r="Y7706" s="4"/>
    </row>
    <row r="7707" spans="20:25" x14ac:dyDescent="0.3">
      <c r="T7707" s="12"/>
      <c r="U7707" s="4"/>
      <c r="V7707" s="4"/>
      <c r="X7707" s="4"/>
      <c r="Y7707" s="4"/>
    </row>
    <row r="7708" spans="20:25" x14ac:dyDescent="0.3">
      <c r="T7708" s="12"/>
      <c r="U7708" s="4"/>
      <c r="V7708" s="4"/>
      <c r="X7708" s="4"/>
      <c r="Y7708" s="4"/>
    </row>
    <row r="7709" spans="20:25" x14ac:dyDescent="0.3">
      <c r="T7709" s="12"/>
      <c r="U7709" s="4"/>
      <c r="V7709" s="4"/>
      <c r="X7709" s="4"/>
      <c r="Y7709" s="4"/>
    </row>
    <row r="7710" spans="20:25" x14ac:dyDescent="0.3">
      <c r="T7710" s="12"/>
      <c r="U7710" s="4"/>
      <c r="V7710" s="4"/>
      <c r="X7710" s="4"/>
      <c r="Y7710" s="4"/>
    </row>
    <row r="7711" spans="20:25" x14ac:dyDescent="0.3">
      <c r="T7711" s="12"/>
      <c r="U7711" s="4"/>
      <c r="V7711" s="4"/>
      <c r="X7711" s="4"/>
      <c r="Y7711" s="4"/>
    </row>
    <row r="7712" spans="20:25" x14ac:dyDescent="0.3">
      <c r="T7712" s="12"/>
      <c r="U7712" s="4"/>
      <c r="V7712" s="4"/>
      <c r="X7712" s="4"/>
      <c r="Y7712" s="4"/>
    </row>
    <row r="7713" spans="20:25" x14ac:dyDescent="0.3">
      <c r="T7713" s="12"/>
      <c r="U7713" s="4"/>
      <c r="V7713" s="4"/>
      <c r="X7713" s="4"/>
      <c r="Y7713" s="4"/>
    </row>
    <row r="7714" spans="20:25" x14ac:dyDescent="0.3">
      <c r="T7714" s="12"/>
      <c r="U7714" s="4"/>
      <c r="V7714" s="4"/>
      <c r="X7714" s="4"/>
      <c r="Y7714" s="4"/>
    </row>
    <row r="7715" spans="20:25" x14ac:dyDescent="0.3">
      <c r="T7715" s="12"/>
      <c r="U7715" s="4"/>
      <c r="V7715" s="4"/>
      <c r="X7715" s="4"/>
      <c r="Y7715" s="4"/>
    </row>
    <row r="7716" spans="20:25" x14ac:dyDescent="0.3">
      <c r="T7716" s="12"/>
      <c r="U7716" s="4"/>
      <c r="V7716" s="4"/>
      <c r="X7716" s="4"/>
      <c r="Y7716" s="4"/>
    </row>
    <row r="7717" spans="20:25" x14ac:dyDescent="0.3">
      <c r="T7717" s="12"/>
      <c r="U7717" s="4"/>
      <c r="V7717" s="4"/>
      <c r="X7717" s="4"/>
      <c r="Y7717" s="4"/>
    </row>
    <row r="7718" spans="20:25" x14ac:dyDescent="0.3">
      <c r="T7718" s="12"/>
      <c r="U7718" s="4"/>
      <c r="V7718" s="4"/>
      <c r="X7718" s="4"/>
      <c r="Y7718" s="4"/>
    </row>
    <row r="7719" spans="20:25" x14ac:dyDescent="0.3">
      <c r="T7719" s="12"/>
      <c r="U7719" s="4"/>
      <c r="V7719" s="4"/>
      <c r="X7719" s="4"/>
      <c r="Y7719" s="4"/>
    </row>
    <row r="7720" spans="20:25" x14ac:dyDescent="0.3">
      <c r="T7720" s="12"/>
      <c r="U7720" s="4"/>
      <c r="V7720" s="4"/>
      <c r="X7720" s="4"/>
      <c r="Y7720" s="4"/>
    </row>
    <row r="7721" spans="20:25" x14ac:dyDescent="0.3">
      <c r="T7721" s="12"/>
      <c r="U7721" s="4"/>
      <c r="V7721" s="4"/>
      <c r="X7721" s="4"/>
      <c r="Y7721" s="4"/>
    </row>
    <row r="7722" spans="20:25" x14ac:dyDescent="0.3">
      <c r="T7722" s="12"/>
      <c r="U7722" s="4"/>
      <c r="V7722" s="4"/>
      <c r="X7722" s="4"/>
      <c r="Y7722" s="4"/>
    </row>
    <row r="7723" spans="20:25" x14ac:dyDescent="0.3">
      <c r="T7723" s="12"/>
      <c r="U7723" s="4"/>
      <c r="V7723" s="4"/>
      <c r="X7723" s="4"/>
      <c r="Y7723" s="4"/>
    </row>
    <row r="7724" spans="20:25" x14ac:dyDescent="0.3">
      <c r="T7724" s="12"/>
      <c r="U7724" s="4"/>
      <c r="V7724" s="4"/>
      <c r="X7724" s="4"/>
      <c r="Y7724" s="4"/>
    </row>
    <row r="7725" spans="20:25" x14ac:dyDescent="0.3">
      <c r="T7725" s="12"/>
      <c r="U7725" s="4"/>
      <c r="V7725" s="4"/>
      <c r="X7725" s="4"/>
      <c r="Y7725" s="4"/>
    </row>
    <row r="7726" spans="20:25" x14ac:dyDescent="0.3">
      <c r="T7726" s="12"/>
      <c r="U7726" s="4"/>
      <c r="V7726" s="4"/>
      <c r="X7726" s="4"/>
      <c r="Y7726" s="4"/>
    </row>
    <row r="7727" spans="20:25" x14ac:dyDescent="0.3">
      <c r="T7727" s="12"/>
      <c r="U7727" s="4"/>
      <c r="V7727" s="4"/>
      <c r="X7727" s="4"/>
      <c r="Y7727" s="4"/>
    </row>
    <row r="7728" spans="20:25" x14ac:dyDescent="0.3">
      <c r="T7728" s="12"/>
      <c r="U7728" s="4"/>
      <c r="V7728" s="4"/>
      <c r="X7728" s="4"/>
      <c r="Y7728" s="4"/>
    </row>
    <row r="7729" spans="20:25" x14ac:dyDescent="0.3">
      <c r="T7729" s="12"/>
      <c r="U7729" s="4"/>
      <c r="V7729" s="4"/>
      <c r="X7729" s="4"/>
      <c r="Y7729" s="4"/>
    </row>
    <row r="7730" spans="20:25" x14ac:dyDescent="0.3">
      <c r="T7730" s="12"/>
      <c r="U7730" s="4"/>
      <c r="V7730" s="4"/>
      <c r="X7730" s="4"/>
      <c r="Y7730" s="4"/>
    </row>
    <row r="7731" spans="20:25" x14ac:dyDescent="0.3">
      <c r="T7731" s="12"/>
      <c r="U7731" s="4"/>
      <c r="V7731" s="4"/>
      <c r="X7731" s="4"/>
      <c r="Y7731" s="4"/>
    </row>
    <row r="7732" spans="20:25" x14ac:dyDescent="0.3">
      <c r="T7732" s="12"/>
      <c r="U7732" s="4"/>
      <c r="V7732" s="4"/>
      <c r="X7732" s="4"/>
      <c r="Y7732" s="4"/>
    </row>
    <row r="7733" spans="20:25" x14ac:dyDescent="0.3">
      <c r="T7733" s="12"/>
      <c r="U7733" s="4"/>
      <c r="V7733" s="4"/>
      <c r="X7733" s="4"/>
      <c r="Y7733" s="4"/>
    </row>
    <row r="7734" spans="20:25" x14ac:dyDescent="0.3">
      <c r="T7734" s="12"/>
      <c r="U7734" s="4"/>
      <c r="V7734" s="4"/>
      <c r="X7734" s="4"/>
      <c r="Y7734" s="4"/>
    </row>
    <row r="7735" spans="20:25" x14ac:dyDescent="0.3">
      <c r="T7735" s="12"/>
      <c r="U7735" s="4"/>
      <c r="V7735" s="4"/>
      <c r="X7735" s="4"/>
      <c r="Y7735" s="4"/>
    </row>
    <row r="7736" spans="20:25" x14ac:dyDescent="0.3">
      <c r="T7736" s="12"/>
      <c r="U7736" s="4"/>
      <c r="V7736" s="4"/>
      <c r="X7736" s="4"/>
      <c r="Y7736" s="4"/>
    </row>
    <row r="7737" spans="20:25" x14ac:dyDescent="0.3">
      <c r="T7737" s="12"/>
      <c r="U7737" s="4"/>
      <c r="V7737" s="4"/>
      <c r="X7737" s="4"/>
      <c r="Y7737" s="4"/>
    </row>
    <row r="7738" spans="20:25" x14ac:dyDescent="0.3">
      <c r="T7738" s="12"/>
      <c r="U7738" s="4"/>
      <c r="V7738" s="4"/>
      <c r="X7738" s="4"/>
      <c r="Y7738" s="4"/>
    </row>
    <row r="7739" spans="20:25" x14ac:dyDescent="0.3">
      <c r="T7739" s="12"/>
      <c r="U7739" s="4"/>
      <c r="V7739" s="4"/>
      <c r="X7739" s="4"/>
      <c r="Y7739" s="4"/>
    </row>
    <row r="7740" spans="20:25" x14ac:dyDescent="0.3">
      <c r="T7740" s="12"/>
      <c r="U7740" s="4"/>
      <c r="V7740" s="4"/>
      <c r="X7740" s="4"/>
      <c r="Y7740" s="4"/>
    </row>
    <row r="7741" spans="20:25" x14ac:dyDescent="0.3">
      <c r="T7741" s="12"/>
      <c r="U7741" s="4"/>
      <c r="V7741" s="4"/>
      <c r="X7741" s="4"/>
      <c r="Y7741" s="4"/>
    </row>
    <row r="7742" spans="20:25" x14ac:dyDescent="0.3">
      <c r="T7742" s="12"/>
      <c r="U7742" s="4"/>
      <c r="V7742" s="4"/>
      <c r="X7742" s="4"/>
      <c r="Y7742" s="4"/>
    </row>
    <row r="7743" spans="20:25" x14ac:dyDescent="0.3">
      <c r="T7743" s="12"/>
      <c r="U7743" s="4"/>
      <c r="V7743" s="4"/>
      <c r="X7743" s="4"/>
      <c r="Y7743" s="4"/>
    </row>
    <row r="7744" spans="20:25" x14ac:dyDescent="0.3">
      <c r="T7744" s="12"/>
      <c r="U7744" s="4"/>
      <c r="V7744" s="4"/>
      <c r="X7744" s="4"/>
      <c r="Y7744" s="4"/>
    </row>
    <row r="7745" spans="20:25" x14ac:dyDescent="0.3">
      <c r="T7745" s="12"/>
      <c r="U7745" s="4"/>
      <c r="V7745" s="4"/>
      <c r="X7745" s="4"/>
      <c r="Y7745" s="4"/>
    </row>
    <row r="7746" spans="20:25" x14ac:dyDescent="0.3">
      <c r="T7746" s="12"/>
      <c r="U7746" s="4"/>
      <c r="V7746" s="4"/>
      <c r="X7746" s="4"/>
      <c r="Y7746" s="4"/>
    </row>
    <row r="7747" spans="20:25" x14ac:dyDescent="0.3">
      <c r="T7747" s="12"/>
      <c r="U7747" s="4"/>
      <c r="V7747" s="4"/>
      <c r="X7747" s="4"/>
      <c r="Y7747" s="4"/>
    </row>
    <row r="7748" spans="20:25" x14ac:dyDescent="0.3">
      <c r="T7748" s="12"/>
      <c r="U7748" s="4"/>
      <c r="V7748" s="4"/>
      <c r="X7748" s="4"/>
      <c r="Y7748" s="4"/>
    </row>
    <row r="7749" spans="20:25" x14ac:dyDescent="0.3">
      <c r="T7749" s="12"/>
      <c r="U7749" s="4"/>
      <c r="V7749" s="4"/>
      <c r="X7749" s="4"/>
      <c r="Y7749" s="4"/>
    </row>
    <row r="7750" spans="20:25" x14ac:dyDescent="0.3">
      <c r="T7750" s="12"/>
      <c r="U7750" s="4"/>
      <c r="V7750" s="4"/>
      <c r="X7750" s="4"/>
      <c r="Y7750" s="4"/>
    </row>
    <row r="7751" spans="20:25" x14ac:dyDescent="0.3">
      <c r="T7751" s="12"/>
      <c r="U7751" s="4"/>
      <c r="V7751" s="4"/>
      <c r="X7751" s="4"/>
      <c r="Y7751" s="4"/>
    </row>
    <row r="7752" spans="20:25" x14ac:dyDescent="0.3">
      <c r="T7752" s="12"/>
      <c r="U7752" s="4"/>
      <c r="V7752" s="4"/>
      <c r="X7752" s="4"/>
      <c r="Y7752" s="4"/>
    </row>
    <row r="7753" spans="20:25" x14ac:dyDescent="0.3">
      <c r="T7753" s="12"/>
      <c r="U7753" s="4"/>
      <c r="V7753" s="4"/>
      <c r="X7753" s="4"/>
      <c r="Y7753" s="4"/>
    </row>
    <row r="7754" spans="20:25" x14ac:dyDescent="0.3">
      <c r="T7754" s="12"/>
      <c r="U7754" s="4"/>
      <c r="V7754" s="4"/>
      <c r="X7754" s="4"/>
      <c r="Y7754" s="4"/>
    </row>
    <row r="7755" spans="20:25" x14ac:dyDescent="0.3">
      <c r="T7755" s="12"/>
      <c r="U7755" s="4"/>
      <c r="V7755" s="4"/>
      <c r="X7755" s="4"/>
      <c r="Y7755" s="4"/>
    </row>
    <row r="7756" spans="20:25" x14ac:dyDescent="0.3">
      <c r="T7756" s="12"/>
      <c r="U7756" s="4"/>
      <c r="V7756" s="4"/>
      <c r="X7756" s="4"/>
      <c r="Y7756" s="4"/>
    </row>
    <row r="7757" spans="20:25" x14ac:dyDescent="0.3">
      <c r="T7757" s="12"/>
      <c r="U7757" s="4"/>
      <c r="V7757" s="4"/>
      <c r="X7757" s="4"/>
      <c r="Y7757" s="4"/>
    </row>
    <row r="7758" spans="20:25" x14ac:dyDescent="0.3">
      <c r="T7758" s="12"/>
      <c r="U7758" s="4"/>
      <c r="V7758" s="4"/>
      <c r="X7758" s="4"/>
      <c r="Y7758" s="4"/>
    </row>
    <row r="7759" spans="20:25" x14ac:dyDescent="0.3">
      <c r="T7759" s="12"/>
      <c r="U7759" s="4"/>
      <c r="V7759" s="4"/>
      <c r="X7759" s="4"/>
      <c r="Y7759" s="4"/>
    </row>
    <row r="7760" spans="20:25" x14ac:dyDescent="0.3">
      <c r="T7760" s="12"/>
      <c r="U7760" s="4"/>
      <c r="V7760" s="4"/>
      <c r="X7760" s="4"/>
      <c r="Y7760" s="4"/>
    </row>
    <row r="7761" spans="20:25" x14ac:dyDescent="0.3">
      <c r="T7761" s="12"/>
      <c r="U7761" s="4"/>
      <c r="V7761" s="4"/>
      <c r="X7761" s="4"/>
      <c r="Y7761" s="4"/>
    </row>
    <row r="7762" spans="20:25" x14ac:dyDescent="0.3">
      <c r="T7762" s="12"/>
      <c r="U7762" s="4"/>
      <c r="V7762" s="4"/>
      <c r="X7762" s="4"/>
      <c r="Y7762" s="4"/>
    </row>
    <row r="7763" spans="20:25" x14ac:dyDescent="0.3">
      <c r="T7763" s="12"/>
      <c r="U7763" s="4"/>
      <c r="V7763" s="4"/>
      <c r="X7763" s="4"/>
      <c r="Y7763" s="4"/>
    </row>
    <row r="7764" spans="20:25" x14ac:dyDescent="0.3">
      <c r="T7764" s="12"/>
      <c r="U7764" s="4"/>
      <c r="V7764" s="4"/>
      <c r="X7764" s="4"/>
      <c r="Y7764" s="4"/>
    </row>
    <row r="7765" spans="20:25" x14ac:dyDescent="0.3">
      <c r="T7765" s="12"/>
      <c r="U7765" s="4"/>
      <c r="V7765" s="4"/>
      <c r="X7765" s="4"/>
      <c r="Y7765" s="4"/>
    </row>
    <row r="7766" spans="20:25" x14ac:dyDescent="0.3">
      <c r="T7766" s="12"/>
      <c r="U7766" s="4"/>
      <c r="V7766" s="4"/>
      <c r="X7766" s="4"/>
      <c r="Y7766" s="4"/>
    </row>
    <row r="7767" spans="20:25" x14ac:dyDescent="0.3">
      <c r="T7767" s="12"/>
      <c r="U7767" s="4"/>
      <c r="V7767" s="4"/>
      <c r="X7767" s="4"/>
      <c r="Y7767" s="4"/>
    </row>
    <row r="7768" spans="20:25" x14ac:dyDescent="0.3">
      <c r="T7768" s="12"/>
      <c r="U7768" s="4"/>
      <c r="V7768" s="4"/>
      <c r="X7768" s="4"/>
      <c r="Y7768" s="4"/>
    </row>
    <row r="7769" spans="20:25" x14ac:dyDescent="0.3">
      <c r="T7769" s="12"/>
      <c r="U7769" s="4"/>
      <c r="V7769" s="4"/>
      <c r="X7769" s="4"/>
      <c r="Y7769" s="4"/>
    </row>
    <row r="7770" spans="20:25" x14ac:dyDescent="0.3">
      <c r="T7770" s="12"/>
      <c r="U7770" s="4"/>
      <c r="V7770" s="4"/>
      <c r="X7770" s="4"/>
      <c r="Y7770" s="4"/>
    </row>
    <row r="7771" spans="20:25" x14ac:dyDescent="0.3">
      <c r="T7771" s="12"/>
      <c r="U7771" s="4"/>
      <c r="V7771" s="4"/>
      <c r="X7771" s="4"/>
      <c r="Y7771" s="4"/>
    </row>
    <row r="7772" spans="20:25" x14ac:dyDescent="0.3">
      <c r="T7772" s="12"/>
      <c r="U7772" s="4"/>
      <c r="V7772" s="4"/>
      <c r="X7772" s="4"/>
      <c r="Y7772" s="4"/>
    </row>
    <row r="7773" spans="20:25" x14ac:dyDescent="0.3">
      <c r="T7773" s="12"/>
      <c r="U7773" s="4"/>
      <c r="V7773" s="4"/>
      <c r="X7773" s="4"/>
      <c r="Y7773" s="4"/>
    </row>
    <row r="7774" spans="20:25" x14ac:dyDescent="0.3">
      <c r="T7774" s="12"/>
      <c r="U7774" s="4"/>
      <c r="V7774" s="4"/>
      <c r="X7774" s="4"/>
      <c r="Y7774" s="4"/>
    </row>
    <row r="7775" spans="20:25" x14ac:dyDescent="0.3">
      <c r="T7775" s="12"/>
      <c r="U7775" s="4"/>
      <c r="V7775" s="4"/>
      <c r="X7775" s="4"/>
      <c r="Y7775" s="4"/>
    </row>
    <row r="7776" spans="20:25" x14ac:dyDescent="0.3">
      <c r="T7776" s="12"/>
      <c r="U7776" s="4"/>
      <c r="V7776" s="4"/>
      <c r="X7776" s="4"/>
      <c r="Y7776" s="4"/>
    </row>
    <row r="7777" spans="20:25" x14ac:dyDescent="0.3">
      <c r="T7777" s="12"/>
      <c r="U7777" s="4"/>
      <c r="V7777" s="4"/>
      <c r="X7777" s="4"/>
      <c r="Y7777" s="4"/>
    </row>
    <row r="7778" spans="20:25" x14ac:dyDescent="0.3">
      <c r="T7778" s="12"/>
      <c r="U7778" s="4"/>
      <c r="V7778" s="4"/>
      <c r="X7778" s="4"/>
      <c r="Y7778" s="4"/>
    </row>
    <row r="7779" spans="20:25" x14ac:dyDescent="0.3">
      <c r="T7779" s="12"/>
      <c r="U7779" s="4"/>
      <c r="V7779" s="4"/>
      <c r="X7779" s="4"/>
      <c r="Y7779" s="4"/>
    </row>
    <row r="7780" spans="20:25" x14ac:dyDescent="0.3">
      <c r="T7780" s="12"/>
      <c r="U7780" s="4"/>
      <c r="V7780" s="4"/>
      <c r="X7780" s="4"/>
      <c r="Y7780" s="4"/>
    </row>
    <row r="7781" spans="20:25" x14ac:dyDescent="0.3">
      <c r="T7781" s="12"/>
      <c r="U7781" s="4"/>
      <c r="V7781" s="4"/>
      <c r="X7781" s="4"/>
      <c r="Y7781" s="4"/>
    </row>
    <row r="7782" spans="20:25" x14ac:dyDescent="0.3">
      <c r="T7782" s="12"/>
      <c r="U7782" s="4"/>
      <c r="V7782" s="4"/>
      <c r="X7782" s="4"/>
      <c r="Y7782" s="4"/>
    </row>
    <row r="7783" spans="20:25" x14ac:dyDescent="0.3">
      <c r="T7783" s="12"/>
      <c r="U7783" s="4"/>
      <c r="V7783" s="4"/>
      <c r="X7783" s="4"/>
      <c r="Y7783" s="4"/>
    </row>
    <row r="7784" spans="20:25" x14ac:dyDescent="0.3">
      <c r="T7784" s="12"/>
      <c r="U7784" s="4"/>
      <c r="V7784" s="4"/>
      <c r="X7784" s="4"/>
      <c r="Y7784" s="4"/>
    </row>
    <row r="7785" spans="20:25" x14ac:dyDescent="0.3">
      <c r="T7785" s="12"/>
      <c r="U7785" s="4"/>
      <c r="V7785" s="4"/>
      <c r="X7785" s="4"/>
      <c r="Y7785" s="4"/>
    </row>
    <row r="7786" spans="20:25" x14ac:dyDescent="0.3">
      <c r="T7786" s="12"/>
      <c r="U7786" s="4"/>
      <c r="V7786" s="4"/>
      <c r="X7786" s="4"/>
      <c r="Y7786" s="4"/>
    </row>
    <row r="7787" spans="20:25" x14ac:dyDescent="0.3">
      <c r="T7787" s="12"/>
      <c r="U7787" s="4"/>
      <c r="V7787" s="4"/>
      <c r="X7787" s="4"/>
      <c r="Y7787" s="4"/>
    </row>
    <row r="7788" spans="20:25" x14ac:dyDescent="0.3">
      <c r="T7788" s="12"/>
      <c r="U7788" s="4"/>
      <c r="V7788" s="4"/>
      <c r="X7788" s="4"/>
      <c r="Y7788" s="4"/>
    </row>
    <row r="7789" spans="20:25" x14ac:dyDescent="0.3">
      <c r="T7789" s="12"/>
      <c r="U7789" s="4"/>
      <c r="V7789" s="4"/>
      <c r="X7789" s="4"/>
      <c r="Y7789" s="4"/>
    </row>
    <row r="7790" spans="20:25" x14ac:dyDescent="0.3">
      <c r="T7790" s="12"/>
      <c r="U7790" s="4"/>
      <c r="V7790" s="4"/>
      <c r="X7790" s="4"/>
      <c r="Y7790" s="4"/>
    </row>
    <row r="7791" spans="20:25" x14ac:dyDescent="0.3">
      <c r="T7791" s="12"/>
      <c r="U7791" s="4"/>
      <c r="V7791" s="4"/>
      <c r="X7791" s="4"/>
      <c r="Y7791" s="4"/>
    </row>
    <row r="7792" spans="20:25" x14ac:dyDescent="0.3">
      <c r="T7792" s="12"/>
      <c r="U7792" s="4"/>
      <c r="V7792" s="4"/>
      <c r="X7792" s="4"/>
      <c r="Y7792" s="4"/>
    </row>
    <row r="7793" spans="20:25" x14ac:dyDescent="0.3">
      <c r="T7793" s="12"/>
      <c r="U7793" s="4"/>
      <c r="V7793" s="4"/>
      <c r="X7793" s="4"/>
      <c r="Y7793" s="4"/>
    </row>
    <row r="7794" spans="20:25" x14ac:dyDescent="0.3">
      <c r="T7794" s="12"/>
      <c r="U7794" s="4"/>
      <c r="V7794" s="4"/>
      <c r="X7794" s="4"/>
      <c r="Y7794" s="4"/>
    </row>
    <row r="7795" spans="20:25" x14ac:dyDescent="0.3">
      <c r="T7795" s="12"/>
      <c r="U7795" s="4"/>
      <c r="V7795" s="4"/>
      <c r="X7795" s="4"/>
      <c r="Y7795" s="4"/>
    </row>
    <row r="7796" spans="20:25" x14ac:dyDescent="0.3">
      <c r="T7796" s="12"/>
      <c r="U7796" s="4"/>
      <c r="V7796" s="4"/>
      <c r="X7796" s="4"/>
      <c r="Y7796" s="4"/>
    </row>
    <row r="7797" spans="20:25" x14ac:dyDescent="0.3">
      <c r="T7797" s="12"/>
      <c r="U7797" s="4"/>
      <c r="V7797" s="4"/>
      <c r="X7797" s="4"/>
      <c r="Y7797" s="4"/>
    </row>
    <row r="7798" spans="20:25" x14ac:dyDescent="0.3">
      <c r="T7798" s="12"/>
      <c r="U7798" s="4"/>
      <c r="V7798" s="4"/>
      <c r="X7798" s="4"/>
      <c r="Y7798" s="4"/>
    </row>
    <row r="7799" spans="20:25" x14ac:dyDescent="0.3">
      <c r="T7799" s="12"/>
      <c r="U7799" s="4"/>
      <c r="V7799" s="4"/>
      <c r="X7799" s="4"/>
      <c r="Y7799" s="4"/>
    </row>
    <row r="7800" spans="20:25" x14ac:dyDescent="0.3">
      <c r="T7800" s="12"/>
      <c r="U7800" s="4"/>
      <c r="V7800" s="4"/>
      <c r="X7800" s="4"/>
      <c r="Y7800" s="4"/>
    </row>
    <row r="7801" spans="20:25" x14ac:dyDescent="0.3">
      <c r="T7801" s="12"/>
      <c r="U7801" s="4"/>
      <c r="V7801" s="4"/>
      <c r="X7801" s="4"/>
      <c r="Y7801" s="4"/>
    </row>
    <row r="7802" spans="20:25" x14ac:dyDescent="0.3">
      <c r="T7802" s="12"/>
      <c r="U7802" s="4"/>
      <c r="V7802" s="4"/>
      <c r="X7802" s="4"/>
      <c r="Y7802" s="4"/>
    </row>
    <row r="7803" spans="20:25" x14ac:dyDescent="0.3">
      <c r="T7803" s="12"/>
      <c r="U7803" s="4"/>
      <c r="V7803" s="4"/>
      <c r="X7803" s="4"/>
      <c r="Y7803" s="4"/>
    </row>
    <row r="7804" spans="20:25" x14ac:dyDescent="0.3">
      <c r="T7804" s="12"/>
      <c r="U7804" s="4"/>
      <c r="V7804" s="4"/>
      <c r="X7804" s="4"/>
      <c r="Y7804" s="4"/>
    </row>
    <row r="7805" spans="20:25" x14ac:dyDescent="0.3">
      <c r="T7805" s="12"/>
      <c r="U7805" s="4"/>
      <c r="V7805" s="4"/>
      <c r="X7805" s="4"/>
      <c r="Y7805" s="4"/>
    </row>
    <row r="7806" spans="20:25" x14ac:dyDescent="0.3">
      <c r="T7806" s="12"/>
      <c r="U7806" s="4"/>
      <c r="V7806" s="4"/>
      <c r="X7806" s="4"/>
      <c r="Y7806" s="4"/>
    </row>
    <row r="7807" spans="20:25" x14ac:dyDescent="0.3">
      <c r="T7807" s="12"/>
      <c r="U7807" s="4"/>
      <c r="V7807" s="4"/>
      <c r="X7807" s="4"/>
      <c r="Y7807" s="4"/>
    </row>
    <row r="7808" spans="20:25" x14ac:dyDescent="0.3">
      <c r="T7808" s="12"/>
      <c r="U7808" s="4"/>
      <c r="V7808" s="4"/>
      <c r="X7808" s="4"/>
      <c r="Y7808" s="4"/>
    </row>
    <row r="7809" spans="20:25" x14ac:dyDescent="0.3">
      <c r="T7809" s="12"/>
      <c r="U7809" s="4"/>
      <c r="V7809" s="4"/>
      <c r="X7809" s="4"/>
      <c r="Y7809" s="4"/>
    </row>
    <row r="7810" spans="20:25" x14ac:dyDescent="0.3">
      <c r="T7810" s="12"/>
      <c r="U7810" s="4"/>
      <c r="V7810" s="4"/>
      <c r="X7810" s="4"/>
      <c r="Y7810" s="4"/>
    </row>
    <row r="7811" spans="20:25" x14ac:dyDescent="0.3">
      <c r="T7811" s="12"/>
      <c r="U7811" s="4"/>
      <c r="V7811" s="4"/>
      <c r="X7811" s="4"/>
      <c r="Y7811" s="4"/>
    </row>
    <row r="7812" spans="20:25" x14ac:dyDescent="0.3">
      <c r="T7812" s="12"/>
      <c r="U7812" s="4"/>
      <c r="V7812" s="4"/>
      <c r="X7812" s="4"/>
      <c r="Y7812" s="4"/>
    </row>
    <row r="7813" spans="20:25" x14ac:dyDescent="0.3">
      <c r="T7813" s="12"/>
      <c r="U7813" s="4"/>
      <c r="V7813" s="4"/>
      <c r="X7813" s="4"/>
      <c r="Y7813" s="4"/>
    </row>
    <row r="7814" spans="20:25" x14ac:dyDescent="0.3">
      <c r="T7814" s="12"/>
      <c r="U7814" s="4"/>
      <c r="V7814" s="4"/>
      <c r="X7814" s="4"/>
      <c r="Y7814" s="4"/>
    </row>
    <row r="7815" spans="20:25" x14ac:dyDescent="0.3">
      <c r="T7815" s="12"/>
      <c r="U7815" s="4"/>
      <c r="V7815" s="4"/>
      <c r="X7815" s="4"/>
      <c r="Y7815" s="4"/>
    </row>
    <row r="7816" spans="20:25" x14ac:dyDescent="0.3">
      <c r="T7816" s="12"/>
      <c r="U7816" s="4"/>
      <c r="V7816" s="4"/>
      <c r="X7816" s="4"/>
      <c r="Y7816" s="4"/>
    </row>
    <row r="7817" spans="20:25" x14ac:dyDescent="0.3">
      <c r="T7817" s="12"/>
      <c r="U7817" s="4"/>
      <c r="V7817" s="4"/>
      <c r="X7817" s="4"/>
      <c r="Y7817" s="4"/>
    </row>
    <row r="7818" spans="20:25" x14ac:dyDescent="0.3">
      <c r="T7818" s="12"/>
      <c r="U7818" s="4"/>
      <c r="V7818" s="4"/>
      <c r="X7818" s="4"/>
      <c r="Y7818" s="4"/>
    </row>
    <row r="7819" spans="20:25" x14ac:dyDescent="0.3">
      <c r="T7819" s="12"/>
      <c r="U7819" s="4"/>
      <c r="V7819" s="4"/>
      <c r="X7819" s="4"/>
      <c r="Y7819" s="4"/>
    </row>
    <row r="7820" spans="20:25" x14ac:dyDescent="0.3">
      <c r="T7820" s="12"/>
      <c r="U7820" s="4"/>
      <c r="V7820" s="4"/>
      <c r="X7820" s="4"/>
      <c r="Y7820" s="4"/>
    </row>
    <row r="7821" spans="20:25" x14ac:dyDescent="0.3">
      <c r="T7821" s="12"/>
      <c r="U7821" s="4"/>
      <c r="V7821" s="4"/>
      <c r="X7821" s="4"/>
      <c r="Y7821" s="4"/>
    </row>
    <row r="7822" spans="20:25" x14ac:dyDescent="0.3">
      <c r="T7822" s="12"/>
      <c r="U7822" s="4"/>
      <c r="V7822" s="4"/>
      <c r="X7822" s="4"/>
      <c r="Y7822" s="4"/>
    </row>
    <row r="7823" spans="20:25" x14ac:dyDescent="0.3">
      <c r="T7823" s="12"/>
      <c r="U7823" s="4"/>
      <c r="V7823" s="4"/>
      <c r="X7823" s="4"/>
      <c r="Y7823" s="4"/>
    </row>
    <row r="7824" spans="20:25" x14ac:dyDescent="0.3">
      <c r="T7824" s="12"/>
      <c r="U7824" s="4"/>
      <c r="V7824" s="4"/>
      <c r="X7824" s="4"/>
      <c r="Y7824" s="4"/>
    </row>
    <row r="7825" spans="20:25" x14ac:dyDescent="0.3">
      <c r="T7825" s="12"/>
      <c r="U7825" s="4"/>
      <c r="V7825" s="4"/>
      <c r="X7825" s="4"/>
      <c r="Y7825" s="4"/>
    </row>
    <row r="7826" spans="20:25" x14ac:dyDescent="0.3">
      <c r="T7826" s="12"/>
      <c r="U7826" s="4"/>
      <c r="V7826" s="4"/>
      <c r="X7826" s="4"/>
      <c r="Y7826" s="4"/>
    </row>
    <row r="7827" spans="20:25" x14ac:dyDescent="0.3">
      <c r="T7827" s="12"/>
      <c r="U7827" s="4"/>
      <c r="V7827" s="4"/>
      <c r="X7827" s="4"/>
      <c r="Y7827" s="4"/>
    </row>
    <row r="7828" spans="20:25" x14ac:dyDescent="0.3">
      <c r="T7828" s="12"/>
      <c r="U7828" s="4"/>
      <c r="V7828" s="4"/>
      <c r="X7828" s="4"/>
      <c r="Y7828" s="4"/>
    </row>
    <row r="7829" spans="20:25" x14ac:dyDescent="0.3">
      <c r="T7829" s="12"/>
      <c r="U7829" s="4"/>
      <c r="V7829" s="4"/>
      <c r="X7829" s="4"/>
      <c r="Y7829" s="4"/>
    </row>
    <row r="7830" spans="20:25" x14ac:dyDescent="0.3">
      <c r="T7830" s="12"/>
      <c r="U7830" s="4"/>
      <c r="V7830" s="4"/>
      <c r="X7830" s="4"/>
      <c r="Y7830" s="4"/>
    </row>
    <row r="7831" spans="20:25" x14ac:dyDescent="0.3">
      <c r="T7831" s="12"/>
      <c r="U7831" s="4"/>
      <c r="V7831" s="4"/>
      <c r="X7831" s="4"/>
      <c r="Y7831" s="4"/>
    </row>
    <row r="7832" spans="20:25" x14ac:dyDescent="0.3">
      <c r="T7832" s="12"/>
      <c r="U7832" s="4"/>
      <c r="V7832" s="4"/>
      <c r="X7832" s="4"/>
      <c r="Y7832" s="4"/>
    </row>
    <row r="7833" spans="20:25" x14ac:dyDescent="0.3">
      <c r="T7833" s="12"/>
      <c r="U7833" s="4"/>
      <c r="V7833" s="4"/>
      <c r="X7833" s="4"/>
      <c r="Y7833" s="4"/>
    </row>
    <row r="7834" spans="20:25" x14ac:dyDescent="0.3">
      <c r="T7834" s="12"/>
      <c r="U7834" s="4"/>
      <c r="V7834" s="4"/>
      <c r="X7834" s="4"/>
      <c r="Y7834" s="4"/>
    </row>
    <row r="7835" spans="20:25" x14ac:dyDescent="0.3">
      <c r="T7835" s="12"/>
      <c r="U7835" s="4"/>
      <c r="V7835" s="4"/>
      <c r="X7835" s="4"/>
      <c r="Y7835" s="4"/>
    </row>
    <row r="7836" spans="20:25" x14ac:dyDescent="0.3">
      <c r="T7836" s="12"/>
      <c r="U7836" s="4"/>
      <c r="V7836" s="4"/>
      <c r="X7836" s="4"/>
      <c r="Y7836" s="4"/>
    </row>
    <row r="7837" spans="20:25" x14ac:dyDescent="0.3">
      <c r="T7837" s="12"/>
      <c r="U7837" s="4"/>
      <c r="V7837" s="4"/>
      <c r="X7837" s="4"/>
      <c r="Y7837" s="4"/>
    </row>
    <row r="7838" spans="20:25" x14ac:dyDescent="0.3">
      <c r="T7838" s="12"/>
      <c r="U7838" s="4"/>
      <c r="V7838" s="4"/>
      <c r="X7838" s="4"/>
      <c r="Y7838" s="4"/>
    </row>
    <row r="7839" spans="20:25" x14ac:dyDescent="0.3">
      <c r="T7839" s="12"/>
      <c r="U7839" s="4"/>
      <c r="V7839" s="4"/>
      <c r="X7839" s="4"/>
      <c r="Y7839" s="4"/>
    </row>
    <row r="7840" spans="20:25" x14ac:dyDescent="0.3">
      <c r="T7840" s="12"/>
      <c r="U7840" s="4"/>
      <c r="V7840" s="4"/>
      <c r="X7840" s="4"/>
      <c r="Y7840" s="4"/>
    </row>
    <row r="7841" spans="20:25" x14ac:dyDescent="0.3">
      <c r="T7841" s="12"/>
      <c r="U7841" s="4"/>
      <c r="V7841" s="4"/>
      <c r="X7841" s="4"/>
      <c r="Y7841" s="4"/>
    </row>
    <row r="7842" spans="20:25" x14ac:dyDescent="0.3">
      <c r="T7842" s="12"/>
      <c r="U7842" s="4"/>
      <c r="V7842" s="4"/>
      <c r="X7842" s="4"/>
      <c r="Y7842" s="4"/>
    </row>
    <row r="7843" spans="20:25" x14ac:dyDescent="0.3">
      <c r="T7843" s="12"/>
      <c r="U7843" s="4"/>
      <c r="V7843" s="4"/>
      <c r="X7843" s="4"/>
      <c r="Y7843" s="4"/>
    </row>
    <row r="7844" spans="20:25" x14ac:dyDescent="0.3">
      <c r="T7844" s="12"/>
      <c r="U7844" s="4"/>
      <c r="V7844" s="4"/>
      <c r="X7844" s="4"/>
      <c r="Y7844" s="4"/>
    </row>
    <row r="7845" spans="20:25" x14ac:dyDescent="0.3">
      <c r="T7845" s="12"/>
      <c r="U7845" s="4"/>
      <c r="V7845" s="4"/>
      <c r="X7845" s="4"/>
      <c r="Y7845" s="4"/>
    </row>
    <row r="7846" spans="20:25" x14ac:dyDescent="0.3">
      <c r="T7846" s="12"/>
      <c r="U7846" s="4"/>
      <c r="V7846" s="4"/>
      <c r="X7846" s="4"/>
      <c r="Y7846" s="4"/>
    </row>
    <row r="7847" spans="20:25" x14ac:dyDescent="0.3">
      <c r="T7847" s="12"/>
      <c r="U7847" s="4"/>
      <c r="V7847" s="4"/>
      <c r="X7847" s="4"/>
      <c r="Y7847" s="4"/>
    </row>
    <row r="7848" spans="20:25" x14ac:dyDescent="0.3">
      <c r="T7848" s="12"/>
      <c r="U7848" s="4"/>
      <c r="V7848" s="4"/>
      <c r="X7848" s="4"/>
      <c r="Y7848" s="4"/>
    </row>
    <row r="7849" spans="20:25" x14ac:dyDescent="0.3">
      <c r="T7849" s="12"/>
      <c r="U7849" s="4"/>
      <c r="V7849" s="4"/>
      <c r="X7849" s="4"/>
      <c r="Y7849" s="4"/>
    </row>
    <row r="7850" spans="20:25" x14ac:dyDescent="0.3">
      <c r="T7850" s="12"/>
      <c r="U7850" s="4"/>
      <c r="V7850" s="4"/>
      <c r="X7850" s="4"/>
      <c r="Y7850" s="4"/>
    </row>
    <row r="7851" spans="20:25" x14ac:dyDescent="0.3">
      <c r="T7851" s="12"/>
      <c r="U7851" s="4"/>
      <c r="V7851" s="4"/>
      <c r="X7851" s="4"/>
      <c r="Y7851" s="4"/>
    </row>
    <row r="7852" spans="20:25" x14ac:dyDescent="0.3">
      <c r="T7852" s="12"/>
      <c r="U7852" s="4"/>
      <c r="V7852" s="4"/>
      <c r="X7852" s="4"/>
      <c r="Y7852" s="4"/>
    </row>
    <row r="7853" spans="20:25" x14ac:dyDescent="0.3">
      <c r="T7853" s="12"/>
      <c r="U7853" s="4"/>
      <c r="V7853" s="4"/>
      <c r="X7853" s="4"/>
      <c r="Y7853" s="4"/>
    </row>
    <row r="7854" spans="20:25" x14ac:dyDescent="0.3">
      <c r="T7854" s="12"/>
      <c r="U7854" s="4"/>
      <c r="V7854" s="4"/>
      <c r="X7854" s="4"/>
      <c r="Y7854" s="4"/>
    </row>
    <row r="7855" spans="20:25" x14ac:dyDescent="0.3">
      <c r="T7855" s="12"/>
      <c r="U7855" s="4"/>
      <c r="V7855" s="4"/>
      <c r="X7855" s="4"/>
      <c r="Y7855" s="4"/>
    </row>
    <row r="7856" spans="20:25" x14ac:dyDescent="0.3">
      <c r="T7856" s="12"/>
      <c r="U7856" s="4"/>
      <c r="V7856" s="4"/>
      <c r="X7856" s="4"/>
      <c r="Y7856" s="4"/>
    </row>
    <row r="7857" spans="20:25" x14ac:dyDescent="0.3">
      <c r="T7857" s="12"/>
      <c r="U7857" s="4"/>
      <c r="V7857" s="4"/>
      <c r="X7857" s="4"/>
      <c r="Y7857" s="4"/>
    </row>
    <row r="7858" spans="20:25" x14ac:dyDescent="0.3">
      <c r="T7858" s="12"/>
      <c r="U7858" s="4"/>
      <c r="V7858" s="4"/>
      <c r="X7858" s="4"/>
      <c r="Y7858" s="4"/>
    </row>
    <row r="7859" spans="20:25" x14ac:dyDescent="0.3">
      <c r="T7859" s="12"/>
      <c r="U7859" s="4"/>
      <c r="V7859" s="4"/>
      <c r="X7859" s="4"/>
      <c r="Y7859" s="4"/>
    </row>
    <row r="7860" spans="20:25" x14ac:dyDescent="0.3">
      <c r="T7860" s="12"/>
      <c r="U7860" s="4"/>
      <c r="V7860" s="4"/>
      <c r="X7860" s="4"/>
      <c r="Y7860" s="4"/>
    </row>
    <row r="7861" spans="20:25" x14ac:dyDescent="0.3">
      <c r="T7861" s="12"/>
      <c r="U7861" s="4"/>
      <c r="V7861" s="4"/>
      <c r="X7861" s="4"/>
      <c r="Y7861" s="4"/>
    </row>
    <row r="7862" spans="20:25" x14ac:dyDescent="0.3">
      <c r="T7862" s="12"/>
      <c r="U7862" s="4"/>
      <c r="V7862" s="4"/>
      <c r="X7862" s="4"/>
      <c r="Y7862" s="4"/>
    </row>
    <row r="7863" spans="20:25" x14ac:dyDescent="0.3">
      <c r="T7863" s="12"/>
      <c r="U7863" s="4"/>
      <c r="V7863" s="4"/>
      <c r="X7863" s="4"/>
      <c r="Y7863" s="4"/>
    </row>
    <row r="7864" spans="20:25" x14ac:dyDescent="0.3">
      <c r="T7864" s="12"/>
      <c r="U7864" s="4"/>
      <c r="V7864" s="4"/>
      <c r="X7864" s="4"/>
      <c r="Y7864" s="4"/>
    </row>
    <row r="7865" spans="20:25" x14ac:dyDescent="0.3">
      <c r="T7865" s="12"/>
      <c r="U7865" s="4"/>
      <c r="V7865" s="4"/>
      <c r="X7865" s="4"/>
      <c r="Y7865" s="4"/>
    </row>
    <row r="7866" spans="20:25" x14ac:dyDescent="0.3">
      <c r="T7866" s="12"/>
      <c r="U7866" s="4"/>
      <c r="V7866" s="4"/>
      <c r="X7866" s="4"/>
      <c r="Y7866" s="4"/>
    </row>
    <row r="7867" spans="20:25" x14ac:dyDescent="0.3">
      <c r="T7867" s="12"/>
      <c r="U7867" s="4"/>
      <c r="V7867" s="4"/>
      <c r="X7867" s="4"/>
      <c r="Y7867" s="4"/>
    </row>
    <row r="7868" spans="20:25" x14ac:dyDescent="0.3">
      <c r="T7868" s="12"/>
      <c r="U7868" s="4"/>
      <c r="V7868" s="4"/>
      <c r="X7868" s="4"/>
      <c r="Y7868" s="4"/>
    </row>
    <row r="7869" spans="20:25" x14ac:dyDescent="0.3">
      <c r="T7869" s="12"/>
      <c r="U7869" s="4"/>
      <c r="V7869" s="4"/>
      <c r="X7869" s="4"/>
      <c r="Y7869" s="4"/>
    </row>
    <row r="7870" spans="20:25" x14ac:dyDescent="0.3">
      <c r="T7870" s="12"/>
      <c r="U7870" s="4"/>
      <c r="V7870" s="4"/>
      <c r="X7870" s="4"/>
      <c r="Y7870" s="4"/>
    </row>
    <row r="7871" spans="20:25" x14ac:dyDescent="0.3">
      <c r="T7871" s="12"/>
      <c r="U7871" s="4"/>
      <c r="V7871" s="4"/>
      <c r="X7871" s="4"/>
      <c r="Y7871" s="4"/>
    </row>
    <row r="7872" spans="20:25" x14ac:dyDescent="0.3">
      <c r="T7872" s="12"/>
      <c r="U7872" s="4"/>
      <c r="V7872" s="4"/>
      <c r="X7872" s="4"/>
      <c r="Y7872" s="4"/>
    </row>
    <row r="7873" spans="20:25" x14ac:dyDescent="0.3">
      <c r="T7873" s="12"/>
      <c r="U7873" s="4"/>
      <c r="V7873" s="4"/>
      <c r="X7873" s="4"/>
      <c r="Y7873" s="4"/>
    </row>
    <row r="7874" spans="20:25" x14ac:dyDescent="0.3">
      <c r="T7874" s="12"/>
      <c r="U7874" s="4"/>
      <c r="V7874" s="4"/>
      <c r="X7874" s="4"/>
      <c r="Y7874" s="4"/>
    </row>
    <row r="7875" spans="20:25" x14ac:dyDescent="0.3">
      <c r="T7875" s="12"/>
      <c r="U7875" s="4"/>
      <c r="V7875" s="4"/>
      <c r="X7875" s="4"/>
      <c r="Y7875" s="4"/>
    </row>
    <row r="7876" spans="20:25" x14ac:dyDescent="0.3">
      <c r="T7876" s="12"/>
      <c r="U7876" s="4"/>
      <c r="V7876" s="4"/>
      <c r="X7876" s="4"/>
      <c r="Y7876" s="4"/>
    </row>
    <row r="7877" spans="20:25" x14ac:dyDescent="0.3">
      <c r="T7877" s="12"/>
      <c r="U7877" s="4"/>
      <c r="V7877" s="4"/>
      <c r="X7877" s="4"/>
      <c r="Y7877" s="4"/>
    </row>
    <row r="7878" spans="20:25" x14ac:dyDescent="0.3">
      <c r="T7878" s="12"/>
      <c r="U7878" s="4"/>
      <c r="V7878" s="4"/>
      <c r="X7878" s="4"/>
      <c r="Y7878" s="4"/>
    </row>
    <row r="7879" spans="20:25" x14ac:dyDescent="0.3">
      <c r="T7879" s="12"/>
      <c r="U7879" s="4"/>
      <c r="V7879" s="4"/>
      <c r="X7879" s="4"/>
      <c r="Y7879" s="4"/>
    </row>
    <row r="7880" spans="20:25" x14ac:dyDescent="0.3">
      <c r="T7880" s="12"/>
      <c r="U7880" s="4"/>
      <c r="V7880" s="4"/>
      <c r="X7880" s="4"/>
      <c r="Y7880" s="4"/>
    </row>
    <row r="7881" spans="20:25" x14ac:dyDescent="0.3">
      <c r="T7881" s="12"/>
      <c r="U7881" s="4"/>
      <c r="V7881" s="4"/>
      <c r="X7881" s="4"/>
      <c r="Y7881" s="4"/>
    </row>
    <row r="7882" spans="20:25" x14ac:dyDescent="0.3">
      <c r="T7882" s="12"/>
      <c r="U7882" s="4"/>
      <c r="V7882" s="4"/>
      <c r="X7882" s="4"/>
      <c r="Y7882" s="4"/>
    </row>
    <row r="7883" spans="20:25" x14ac:dyDescent="0.3">
      <c r="T7883" s="12"/>
      <c r="U7883" s="4"/>
      <c r="V7883" s="4"/>
      <c r="X7883" s="4"/>
      <c r="Y7883" s="4"/>
    </row>
    <row r="7884" spans="20:25" x14ac:dyDescent="0.3">
      <c r="T7884" s="12"/>
      <c r="U7884" s="4"/>
      <c r="V7884" s="4"/>
      <c r="X7884" s="4"/>
      <c r="Y7884" s="4"/>
    </row>
    <row r="7885" spans="20:25" x14ac:dyDescent="0.3">
      <c r="T7885" s="12"/>
      <c r="U7885" s="4"/>
      <c r="V7885" s="4"/>
      <c r="X7885" s="4"/>
      <c r="Y7885" s="4"/>
    </row>
    <row r="7886" spans="20:25" x14ac:dyDescent="0.3">
      <c r="T7886" s="12"/>
      <c r="U7886" s="4"/>
      <c r="V7886" s="4"/>
      <c r="X7886" s="4"/>
      <c r="Y7886" s="4"/>
    </row>
    <row r="7887" spans="20:25" x14ac:dyDescent="0.3">
      <c r="T7887" s="12"/>
      <c r="U7887" s="4"/>
      <c r="V7887" s="4"/>
      <c r="X7887" s="4"/>
      <c r="Y7887" s="4"/>
    </row>
    <row r="7888" spans="20:25" x14ac:dyDescent="0.3">
      <c r="T7888" s="12"/>
      <c r="U7888" s="4"/>
      <c r="V7888" s="4"/>
      <c r="X7888" s="4"/>
      <c r="Y7888" s="4"/>
    </row>
    <row r="7889" spans="20:25" x14ac:dyDescent="0.3">
      <c r="T7889" s="12"/>
      <c r="U7889" s="4"/>
      <c r="V7889" s="4"/>
      <c r="X7889" s="4"/>
      <c r="Y7889" s="4"/>
    </row>
    <row r="7890" spans="20:25" x14ac:dyDescent="0.3">
      <c r="T7890" s="12"/>
      <c r="U7890" s="4"/>
      <c r="V7890" s="4"/>
      <c r="X7890" s="4"/>
      <c r="Y7890" s="4"/>
    </row>
    <row r="7891" spans="20:25" x14ac:dyDescent="0.3">
      <c r="T7891" s="12"/>
      <c r="U7891" s="4"/>
      <c r="V7891" s="4"/>
      <c r="X7891" s="4"/>
      <c r="Y7891" s="4"/>
    </row>
    <row r="7892" spans="20:25" x14ac:dyDescent="0.3">
      <c r="T7892" s="12"/>
      <c r="U7892" s="4"/>
      <c r="V7892" s="4"/>
      <c r="X7892" s="4"/>
      <c r="Y7892" s="4"/>
    </row>
    <row r="7893" spans="20:25" x14ac:dyDescent="0.3">
      <c r="T7893" s="12"/>
      <c r="U7893" s="4"/>
      <c r="V7893" s="4"/>
      <c r="X7893" s="4"/>
      <c r="Y7893" s="4"/>
    </row>
    <row r="7894" spans="20:25" x14ac:dyDescent="0.3">
      <c r="T7894" s="12"/>
      <c r="U7894" s="4"/>
      <c r="V7894" s="4"/>
      <c r="X7894" s="4"/>
      <c r="Y7894" s="4"/>
    </row>
    <row r="7895" spans="20:25" x14ac:dyDescent="0.3">
      <c r="T7895" s="12"/>
      <c r="U7895" s="4"/>
      <c r="V7895" s="4"/>
      <c r="X7895" s="4"/>
      <c r="Y7895" s="4"/>
    </row>
    <row r="7896" spans="20:25" x14ac:dyDescent="0.3">
      <c r="T7896" s="12"/>
      <c r="U7896" s="4"/>
      <c r="V7896" s="4"/>
      <c r="X7896" s="4"/>
      <c r="Y7896" s="4"/>
    </row>
    <row r="7897" spans="20:25" x14ac:dyDescent="0.3">
      <c r="T7897" s="12"/>
      <c r="U7897" s="4"/>
      <c r="V7897" s="4"/>
      <c r="X7897" s="4"/>
      <c r="Y7897" s="4"/>
    </row>
    <row r="7898" spans="20:25" x14ac:dyDescent="0.3">
      <c r="T7898" s="12"/>
      <c r="U7898" s="4"/>
      <c r="V7898" s="4"/>
      <c r="X7898" s="4"/>
      <c r="Y7898" s="4"/>
    </row>
    <row r="7899" spans="20:25" x14ac:dyDescent="0.3">
      <c r="T7899" s="12"/>
      <c r="U7899" s="4"/>
      <c r="V7899" s="4"/>
      <c r="X7899" s="4"/>
      <c r="Y7899" s="4"/>
    </row>
    <row r="7900" spans="20:25" x14ac:dyDescent="0.3">
      <c r="T7900" s="12"/>
      <c r="U7900" s="4"/>
      <c r="V7900" s="4"/>
      <c r="X7900" s="4"/>
      <c r="Y7900" s="4"/>
    </row>
    <row r="7901" spans="20:25" x14ac:dyDescent="0.3">
      <c r="T7901" s="12"/>
      <c r="U7901" s="4"/>
      <c r="V7901" s="4"/>
      <c r="X7901" s="4"/>
      <c r="Y7901" s="4"/>
    </row>
    <row r="7902" spans="20:25" x14ac:dyDescent="0.3">
      <c r="T7902" s="12"/>
      <c r="U7902" s="4"/>
      <c r="V7902" s="4"/>
      <c r="X7902" s="4"/>
      <c r="Y7902" s="4"/>
    </row>
    <row r="7903" spans="20:25" x14ac:dyDescent="0.3">
      <c r="T7903" s="12"/>
      <c r="U7903" s="4"/>
      <c r="V7903" s="4"/>
      <c r="X7903" s="4"/>
      <c r="Y7903" s="4"/>
    </row>
    <row r="7904" spans="20:25" x14ac:dyDescent="0.3">
      <c r="T7904" s="12"/>
      <c r="U7904" s="4"/>
      <c r="V7904" s="4"/>
      <c r="X7904" s="4"/>
      <c r="Y7904" s="4"/>
    </row>
    <row r="7905" spans="20:25" x14ac:dyDescent="0.3">
      <c r="T7905" s="12"/>
      <c r="U7905" s="4"/>
      <c r="V7905" s="4"/>
      <c r="X7905" s="4"/>
      <c r="Y7905" s="4"/>
    </row>
    <row r="7906" spans="20:25" x14ac:dyDescent="0.3">
      <c r="T7906" s="12"/>
      <c r="U7906" s="4"/>
      <c r="V7906" s="4"/>
      <c r="X7906" s="4"/>
      <c r="Y7906" s="4"/>
    </row>
    <row r="7907" spans="20:25" x14ac:dyDescent="0.3">
      <c r="T7907" s="12"/>
      <c r="U7907" s="4"/>
      <c r="V7907" s="4"/>
      <c r="X7907" s="4"/>
      <c r="Y7907" s="4"/>
    </row>
    <row r="7908" spans="20:25" x14ac:dyDescent="0.3">
      <c r="T7908" s="12"/>
      <c r="U7908" s="4"/>
      <c r="V7908" s="4"/>
      <c r="X7908" s="4"/>
      <c r="Y7908" s="4"/>
    </row>
    <row r="7909" spans="20:25" x14ac:dyDescent="0.3">
      <c r="T7909" s="12"/>
      <c r="U7909" s="4"/>
      <c r="V7909" s="4"/>
      <c r="X7909" s="4"/>
      <c r="Y7909" s="4"/>
    </row>
    <row r="7910" spans="20:25" x14ac:dyDescent="0.3">
      <c r="T7910" s="12"/>
      <c r="U7910" s="4"/>
      <c r="V7910" s="4"/>
      <c r="X7910" s="4"/>
      <c r="Y7910" s="4"/>
    </row>
    <row r="7911" spans="20:25" x14ac:dyDescent="0.3">
      <c r="T7911" s="12"/>
      <c r="U7911" s="4"/>
      <c r="V7911" s="4"/>
      <c r="X7911" s="4"/>
      <c r="Y7911" s="4"/>
    </row>
    <row r="7912" spans="20:25" x14ac:dyDescent="0.3">
      <c r="T7912" s="12"/>
      <c r="U7912" s="4"/>
      <c r="V7912" s="4"/>
      <c r="X7912" s="4"/>
      <c r="Y7912" s="4"/>
    </row>
    <row r="7913" spans="20:25" x14ac:dyDescent="0.3">
      <c r="T7913" s="12"/>
      <c r="U7913" s="4"/>
      <c r="V7913" s="4"/>
      <c r="X7913" s="4"/>
      <c r="Y7913" s="4"/>
    </row>
    <row r="7914" spans="20:25" x14ac:dyDescent="0.3">
      <c r="T7914" s="12"/>
      <c r="U7914" s="4"/>
      <c r="V7914" s="4"/>
      <c r="X7914" s="4"/>
      <c r="Y7914" s="4"/>
    </row>
    <row r="7915" spans="20:25" x14ac:dyDescent="0.3">
      <c r="T7915" s="12"/>
      <c r="U7915" s="4"/>
      <c r="V7915" s="4"/>
      <c r="X7915" s="4"/>
      <c r="Y7915" s="4"/>
    </row>
    <row r="7916" spans="20:25" x14ac:dyDescent="0.3">
      <c r="T7916" s="12"/>
      <c r="U7916" s="4"/>
      <c r="V7916" s="4"/>
      <c r="X7916" s="4"/>
      <c r="Y7916" s="4"/>
    </row>
    <row r="7917" spans="20:25" x14ac:dyDescent="0.3">
      <c r="T7917" s="12"/>
      <c r="U7917" s="4"/>
      <c r="V7917" s="4"/>
      <c r="X7917" s="4"/>
      <c r="Y7917" s="4"/>
    </row>
    <row r="7918" spans="20:25" x14ac:dyDescent="0.3">
      <c r="T7918" s="12"/>
      <c r="U7918" s="4"/>
      <c r="V7918" s="4"/>
      <c r="X7918" s="4"/>
      <c r="Y7918" s="4"/>
    </row>
    <row r="7919" spans="20:25" x14ac:dyDescent="0.3">
      <c r="T7919" s="12"/>
      <c r="U7919" s="4"/>
      <c r="V7919" s="4"/>
      <c r="X7919" s="4"/>
      <c r="Y7919" s="4"/>
    </row>
    <row r="7920" spans="20:25" x14ac:dyDescent="0.3">
      <c r="T7920" s="12"/>
      <c r="U7920" s="4"/>
      <c r="V7920" s="4"/>
      <c r="X7920" s="4"/>
      <c r="Y7920" s="4"/>
    </row>
    <row r="7921" spans="20:25" x14ac:dyDescent="0.3">
      <c r="T7921" s="12"/>
      <c r="U7921" s="4"/>
      <c r="V7921" s="4"/>
      <c r="X7921" s="4"/>
      <c r="Y7921" s="4"/>
    </row>
    <row r="7922" spans="20:25" x14ac:dyDescent="0.3">
      <c r="T7922" s="12"/>
      <c r="U7922" s="4"/>
      <c r="V7922" s="4"/>
      <c r="X7922" s="4"/>
      <c r="Y7922" s="4"/>
    </row>
    <row r="7923" spans="20:25" x14ac:dyDescent="0.3">
      <c r="T7923" s="12"/>
      <c r="U7923" s="4"/>
      <c r="V7923" s="4"/>
      <c r="X7923" s="4"/>
      <c r="Y7923" s="4"/>
    </row>
    <row r="7924" spans="20:25" x14ac:dyDescent="0.3">
      <c r="T7924" s="12"/>
      <c r="U7924" s="4"/>
      <c r="V7924" s="4"/>
      <c r="X7924" s="4"/>
      <c r="Y7924" s="4"/>
    </row>
    <row r="7925" spans="20:25" x14ac:dyDescent="0.3">
      <c r="T7925" s="12"/>
      <c r="U7925" s="4"/>
      <c r="V7925" s="4"/>
      <c r="X7925" s="4"/>
      <c r="Y7925" s="4"/>
    </row>
    <row r="7926" spans="20:25" x14ac:dyDescent="0.3">
      <c r="T7926" s="12"/>
      <c r="U7926" s="4"/>
      <c r="V7926" s="4"/>
      <c r="X7926" s="4"/>
      <c r="Y7926" s="4"/>
    </row>
    <row r="7927" spans="20:25" x14ac:dyDescent="0.3">
      <c r="T7927" s="12"/>
      <c r="U7927" s="4"/>
      <c r="V7927" s="4"/>
      <c r="X7927" s="4"/>
      <c r="Y7927" s="4"/>
    </row>
    <row r="7928" spans="20:25" x14ac:dyDescent="0.3">
      <c r="T7928" s="12"/>
      <c r="U7928" s="4"/>
      <c r="V7928" s="4"/>
      <c r="X7928" s="4"/>
      <c r="Y7928" s="4"/>
    </row>
    <row r="7929" spans="20:25" x14ac:dyDescent="0.3">
      <c r="T7929" s="12"/>
      <c r="U7929" s="4"/>
      <c r="V7929" s="4"/>
      <c r="X7929" s="4"/>
      <c r="Y7929" s="4"/>
    </row>
    <row r="7930" spans="20:25" x14ac:dyDescent="0.3">
      <c r="T7930" s="12"/>
      <c r="U7930" s="4"/>
      <c r="V7930" s="4"/>
      <c r="X7930" s="4"/>
      <c r="Y7930" s="4"/>
    </row>
    <row r="7931" spans="20:25" x14ac:dyDescent="0.3">
      <c r="T7931" s="12"/>
      <c r="U7931" s="4"/>
      <c r="V7931" s="4"/>
      <c r="X7931" s="4"/>
      <c r="Y7931" s="4"/>
    </row>
    <row r="7932" spans="20:25" x14ac:dyDescent="0.3">
      <c r="T7932" s="12"/>
      <c r="U7932" s="4"/>
      <c r="V7932" s="4"/>
      <c r="X7932" s="4"/>
      <c r="Y7932" s="4"/>
    </row>
    <row r="7933" spans="20:25" x14ac:dyDescent="0.3">
      <c r="T7933" s="12"/>
      <c r="U7933" s="4"/>
      <c r="V7933" s="4"/>
      <c r="X7933" s="4"/>
      <c r="Y7933" s="4"/>
    </row>
    <row r="7934" spans="20:25" x14ac:dyDescent="0.3">
      <c r="T7934" s="12"/>
      <c r="U7934" s="4"/>
      <c r="V7934" s="4"/>
      <c r="X7934" s="4"/>
      <c r="Y7934" s="4"/>
    </row>
    <row r="7935" spans="20:25" x14ac:dyDescent="0.3">
      <c r="T7935" s="12"/>
      <c r="U7935" s="4"/>
      <c r="V7935" s="4"/>
      <c r="X7935" s="4"/>
      <c r="Y7935" s="4"/>
    </row>
    <row r="7936" spans="20:25" x14ac:dyDescent="0.3">
      <c r="T7936" s="12"/>
      <c r="U7936" s="4"/>
      <c r="V7936" s="4"/>
      <c r="X7936" s="4"/>
      <c r="Y7936" s="4"/>
    </row>
    <row r="7937" spans="20:25" x14ac:dyDescent="0.3">
      <c r="T7937" s="12"/>
      <c r="U7937" s="4"/>
      <c r="V7937" s="4"/>
      <c r="X7937" s="4"/>
      <c r="Y7937" s="4"/>
    </row>
    <row r="7938" spans="20:25" x14ac:dyDescent="0.3">
      <c r="T7938" s="12"/>
      <c r="U7938" s="4"/>
      <c r="V7938" s="4"/>
      <c r="X7938" s="4"/>
      <c r="Y7938" s="4"/>
    </row>
    <row r="7939" spans="20:25" x14ac:dyDescent="0.3">
      <c r="T7939" s="12"/>
      <c r="U7939" s="4"/>
      <c r="V7939" s="4"/>
      <c r="X7939" s="4"/>
      <c r="Y7939" s="4"/>
    </row>
    <row r="7940" spans="20:25" x14ac:dyDescent="0.3">
      <c r="T7940" s="12"/>
      <c r="U7940" s="4"/>
      <c r="V7940" s="4"/>
      <c r="X7940" s="4"/>
      <c r="Y7940" s="4"/>
    </row>
    <row r="7941" spans="20:25" x14ac:dyDescent="0.3">
      <c r="T7941" s="12"/>
      <c r="U7941" s="4"/>
      <c r="V7941" s="4"/>
      <c r="X7941" s="4"/>
      <c r="Y7941" s="4"/>
    </row>
    <row r="7942" spans="20:25" x14ac:dyDescent="0.3">
      <c r="T7942" s="12"/>
      <c r="U7942" s="4"/>
      <c r="V7942" s="4"/>
      <c r="X7942" s="4"/>
      <c r="Y7942" s="4"/>
    </row>
    <row r="7943" spans="20:25" x14ac:dyDescent="0.3">
      <c r="T7943" s="12"/>
      <c r="U7943" s="4"/>
      <c r="V7943" s="4"/>
      <c r="X7943" s="4"/>
      <c r="Y7943" s="4"/>
    </row>
    <row r="7944" spans="20:25" x14ac:dyDescent="0.3">
      <c r="T7944" s="12"/>
      <c r="U7944" s="4"/>
      <c r="V7944" s="4"/>
      <c r="X7944" s="4"/>
      <c r="Y7944" s="4"/>
    </row>
    <row r="7945" spans="20:25" x14ac:dyDescent="0.3">
      <c r="T7945" s="12"/>
      <c r="U7945" s="4"/>
      <c r="V7945" s="4"/>
      <c r="X7945" s="4"/>
      <c r="Y7945" s="4"/>
    </row>
    <row r="7946" spans="20:25" x14ac:dyDescent="0.3">
      <c r="T7946" s="12"/>
      <c r="U7946" s="4"/>
      <c r="V7946" s="4"/>
      <c r="X7946" s="4"/>
      <c r="Y7946" s="4"/>
    </row>
    <row r="7947" spans="20:25" x14ac:dyDescent="0.3">
      <c r="T7947" s="12"/>
      <c r="U7947" s="4"/>
      <c r="V7947" s="4"/>
      <c r="X7947" s="4"/>
      <c r="Y7947" s="4"/>
    </row>
    <row r="7948" spans="20:25" x14ac:dyDescent="0.3">
      <c r="T7948" s="12"/>
      <c r="U7948" s="4"/>
      <c r="V7948" s="4"/>
      <c r="X7948" s="4"/>
      <c r="Y7948" s="4"/>
    </row>
    <row r="7949" spans="20:25" x14ac:dyDescent="0.3">
      <c r="T7949" s="12"/>
      <c r="U7949" s="4"/>
      <c r="V7949" s="4"/>
      <c r="X7949" s="4"/>
      <c r="Y7949" s="4"/>
    </row>
    <row r="7950" spans="20:25" x14ac:dyDescent="0.3">
      <c r="T7950" s="12"/>
      <c r="U7950" s="4"/>
      <c r="V7950" s="4"/>
      <c r="X7950" s="4"/>
      <c r="Y7950" s="4"/>
    </row>
    <row r="7951" spans="20:25" x14ac:dyDescent="0.3">
      <c r="T7951" s="12"/>
      <c r="U7951" s="4"/>
      <c r="V7951" s="4"/>
      <c r="X7951" s="4"/>
      <c r="Y7951" s="4"/>
    </row>
    <row r="7952" spans="20:25" x14ac:dyDescent="0.3">
      <c r="T7952" s="12"/>
      <c r="U7952" s="4"/>
      <c r="V7952" s="4"/>
      <c r="X7952" s="4"/>
      <c r="Y7952" s="4"/>
    </row>
    <row r="7953" spans="20:25" x14ac:dyDescent="0.3">
      <c r="T7953" s="12"/>
      <c r="U7953" s="4"/>
      <c r="V7953" s="4"/>
      <c r="X7953" s="4"/>
      <c r="Y7953" s="4"/>
    </row>
    <row r="7954" spans="20:25" x14ac:dyDescent="0.3">
      <c r="T7954" s="12"/>
      <c r="U7954" s="4"/>
      <c r="V7954" s="4"/>
      <c r="X7954" s="4"/>
      <c r="Y7954" s="4"/>
    </row>
    <row r="7955" spans="20:25" x14ac:dyDescent="0.3">
      <c r="T7955" s="12"/>
      <c r="U7955" s="4"/>
      <c r="V7955" s="4"/>
      <c r="X7955" s="4"/>
      <c r="Y7955" s="4"/>
    </row>
    <row r="7956" spans="20:25" x14ac:dyDescent="0.3">
      <c r="T7956" s="12"/>
      <c r="U7956" s="4"/>
      <c r="V7956" s="4"/>
      <c r="X7956" s="4"/>
      <c r="Y7956" s="4"/>
    </row>
    <row r="7957" spans="20:25" x14ac:dyDescent="0.3">
      <c r="T7957" s="12"/>
      <c r="U7957" s="4"/>
      <c r="V7957" s="4"/>
      <c r="X7957" s="4"/>
      <c r="Y7957" s="4"/>
    </row>
    <row r="7958" spans="20:25" x14ac:dyDescent="0.3">
      <c r="T7958" s="12"/>
      <c r="U7958" s="4"/>
      <c r="V7958" s="4"/>
      <c r="X7958" s="4"/>
      <c r="Y7958" s="4"/>
    </row>
    <row r="7959" spans="20:25" x14ac:dyDescent="0.3">
      <c r="T7959" s="12"/>
      <c r="U7959" s="4"/>
      <c r="V7959" s="4"/>
      <c r="X7959" s="4"/>
      <c r="Y7959" s="4"/>
    </row>
    <row r="7960" spans="20:25" x14ac:dyDescent="0.3">
      <c r="T7960" s="12"/>
      <c r="U7960" s="4"/>
      <c r="V7960" s="4"/>
      <c r="X7960" s="4"/>
      <c r="Y7960" s="4"/>
    </row>
    <row r="7961" spans="20:25" x14ac:dyDescent="0.3">
      <c r="T7961" s="12"/>
      <c r="U7961" s="4"/>
      <c r="V7961" s="4"/>
      <c r="X7961" s="4"/>
      <c r="Y7961" s="4"/>
    </row>
    <row r="7962" spans="20:25" x14ac:dyDescent="0.3">
      <c r="T7962" s="12"/>
      <c r="U7962" s="4"/>
      <c r="V7962" s="4"/>
      <c r="X7962" s="4"/>
      <c r="Y7962" s="4"/>
    </row>
    <row r="7963" spans="20:25" x14ac:dyDescent="0.3">
      <c r="T7963" s="12"/>
      <c r="U7963" s="4"/>
      <c r="V7963" s="4"/>
      <c r="X7963" s="4"/>
      <c r="Y7963" s="4"/>
    </row>
    <row r="7964" spans="20:25" x14ac:dyDescent="0.3">
      <c r="T7964" s="12"/>
      <c r="U7964" s="4"/>
      <c r="V7964" s="4"/>
      <c r="X7964" s="4"/>
      <c r="Y7964" s="4"/>
    </row>
    <row r="7965" spans="20:25" x14ac:dyDescent="0.3">
      <c r="T7965" s="12"/>
      <c r="U7965" s="4"/>
      <c r="V7965" s="4"/>
      <c r="X7965" s="4"/>
      <c r="Y7965" s="4"/>
    </row>
    <row r="7966" spans="20:25" x14ac:dyDescent="0.3">
      <c r="T7966" s="12"/>
      <c r="U7966" s="4"/>
      <c r="V7966" s="4"/>
      <c r="X7966" s="4"/>
      <c r="Y7966" s="4"/>
    </row>
    <row r="7967" spans="20:25" x14ac:dyDescent="0.3">
      <c r="T7967" s="12"/>
      <c r="U7967" s="4"/>
      <c r="V7967" s="4"/>
      <c r="X7967" s="4"/>
      <c r="Y7967" s="4"/>
    </row>
    <row r="7968" spans="20:25" x14ac:dyDescent="0.3">
      <c r="T7968" s="12"/>
      <c r="U7968" s="4"/>
      <c r="V7968" s="4"/>
      <c r="X7968" s="4"/>
      <c r="Y7968" s="4"/>
    </row>
    <row r="7969" spans="20:25" x14ac:dyDescent="0.3">
      <c r="T7969" s="12"/>
      <c r="U7969" s="4"/>
      <c r="V7969" s="4"/>
      <c r="X7969" s="4"/>
      <c r="Y7969" s="4"/>
    </row>
    <row r="7970" spans="20:25" x14ac:dyDescent="0.3">
      <c r="T7970" s="12"/>
      <c r="U7970" s="4"/>
      <c r="V7970" s="4"/>
      <c r="X7970" s="4"/>
      <c r="Y7970" s="4"/>
    </row>
    <row r="7971" spans="20:25" x14ac:dyDescent="0.3">
      <c r="T7971" s="12"/>
      <c r="U7971" s="4"/>
      <c r="V7971" s="4"/>
      <c r="X7971" s="4"/>
      <c r="Y7971" s="4"/>
    </row>
    <row r="7972" spans="20:25" x14ac:dyDescent="0.3">
      <c r="T7972" s="12"/>
      <c r="U7972" s="4"/>
      <c r="V7972" s="4"/>
      <c r="X7972" s="4"/>
      <c r="Y7972" s="4"/>
    </row>
    <row r="7973" spans="20:25" x14ac:dyDescent="0.3">
      <c r="T7973" s="12"/>
      <c r="U7973" s="4"/>
      <c r="V7973" s="4"/>
      <c r="X7973" s="4"/>
      <c r="Y7973" s="4"/>
    </row>
    <row r="7974" spans="20:25" x14ac:dyDescent="0.3">
      <c r="T7974" s="12"/>
      <c r="U7974" s="4"/>
      <c r="V7974" s="4"/>
      <c r="X7974" s="4"/>
      <c r="Y7974" s="4"/>
    </row>
    <row r="7975" spans="20:25" x14ac:dyDescent="0.3">
      <c r="T7975" s="12"/>
      <c r="U7975" s="4"/>
      <c r="V7975" s="4"/>
      <c r="X7975" s="4"/>
      <c r="Y7975" s="4"/>
    </row>
    <row r="7976" spans="20:25" x14ac:dyDescent="0.3">
      <c r="T7976" s="12"/>
      <c r="U7976" s="4"/>
      <c r="V7976" s="4"/>
      <c r="X7976" s="4"/>
      <c r="Y7976" s="4"/>
    </row>
    <row r="7977" spans="20:25" x14ac:dyDescent="0.3">
      <c r="T7977" s="12"/>
      <c r="U7977" s="4"/>
      <c r="V7977" s="4"/>
      <c r="X7977" s="4"/>
      <c r="Y7977" s="4"/>
    </row>
    <row r="7978" spans="20:25" x14ac:dyDescent="0.3">
      <c r="T7978" s="12"/>
      <c r="U7978" s="4"/>
      <c r="V7978" s="4"/>
      <c r="X7978" s="4"/>
      <c r="Y7978" s="4"/>
    </row>
    <row r="7979" spans="20:25" x14ac:dyDescent="0.3">
      <c r="T7979" s="12"/>
      <c r="U7979" s="4"/>
      <c r="V7979" s="4"/>
      <c r="X7979" s="4"/>
      <c r="Y7979" s="4"/>
    </row>
    <row r="7980" spans="20:25" x14ac:dyDescent="0.3">
      <c r="T7980" s="12"/>
      <c r="U7980" s="4"/>
      <c r="V7980" s="4"/>
      <c r="X7980" s="4"/>
      <c r="Y7980" s="4"/>
    </row>
    <row r="7981" spans="20:25" x14ac:dyDescent="0.3">
      <c r="T7981" s="12"/>
      <c r="U7981" s="4"/>
      <c r="V7981" s="4"/>
      <c r="X7981" s="4"/>
      <c r="Y7981" s="4"/>
    </row>
    <row r="7982" spans="20:25" x14ac:dyDescent="0.3">
      <c r="T7982" s="12"/>
      <c r="U7982" s="4"/>
      <c r="V7982" s="4"/>
      <c r="X7982" s="4"/>
      <c r="Y7982" s="4"/>
    </row>
    <row r="7983" spans="20:25" x14ac:dyDescent="0.3">
      <c r="T7983" s="12"/>
      <c r="U7983" s="4"/>
      <c r="V7983" s="4"/>
      <c r="X7983" s="4"/>
      <c r="Y7983" s="4"/>
    </row>
    <row r="7984" spans="20:25" x14ac:dyDescent="0.3">
      <c r="T7984" s="12"/>
      <c r="U7984" s="4"/>
      <c r="V7984" s="4"/>
      <c r="X7984" s="4"/>
      <c r="Y7984" s="4"/>
    </row>
    <row r="7985" spans="20:25" x14ac:dyDescent="0.3">
      <c r="T7985" s="12"/>
      <c r="U7985" s="4"/>
      <c r="V7985" s="4"/>
      <c r="X7985" s="4"/>
      <c r="Y7985" s="4"/>
    </row>
    <row r="7986" spans="20:25" x14ac:dyDescent="0.3">
      <c r="T7986" s="12"/>
      <c r="U7986" s="4"/>
      <c r="V7986" s="4"/>
      <c r="X7986" s="4"/>
      <c r="Y7986" s="4"/>
    </row>
    <row r="7987" spans="20:25" x14ac:dyDescent="0.3">
      <c r="T7987" s="12"/>
      <c r="U7987" s="4"/>
      <c r="V7987" s="4"/>
      <c r="X7987" s="4"/>
      <c r="Y7987" s="4"/>
    </row>
    <row r="7988" spans="20:25" x14ac:dyDescent="0.3">
      <c r="T7988" s="12"/>
      <c r="U7988" s="4"/>
      <c r="V7988" s="4"/>
      <c r="X7988" s="4"/>
      <c r="Y7988" s="4"/>
    </row>
    <row r="7989" spans="20:25" x14ac:dyDescent="0.3">
      <c r="T7989" s="12"/>
      <c r="U7989" s="4"/>
      <c r="V7989" s="4"/>
      <c r="X7989" s="4"/>
      <c r="Y7989" s="4"/>
    </row>
    <row r="7990" spans="20:25" x14ac:dyDescent="0.3">
      <c r="T7990" s="12"/>
      <c r="U7990" s="4"/>
      <c r="V7990" s="4"/>
      <c r="X7990" s="4"/>
      <c r="Y7990" s="4"/>
    </row>
    <row r="7991" spans="20:25" x14ac:dyDescent="0.3">
      <c r="T7991" s="12"/>
      <c r="U7991" s="4"/>
      <c r="V7991" s="4"/>
      <c r="X7991" s="4"/>
      <c r="Y7991" s="4"/>
    </row>
    <row r="7992" spans="20:25" x14ac:dyDescent="0.3">
      <c r="T7992" s="12"/>
      <c r="U7992" s="4"/>
      <c r="V7992" s="4"/>
      <c r="X7992" s="4"/>
      <c r="Y7992" s="4"/>
    </row>
    <row r="7993" spans="20:25" x14ac:dyDescent="0.3">
      <c r="T7993" s="12"/>
      <c r="U7993" s="4"/>
      <c r="V7993" s="4"/>
      <c r="X7993" s="4"/>
      <c r="Y7993" s="4"/>
    </row>
    <row r="7994" spans="20:25" x14ac:dyDescent="0.3">
      <c r="T7994" s="12"/>
      <c r="U7994" s="4"/>
      <c r="V7994" s="4"/>
      <c r="X7994" s="4"/>
      <c r="Y7994" s="4"/>
    </row>
    <row r="7995" spans="20:25" x14ac:dyDescent="0.3">
      <c r="T7995" s="12"/>
      <c r="U7995" s="4"/>
      <c r="V7995" s="4"/>
      <c r="X7995" s="4"/>
      <c r="Y7995" s="4"/>
    </row>
    <row r="7996" spans="20:25" x14ac:dyDescent="0.3">
      <c r="T7996" s="12"/>
      <c r="U7996" s="4"/>
      <c r="V7996" s="4"/>
      <c r="X7996" s="4"/>
      <c r="Y7996" s="4"/>
    </row>
    <row r="7997" spans="20:25" x14ac:dyDescent="0.3">
      <c r="T7997" s="12"/>
      <c r="U7997" s="4"/>
      <c r="V7997" s="4"/>
      <c r="X7997" s="4"/>
      <c r="Y7997" s="4"/>
    </row>
    <row r="7998" spans="20:25" x14ac:dyDescent="0.3">
      <c r="T7998" s="12"/>
      <c r="U7998" s="4"/>
      <c r="V7998" s="4"/>
      <c r="X7998" s="4"/>
      <c r="Y7998" s="4"/>
    </row>
    <row r="7999" spans="20:25" x14ac:dyDescent="0.3">
      <c r="T7999" s="12"/>
      <c r="U7999" s="4"/>
      <c r="V7999" s="4"/>
      <c r="X7999" s="4"/>
      <c r="Y7999" s="4"/>
    </row>
    <row r="8000" spans="20:25" x14ac:dyDescent="0.3">
      <c r="T8000" s="12"/>
      <c r="U8000" s="4"/>
      <c r="V8000" s="4"/>
      <c r="X8000" s="4"/>
      <c r="Y8000" s="4"/>
    </row>
    <row r="8001" spans="20:25" x14ac:dyDescent="0.3">
      <c r="T8001" s="12"/>
      <c r="U8001" s="4"/>
      <c r="V8001" s="4"/>
      <c r="X8001" s="4"/>
      <c r="Y8001" s="4"/>
    </row>
    <row r="8002" spans="20:25" x14ac:dyDescent="0.3">
      <c r="T8002" s="12"/>
      <c r="U8002" s="4"/>
      <c r="V8002" s="4"/>
      <c r="X8002" s="4"/>
      <c r="Y8002" s="4"/>
    </row>
    <row r="8003" spans="20:25" x14ac:dyDescent="0.3">
      <c r="T8003" s="12"/>
      <c r="U8003" s="4"/>
      <c r="V8003" s="4"/>
      <c r="X8003" s="4"/>
      <c r="Y8003" s="4"/>
    </row>
    <row r="8004" spans="20:25" x14ac:dyDescent="0.3">
      <c r="T8004" s="12"/>
      <c r="U8004" s="4"/>
      <c r="V8004" s="4"/>
      <c r="X8004" s="4"/>
      <c r="Y8004" s="4"/>
    </row>
    <row r="8005" spans="20:25" x14ac:dyDescent="0.3">
      <c r="T8005" s="12"/>
      <c r="U8005" s="4"/>
      <c r="V8005" s="4"/>
      <c r="X8005" s="4"/>
      <c r="Y8005" s="4"/>
    </row>
    <row r="8006" spans="20:25" x14ac:dyDescent="0.3">
      <c r="T8006" s="12"/>
      <c r="U8006" s="4"/>
      <c r="V8006" s="4"/>
      <c r="X8006" s="4"/>
      <c r="Y8006" s="4"/>
    </row>
    <row r="8007" spans="20:25" x14ac:dyDescent="0.3">
      <c r="T8007" s="12"/>
      <c r="U8007" s="4"/>
      <c r="V8007" s="4"/>
      <c r="X8007" s="4"/>
      <c r="Y8007" s="4"/>
    </row>
    <row r="8008" spans="20:25" x14ac:dyDescent="0.3">
      <c r="T8008" s="12"/>
      <c r="U8008" s="4"/>
      <c r="V8008" s="4"/>
      <c r="X8008" s="4"/>
      <c r="Y8008" s="4"/>
    </row>
    <row r="8009" spans="20:25" x14ac:dyDescent="0.3">
      <c r="T8009" s="12"/>
      <c r="U8009" s="4"/>
      <c r="V8009" s="4"/>
      <c r="X8009" s="4"/>
      <c r="Y8009" s="4"/>
    </row>
    <row r="8010" spans="20:25" x14ac:dyDescent="0.3">
      <c r="T8010" s="12"/>
      <c r="U8010" s="4"/>
      <c r="V8010" s="4"/>
      <c r="X8010" s="4"/>
      <c r="Y8010" s="4"/>
    </row>
    <row r="8011" spans="20:25" x14ac:dyDescent="0.3">
      <c r="T8011" s="12"/>
      <c r="U8011" s="4"/>
      <c r="V8011" s="4"/>
      <c r="X8011" s="4"/>
      <c r="Y8011" s="4"/>
    </row>
    <row r="8012" spans="20:25" x14ac:dyDescent="0.3">
      <c r="T8012" s="12"/>
      <c r="U8012" s="4"/>
      <c r="V8012" s="4"/>
      <c r="X8012" s="4"/>
      <c r="Y8012" s="4"/>
    </row>
    <row r="8013" spans="20:25" x14ac:dyDescent="0.3">
      <c r="T8013" s="12"/>
      <c r="U8013" s="4"/>
      <c r="V8013" s="4"/>
      <c r="X8013" s="4"/>
      <c r="Y8013" s="4"/>
    </row>
    <row r="8014" spans="20:25" x14ac:dyDescent="0.3">
      <c r="T8014" s="12"/>
      <c r="U8014" s="4"/>
      <c r="V8014" s="4"/>
      <c r="X8014" s="4"/>
      <c r="Y8014" s="4"/>
    </row>
    <row r="8015" spans="20:25" x14ac:dyDescent="0.3">
      <c r="T8015" s="12"/>
      <c r="U8015" s="4"/>
      <c r="V8015" s="4"/>
      <c r="X8015" s="4"/>
      <c r="Y8015" s="4"/>
    </row>
    <row r="8016" spans="20:25" x14ac:dyDescent="0.3">
      <c r="T8016" s="12"/>
      <c r="U8016" s="4"/>
      <c r="V8016" s="4"/>
      <c r="X8016" s="4"/>
      <c r="Y8016" s="4"/>
    </row>
    <row r="8017" spans="20:25" x14ac:dyDescent="0.3">
      <c r="T8017" s="12"/>
      <c r="U8017" s="4"/>
      <c r="V8017" s="4"/>
      <c r="X8017" s="4"/>
      <c r="Y8017" s="4"/>
    </row>
    <row r="8018" spans="20:25" x14ac:dyDescent="0.3">
      <c r="T8018" s="12"/>
      <c r="U8018" s="4"/>
      <c r="V8018" s="4"/>
      <c r="X8018" s="4"/>
      <c r="Y8018" s="4"/>
    </row>
    <row r="8019" spans="20:25" x14ac:dyDescent="0.3">
      <c r="T8019" s="12"/>
      <c r="U8019" s="4"/>
      <c r="V8019" s="4"/>
      <c r="X8019" s="4"/>
      <c r="Y8019" s="4"/>
    </row>
    <row r="8020" spans="20:25" x14ac:dyDescent="0.3">
      <c r="T8020" s="12"/>
      <c r="U8020" s="4"/>
      <c r="V8020" s="4"/>
      <c r="X8020" s="4"/>
      <c r="Y8020" s="4"/>
    </row>
    <row r="8021" spans="20:25" x14ac:dyDescent="0.3">
      <c r="T8021" s="12"/>
      <c r="U8021" s="4"/>
      <c r="V8021" s="4"/>
      <c r="X8021" s="4"/>
      <c r="Y8021" s="4"/>
    </row>
    <row r="8022" spans="20:25" x14ac:dyDescent="0.3">
      <c r="T8022" s="12"/>
      <c r="U8022" s="4"/>
      <c r="V8022" s="4"/>
      <c r="X8022" s="4"/>
      <c r="Y8022" s="4"/>
    </row>
    <row r="8023" spans="20:25" x14ac:dyDescent="0.3">
      <c r="T8023" s="12"/>
      <c r="U8023" s="4"/>
      <c r="V8023" s="4"/>
      <c r="X8023" s="4"/>
      <c r="Y8023" s="4"/>
    </row>
    <row r="8024" spans="20:25" x14ac:dyDescent="0.3">
      <c r="T8024" s="12"/>
      <c r="U8024" s="4"/>
      <c r="V8024" s="4"/>
      <c r="X8024" s="4"/>
      <c r="Y8024" s="4"/>
    </row>
    <row r="8025" spans="20:25" x14ac:dyDescent="0.3">
      <c r="T8025" s="12"/>
      <c r="U8025" s="4"/>
      <c r="V8025" s="4"/>
      <c r="X8025" s="4"/>
      <c r="Y8025" s="4"/>
    </row>
    <row r="8026" spans="20:25" x14ac:dyDescent="0.3">
      <c r="T8026" s="12"/>
      <c r="U8026" s="4"/>
      <c r="V8026" s="4"/>
      <c r="X8026" s="4"/>
      <c r="Y8026" s="4"/>
    </row>
    <row r="8027" spans="20:25" x14ac:dyDescent="0.3">
      <c r="T8027" s="12"/>
      <c r="U8027" s="4"/>
      <c r="V8027" s="4"/>
      <c r="X8027" s="4"/>
      <c r="Y8027" s="4"/>
    </row>
    <row r="8028" spans="20:25" x14ac:dyDescent="0.3">
      <c r="T8028" s="12"/>
      <c r="U8028" s="4"/>
      <c r="V8028" s="4"/>
      <c r="X8028" s="4"/>
      <c r="Y8028" s="4"/>
    </row>
    <row r="8029" spans="20:25" x14ac:dyDescent="0.3">
      <c r="T8029" s="12"/>
      <c r="U8029" s="4"/>
      <c r="V8029" s="4"/>
      <c r="X8029" s="4"/>
      <c r="Y8029" s="4"/>
    </row>
    <row r="8030" spans="20:25" x14ac:dyDescent="0.3">
      <c r="T8030" s="12"/>
      <c r="U8030" s="4"/>
      <c r="V8030" s="4"/>
      <c r="X8030" s="4"/>
      <c r="Y8030" s="4"/>
    </row>
    <row r="8031" spans="20:25" x14ac:dyDescent="0.3">
      <c r="T8031" s="12"/>
      <c r="U8031" s="4"/>
      <c r="V8031" s="4"/>
      <c r="X8031" s="4"/>
      <c r="Y8031" s="4"/>
    </row>
    <row r="8032" spans="20:25" x14ac:dyDescent="0.3">
      <c r="T8032" s="12"/>
      <c r="U8032" s="4"/>
      <c r="V8032" s="4"/>
      <c r="X8032" s="4"/>
      <c r="Y8032" s="4"/>
    </row>
    <row r="8033" spans="20:25" x14ac:dyDescent="0.3">
      <c r="T8033" s="12"/>
      <c r="U8033" s="4"/>
      <c r="V8033" s="4"/>
      <c r="X8033" s="4"/>
      <c r="Y8033" s="4"/>
    </row>
    <row r="8034" spans="20:25" x14ac:dyDescent="0.3">
      <c r="T8034" s="12"/>
      <c r="U8034" s="4"/>
      <c r="V8034" s="4"/>
      <c r="X8034" s="4"/>
      <c r="Y8034" s="4"/>
    </row>
    <row r="8035" spans="20:25" x14ac:dyDescent="0.3">
      <c r="T8035" s="12"/>
      <c r="U8035" s="4"/>
      <c r="V8035" s="4"/>
      <c r="X8035" s="4"/>
      <c r="Y8035" s="4"/>
    </row>
    <row r="8036" spans="20:25" x14ac:dyDescent="0.3">
      <c r="T8036" s="12"/>
      <c r="U8036" s="4"/>
      <c r="V8036" s="4"/>
      <c r="X8036" s="4"/>
      <c r="Y8036" s="4"/>
    </row>
    <row r="8037" spans="20:25" x14ac:dyDescent="0.3">
      <c r="T8037" s="12"/>
      <c r="U8037" s="4"/>
      <c r="V8037" s="4"/>
      <c r="X8037" s="4"/>
      <c r="Y8037" s="4"/>
    </row>
    <row r="8038" spans="20:25" x14ac:dyDescent="0.3">
      <c r="T8038" s="12"/>
      <c r="U8038" s="4"/>
      <c r="V8038" s="4"/>
      <c r="X8038" s="4"/>
      <c r="Y8038" s="4"/>
    </row>
    <row r="8039" spans="20:25" x14ac:dyDescent="0.3">
      <c r="T8039" s="12"/>
      <c r="U8039" s="4"/>
      <c r="V8039" s="4"/>
      <c r="X8039" s="4"/>
      <c r="Y8039" s="4"/>
    </row>
    <row r="8040" spans="20:25" x14ac:dyDescent="0.3">
      <c r="T8040" s="12"/>
      <c r="U8040" s="4"/>
      <c r="V8040" s="4"/>
      <c r="X8040" s="4"/>
      <c r="Y8040" s="4"/>
    </row>
    <row r="8041" spans="20:25" x14ac:dyDescent="0.3">
      <c r="T8041" s="12"/>
      <c r="U8041" s="4"/>
      <c r="V8041" s="4"/>
      <c r="X8041" s="4"/>
      <c r="Y8041" s="4"/>
    </row>
    <row r="8042" spans="20:25" x14ac:dyDescent="0.3">
      <c r="T8042" s="12"/>
      <c r="U8042" s="4"/>
      <c r="V8042" s="4"/>
      <c r="X8042" s="4"/>
      <c r="Y8042" s="4"/>
    </row>
    <row r="8043" spans="20:25" x14ac:dyDescent="0.3">
      <c r="T8043" s="12"/>
      <c r="U8043" s="4"/>
      <c r="V8043" s="4"/>
      <c r="X8043" s="4"/>
      <c r="Y8043" s="4"/>
    </row>
    <row r="8044" spans="20:25" x14ac:dyDescent="0.3">
      <c r="T8044" s="12"/>
      <c r="U8044" s="4"/>
      <c r="V8044" s="4"/>
      <c r="X8044" s="4"/>
      <c r="Y8044" s="4"/>
    </row>
    <row r="8045" spans="20:25" x14ac:dyDescent="0.3">
      <c r="T8045" s="12"/>
      <c r="U8045" s="4"/>
      <c r="V8045" s="4"/>
      <c r="X8045" s="4"/>
      <c r="Y8045" s="4"/>
    </row>
    <row r="8046" spans="20:25" x14ac:dyDescent="0.3">
      <c r="T8046" s="12"/>
      <c r="U8046" s="4"/>
      <c r="V8046" s="4"/>
      <c r="X8046" s="4"/>
      <c r="Y8046" s="4"/>
    </row>
    <row r="8047" spans="20:25" x14ac:dyDescent="0.3">
      <c r="T8047" s="12"/>
      <c r="U8047" s="4"/>
      <c r="V8047" s="4"/>
      <c r="X8047" s="4"/>
      <c r="Y8047" s="4"/>
    </row>
    <row r="8048" spans="20:25" x14ac:dyDescent="0.3">
      <c r="T8048" s="12"/>
      <c r="U8048" s="4"/>
      <c r="V8048" s="4"/>
      <c r="X8048" s="4"/>
      <c r="Y8048" s="4"/>
    </row>
    <row r="8049" spans="20:25" x14ac:dyDescent="0.3">
      <c r="T8049" s="12"/>
      <c r="U8049" s="4"/>
      <c r="V8049" s="4"/>
      <c r="X8049" s="4"/>
      <c r="Y8049" s="4"/>
    </row>
    <row r="8050" spans="20:25" x14ac:dyDescent="0.3">
      <c r="T8050" s="12"/>
      <c r="U8050" s="4"/>
      <c r="V8050" s="4"/>
      <c r="X8050" s="4"/>
      <c r="Y8050" s="4"/>
    </row>
    <row r="8051" spans="20:25" x14ac:dyDescent="0.3">
      <c r="T8051" s="12"/>
      <c r="U8051" s="4"/>
      <c r="V8051" s="4"/>
      <c r="X8051" s="4"/>
      <c r="Y8051" s="4"/>
    </row>
    <row r="8052" spans="20:25" x14ac:dyDescent="0.3">
      <c r="T8052" s="12"/>
      <c r="U8052" s="4"/>
      <c r="V8052" s="4"/>
      <c r="X8052" s="4"/>
      <c r="Y8052" s="4"/>
    </row>
    <row r="8053" spans="20:25" x14ac:dyDescent="0.3">
      <c r="T8053" s="12"/>
      <c r="U8053" s="4"/>
      <c r="V8053" s="4"/>
      <c r="X8053" s="4"/>
      <c r="Y8053" s="4"/>
    </row>
    <row r="8054" spans="20:25" x14ac:dyDescent="0.3">
      <c r="T8054" s="12"/>
      <c r="U8054" s="4"/>
      <c r="V8054" s="4"/>
      <c r="X8054" s="4"/>
      <c r="Y8054" s="4"/>
    </row>
    <row r="8055" spans="20:25" x14ac:dyDescent="0.3">
      <c r="T8055" s="12"/>
      <c r="U8055" s="4"/>
      <c r="V8055" s="4"/>
      <c r="X8055" s="4"/>
      <c r="Y8055" s="4"/>
    </row>
    <row r="8056" spans="20:25" x14ac:dyDescent="0.3">
      <c r="T8056" s="12"/>
      <c r="U8056" s="4"/>
      <c r="V8056" s="4"/>
      <c r="X8056" s="4"/>
      <c r="Y8056" s="4"/>
    </row>
    <row r="8057" spans="20:25" x14ac:dyDescent="0.3">
      <c r="T8057" s="12"/>
      <c r="U8057" s="4"/>
      <c r="V8057" s="4"/>
      <c r="X8057" s="4"/>
      <c r="Y8057" s="4"/>
    </row>
    <row r="8058" spans="20:25" x14ac:dyDescent="0.3">
      <c r="T8058" s="12"/>
      <c r="U8058" s="4"/>
      <c r="V8058" s="4"/>
      <c r="X8058" s="4"/>
      <c r="Y8058" s="4"/>
    </row>
    <row r="8059" spans="20:25" x14ac:dyDescent="0.3">
      <c r="T8059" s="12"/>
      <c r="U8059" s="4"/>
      <c r="V8059" s="4"/>
      <c r="X8059" s="4"/>
      <c r="Y8059" s="4"/>
    </row>
    <row r="8060" spans="20:25" x14ac:dyDescent="0.3">
      <c r="T8060" s="12"/>
      <c r="U8060" s="4"/>
      <c r="V8060" s="4"/>
      <c r="X8060" s="4"/>
      <c r="Y8060" s="4"/>
    </row>
    <row r="8061" spans="20:25" x14ac:dyDescent="0.3">
      <c r="T8061" s="12"/>
      <c r="U8061" s="4"/>
      <c r="V8061" s="4"/>
      <c r="X8061" s="4"/>
      <c r="Y8061" s="4"/>
    </row>
    <row r="8062" spans="20:25" x14ac:dyDescent="0.3">
      <c r="T8062" s="12"/>
      <c r="U8062" s="4"/>
      <c r="V8062" s="4"/>
      <c r="X8062" s="4"/>
      <c r="Y8062" s="4"/>
    </row>
    <row r="8063" spans="20:25" x14ac:dyDescent="0.3">
      <c r="T8063" s="12"/>
      <c r="U8063" s="4"/>
      <c r="V8063" s="4"/>
      <c r="X8063" s="4"/>
      <c r="Y8063" s="4"/>
    </row>
    <row r="8064" spans="20:25" x14ac:dyDescent="0.3">
      <c r="T8064" s="12"/>
      <c r="U8064" s="4"/>
      <c r="V8064" s="4"/>
      <c r="X8064" s="4"/>
      <c r="Y8064" s="4"/>
    </row>
    <row r="8065" spans="20:25" x14ac:dyDescent="0.3">
      <c r="T8065" s="12"/>
      <c r="U8065" s="4"/>
      <c r="V8065" s="4"/>
      <c r="X8065" s="4"/>
      <c r="Y8065" s="4"/>
    </row>
    <row r="8066" spans="20:25" x14ac:dyDescent="0.3">
      <c r="T8066" s="12"/>
      <c r="U8066" s="4"/>
      <c r="V8066" s="4"/>
      <c r="X8066" s="4"/>
      <c r="Y8066" s="4"/>
    </row>
    <row r="8067" spans="20:25" x14ac:dyDescent="0.3">
      <c r="T8067" s="12"/>
      <c r="U8067" s="4"/>
      <c r="V8067" s="4"/>
      <c r="X8067" s="4"/>
      <c r="Y8067" s="4"/>
    </row>
    <row r="8068" spans="20:25" x14ac:dyDescent="0.3">
      <c r="T8068" s="12"/>
      <c r="U8068" s="4"/>
      <c r="V8068" s="4"/>
      <c r="X8068" s="4"/>
      <c r="Y8068" s="4"/>
    </row>
    <row r="8069" spans="20:25" x14ac:dyDescent="0.3">
      <c r="T8069" s="12"/>
      <c r="U8069" s="4"/>
      <c r="V8069" s="4"/>
      <c r="X8069" s="4"/>
      <c r="Y8069" s="4"/>
    </row>
    <row r="8070" spans="20:25" x14ac:dyDescent="0.3">
      <c r="T8070" s="12"/>
      <c r="U8070" s="4"/>
      <c r="V8070" s="4"/>
      <c r="X8070" s="4"/>
      <c r="Y8070" s="4"/>
    </row>
    <row r="8071" spans="20:25" x14ac:dyDescent="0.3">
      <c r="T8071" s="12"/>
      <c r="U8071" s="4"/>
      <c r="V8071" s="4"/>
      <c r="X8071" s="4"/>
      <c r="Y8071" s="4"/>
    </row>
    <row r="8072" spans="20:25" x14ac:dyDescent="0.3">
      <c r="T8072" s="12"/>
      <c r="U8072" s="4"/>
      <c r="V8072" s="4"/>
      <c r="X8072" s="4"/>
      <c r="Y8072" s="4"/>
    </row>
    <row r="8073" spans="20:25" x14ac:dyDescent="0.3">
      <c r="T8073" s="12"/>
      <c r="U8073" s="4"/>
      <c r="V8073" s="4"/>
      <c r="X8073" s="4"/>
      <c r="Y8073" s="4"/>
    </row>
    <row r="8074" spans="20:25" x14ac:dyDescent="0.3">
      <c r="T8074" s="12"/>
      <c r="U8074" s="4"/>
      <c r="V8074" s="4"/>
      <c r="X8074" s="4"/>
      <c r="Y8074" s="4"/>
    </row>
    <row r="8075" spans="20:25" x14ac:dyDescent="0.3">
      <c r="T8075" s="12"/>
      <c r="U8075" s="4"/>
      <c r="V8075" s="4"/>
      <c r="X8075" s="4"/>
      <c r="Y8075" s="4"/>
    </row>
    <row r="8076" spans="20:25" x14ac:dyDescent="0.3">
      <c r="T8076" s="12"/>
      <c r="U8076" s="4"/>
      <c r="V8076" s="4"/>
      <c r="X8076" s="4"/>
      <c r="Y8076" s="4"/>
    </row>
    <row r="8077" spans="20:25" x14ac:dyDescent="0.3">
      <c r="T8077" s="12"/>
      <c r="U8077" s="4"/>
      <c r="V8077" s="4"/>
      <c r="X8077" s="4"/>
      <c r="Y8077" s="4"/>
    </row>
    <row r="8078" spans="20:25" x14ac:dyDescent="0.3">
      <c r="T8078" s="12"/>
      <c r="U8078" s="4"/>
      <c r="V8078" s="4"/>
      <c r="X8078" s="4"/>
      <c r="Y8078" s="4"/>
    </row>
    <row r="8079" spans="20:25" x14ac:dyDescent="0.3">
      <c r="T8079" s="12"/>
      <c r="U8079" s="4"/>
      <c r="V8079" s="4"/>
      <c r="X8079" s="4"/>
      <c r="Y8079" s="4"/>
    </row>
    <row r="8080" spans="20:25" x14ac:dyDescent="0.3">
      <c r="T8080" s="12"/>
      <c r="U8080" s="4"/>
      <c r="V8080" s="4"/>
      <c r="X8080" s="4"/>
      <c r="Y8080" s="4"/>
    </row>
    <row r="8081" spans="20:25" x14ac:dyDescent="0.3">
      <c r="T8081" s="12"/>
      <c r="U8081" s="4"/>
      <c r="V8081" s="4"/>
      <c r="X8081" s="4"/>
      <c r="Y8081" s="4"/>
    </row>
    <row r="8082" spans="20:25" x14ac:dyDescent="0.3">
      <c r="T8082" s="12"/>
      <c r="U8082" s="4"/>
      <c r="V8082" s="4"/>
      <c r="X8082" s="4"/>
      <c r="Y8082" s="4"/>
    </row>
    <row r="8083" spans="20:25" x14ac:dyDescent="0.3">
      <c r="T8083" s="12"/>
      <c r="U8083" s="4"/>
      <c r="V8083" s="4"/>
      <c r="X8083" s="4"/>
      <c r="Y8083" s="4"/>
    </row>
    <row r="8084" spans="20:25" x14ac:dyDescent="0.3">
      <c r="T8084" s="12"/>
      <c r="U8084" s="4"/>
      <c r="V8084" s="4"/>
      <c r="X8084" s="4"/>
      <c r="Y8084" s="4"/>
    </row>
    <row r="8085" spans="20:25" x14ac:dyDescent="0.3">
      <c r="T8085" s="12"/>
      <c r="U8085" s="4"/>
      <c r="V8085" s="4"/>
      <c r="X8085" s="4"/>
      <c r="Y8085" s="4"/>
    </row>
    <row r="8086" spans="20:25" x14ac:dyDescent="0.3">
      <c r="T8086" s="12"/>
      <c r="U8086" s="4"/>
      <c r="V8086" s="4"/>
      <c r="X8086" s="4"/>
      <c r="Y8086" s="4"/>
    </row>
    <row r="8087" spans="20:25" x14ac:dyDescent="0.3">
      <c r="T8087" s="12"/>
      <c r="U8087" s="4"/>
      <c r="V8087" s="4"/>
      <c r="X8087" s="4"/>
      <c r="Y8087" s="4"/>
    </row>
    <row r="8088" spans="20:25" x14ac:dyDescent="0.3">
      <c r="T8088" s="12"/>
      <c r="U8088" s="4"/>
      <c r="V8088" s="4"/>
      <c r="X8088" s="4"/>
      <c r="Y8088" s="4"/>
    </row>
    <row r="8089" spans="20:25" x14ac:dyDescent="0.3">
      <c r="T8089" s="12"/>
      <c r="U8089" s="4"/>
      <c r="V8089" s="4"/>
      <c r="X8089" s="4"/>
      <c r="Y8089" s="4"/>
    </row>
    <row r="8090" spans="20:25" x14ac:dyDescent="0.3">
      <c r="T8090" s="12"/>
      <c r="U8090" s="4"/>
      <c r="V8090" s="4"/>
      <c r="X8090" s="4"/>
      <c r="Y8090" s="4"/>
    </row>
    <row r="8091" spans="20:25" x14ac:dyDescent="0.3">
      <c r="T8091" s="12"/>
      <c r="U8091" s="4"/>
      <c r="V8091" s="4"/>
      <c r="X8091" s="4"/>
      <c r="Y8091" s="4"/>
    </row>
    <row r="8092" spans="20:25" x14ac:dyDescent="0.3">
      <c r="T8092" s="12"/>
      <c r="U8092" s="4"/>
      <c r="V8092" s="4"/>
      <c r="X8092" s="4"/>
      <c r="Y8092" s="4"/>
    </row>
    <row r="8093" spans="20:25" x14ac:dyDescent="0.3">
      <c r="T8093" s="12"/>
      <c r="U8093" s="4"/>
      <c r="V8093" s="4"/>
      <c r="X8093" s="4"/>
      <c r="Y8093" s="4"/>
    </row>
    <row r="8094" spans="20:25" x14ac:dyDescent="0.3">
      <c r="T8094" s="12"/>
      <c r="U8094" s="4"/>
      <c r="V8094" s="4"/>
      <c r="X8094" s="4"/>
      <c r="Y8094" s="4"/>
    </row>
    <row r="8095" spans="20:25" x14ac:dyDescent="0.3">
      <c r="T8095" s="12"/>
      <c r="U8095" s="4"/>
      <c r="V8095" s="4"/>
      <c r="X8095" s="4"/>
      <c r="Y8095" s="4"/>
    </row>
    <row r="8096" spans="20:25" x14ac:dyDescent="0.3">
      <c r="T8096" s="12"/>
      <c r="U8096" s="4"/>
      <c r="V8096" s="4"/>
      <c r="X8096" s="4"/>
      <c r="Y8096" s="4"/>
    </row>
    <row r="8097" spans="20:25" x14ac:dyDescent="0.3">
      <c r="T8097" s="12"/>
      <c r="U8097" s="4"/>
      <c r="V8097" s="4"/>
      <c r="X8097" s="4"/>
      <c r="Y8097" s="4"/>
    </row>
    <row r="8098" spans="20:25" x14ac:dyDescent="0.3">
      <c r="T8098" s="12"/>
      <c r="U8098" s="4"/>
      <c r="V8098" s="4"/>
      <c r="X8098" s="4"/>
      <c r="Y8098" s="4"/>
    </row>
    <row r="8099" spans="20:25" x14ac:dyDescent="0.3">
      <c r="T8099" s="12"/>
      <c r="U8099" s="4"/>
      <c r="V8099" s="4"/>
      <c r="X8099" s="4"/>
      <c r="Y8099" s="4"/>
    </row>
    <row r="8100" spans="20:25" x14ac:dyDescent="0.3">
      <c r="T8100" s="12"/>
      <c r="U8100" s="4"/>
      <c r="V8100" s="4"/>
      <c r="X8100" s="4"/>
      <c r="Y8100" s="4"/>
    </row>
    <row r="8101" spans="20:25" x14ac:dyDescent="0.3">
      <c r="T8101" s="12"/>
      <c r="U8101" s="4"/>
      <c r="V8101" s="4"/>
      <c r="X8101" s="4"/>
      <c r="Y8101" s="4"/>
    </row>
    <row r="8102" spans="20:25" x14ac:dyDescent="0.3">
      <c r="T8102" s="12"/>
      <c r="U8102" s="4"/>
      <c r="V8102" s="4"/>
      <c r="X8102" s="4"/>
      <c r="Y8102" s="4"/>
    </row>
    <row r="8103" spans="20:25" x14ac:dyDescent="0.3">
      <c r="T8103" s="12"/>
      <c r="U8103" s="4"/>
      <c r="V8103" s="4"/>
      <c r="X8103" s="4"/>
      <c r="Y8103" s="4"/>
    </row>
    <row r="8104" spans="20:25" x14ac:dyDescent="0.3">
      <c r="T8104" s="12"/>
      <c r="U8104" s="4"/>
      <c r="V8104" s="4"/>
      <c r="X8104" s="4"/>
      <c r="Y8104" s="4"/>
    </row>
    <row r="8105" spans="20:25" x14ac:dyDescent="0.3">
      <c r="T8105" s="12"/>
      <c r="U8105" s="4"/>
      <c r="V8105" s="4"/>
      <c r="X8105" s="4"/>
      <c r="Y8105" s="4"/>
    </row>
    <row r="8106" spans="20:25" x14ac:dyDescent="0.3">
      <c r="T8106" s="12"/>
      <c r="U8106" s="4"/>
      <c r="V8106" s="4"/>
      <c r="X8106" s="4"/>
      <c r="Y8106" s="4"/>
    </row>
    <row r="8107" spans="20:25" x14ac:dyDescent="0.3">
      <c r="T8107" s="12"/>
      <c r="U8107" s="4"/>
      <c r="V8107" s="4"/>
      <c r="X8107" s="4"/>
      <c r="Y8107" s="4"/>
    </row>
    <row r="8108" spans="20:25" x14ac:dyDescent="0.3">
      <c r="T8108" s="12"/>
      <c r="U8108" s="4"/>
      <c r="V8108" s="4"/>
      <c r="X8108" s="4"/>
      <c r="Y8108" s="4"/>
    </row>
    <row r="8109" spans="20:25" x14ac:dyDescent="0.3">
      <c r="T8109" s="12"/>
      <c r="U8109" s="4"/>
      <c r="V8109" s="4"/>
      <c r="X8109" s="4"/>
      <c r="Y8109" s="4"/>
    </row>
    <row r="8110" spans="20:25" x14ac:dyDescent="0.3">
      <c r="T8110" s="12"/>
      <c r="U8110" s="4"/>
      <c r="V8110" s="4"/>
      <c r="X8110" s="4"/>
      <c r="Y8110" s="4"/>
    </row>
    <row r="8111" spans="20:25" x14ac:dyDescent="0.3">
      <c r="T8111" s="12"/>
      <c r="U8111" s="4"/>
      <c r="V8111" s="4"/>
      <c r="X8111" s="4"/>
      <c r="Y8111" s="4"/>
    </row>
    <row r="8112" spans="20:25" x14ac:dyDescent="0.3">
      <c r="T8112" s="12"/>
      <c r="U8112" s="4"/>
      <c r="V8112" s="4"/>
      <c r="X8112" s="4"/>
      <c r="Y8112" s="4"/>
    </row>
    <row r="8113" spans="20:25" x14ac:dyDescent="0.3">
      <c r="T8113" s="12"/>
      <c r="U8113" s="4"/>
      <c r="V8113" s="4"/>
      <c r="X8113" s="4"/>
      <c r="Y8113" s="4"/>
    </row>
    <row r="8114" spans="20:25" x14ac:dyDescent="0.3">
      <c r="T8114" s="12"/>
      <c r="U8114" s="4"/>
      <c r="V8114" s="4"/>
      <c r="X8114" s="4"/>
      <c r="Y8114" s="4"/>
    </row>
    <row r="8115" spans="20:25" x14ac:dyDescent="0.3">
      <c r="T8115" s="12"/>
      <c r="U8115" s="4"/>
      <c r="V8115" s="4"/>
      <c r="X8115" s="4"/>
      <c r="Y8115" s="4"/>
    </row>
    <row r="8116" spans="20:25" x14ac:dyDescent="0.3">
      <c r="T8116" s="12"/>
      <c r="U8116" s="4"/>
      <c r="V8116" s="4"/>
      <c r="X8116" s="4"/>
      <c r="Y8116" s="4"/>
    </row>
    <row r="8117" spans="20:25" x14ac:dyDescent="0.3">
      <c r="T8117" s="12"/>
      <c r="U8117" s="4"/>
      <c r="V8117" s="4"/>
      <c r="X8117" s="4"/>
      <c r="Y8117" s="4"/>
    </row>
    <row r="8118" spans="20:25" x14ac:dyDescent="0.3">
      <c r="T8118" s="12"/>
      <c r="U8118" s="4"/>
      <c r="V8118" s="4"/>
      <c r="X8118" s="4"/>
      <c r="Y8118" s="4"/>
    </row>
    <row r="8119" spans="20:25" x14ac:dyDescent="0.3">
      <c r="T8119" s="12"/>
      <c r="U8119" s="4"/>
      <c r="V8119" s="4"/>
      <c r="X8119" s="4"/>
      <c r="Y8119" s="4"/>
    </row>
    <row r="8120" spans="20:25" x14ac:dyDescent="0.3">
      <c r="T8120" s="12"/>
      <c r="U8120" s="4"/>
      <c r="V8120" s="4"/>
      <c r="X8120" s="4"/>
      <c r="Y8120" s="4"/>
    </row>
    <row r="8121" spans="20:25" x14ac:dyDescent="0.3">
      <c r="T8121" s="12"/>
      <c r="U8121" s="4"/>
      <c r="V8121" s="4"/>
      <c r="X8121" s="4"/>
      <c r="Y8121" s="4"/>
    </row>
    <row r="8122" spans="20:25" x14ac:dyDescent="0.3">
      <c r="T8122" s="12"/>
      <c r="U8122" s="4"/>
      <c r="V8122" s="4"/>
      <c r="X8122" s="4"/>
      <c r="Y8122" s="4"/>
    </row>
    <row r="8123" spans="20:25" x14ac:dyDescent="0.3">
      <c r="T8123" s="12"/>
      <c r="U8123" s="4"/>
      <c r="V8123" s="4"/>
      <c r="X8123" s="4"/>
      <c r="Y8123" s="4"/>
    </row>
    <row r="8124" spans="20:25" x14ac:dyDescent="0.3">
      <c r="T8124" s="12"/>
      <c r="U8124" s="4"/>
      <c r="V8124" s="4"/>
      <c r="X8124" s="4"/>
      <c r="Y8124" s="4"/>
    </row>
    <row r="8125" spans="20:25" x14ac:dyDescent="0.3">
      <c r="T8125" s="12"/>
      <c r="U8125" s="4"/>
      <c r="V8125" s="4"/>
      <c r="X8125" s="4"/>
      <c r="Y8125" s="4"/>
    </row>
    <row r="8126" spans="20:25" x14ac:dyDescent="0.3">
      <c r="T8126" s="12"/>
      <c r="U8126" s="4"/>
      <c r="V8126" s="4"/>
      <c r="X8126" s="4"/>
      <c r="Y8126" s="4"/>
    </row>
    <row r="8127" spans="20:25" x14ac:dyDescent="0.3">
      <c r="T8127" s="12"/>
      <c r="U8127" s="4"/>
      <c r="V8127" s="4"/>
      <c r="X8127" s="4"/>
      <c r="Y8127" s="4"/>
    </row>
    <row r="8128" spans="20:25" x14ac:dyDescent="0.3">
      <c r="T8128" s="12"/>
      <c r="U8128" s="4"/>
      <c r="V8128" s="4"/>
      <c r="X8128" s="4"/>
      <c r="Y8128" s="4"/>
    </row>
    <row r="8129" spans="20:25" x14ac:dyDescent="0.3">
      <c r="T8129" s="12"/>
      <c r="U8129" s="4"/>
      <c r="V8129" s="4"/>
      <c r="X8129" s="4"/>
      <c r="Y8129" s="4"/>
    </row>
    <row r="8130" spans="20:25" x14ac:dyDescent="0.3">
      <c r="T8130" s="12"/>
      <c r="U8130" s="4"/>
      <c r="V8130" s="4"/>
      <c r="X8130" s="4"/>
      <c r="Y8130" s="4"/>
    </row>
    <row r="8131" spans="20:25" x14ac:dyDescent="0.3">
      <c r="T8131" s="12"/>
      <c r="U8131" s="4"/>
      <c r="V8131" s="4"/>
      <c r="X8131" s="4"/>
      <c r="Y8131" s="4"/>
    </row>
    <row r="8132" spans="20:25" x14ac:dyDescent="0.3">
      <c r="T8132" s="12"/>
      <c r="U8132" s="4"/>
      <c r="V8132" s="4"/>
      <c r="X8132" s="4"/>
      <c r="Y8132" s="4"/>
    </row>
    <row r="8133" spans="20:25" x14ac:dyDescent="0.3">
      <c r="T8133" s="12"/>
      <c r="U8133" s="4"/>
      <c r="V8133" s="4"/>
      <c r="X8133" s="4"/>
      <c r="Y8133" s="4"/>
    </row>
    <row r="8134" spans="20:25" x14ac:dyDescent="0.3">
      <c r="T8134" s="12"/>
      <c r="U8134" s="4"/>
      <c r="V8134" s="4"/>
      <c r="X8134" s="4"/>
      <c r="Y8134" s="4"/>
    </row>
    <row r="8135" spans="20:25" x14ac:dyDescent="0.3">
      <c r="T8135" s="12"/>
      <c r="U8135" s="4"/>
      <c r="V8135" s="4"/>
      <c r="X8135" s="4"/>
      <c r="Y8135" s="4"/>
    </row>
    <row r="8136" spans="20:25" x14ac:dyDescent="0.3">
      <c r="T8136" s="12"/>
      <c r="U8136" s="4"/>
      <c r="V8136" s="4"/>
      <c r="X8136" s="4"/>
      <c r="Y8136" s="4"/>
    </row>
    <row r="8137" spans="20:25" x14ac:dyDescent="0.3">
      <c r="T8137" s="12"/>
      <c r="U8137" s="4"/>
      <c r="V8137" s="4"/>
      <c r="X8137" s="4"/>
      <c r="Y8137" s="4"/>
    </row>
    <row r="8138" spans="20:25" x14ac:dyDescent="0.3">
      <c r="T8138" s="12"/>
      <c r="U8138" s="4"/>
      <c r="V8138" s="4"/>
      <c r="X8138" s="4"/>
      <c r="Y8138" s="4"/>
    </row>
    <row r="8139" spans="20:25" x14ac:dyDescent="0.3">
      <c r="T8139" s="12"/>
      <c r="U8139" s="4"/>
      <c r="V8139" s="4"/>
      <c r="X8139" s="4"/>
      <c r="Y8139" s="4"/>
    </row>
    <row r="8140" spans="20:25" x14ac:dyDescent="0.3">
      <c r="T8140" s="12"/>
      <c r="U8140" s="4"/>
      <c r="V8140" s="4"/>
      <c r="X8140" s="4"/>
      <c r="Y8140" s="4"/>
    </row>
    <row r="8141" spans="20:25" x14ac:dyDescent="0.3">
      <c r="T8141" s="12"/>
      <c r="U8141" s="4"/>
      <c r="V8141" s="4"/>
      <c r="X8141" s="4"/>
      <c r="Y8141" s="4"/>
    </row>
    <row r="8142" spans="20:25" x14ac:dyDescent="0.3">
      <c r="T8142" s="12"/>
      <c r="U8142" s="4"/>
      <c r="V8142" s="4"/>
      <c r="X8142" s="4"/>
      <c r="Y8142" s="4"/>
    </row>
    <row r="8143" spans="20:25" x14ac:dyDescent="0.3">
      <c r="T8143" s="12"/>
      <c r="U8143" s="4"/>
      <c r="V8143" s="4"/>
      <c r="X8143" s="4"/>
      <c r="Y8143" s="4"/>
    </row>
    <row r="8144" spans="20:25" x14ac:dyDescent="0.3">
      <c r="T8144" s="12"/>
      <c r="U8144" s="4"/>
      <c r="V8144" s="4"/>
      <c r="X8144" s="4"/>
      <c r="Y8144" s="4"/>
    </row>
    <row r="8145" spans="20:25" x14ac:dyDescent="0.3">
      <c r="T8145" s="12"/>
      <c r="U8145" s="4"/>
      <c r="V8145" s="4"/>
      <c r="X8145" s="4"/>
      <c r="Y8145" s="4"/>
    </row>
    <row r="8146" spans="20:25" x14ac:dyDescent="0.3">
      <c r="T8146" s="12"/>
      <c r="U8146" s="4"/>
      <c r="V8146" s="4"/>
      <c r="X8146" s="4"/>
      <c r="Y8146" s="4"/>
    </row>
    <row r="8147" spans="20:25" x14ac:dyDescent="0.3">
      <c r="T8147" s="12"/>
      <c r="U8147" s="4"/>
      <c r="V8147" s="4"/>
      <c r="X8147" s="4"/>
      <c r="Y8147" s="4"/>
    </row>
    <row r="8148" spans="20:25" x14ac:dyDescent="0.3">
      <c r="T8148" s="12"/>
      <c r="U8148" s="4"/>
      <c r="V8148" s="4"/>
      <c r="X8148" s="4"/>
      <c r="Y8148" s="4"/>
    </row>
    <row r="8149" spans="20:25" x14ac:dyDescent="0.3">
      <c r="T8149" s="12"/>
      <c r="U8149" s="4"/>
      <c r="V8149" s="4"/>
      <c r="X8149" s="4"/>
      <c r="Y8149" s="4"/>
    </row>
    <row r="8150" spans="20:25" x14ac:dyDescent="0.3">
      <c r="T8150" s="12"/>
      <c r="U8150" s="4"/>
      <c r="V8150" s="4"/>
      <c r="X8150" s="4"/>
      <c r="Y8150" s="4"/>
    </row>
    <row r="8151" spans="20:25" x14ac:dyDescent="0.3">
      <c r="T8151" s="12"/>
      <c r="U8151" s="4"/>
      <c r="V8151" s="4"/>
      <c r="X8151" s="4"/>
      <c r="Y8151" s="4"/>
    </row>
    <row r="8152" spans="20:25" x14ac:dyDescent="0.3">
      <c r="T8152" s="12"/>
      <c r="U8152" s="4"/>
      <c r="V8152" s="4"/>
      <c r="X8152" s="4"/>
      <c r="Y8152" s="4"/>
    </row>
    <row r="8153" spans="20:25" x14ac:dyDescent="0.3">
      <c r="T8153" s="12"/>
      <c r="U8153" s="4"/>
      <c r="V8153" s="4"/>
      <c r="X8153" s="4"/>
      <c r="Y8153" s="4"/>
    </row>
    <row r="8154" spans="20:25" x14ac:dyDescent="0.3">
      <c r="T8154" s="12"/>
      <c r="U8154" s="4"/>
      <c r="V8154" s="4"/>
      <c r="X8154" s="4"/>
      <c r="Y8154" s="4"/>
    </row>
    <row r="8155" spans="20:25" x14ac:dyDescent="0.3">
      <c r="T8155" s="12"/>
      <c r="U8155" s="4"/>
      <c r="V8155" s="4"/>
      <c r="X8155" s="4"/>
      <c r="Y8155" s="4"/>
    </row>
    <row r="8156" spans="20:25" x14ac:dyDescent="0.3">
      <c r="T8156" s="12"/>
      <c r="U8156" s="4"/>
      <c r="V8156" s="4"/>
      <c r="X8156" s="4"/>
      <c r="Y8156" s="4"/>
    </row>
    <row r="8157" spans="20:25" x14ac:dyDescent="0.3">
      <c r="T8157" s="12"/>
      <c r="U8157" s="4"/>
      <c r="V8157" s="4"/>
      <c r="X8157" s="4"/>
      <c r="Y8157" s="4"/>
    </row>
    <row r="8158" spans="20:25" x14ac:dyDescent="0.3">
      <c r="T8158" s="12"/>
      <c r="U8158" s="4"/>
      <c r="V8158" s="4"/>
      <c r="X8158" s="4"/>
      <c r="Y8158" s="4"/>
    </row>
    <row r="8159" spans="20:25" x14ac:dyDescent="0.3">
      <c r="T8159" s="12"/>
      <c r="U8159" s="4"/>
      <c r="V8159" s="4"/>
      <c r="X8159" s="4"/>
      <c r="Y8159" s="4"/>
    </row>
    <row r="8160" spans="20:25" x14ac:dyDescent="0.3">
      <c r="T8160" s="12"/>
      <c r="U8160" s="4"/>
      <c r="V8160" s="4"/>
      <c r="X8160" s="4"/>
      <c r="Y8160" s="4"/>
    </row>
    <row r="8161" spans="20:25" x14ac:dyDescent="0.3">
      <c r="T8161" s="12"/>
      <c r="U8161" s="4"/>
      <c r="V8161" s="4"/>
      <c r="X8161" s="4"/>
      <c r="Y8161" s="4"/>
    </row>
    <row r="8162" spans="20:25" x14ac:dyDescent="0.3">
      <c r="T8162" s="12"/>
      <c r="U8162" s="4"/>
      <c r="V8162" s="4"/>
      <c r="X8162" s="4"/>
      <c r="Y8162" s="4"/>
    </row>
    <row r="8163" spans="20:25" x14ac:dyDescent="0.3">
      <c r="T8163" s="12"/>
      <c r="U8163" s="4"/>
      <c r="V8163" s="4"/>
      <c r="X8163" s="4"/>
      <c r="Y8163" s="4"/>
    </row>
    <row r="8164" spans="20:25" x14ac:dyDescent="0.3">
      <c r="T8164" s="12"/>
      <c r="U8164" s="4"/>
      <c r="V8164" s="4"/>
      <c r="X8164" s="4"/>
      <c r="Y8164" s="4"/>
    </row>
    <row r="8165" spans="20:25" x14ac:dyDescent="0.3">
      <c r="T8165" s="12"/>
      <c r="U8165" s="4"/>
      <c r="V8165" s="4"/>
      <c r="X8165" s="4"/>
      <c r="Y8165" s="4"/>
    </row>
    <row r="8166" spans="20:25" x14ac:dyDescent="0.3">
      <c r="T8166" s="12"/>
      <c r="U8166" s="4"/>
      <c r="V8166" s="4"/>
      <c r="X8166" s="4"/>
      <c r="Y8166" s="4"/>
    </row>
    <row r="8167" spans="20:25" x14ac:dyDescent="0.3">
      <c r="T8167" s="12"/>
      <c r="U8167" s="4"/>
      <c r="V8167" s="4"/>
      <c r="X8167" s="4"/>
      <c r="Y8167" s="4"/>
    </row>
    <row r="8168" spans="20:25" x14ac:dyDescent="0.3">
      <c r="T8168" s="12"/>
      <c r="U8168" s="4"/>
      <c r="V8168" s="4"/>
      <c r="X8168" s="4"/>
      <c r="Y8168" s="4"/>
    </row>
    <row r="8169" spans="20:25" x14ac:dyDescent="0.3">
      <c r="T8169" s="12"/>
      <c r="U8169" s="4"/>
      <c r="V8169" s="4"/>
      <c r="X8169" s="4"/>
      <c r="Y8169" s="4"/>
    </row>
    <row r="8170" spans="20:25" x14ac:dyDescent="0.3">
      <c r="T8170" s="12"/>
      <c r="U8170" s="4"/>
      <c r="V8170" s="4"/>
      <c r="X8170" s="4"/>
      <c r="Y8170" s="4"/>
    </row>
    <row r="8171" spans="20:25" x14ac:dyDescent="0.3">
      <c r="T8171" s="12"/>
      <c r="U8171" s="4"/>
      <c r="V8171" s="4"/>
      <c r="X8171" s="4"/>
      <c r="Y8171" s="4"/>
    </row>
    <row r="8172" spans="20:25" x14ac:dyDescent="0.3">
      <c r="T8172" s="12"/>
      <c r="U8172" s="4"/>
      <c r="V8172" s="4"/>
      <c r="X8172" s="4"/>
      <c r="Y8172" s="4"/>
    </row>
    <row r="8173" spans="20:25" x14ac:dyDescent="0.3">
      <c r="T8173" s="12"/>
      <c r="U8173" s="4"/>
      <c r="V8173" s="4"/>
      <c r="X8173" s="4"/>
      <c r="Y8173" s="4"/>
    </row>
    <row r="8174" spans="20:25" x14ac:dyDescent="0.3">
      <c r="T8174" s="12"/>
      <c r="U8174" s="4"/>
      <c r="V8174" s="4"/>
      <c r="X8174" s="4"/>
      <c r="Y8174" s="4"/>
    </row>
    <row r="8175" spans="20:25" x14ac:dyDescent="0.3">
      <c r="T8175" s="12"/>
      <c r="U8175" s="4"/>
      <c r="V8175" s="4"/>
      <c r="X8175" s="4"/>
      <c r="Y8175" s="4"/>
    </row>
    <row r="8176" spans="20:25" x14ac:dyDescent="0.3">
      <c r="T8176" s="12"/>
      <c r="U8176" s="4"/>
      <c r="V8176" s="4"/>
      <c r="X8176" s="4"/>
      <c r="Y8176" s="4"/>
    </row>
    <row r="8177" spans="20:25" x14ac:dyDescent="0.3">
      <c r="T8177" s="12"/>
      <c r="U8177" s="4"/>
      <c r="V8177" s="4"/>
      <c r="X8177" s="4"/>
      <c r="Y8177" s="4"/>
    </row>
    <row r="8178" spans="20:25" x14ac:dyDescent="0.3">
      <c r="T8178" s="12"/>
      <c r="U8178" s="4"/>
      <c r="V8178" s="4"/>
      <c r="X8178" s="4"/>
      <c r="Y8178" s="4"/>
    </row>
    <row r="8179" spans="20:25" x14ac:dyDescent="0.3">
      <c r="T8179" s="12"/>
      <c r="U8179" s="4"/>
      <c r="V8179" s="4"/>
      <c r="X8179" s="4"/>
      <c r="Y8179" s="4"/>
    </row>
    <row r="8180" spans="20:25" x14ac:dyDescent="0.3">
      <c r="T8180" s="12"/>
      <c r="U8180" s="4"/>
      <c r="V8180" s="4"/>
      <c r="X8180" s="4"/>
      <c r="Y8180" s="4"/>
    </row>
    <row r="8181" spans="20:25" x14ac:dyDescent="0.3">
      <c r="T8181" s="12"/>
      <c r="U8181" s="4"/>
      <c r="V8181" s="4"/>
      <c r="X8181" s="4"/>
      <c r="Y8181" s="4"/>
    </row>
    <row r="8182" spans="20:25" x14ac:dyDescent="0.3">
      <c r="T8182" s="12"/>
      <c r="U8182" s="4"/>
      <c r="V8182" s="4"/>
      <c r="X8182" s="4"/>
      <c r="Y8182" s="4"/>
    </row>
    <row r="8183" spans="20:25" x14ac:dyDescent="0.3">
      <c r="T8183" s="12"/>
      <c r="U8183" s="4"/>
      <c r="V8183" s="4"/>
      <c r="X8183" s="4"/>
      <c r="Y8183" s="4"/>
    </row>
    <row r="8184" spans="20:25" x14ac:dyDescent="0.3">
      <c r="T8184" s="12"/>
      <c r="U8184" s="4"/>
      <c r="V8184" s="4"/>
      <c r="X8184" s="4"/>
      <c r="Y8184" s="4"/>
    </row>
    <row r="8185" spans="20:25" x14ac:dyDescent="0.3">
      <c r="T8185" s="12"/>
      <c r="U8185" s="4"/>
      <c r="V8185" s="4"/>
      <c r="X8185" s="4"/>
      <c r="Y8185" s="4"/>
    </row>
    <row r="8186" spans="20:25" x14ac:dyDescent="0.3">
      <c r="T8186" s="12"/>
      <c r="U8186" s="4"/>
      <c r="V8186" s="4"/>
      <c r="X8186" s="4"/>
      <c r="Y8186" s="4"/>
    </row>
    <row r="8187" spans="20:25" x14ac:dyDescent="0.3">
      <c r="T8187" s="12"/>
      <c r="U8187" s="4"/>
      <c r="V8187" s="4"/>
      <c r="X8187" s="4"/>
      <c r="Y8187" s="4"/>
    </row>
    <row r="8188" spans="20:25" x14ac:dyDescent="0.3">
      <c r="T8188" s="12"/>
      <c r="U8188" s="4"/>
      <c r="V8188" s="4"/>
      <c r="X8188" s="4"/>
      <c r="Y8188" s="4"/>
    </row>
    <row r="8189" spans="20:25" x14ac:dyDescent="0.3">
      <c r="T8189" s="12"/>
      <c r="U8189" s="4"/>
      <c r="V8189" s="4"/>
      <c r="X8189" s="4"/>
      <c r="Y8189" s="4"/>
    </row>
    <row r="8190" spans="20:25" x14ac:dyDescent="0.3">
      <c r="T8190" s="12"/>
      <c r="U8190" s="4"/>
      <c r="V8190" s="4"/>
      <c r="X8190" s="4"/>
      <c r="Y8190" s="4"/>
    </row>
    <row r="8191" spans="20:25" x14ac:dyDescent="0.3">
      <c r="T8191" s="12"/>
      <c r="U8191" s="4"/>
      <c r="V8191" s="4"/>
      <c r="X8191" s="4"/>
      <c r="Y8191" s="4"/>
    </row>
    <row r="8192" spans="20:25" x14ac:dyDescent="0.3">
      <c r="T8192" s="12"/>
      <c r="U8192" s="4"/>
      <c r="V8192" s="4"/>
      <c r="X8192" s="4"/>
      <c r="Y8192" s="4"/>
    </row>
    <row r="8193" spans="20:25" x14ac:dyDescent="0.3">
      <c r="T8193" s="12"/>
      <c r="U8193" s="4"/>
      <c r="V8193" s="4"/>
      <c r="X8193" s="4"/>
      <c r="Y8193" s="4"/>
    </row>
    <row r="8194" spans="20:25" x14ac:dyDescent="0.3">
      <c r="T8194" s="12"/>
      <c r="U8194" s="4"/>
      <c r="V8194" s="4"/>
      <c r="X8194" s="4"/>
      <c r="Y8194" s="4"/>
    </row>
    <row r="8195" spans="20:25" x14ac:dyDescent="0.3">
      <c r="T8195" s="12"/>
      <c r="U8195" s="4"/>
      <c r="V8195" s="4"/>
      <c r="X8195" s="4"/>
      <c r="Y8195" s="4"/>
    </row>
    <row r="8196" spans="20:25" x14ac:dyDescent="0.3">
      <c r="T8196" s="12"/>
      <c r="U8196" s="4"/>
      <c r="V8196" s="4"/>
      <c r="X8196" s="4"/>
      <c r="Y8196" s="4"/>
    </row>
    <row r="8197" spans="20:25" x14ac:dyDescent="0.3">
      <c r="T8197" s="12"/>
      <c r="U8197" s="4"/>
      <c r="V8197" s="4"/>
      <c r="X8197" s="4"/>
      <c r="Y8197" s="4"/>
    </row>
    <row r="8198" spans="20:25" x14ac:dyDescent="0.3">
      <c r="T8198" s="12"/>
      <c r="U8198" s="4"/>
      <c r="V8198" s="4"/>
      <c r="X8198" s="4"/>
      <c r="Y8198" s="4"/>
    </row>
    <row r="8199" spans="20:25" x14ac:dyDescent="0.3">
      <c r="T8199" s="12"/>
      <c r="U8199" s="4"/>
      <c r="V8199" s="4"/>
      <c r="X8199" s="4"/>
      <c r="Y8199" s="4"/>
    </row>
    <row r="8200" spans="20:25" x14ac:dyDescent="0.3">
      <c r="T8200" s="12"/>
      <c r="U8200" s="4"/>
      <c r="V8200" s="4"/>
      <c r="X8200" s="4"/>
      <c r="Y8200" s="4"/>
    </row>
    <row r="8201" spans="20:25" x14ac:dyDescent="0.3">
      <c r="T8201" s="12"/>
      <c r="U8201" s="4"/>
      <c r="V8201" s="4"/>
      <c r="X8201" s="4"/>
      <c r="Y8201" s="4"/>
    </row>
    <row r="8202" spans="20:25" x14ac:dyDescent="0.3">
      <c r="T8202" s="12"/>
      <c r="U8202" s="4"/>
      <c r="V8202" s="4"/>
      <c r="X8202" s="4"/>
      <c r="Y8202" s="4"/>
    </row>
    <row r="8203" spans="20:25" x14ac:dyDescent="0.3">
      <c r="T8203" s="12"/>
      <c r="U8203" s="4"/>
      <c r="V8203" s="4"/>
      <c r="X8203" s="4"/>
      <c r="Y8203" s="4"/>
    </row>
    <row r="8204" spans="20:25" x14ac:dyDescent="0.3">
      <c r="T8204" s="12"/>
      <c r="U8204" s="4"/>
      <c r="V8204" s="4"/>
      <c r="X8204" s="4"/>
      <c r="Y8204" s="4"/>
    </row>
    <row r="8205" spans="20:25" x14ac:dyDescent="0.3">
      <c r="T8205" s="12"/>
      <c r="U8205" s="4"/>
      <c r="V8205" s="4"/>
      <c r="X8205" s="4"/>
      <c r="Y8205" s="4"/>
    </row>
    <row r="8206" spans="20:25" x14ac:dyDescent="0.3">
      <c r="T8206" s="12"/>
      <c r="U8206" s="4"/>
      <c r="V8206" s="4"/>
      <c r="X8206" s="4"/>
      <c r="Y8206" s="4"/>
    </row>
    <row r="8207" spans="20:25" x14ac:dyDescent="0.3">
      <c r="T8207" s="12"/>
      <c r="U8207" s="4"/>
      <c r="V8207" s="4"/>
      <c r="X8207" s="4"/>
      <c r="Y8207" s="4"/>
    </row>
    <row r="8208" spans="20:25" x14ac:dyDescent="0.3">
      <c r="T8208" s="12"/>
      <c r="U8208" s="4"/>
      <c r="V8208" s="4"/>
      <c r="X8208" s="4"/>
      <c r="Y8208" s="4"/>
    </row>
    <row r="8209" spans="20:25" x14ac:dyDescent="0.3">
      <c r="T8209" s="12"/>
      <c r="U8209" s="4"/>
      <c r="V8209" s="4"/>
      <c r="X8209" s="4"/>
      <c r="Y8209" s="4"/>
    </row>
    <row r="8210" spans="20:25" x14ac:dyDescent="0.3">
      <c r="T8210" s="12"/>
      <c r="U8210" s="4"/>
      <c r="V8210" s="4"/>
      <c r="X8210" s="4"/>
      <c r="Y8210" s="4"/>
    </row>
    <row r="8211" spans="20:25" x14ac:dyDescent="0.3">
      <c r="T8211" s="12"/>
      <c r="U8211" s="4"/>
      <c r="V8211" s="4"/>
      <c r="X8211" s="4"/>
      <c r="Y8211" s="4"/>
    </row>
    <row r="8212" spans="20:25" x14ac:dyDescent="0.3">
      <c r="T8212" s="12"/>
      <c r="U8212" s="4"/>
      <c r="V8212" s="4"/>
      <c r="X8212" s="4"/>
      <c r="Y8212" s="4"/>
    </row>
    <row r="8213" spans="20:25" x14ac:dyDescent="0.3">
      <c r="T8213" s="12"/>
      <c r="U8213" s="4"/>
      <c r="V8213" s="4"/>
      <c r="X8213" s="4"/>
      <c r="Y8213" s="4"/>
    </row>
    <row r="8214" spans="20:25" x14ac:dyDescent="0.3">
      <c r="T8214" s="12"/>
      <c r="U8214" s="4"/>
      <c r="V8214" s="4"/>
      <c r="X8214" s="4"/>
      <c r="Y8214" s="4"/>
    </row>
    <row r="8215" spans="20:25" x14ac:dyDescent="0.3">
      <c r="T8215" s="12"/>
      <c r="U8215" s="4"/>
      <c r="V8215" s="4"/>
      <c r="X8215" s="4"/>
      <c r="Y8215" s="4"/>
    </row>
    <row r="8216" spans="20:25" x14ac:dyDescent="0.3">
      <c r="T8216" s="12"/>
      <c r="U8216" s="4"/>
      <c r="V8216" s="4"/>
      <c r="X8216" s="4"/>
      <c r="Y8216" s="4"/>
    </row>
    <row r="8217" spans="20:25" x14ac:dyDescent="0.3">
      <c r="T8217" s="12"/>
      <c r="U8217" s="4"/>
      <c r="V8217" s="4"/>
      <c r="X8217" s="4"/>
      <c r="Y8217" s="4"/>
    </row>
    <row r="8218" spans="20:25" x14ac:dyDescent="0.3">
      <c r="T8218" s="12"/>
      <c r="U8218" s="4"/>
      <c r="V8218" s="4"/>
      <c r="X8218" s="4"/>
      <c r="Y8218" s="4"/>
    </row>
    <row r="8219" spans="20:25" x14ac:dyDescent="0.3">
      <c r="T8219" s="12"/>
      <c r="U8219" s="4"/>
      <c r="V8219" s="4"/>
      <c r="X8219" s="4"/>
      <c r="Y8219" s="4"/>
    </row>
    <row r="8220" spans="20:25" x14ac:dyDescent="0.3">
      <c r="T8220" s="12"/>
      <c r="U8220" s="4"/>
      <c r="V8220" s="4"/>
      <c r="X8220" s="4"/>
      <c r="Y8220" s="4"/>
    </row>
    <row r="8221" spans="20:25" x14ac:dyDescent="0.3">
      <c r="T8221" s="12"/>
      <c r="U8221" s="4"/>
      <c r="V8221" s="4"/>
      <c r="X8221" s="4"/>
      <c r="Y8221" s="4"/>
    </row>
    <row r="8222" spans="20:25" x14ac:dyDescent="0.3">
      <c r="T8222" s="12"/>
      <c r="U8222" s="4"/>
      <c r="V8222" s="4"/>
      <c r="X8222" s="4"/>
      <c r="Y8222" s="4"/>
    </row>
    <row r="8223" spans="20:25" x14ac:dyDescent="0.3">
      <c r="T8223" s="12"/>
      <c r="U8223" s="4"/>
      <c r="V8223" s="4"/>
      <c r="X8223" s="4"/>
      <c r="Y8223" s="4"/>
    </row>
    <row r="8224" spans="20:25" x14ac:dyDescent="0.3">
      <c r="T8224" s="12"/>
      <c r="U8224" s="4"/>
      <c r="V8224" s="4"/>
      <c r="X8224" s="4"/>
      <c r="Y8224" s="4"/>
    </row>
    <row r="8225" spans="20:25" x14ac:dyDescent="0.3">
      <c r="T8225" s="12"/>
      <c r="U8225" s="4"/>
      <c r="V8225" s="4"/>
      <c r="X8225" s="4"/>
      <c r="Y8225" s="4"/>
    </row>
    <row r="8226" spans="20:25" x14ac:dyDescent="0.3">
      <c r="T8226" s="12"/>
      <c r="U8226" s="4"/>
      <c r="V8226" s="4"/>
      <c r="X8226" s="4"/>
      <c r="Y8226" s="4"/>
    </row>
    <row r="8227" spans="20:25" x14ac:dyDescent="0.3">
      <c r="T8227" s="12"/>
      <c r="U8227" s="4"/>
      <c r="V8227" s="4"/>
      <c r="X8227" s="4"/>
      <c r="Y8227" s="4"/>
    </row>
    <row r="8228" spans="20:25" x14ac:dyDescent="0.3">
      <c r="T8228" s="12"/>
      <c r="U8228" s="4"/>
      <c r="V8228" s="4"/>
      <c r="X8228" s="4"/>
      <c r="Y8228" s="4"/>
    </row>
    <row r="8229" spans="20:25" x14ac:dyDescent="0.3">
      <c r="T8229" s="12"/>
      <c r="U8229" s="4"/>
      <c r="V8229" s="4"/>
      <c r="X8229" s="4"/>
      <c r="Y8229" s="4"/>
    </row>
    <row r="8230" spans="20:25" x14ac:dyDescent="0.3">
      <c r="T8230" s="12"/>
      <c r="U8230" s="4"/>
      <c r="V8230" s="4"/>
      <c r="X8230" s="4"/>
      <c r="Y8230" s="4"/>
    </row>
    <row r="8231" spans="20:25" x14ac:dyDescent="0.3">
      <c r="T8231" s="12"/>
      <c r="U8231" s="4"/>
      <c r="V8231" s="4"/>
      <c r="X8231" s="4"/>
      <c r="Y8231" s="4"/>
    </row>
    <row r="8232" spans="20:25" x14ac:dyDescent="0.3">
      <c r="T8232" s="12"/>
      <c r="U8232" s="4"/>
      <c r="V8232" s="4"/>
      <c r="X8232" s="4"/>
      <c r="Y8232" s="4"/>
    </row>
    <row r="8233" spans="20:25" x14ac:dyDescent="0.3">
      <c r="T8233" s="12"/>
      <c r="U8233" s="4"/>
      <c r="V8233" s="4"/>
      <c r="X8233" s="4"/>
      <c r="Y8233" s="4"/>
    </row>
    <row r="8234" spans="20:25" x14ac:dyDescent="0.3">
      <c r="T8234" s="12"/>
      <c r="U8234" s="4"/>
      <c r="V8234" s="4"/>
      <c r="X8234" s="4"/>
      <c r="Y8234" s="4"/>
    </row>
    <row r="8235" spans="20:25" x14ac:dyDescent="0.3">
      <c r="T8235" s="12"/>
      <c r="U8235" s="4"/>
      <c r="V8235" s="4"/>
      <c r="X8235" s="4"/>
      <c r="Y8235" s="4"/>
    </row>
    <row r="8236" spans="20:25" x14ac:dyDescent="0.3">
      <c r="T8236" s="12"/>
      <c r="U8236" s="4"/>
      <c r="V8236" s="4"/>
      <c r="X8236" s="4"/>
      <c r="Y8236" s="4"/>
    </row>
    <row r="8237" spans="20:25" x14ac:dyDescent="0.3">
      <c r="T8237" s="12"/>
      <c r="U8237" s="4"/>
      <c r="V8237" s="4"/>
      <c r="X8237" s="4"/>
      <c r="Y8237" s="4"/>
    </row>
    <row r="8238" spans="20:25" x14ac:dyDescent="0.3">
      <c r="T8238" s="12"/>
      <c r="U8238" s="4"/>
      <c r="V8238" s="4"/>
      <c r="X8238" s="4"/>
      <c r="Y8238" s="4"/>
    </row>
    <row r="8239" spans="20:25" x14ac:dyDescent="0.3">
      <c r="T8239" s="12"/>
      <c r="U8239" s="4"/>
      <c r="V8239" s="4"/>
      <c r="X8239" s="4"/>
      <c r="Y8239" s="4"/>
    </row>
    <row r="8240" spans="20:25" x14ac:dyDescent="0.3">
      <c r="T8240" s="12"/>
      <c r="U8240" s="4"/>
      <c r="V8240" s="4"/>
      <c r="X8240" s="4"/>
      <c r="Y8240" s="4"/>
    </row>
    <row r="8241" spans="20:25" x14ac:dyDescent="0.3">
      <c r="T8241" s="12"/>
      <c r="U8241" s="4"/>
      <c r="V8241" s="4"/>
      <c r="X8241" s="4"/>
      <c r="Y8241" s="4"/>
    </row>
    <row r="8242" spans="20:25" x14ac:dyDescent="0.3">
      <c r="T8242" s="12"/>
      <c r="U8242" s="4"/>
      <c r="V8242" s="4"/>
      <c r="X8242" s="4"/>
      <c r="Y8242" s="4"/>
    </row>
    <row r="8243" spans="20:25" x14ac:dyDescent="0.3">
      <c r="T8243" s="12"/>
      <c r="U8243" s="4"/>
      <c r="V8243" s="4"/>
      <c r="X8243" s="4"/>
      <c r="Y8243" s="4"/>
    </row>
    <row r="8244" spans="20:25" x14ac:dyDescent="0.3">
      <c r="T8244" s="12"/>
      <c r="U8244" s="4"/>
      <c r="V8244" s="4"/>
      <c r="X8244" s="4"/>
      <c r="Y8244" s="4"/>
    </row>
    <row r="8245" spans="20:25" x14ac:dyDescent="0.3">
      <c r="T8245" s="12"/>
      <c r="U8245" s="4"/>
      <c r="V8245" s="4"/>
      <c r="X8245" s="4"/>
      <c r="Y8245" s="4"/>
    </row>
    <row r="8246" spans="20:25" x14ac:dyDescent="0.3">
      <c r="T8246" s="12"/>
      <c r="U8246" s="4"/>
      <c r="V8246" s="4"/>
      <c r="X8246" s="4"/>
      <c r="Y8246" s="4"/>
    </row>
    <row r="8247" spans="20:25" x14ac:dyDescent="0.3">
      <c r="T8247" s="12"/>
      <c r="U8247" s="4"/>
      <c r="V8247" s="4"/>
      <c r="X8247" s="4"/>
      <c r="Y8247" s="4"/>
    </row>
    <row r="8248" spans="20:25" x14ac:dyDescent="0.3">
      <c r="T8248" s="12"/>
      <c r="U8248" s="4"/>
      <c r="V8248" s="4"/>
      <c r="X8248" s="4"/>
      <c r="Y8248" s="4"/>
    </row>
    <row r="8249" spans="20:25" x14ac:dyDescent="0.3">
      <c r="T8249" s="12"/>
      <c r="U8249" s="4"/>
      <c r="V8249" s="4"/>
      <c r="X8249" s="4"/>
      <c r="Y8249" s="4"/>
    </row>
    <row r="8250" spans="20:25" x14ac:dyDescent="0.3">
      <c r="T8250" s="12"/>
      <c r="U8250" s="4"/>
      <c r="V8250" s="4"/>
      <c r="X8250" s="4"/>
      <c r="Y8250" s="4"/>
    </row>
    <row r="8251" spans="20:25" x14ac:dyDescent="0.3">
      <c r="T8251" s="12"/>
      <c r="U8251" s="4"/>
      <c r="V8251" s="4"/>
      <c r="X8251" s="4"/>
      <c r="Y8251" s="4"/>
    </row>
    <row r="8252" spans="20:25" x14ac:dyDescent="0.3">
      <c r="T8252" s="12"/>
      <c r="U8252" s="4"/>
      <c r="V8252" s="4"/>
      <c r="X8252" s="4"/>
      <c r="Y8252" s="4"/>
    </row>
    <row r="8253" spans="20:25" x14ac:dyDescent="0.3">
      <c r="T8253" s="12"/>
      <c r="U8253" s="4"/>
      <c r="V8253" s="4"/>
      <c r="X8253" s="4"/>
      <c r="Y8253" s="4"/>
    </row>
    <row r="8254" spans="20:25" x14ac:dyDescent="0.3">
      <c r="T8254" s="12"/>
      <c r="U8254" s="4"/>
      <c r="V8254" s="4"/>
      <c r="X8254" s="4"/>
      <c r="Y8254" s="4"/>
    </row>
    <row r="8255" spans="20:25" x14ac:dyDescent="0.3">
      <c r="T8255" s="12"/>
      <c r="U8255" s="4"/>
      <c r="V8255" s="4"/>
      <c r="X8255" s="4"/>
      <c r="Y8255" s="4"/>
    </row>
    <row r="8256" spans="20:25" x14ac:dyDescent="0.3">
      <c r="T8256" s="12"/>
      <c r="U8256" s="4"/>
      <c r="V8256" s="4"/>
      <c r="X8256" s="4"/>
      <c r="Y8256" s="4"/>
    </row>
    <row r="8257" spans="20:25" x14ac:dyDescent="0.3">
      <c r="T8257" s="12"/>
      <c r="U8257" s="4"/>
      <c r="V8257" s="4"/>
      <c r="X8257" s="4"/>
      <c r="Y8257" s="4"/>
    </row>
    <row r="8258" spans="20:25" x14ac:dyDescent="0.3">
      <c r="T8258" s="12"/>
      <c r="U8258" s="4"/>
      <c r="V8258" s="4"/>
      <c r="X8258" s="4"/>
      <c r="Y8258" s="4"/>
    </row>
    <row r="8259" spans="20:25" x14ac:dyDescent="0.3">
      <c r="T8259" s="12"/>
      <c r="U8259" s="4"/>
      <c r="V8259" s="4"/>
      <c r="X8259" s="4"/>
      <c r="Y8259" s="4"/>
    </row>
    <row r="8260" spans="20:25" x14ac:dyDescent="0.3">
      <c r="T8260" s="12"/>
      <c r="U8260" s="4"/>
      <c r="V8260" s="4"/>
      <c r="X8260" s="4"/>
      <c r="Y8260" s="4"/>
    </row>
    <row r="8261" spans="20:25" x14ac:dyDescent="0.3">
      <c r="T8261" s="12"/>
      <c r="U8261" s="4"/>
      <c r="V8261" s="4"/>
      <c r="X8261" s="4"/>
      <c r="Y8261" s="4"/>
    </row>
    <row r="8262" spans="20:25" x14ac:dyDescent="0.3">
      <c r="T8262" s="12"/>
      <c r="U8262" s="4"/>
      <c r="V8262" s="4"/>
      <c r="X8262" s="4"/>
      <c r="Y8262" s="4"/>
    </row>
    <row r="8263" spans="20:25" x14ac:dyDescent="0.3">
      <c r="T8263" s="12"/>
      <c r="U8263" s="4"/>
      <c r="V8263" s="4"/>
      <c r="X8263" s="4"/>
      <c r="Y8263" s="4"/>
    </row>
    <row r="8264" spans="20:25" x14ac:dyDescent="0.3">
      <c r="T8264" s="12"/>
      <c r="U8264" s="4"/>
      <c r="V8264" s="4"/>
      <c r="X8264" s="4"/>
      <c r="Y8264" s="4"/>
    </row>
    <row r="8265" spans="20:25" x14ac:dyDescent="0.3">
      <c r="T8265" s="12"/>
      <c r="U8265" s="4"/>
      <c r="V8265" s="4"/>
      <c r="X8265" s="4"/>
      <c r="Y8265" s="4"/>
    </row>
    <row r="8266" spans="20:25" x14ac:dyDescent="0.3">
      <c r="T8266" s="12"/>
      <c r="U8266" s="4"/>
      <c r="V8266" s="4"/>
      <c r="X8266" s="4"/>
      <c r="Y8266" s="4"/>
    </row>
    <row r="8267" spans="20:25" x14ac:dyDescent="0.3">
      <c r="T8267" s="12"/>
      <c r="U8267" s="4"/>
      <c r="V8267" s="4"/>
      <c r="X8267" s="4"/>
      <c r="Y8267" s="4"/>
    </row>
    <row r="8268" spans="20:25" x14ac:dyDescent="0.3">
      <c r="T8268" s="12"/>
      <c r="U8268" s="4"/>
      <c r="V8268" s="4"/>
      <c r="X8268" s="4"/>
      <c r="Y8268" s="4"/>
    </row>
    <row r="8269" spans="20:25" x14ac:dyDescent="0.3">
      <c r="T8269" s="12"/>
      <c r="U8269" s="4"/>
      <c r="V8269" s="4"/>
      <c r="X8269" s="4"/>
      <c r="Y8269" s="4"/>
    </row>
    <row r="8270" spans="20:25" x14ac:dyDescent="0.3">
      <c r="T8270" s="12"/>
      <c r="U8270" s="4"/>
      <c r="V8270" s="4"/>
      <c r="X8270" s="4"/>
      <c r="Y8270" s="4"/>
    </row>
    <row r="8271" spans="20:25" x14ac:dyDescent="0.3">
      <c r="T8271" s="12"/>
      <c r="U8271" s="4"/>
      <c r="V8271" s="4"/>
      <c r="X8271" s="4"/>
      <c r="Y8271" s="4"/>
    </row>
    <row r="8272" spans="20:25" x14ac:dyDescent="0.3">
      <c r="T8272" s="12"/>
      <c r="U8272" s="4"/>
      <c r="V8272" s="4"/>
      <c r="X8272" s="4"/>
      <c r="Y8272" s="4"/>
    </row>
    <row r="8273" spans="20:25" x14ac:dyDescent="0.3">
      <c r="T8273" s="12"/>
      <c r="U8273" s="4"/>
      <c r="V8273" s="4"/>
      <c r="X8273" s="4"/>
      <c r="Y8273" s="4"/>
    </row>
    <row r="8274" spans="20:25" x14ac:dyDescent="0.3">
      <c r="T8274" s="12"/>
      <c r="U8274" s="4"/>
      <c r="V8274" s="4"/>
      <c r="X8274" s="4"/>
      <c r="Y8274" s="4"/>
    </row>
    <row r="8275" spans="20:25" x14ac:dyDescent="0.3">
      <c r="T8275" s="12"/>
      <c r="U8275" s="4"/>
      <c r="V8275" s="4"/>
      <c r="X8275" s="4"/>
      <c r="Y8275" s="4"/>
    </row>
    <row r="8276" spans="20:25" x14ac:dyDescent="0.3">
      <c r="T8276" s="12"/>
      <c r="U8276" s="4"/>
      <c r="V8276" s="4"/>
      <c r="X8276" s="4"/>
      <c r="Y8276" s="4"/>
    </row>
    <row r="8277" spans="20:25" x14ac:dyDescent="0.3">
      <c r="T8277" s="12"/>
      <c r="U8277" s="4"/>
      <c r="V8277" s="4"/>
      <c r="X8277" s="4"/>
      <c r="Y8277" s="4"/>
    </row>
    <row r="8278" spans="20:25" x14ac:dyDescent="0.3">
      <c r="T8278" s="12"/>
      <c r="U8278" s="4"/>
      <c r="V8278" s="4"/>
      <c r="X8278" s="4"/>
      <c r="Y8278" s="4"/>
    </row>
    <row r="8279" spans="20:25" x14ac:dyDescent="0.3">
      <c r="T8279" s="12"/>
      <c r="U8279" s="4"/>
      <c r="V8279" s="4"/>
      <c r="X8279" s="4"/>
      <c r="Y8279" s="4"/>
    </row>
    <row r="8280" spans="20:25" x14ac:dyDescent="0.3">
      <c r="T8280" s="12"/>
      <c r="U8280" s="4"/>
      <c r="V8280" s="4"/>
      <c r="X8280" s="4"/>
      <c r="Y8280" s="4"/>
    </row>
    <row r="8281" spans="20:25" x14ac:dyDescent="0.3">
      <c r="T8281" s="12"/>
      <c r="U8281" s="4"/>
      <c r="V8281" s="4"/>
      <c r="X8281" s="4"/>
      <c r="Y8281" s="4"/>
    </row>
    <row r="8282" spans="20:25" x14ac:dyDescent="0.3">
      <c r="T8282" s="12"/>
      <c r="U8282" s="4"/>
      <c r="V8282" s="4"/>
      <c r="X8282" s="4"/>
      <c r="Y8282" s="4"/>
    </row>
    <row r="8283" spans="20:25" x14ac:dyDescent="0.3">
      <c r="T8283" s="12"/>
      <c r="U8283" s="4"/>
      <c r="V8283" s="4"/>
      <c r="X8283" s="4"/>
      <c r="Y8283" s="4"/>
    </row>
    <row r="8284" spans="20:25" x14ac:dyDescent="0.3">
      <c r="T8284" s="12"/>
      <c r="U8284" s="4"/>
      <c r="V8284" s="4"/>
      <c r="X8284" s="4"/>
      <c r="Y8284" s="4"/>
    </row>
    <row r="8285" spans="20:25" x14ac:dyDescent="0.3">
      <c r="T8285" s="12"/>
      <c r="U8285" s="4"/>
      <c r="V8285" s="4"/>
      <c r="X8285" s="4"/>
      <c r="Y8285" s="4"/>
    </row>
    <row r="8286" spans="20:25" x14ac:dyDescent="0.3">
      <c r="T8286" s="12"/>
      <c r="U8286" s="4"/>
      <c r="V8286" s="4"/>
      <c r="X8286" s="4"/>
      <c r="Y8286" s="4"/>
    </row>
    <row r="8287" spans="20:25" x14ac:dyDescent="0.3">
      <c r="T8287" s="12"/>
      <c r="U8287" s="4"/>
      <c r="V8287" s="4"/>
      <c r="X8287" s="4"/>
      <c r="Y8287" s="4"/>
    </row>
    <row r="8288" spans="20:25" x14ac:dyDescent="0.3">
      <c r="T8288" s="12"/>
      <c r="U8288" s="4"/>
      <c r="V8288" s="4"/>
      <c r="X8288" s="4"/>
      <c r="Y8288" s="4"/>
    </row>
    <row r="8289" spans="20:25" x14ac:dyDescent="0.3">
      <c r="T8289" s="12"/>
      <c r="U8289" s="4"/>
      <c r="V8289" s="4"/>
      <c r="X8289" s="4"/>
      <c r="Y8289" s="4"/>
    </row>
    <row r="8290" spans="20:25" x14ac:dyDescent="0.3">
      <c r="T8290" s="12"/>
      <c r="U8290" s="4"/>
      <c r="V8290" s="4"/>
      <c r="X8290" s="4"/>
      <c r="Y8290" s="4"/>
    </row>
    <row r="8291" spans="20:25" x14ac:dyDescent="0.3">
      <c r="T8291" s="12"/>
      <c r="U8291" s="4"/>
      <c r="V8291" s="4"/>
      <c r="X8291" s="4"/>
      <c r="Y8291" s="4"/>
    </row>
    <row r="8292" spans="20:25" x14ac:dyDescent="0.3">
      <c r="T8292" s="12"/>
      <c r="U8292" s="4"/>
      <c r="V8292" s="4"/>
      <c r="X8292" s="4"/>
      <c r="Y8292" s="4"/>
    </row>
    <row r="8293" spans="20:25" x14ac:dyDescent="0.3">
      <c r="T8293" s="12"/>
      <c r="U8293" s="4"/>
      <c r="V8293" s="4"/>
      <c r="X8293" s="4"/>
      <c r="Y8293" s="4"/>
    </row>
    <row r="8294" spans="20:25" x14ac:dyDescent="0.3">
      <c r="T8294" s="12"/>
      <c r="U8294" s="4"/>
      <c r="V8294" s="4"/>
      <c r="X8294" s="4"/>
      <c r="Y8294" s="4"/>
    </row>
    <row r="8295" spans="20:25" x14ac:dyDescent="0.3">
      <c r="T8295" s="12"/>
      <c r="U8295" s="4"/>
      <c r="V8295" s="4"/>
      <c r="X8295" s="4"/>
      <c r="Y8295" s="4"/>
    </row>
    <row r="8296" spans="20:25" x14ac:dyDescent="0.3">
      <c r="T8296" s="12"/>
      <c r="U8296" s="4"/>
      <c r="V8296" s="4"/>
      <c r="X8296" s="4"/>
      <c r="Y8296" s="4"/>
    </row>
    <row r="8297" spans="20:25" x14ac:dyDescent="0.3">
      <c r="T8297" s="12"/>
      <c r="U8297" s="4"/>
      <c r="V8297" s="4"/>
      <c r="X8297" s="4"/>
      <c r="Y8297" s="4"/>
    </row>
    <row r="8298" spans="20:25" x14ac:dyDescent="0.3">
      <c r="T8298" s="12"/>
      <c r="U8298" s="4"/>
      <c r="V8298" s="4"/>
      <c r="X8298" s="4"/>
      <c r="Y8298" s="4"/>
    </row>
    <row r="8299" spans="20:25" x14ac:dyDescent="0.3">
      <c r="T8299" s="12"/>
      <c r="U8299" s="4"/>
      <c r="V8299" s="4"/>
      <c r="X8299" s="4"/>
      <c r="Y8299" s="4"/>
    </row>
    <row r="8300" spans="20:25" x14ac:dyDescent="0.3">
      <c r="T8300" s="12"/>
      <c r="U8300" s="4"/>
      <c r="V8300" s="4"/>
      <c r="X8300" s="4"/>
      <c r="Y8300" s="4"/>
    </row>
    <row r="8301" spans="20:25" x14ac:dyDescent="0.3">
      <c r="T8301" s="12"/>
      <c r="U8301" s="4"/>
      <c r="V8301" s="4"/>
      <c r="X8301" s="4"/>
      <c r="Y8301" s="4"/>
    </row>
    <row r="8302" spans="20:25" x14ac:dyDescent="0.3">
      <c r="T8302" s="12"/>
      <c r="U8302" s="4"/>
      <c r="V8302" s="4"/>
      <c r="X8302" s="4"/>
      <c r="Y8302" s="4"/>
    </row>
    <row r="8303" spans="20:25" x14ac:dyDescent="0.3">
      <c r="T8303" s="12"/>
      <c r="U8303" s="4"/>
      <c r="V8303" s="4"/>
      <c r="X8303" s="4"/>
      <c r="Y8303" s="4"/>
    </row>
    <row r="8304" spans="20:25" x14ac:dyDescent="0.3">
      <c r="T8304" s="12"/>
      <c r="U8304" s="4"/>
      <c r="V8304" s="4"/>
      <c r="X8304" s="4"/>
      <c r="Y8304" s="4"/>
    </row>
    <row r="8305" spans="20:25" x14ac:dyDescent="0.3">
      <c r="T8305" s="12"/>
      <c r="U8305" s="4"/>
      <c r="V8305" s="4"/>
      <c r="X8305" s="4"/>
      <c r="Y8305" s="4"/>
    </row>
    <row r="8306" spans="20:25" x14ac:dyDescent="0.3">
      <c r="T8306" s="12"/>
      <c r="U8306" s="4"/>
      <c r="V8306" s="4"/>
      <c r="X8306" s="4"/>
      <c r="Y8306" s="4"/>
    </row>
    <row r="8307" spans="20:25" x14ac:dyDescent="0.3">
      <c r="T8307" s="12"/>
      <c r="U8307" s="4"/>
      <c r="V8307" s="4"/>
      <c r="X8307" s="4"/>
      <c r="Y8307" s="4"/>
    </row>
    <row r="8308" spans="20:25" x14ac:dyDescent="0.3">
      <c r="T8308" s="12"/>
      <c r="U8308" s="4"/>
      <c r="V8308" s="4"/>
      <c r="X8308" s="4"/>
      <c r="Y8308" s="4"/>
    </row>
    <row r="8309" spans="20:25" x14ac:dyDescent="0.3">
      <c r="T8309" s="12"/>
      <c r="U8309" s="4"/>
      <c r="V8309" s="4"/>
      <c r="X8309" s="4"/>
      <c r="Y8309" s="4"/>
    </row>
    <row r="8310" spans="20:25" x14ac:dyDescent="0.3">
      <c r="T8310" s="12"/>
      <c r="U8310" s="4"/>
      <c r="V8310" s="4"/>
      <c r="X8310" s="4"/>
      <c r="Y8310" s="4"/>
    </row>
    <row r="8311" spans="20:25" x14ac:dyDescent="0.3">
      <c r="T8311" s="12"/>
      <c r="U8311" s="4"/>
      <c r="V8311" s="4"/>
      <c r="X8311" s="4"/>
      <c r="Y8311" s="4"/>
    </row>
    <row r="8312" spans="20:25" x14ac:dyDescent="0.3">
      <c r="T8312" s="12"/>
      <c r="U8312" s="4"/>
      <c r="V8312" s="4"/>
      <c r="X8312" s="4"/>
      <c r="Y8312" s="4"/>
    </row>
    <row r="8313" spans="20:25" x14ac:dyDescent="0.3">
      <c r="T8313" s="12"/>
      <c r="U8313" s="4"/>
      <c r="V8313" s="4"/>
      <c r="X8313" s="4"/>
      <c r="Y8313" s="4"/>
    </row>
    <row r="8314" spans="20:25" x14ac:dyDescent="0.3">
      <c r="T8314" s="12"/>
      <c r="U8314" s="4"/>
      <c r="V8314" s="4"/>
      <c r="X8314" s="4"/>
      <c r="Y8314" s="4"/>
    </row>
    <row r="8315" spans="20:25" x14ac:dyDescent="0.3">
      <c r="T8315" s="12"/>
      <c r="U8315" s="4"/>
      <c r="V8315" s="4"/>
      <c r="X8315" s="4"/>
      <c r="Y8315" s="4"/>
    </row>
    <row r="8316" spans="20:25" x14ac:dyDescent="0.3">
      <c r="T8316" s="12"/>
      <c r="U8316" s="4"/>
      <c r="V8316" s="4"/>
      <c r="X8316" s="4"/>
      <c r="Y8316" s="4"/>
    </row>
    <row r="8317" spans="20:25" x14ac:dyDescent="0.3">
      <c r="T8317" s="12"/>
      <c r="U8317" s="4"/>
      <c r="V8317" s="4"/>
      <c r="X8317" s="4"/>
      <c r="Y8317" s="4"/>
    </row>
    <row r="8318" spans="20:25" x14ac:dyDescent="0.3">
      <c r="T8318" s="12"/>
      <c r="U8318" s="4"/>
      <c r="V8318" s="4"/>
      <c r="X8318" s="4"/>
      <c r="Y8318" s="4"/>
    </row>
    <row r="8319" spans="20:25" x14ac:dyDescent="0.3">
      <c r="T8319" s="12"/>
      <c r="U8319" s="4"/>
      <c r="V8319" s="4"/>
      <c r="X8319" s="4"/>
      <c r="Y8319" s="4"/>
    </row>
    <row r="8320" spans="20:25" x14ac:dyDescent="0.3">
      <c r="T8320" s="12"/>
      <c r="U8320" s="4"/>
      <c r="V8320" s="4"/>
      <c r="X8320" s="4"/>
      <c r="Y8320" s="4"/>
    </row>
    <row r="8321" spans="20:25" x14ac:dyDescent="0.3">
      <c r="T8321" s="12"/>
      <c r="U8321" s="4"/>
      <c r="V8321" s="4"/>
      <c r="X8321" s="4"/>
      <c r="Y8321" s="4"/>
    </row>
    <row r="8322" spans="20:25" x14ac:dyDescent="0.3">
      <c r="T8322" s="12"/>
      <c r="U8322" s="4"/>
      <c r="V8322" s="4"/>
      <c r="X8322" s="4"/>
      <c r="Y8322" s="4"/>
    </row>
    <row r="8323" spans="20:25" x14ac:dyDescent="0.3">
      <c r="T8323" s="12"/>
      <c r="U8323" s="4"/>
      <c r="V8323" s="4"/>
      <c r="X8323" s="4"/>
      <c r="Y8323" s="4"/>
    </row>
    <row r="8324" spans="20:25" x14ac:dyDescent="0.3">
      <c r="T8324" s="12"/>
      <c r="U8324" s="4"/>
      <c r="V8324" s="4"/>
      <c r="X8324" s="4"/>
      <c r="Y8324" s="4"/>
    </row>
    <row r="8325" spans="20:25" x14ac:dyDescent="0.3">
      <c r="T8325" s="12"/>
      <c r="U8325" s="4"/>
      <c r="V8325" s="4"/>
      <c r="X8325" s="4"/>
      <c r="Y8325" s="4"/>
    </row>
    <row r="8326" spans="20:25" x14ac:dyDescent="0.3">
      <c r="T8326" s="12"/>
      <c r="U8326" s="4"/>
      <c r="V8326" s="4"/>
      <c r="X8326" s="4"/>
      <c r="Y8326" s="4"/>
    </row>
    <row r="8327" spans="20:25" x14ac:dyDescent="0.3">
      <c r="T8327" s="12"/>
      <c r="U8327" s="4"/>
      <c r="V8327" s="4"/>
      <c r="X8327" s="4"/>
      <c r="Y8327" s="4"/>
    </row>
    <row r="8328" spans="20:25" x14ac:dyDescent="0.3">
      <c r="T8328" s="12"/>
      <c r="U8328" s="4"/>
      <c r="V8328" s="4"/>
      <c r="X8328" s="4"/>
      <c r="Y8328" s="4"/>
    </row>
    <row r="8329" spans="20:25" x14ac:dyDescent="0.3">
      <c r="T8329" s="12"/>
      <c r="U8329" s="4"/>
      <c r="V8329" s="4"/>
      <c r="X8329" s="4"/>
      <c r="Y8329" s="4"/>
    </row>
    <row r="8330" spans="20:25" x14ac:dyDescent="0.3">
      <c r="T8330" s="12"/>
      <c r="U8330" s="4"/>
      <c r="V8330" s="4"/>
      <c r="X8330" s="4"/>
      <c r="Y8330" s="4"/>
    </row>
    <row r="8331" spans="20:25" x14ac:dyDescent="0.3">
      <c r="T8331" s="12"/>
      <c r="U8331" s="4"/>
      <c r="V8331" s="4"/>
      <c r="X8331" s="4"/>
      <c r="Y8331" s="4"/>
    </row>
    <row r="8332" spans="20:25" x14ac:dyDescent="0.3">
      <c r="T8332" s="12"/>
      <c r="U8332" s="4"/>
      <c r="V8332" s="4"/>
      <c r="X8332" s="4"/>
      <c r="Y8332" s="4"/>
    </row>
    <row r="8333" spans="20:25" x14ac:dyDescent="0.3">
      <c r="T8333" s="12"/>
      <c r="U8333" s="4"/>
      <c r="V8333" s="4"/>
      <c r="X8333" s="4"/>
      <c r="Y8333" s="4"/>
    </row>
    <row r="8334" spans="20:25" x14ac:dyDescent="0.3">
      <c r="T8334" s="12"/>
      <c r="U8334" s="4"/>
      <c r="V8334" s="4"/>
      <c r="X8334" s="4"/>
      <c r="Y8334" s="4"/>
    </row>
    <row r="8335" spans="20:25" x14ac:dyDescent="0.3">
      <c r="T8335" s="12"/>
      <c r="U8335" s="4"/>
      <c r="V8335" s="4"/>
      <c r="X8335" s="4"/>
      <c r="Y8335" s="4"/>
    </row>
    <row r="8336" spans="20:25" x14ac:dyDescent="0.3">
      <c r="T8336" s="12"/>
      <c r="U8336" s="4"/>
      <c r="V8336" s="4"/>
      <c r="X8336" s="4"/>
      <c r="Y8336" s="4"/>
    </row>
    <row r="8337" spans="20:25" x14ac:dyDescent="0.3">
      <c r="T8337" s="12"/>
      <c r="U8337" s="4"/>
      <c r="V8337" s="4"/>
      <c r="X8337" s="4"/>
      <c r="Y8337" s="4"/>
    </row>
    <row r="8338" spans="20:25" x14ac:dyDescent="0.3">
      <c r="T8338" s="12"/>
      <c r="U8338" s="4"/>
      <c r="V8338" s="4"/>
      <c r="X8338" s="4"/>
      <c r="Y8338" s="4"/>
    </row>
    <row r="8339" spans="20:25" x14ac:dyDescent="0.3">
      <c r="T8339" s="12"/>
      <c r="U8339" s="4"/>
      <c r="V8339" s="4"/>
      <c r="X8339" s="4"/>
      <c r="Y8339" s="4"/>
    </row>
    <row r="8340" spans="20:25" x14ac:dyDescent="0.3">
      <c r="T8340" s="12"/>
      <c r="U8340" s="4"/>
      <c r="V8340" s="4"/>
      <c r="X8340" s="4"/>
      <c r="Y8340" s="4"/>
    </row>
    <row r="8341" spans="20:25" x14ac:dyDescent="0.3">
      <c r="T8341" s="12"/>
      <c r="U8341" s="4"/>
      <c r="V8341" s="4"/>
      <c r="X8341" s="4"/>
      <c r="Y8341" s="4"/>
    </row>
    <row r="8342" spans="20:25" x14ac:dyDescent="0.3">
      <c r="T8342" s="12"/>
      <c r="U8342" s="4"/>
      <c r="V8342" s="4"/>
      <c r="X8342" s="4"/>
      <c r="Y8342" s="4"/>
    </row>
    <row r="8343" spans="20:25" x14ac:dyDescent="0.3">
      <c r="T8343" s="12"/>
      <c r="U8343" s="4"/>
      <c r="V8343" s="4"/>
      <c r="X8343" s="4"/>
      <c r="Y8343" s="4"/>
    </row>
    <row r="8344" spans="20:25" x14ac:dyDescent="0.3">
      <c r="T8344" s="12"/>
      <c r="U8344" s="4"/>
      <c r="V8344" s="4"/>
      <c r="X8344" s="4"/>
      <c r="Y8344" s="4"/>
    </row>
    <row r="8345" spans="20:25" x14ac:dyDescent="0.3">
      <c r="T8345" s="12"/>
      <c r="U8345" s="4"/>
      <c r="V8345" s="4"/>
      <c r="X8345" s="4"/>
      <c r="Y8345" s="4"/>
    </row>
    <row r="8346" spans="20:25" x14ac:dyDescent="0.3">
      <c r="T8346" s="12"/>
      <c r="U8346" s="4"/>
      <c r="V8346" s="4"/>
      <c r="X8346" s="4"/>
      <c r="Y8346" s="4"/>
    </row>
    <row r="8347" spans="20:25" x14ac:dyDescent="0.3">
      <c r="T8347" s="12"/>
      <c r="U8347" s="4"/>
      <c r="V8347" s="4"/>
      <c r="X8347" s="4"/>
      <c r="Y8347" s="4"/>
    </row>
    <row r="8348" spans="20:25" x14ac:dyDescent="0.3">
      <c r="T8348" s="12"/>
      <c r="U8348" s="4"/>
      <c r="V8348" s="4"/>
      <c r="X8348" s="4"/>
      <c r="Y8348" s="4"/>
    </row>
    <row r="8349" spans="20:25" x14ac:dyDescent="0.3">
      <c r="T8349" s="12"/>
      <c r="U8349" s="4"/>
      <c r="V8349" s="4"/>
      <c r="X8349" s="4"/>
      <c r="Y8349" s="4"/>
    </row>
    <row r="8350" spans="20:25" x14ac:dyDescent="0.3">
      <c r="T8350" s="12"/>
      <c r="U8350" s="4"/>
      <c r="V8350" s="4"/>
      <c r="X8350" s="4"/>
      <c r="Y8350" s="4"/>
    </row>
    <row r="8351" spans="20:25" x14ac:dyDescent="0.3">
      <c r="T8351" s="12"/>
      <c r="U8351" s="4"/>
      <c r="V8351" s="4"/>
      <c r="X8351" s="4"/>
      <c r="Y8351" s="4"/>
    </row>
    <row r="8352" spans="20:25" x14ac:dyDescent="0.3">
      <c r="T8352" s="12"/>
      <c r="U8352" s="4"/>
      <c r="V8352" s="4"/>
      <c r="X8352" s="4"/>
      <c r="Y8352" s="4"/>
    </row>
    <row r="8353" spans="20:25" x14ac:dyDescent="0.3">
      <c r="T8353" s="12"/>
      <c r="U8353" s="4"/>
      <c r="V8353" s="4"/>
      <c r="X8353" s="4"/>
      <c r="Y8353" s="4"/>
    </row>
    <row r="8354" spans="20:25" x14ac:dyDescent="0.3">
      <c r="T8354" s="12"/>
      <c r="U8354" s="4"/>
      <c r="V8354" s="4"/>
      <c r="X8354" s="4"/>
      <c r="Y8354" s="4"/>
    </row>
    <row r="8355" spans="20:25" x14ac:dyDescent="0.3">
      <c r="T8355" s="12"/>
      <c r="U8355" s="4"/>
      <c r="V8355" s="4"/>
      <c r="X8355" s="4"/>
      <c r="Y8355" s="4"/>
    </row>
    <row r="8356" spans="20:25" x14ac:dyDescent="0.3">
      <c r="T8356" s="12"/>
      <c r="U8356" s="4"/>
      <c r="V8356" s="4"/>
      <c r="X8356" s="4"/>
      <c r="Y8356" s="4"/>
    </row>
    <row r="8357" spans="20:25" x14ac:dyDescent="0.3">
      <c r="T8357" s="12"/>
      <c r="U8357" s="4"/>
      <c r="V8357" s="4"/>
      <c r="X8357" s="4"/>
      <c r="Y8357" s="4"/>
    </row>
    <row r="8358" spans="20:25" x14ac:dyDescent="0.3">
      <c r="T8358" s="12"/>
      <c r="U8358" s="4"/>
      <c r="V8358" s="4"/>
      <c r="X8358" s="4"/>
      <c r="Y8358" s="4"/>
    </row>
    <row r="8359" spans="20:25" x14ac:dyDescent="0.3">
      <c r="T8359" s="12"/>
      <c r="U8359" s="4"/>
      <c r="V8359" s="4"/>
      <c r="X8359" s="4"/>
      <c r="Y8359" s="4"/>
    </row>
    <row r="8360" spans="20:25" x14ac:dyDescent="0.3">
      <c r="T8360" s="12"/>
      <c r="U8360" s="4"/>
      <c r="V8360" s="4"/>
      <c r="X8360" s="4"/>
      <c r="Y8360" s="4"/>
    </row>
    <row r="8361" spans="20:25" x14ac:dyDescent="0.3">
      <c r="T8361" s="12"/>
      <c r="U8361" s="4"/>
      <c r="V8361" s="4"/>
      <c r="X8361" s="4"/>
      <c r="Y8361" s="4"/>
    </row>
    <row r="8362" spans="20:25" x14ac:dyDescent="0.3">
      <c r="T8362" s="12"/>
      <c r="U8362" s="4"/>
      <c r="V8362" s="4"/>
      <c r="X8362" s="4"/>
      <c r="Y8362" s="4"/>
    </row>
    <row r="8363" spans="20:25" x14ac:dyDescent="0.3">
      <c r="T8363" s="12"/>
      <c r="U8363" s="4"/>
      <c r="V8363" s="4"/>
      <c r="X8363" s="4"/>
      <c r="Y8363" s="4"/>
    </row>
    <row r="8364" spans="20:25" x14ac:dyDescent="0.3">
      <c r="T8364" s="12"/>
      <c r="U8364" s="4"/>
      <c r="V8364" s="4"/>
      <c r="X8364" s="4"/>
      <c r="Y8364" s="4"/>
    </row>
    <row r="8365" spans="20:25" x14ac:dyDescent="0.3">
      <c r="T8365" s="12"/>
      <c r="U8365" s="4"/>
      <c r="V8365" s="4"/>
      <c r="X8365" s="4"/>
      <c r="Y8365" s="4"/>
    </row>
    <row r="8366" spans="20:25" x14ac:dyDescent="0.3">
      <c r="T8366" s="12"/>
      <c r="U8366" s="4"/>
      <c r="V8366" s="4"/>
      <c r="X8366" s="4"/>
      <c r="Y8366" s="4"/>
    </row>
    <row r="8367" spans="20:25" x14ac:dyDescent="0.3">
      <c r="T8367" s="12"/>
      <c r="U8367" s="4"/>
      <c r="V8367" s="4"/>
      <c r="X8367" s="4"/>
      <c r="Y8367" s="4"/>
    </row>
    <row r="8368" spans="20:25" x14ac:dyDescent="0.3">
      <c r="T8368" s="12"/>
      <c r="U8368" s="4"/>
      <c r="V8368" s="4"/>
      <c r="X8368" s="4"/>
      <c r="Y8368" s="4"/>
    </row>
    <row r="8369" spans="20:25" x14ac:dyDescent="0.3">
      <c r="T8369" s="12"/>
      <c r="U8369" s="4"/>
      <c r="V8369" s="4"/>
      <c r="X8369" s="4"/>
      <c r="Y8369" s="4"/>
    </row>
    <row r="8370" spans="20:25" x14ac:dyDescent="0.3">
      <c r="T8370" s="12"/>
      <c r="U8370" s="4"/>
      <c r="V8370" s="4"/>
      <c r="X8370" s="4"/>
      <c r="Y8370" s="4"/>
    </row>
    <row r="8371" spans="20:25" x14ac:dyDescent="0.3">
      <c r="T8371" s="12"/>
      <c r="U8371" s="4"/>
      <c r="V8371" s="4"/>
      <c r="X8371" s="4"/>
      <c r="Y8371" s="4"/>
    </row>
    <row r="8372" spans="20:25" x14ac:dyDescent="0.3">
      <c r="T8372" s="12"/>
      <c r="U8372" s="4"/>
      <c r="V8372" s="4"/>
      <c r="X8372" s="4"/>
      <c r="Y8372" s="4"/>
    </row>
    <row r="8373" spans="20:25" x14ac:dyDescent="0.3">
      <c r="T8373" s="12"/>
      <c r="U8373" s="4"/>
      <c r="V8373" s="4"/>
      <c r="X8373" s="4"/>
      <c r="Y8373" s="4"/>
    </row>
    <row r="8374" spans="20:25" x14ac:dyDescent="0.3">
      <c r="T8374" s="12"/>
      <c r="U8374" s="4"/>
      <c r="V8374" s="4"/>
      <c r="X8374" s="4"/>
      <c r="Y8374" s="4"/>
    </row>
    <row r="8375" spans="20:25" x14ac:dyDescent="0.3">
      <c r="T8375" s="12"/>
      <c r="U8375" s="4"/>
      <c r="V8375" s="4"/>
      <c r="X8375" s="4"/>
      <c r="Y8375" s="4"/>
    </row>
    <row r="8376" spans="20:25" x14ac:dyDescent="0.3">
      <c r="T8376" s="12"/>
      <c r="U8376" s="4"/>
      <c r="V8376" s="4"/>
      <c r="X8376" s="4"/>
      <c r="Y8376" s="4"/>
    </row>
    <row r="8377" spans="20:25" x14ac:dyDescent="0.3">
      <c r="T8377" s="12"/>
      <c r="U8377" s="4"/>
      <c r="V8377" s="4"/>
      <c r="X8377" s="4"/>
      <c r="Y8377" s="4"/>
    </row>
    <row r="8378" spans="20:25" x14ac:dyDescent="0.3">
      <c r="T8378" s="12"/>
      <c r="U8378" s="4"/>
      <c r="V8378" s="4"/>
      <c r="X8378" s="4"/>
      <c r="Y8378" s="4"/>
    </row>
    <row r="8379" spans="20:25" x14ac:dyDescent="0.3">
      <c r="T8379" s="12"/>
      <c r="U8379" s="4"/>
      <c r="V8379" s="4"/>
      <c r="X8379" s="4"/>
      <c r="Y8379" s="4"/>
    </row>
    <row r="8380" spans="20:25" x14ac:dyDescent="0.3">
      <c r="T8380" s="12"/>
      <c r="U8380" s="4"/>
      <c r="V8380" s="4"/>
      <c r="X8380" s="4"/>
      <c r="Y8380" s="4"/>
    </row>
    <row r="8381" spans="20:25" x14ac:dyDescent="0.3">
      <c r="T8381" s="12"/>
      <c r="U8381" s="4"/>
      <c r="V8381" s="4"/>
      <c r="X8381" s="4"/>
      <c r="Y8381" s="4"/>
    </row>
    <row r="8382" spans="20:25" x14ac:dyDescent="0.3">
      <c r="T8382" s="12"/>
      <c r="U8382" s="4"/>
      <c r="V8382" s="4"/>
      <c r="X8382" s="4"/>
      <c r="Y8382" s="4"/>
    </row>
    <row r="8383" spans="20:25" x14ac:dyDescent="0.3">
      <c r="T8383" s="12"/>
      <c r="U8383" s="4"/>
      <c r="V8383" s="4"/>
      <c r="X8383" s="4"/>
      <c r="Y8383" s="4"/>
    </row>
    <row r="8384" spans="20:25" x14ac:dyDescent="0.3">
      <c r="T8384" s="12"/>
      <c r="U8384" s="4"/>
      <c r="V8384" s="4"/>
      <c r="X8384" s="4"/>
      <c r="Y8384" s="4"/>
    </row>
    <row r="8385" spans="20:25" x14ac:dyDescent="0.3">
      <c r="T8385" s="12"/>
      <c r="U8385" s="4"/>
      <c r="V8385" s="4"/>
      <c r="X8385" s="4"/>
      <c r="Y8385" s="4"/>
    </row>
    <row r="8386" spans="20:25" x14ac:dyDescent="0.3">
      <c r="T8386" s="12"/>
      <c r="U8386" s="4"/>
      <c r="V8386" s="4"/>
      <c r="X8386" s="4"/>
      <c r="Y8386" s="4"/>
    </row>
    <row r="8387" spans="20:25" x14ac:dyDescent="0.3">
      <c r="T8387" s="12"/>
      <c r="U8387" s="4"/>
      <c r="V8387" s="4"/>
      <c r="X8387" s="4"/>
      <c r="Y8387" s="4"/>
    </row>
    <row r="8388" spans="20:25" x14ac:dyDescent="0.3">
      <c r="T8388" s="12"/>
      <c r="U8388" s="4"/>
      <c r="V8388" s="4"/>
      <c r="X8388" s="4"/>
      <c r="Y8388" s="4"/>
    </row>
    <row r="8389" spans="20:25" x14ac:dyDescent="0.3">
      <c r="T8389" s="12"/>
      <c r="U8389" s="4"/>
      <c r="V8389" s="4"/>
      <c r="X8389" s="4"/>
      <c r="Y8389" s="4"/>
    </row>
    <row r="8390" spans="20:25" x14ac:dyDescent="0.3">
      <c r="T8390" s="12"/>
      <c r="U8390" s="4"/>
      <c r="V8390" s="4"/>
      <c r="X8390" s="4"/>
      <c r="Y8390" s="4"/>
    </row>
    <row r="8391" spans="20:25" x14ac:dyDescent="0.3">
      <c r="T8391" s="12"/>
      <c r="U8391" s="4"/>
      <c r="V8391" s="4"/>
      <c r="X8391" s="4"/>
      <c r="Y8391" s="4"/>
    </row>
    <row r="8392" spans="20:25" x14ac:dyDescent="0.3">
      <c r="T8392" s="12"/>
      <c r="U8392" s="4"/>
      <c r="V8392" s="4"/>
      <c r="X8392" s="4"/>
      <c r="Y8392" s="4"/>
    </row>
    <row r="8393" spans="20:25" x14ac:dyDescent="0.3">
      <c r="T8393" s="12"/>
      <c r="U8393" s="4"/>
      <c r="V8393" s="4"/>
      <c r="X8393" s="4"/>
      <c r="Y8393" s="4"/>
    </row>
    <row r="8394" spans="20:25" x14ac:dyDescent="0.3">
      <c r="T8394" s="12"/>
      <c r="U8394" s="4"/>
      <c r="V8394" s="4"/>
      <c r="X8394" s="4"/>
      <c r="Y8394" s="4"/>
    </row>
    <row r="8395" spans="20:25" x14ac:dyDescent="0.3">
      <c r="T8395" s="12"/>
      <c r="U8395" s="4"/>
      <c r="V8395" s="4"/>
      <c r="X8395" s="4"/>
      <c r="Y8395" s="4"/>
    </row>
    <row r="8396" spans="20:25" x14ac:dyDescent="0.3">
      <c r="T8396" s="12"/>
      <c r="U8396" s="4"/>
      <c r="V8396" s="4"/>
      <c r="X8396" s="4"/>
      <c r="Y8396" s="4"/>
    </row>
    <row r="8397" spans="20:25" x14ac:dyDescent="0.3">
      <c r="T8397" s="12"/>
      <c r="U8397" s="4"/>
      <c r="V8397" s="4"/>
      <c r="X8397" s="4"/>
      <c r="Y8397" s="4"/>
    </row>
    <row r="8398" spans="20:25" x14ac:dyDescent="0.3">
      <c r="T8398" s="12"/>
      <c r="U8398" s="4"/>
      <c r="V8398" s="4"/>
      <c r="X8398" s="4"/>
      <c r="Y8398" s="4"/>
    </row>
    <row r="8399" spans="20:25" x14ac:dyDescent="0.3">
      <c r="T8399" s="12"/>
      <c r="U8399" s="4"/>
      <c r="V8399" s="4"/>
      <c r="X8399" s="4"/>
      <c r="Y8399" s="4"/>
    </row>
    <row r="8400" spans="20:25" x14ac:dyDescent="0.3">
      <c r="T8400" s="12"/>
      <c r="U8400" s="4"/>
      <c r="V8400" s="4"/>
      <c r="X8400" s="4"/>
      <c r="Y8400" s="4"/>
    </row>
    <row r="8401" spans="20:25" x14ac:dyDescent="0.3">
      <c r="T8401" s="12"/>
      <c r="U8401" s="4"/>
      <c r="V8401" s="4"/>
      <c r="X8401" s="4"/>
      <c r="Y8401" s="4"/>
    </row>
    <row r="8402" spans="20:25" x14ac:dyDescent="0.3">
      <c r="T8402" s="12"/>
      <c r="U8402" s="4"/>
      <c r="V8402" s="4"/>
      <c r="X8402" s="4"/>
      <c r="Y8402" s="4"/>
    </row>
    <row r="8403" spans="20:25" x14ac:dyDescent="0.3">
      <c r="T8403" s="12"/>
      <c r="U8403" s="4"/>
      <c r="V8403" s="4"/>
      <c r="X8403" s="4"/>
      <c r="Y8403" s="4"/>
    </row>
    <row r="8404" spans="20:25" x14ac:dyDescent="0.3">
      <c r="T8404" s="12"/>
      <c r="U8404" s="4"/>
      <c r="V8404" s="4"/>
      <c r="X8404" s="4"/>
      <c r="Y8404" s="4"/>
    </row>
    <row r="8405" spans="20:25" x14ac:dyDescent="0.3">
      <c r="T8405" s="12"/>
      <c r="U8405" s="4"/>
      <c r="V8405" s="4"/>
      <c r="X8405" s="4"/>
      <c r="Y8405" s="4"/>
    </row>
    <row r="8406" spans="20:25" x14ac:dyDescent="0.3">
      <c r="T8406" s="12"/>
      <c r="U8406" s="4"/>
      <c r="V8406" s="4"/>
      <c r="X8406" s="4"/>
      <c r="Y8406" s="4"/>
    </row>
    <row r="8407" spans="20:25" x14ac:dyDescent="0.3">
      <c r="T8407" s="12"/>
      <c r="U8407" s="4"/>
      <c r="V8407" s="4"/>
      <c r="X8407" s="4"/>
      <c r="Y8407" s="4"/>
    </row>
    <row r="8408" spans="20:25" x14ac:dyDescent="0.3">
      <c r="T8408" s="12"/>
      <c r="U8408" s="4"/>
      <c r="V8408" s="4"/>
      <c r="X8408" s="4"/>
      <c r="Y8408" s="4"/>
    </row>
    <row r="8409" spans="20:25" x14ac:dyDescent="0.3">
      <c r="T8409" s="12"/>
      <c r="U8409" s="4"/>
      <c r="V8409" s="4"/>
      <c r="X8409" s="4"/>
      <c r="Y8409" s="4"/>
    </row>
    <row r="8410" spans="20:25" x14ac:dyDescent="0.3">
      <c r="T8410" s="12"/>
      <c r="U8410" s="4"/>
      <c r="V8410" s="4"/>
      <c r="X8410" s="4"/>
      <c r="Y8410" s="4"/>
    </row>
    <row r="8411" spans="20:25" x14ac:dyDescent="0.3">
      <c r="T8411" s="12"/>
      <c r="U8411" s="4"/>
      <c r="V8411" s="4"/>
      <c r="X8411" s="4"/>
      <c r="Y8411" s="4"/>
    </row>
    <row r="8412" spans="20:25" x14ac:dyDescent="0.3">
      <c r="T8412" s="12"/>
      <c r="U8412" s="4"/>
      <c r="V8412" s="4"/>
      <c r="X8412" s="4"/>
      <c r="Y8412" s="4"/>
    </row>
    <row r="8413" spans="20:25" x14ac:dyDescent="0.3">
      <c r="T8413" s="12"/>
      <c r="U8413" s="4"/>
      <c r="V8413" s="4"/>
      <c r="X8413" s="4"/>
      <c r="Y8413" s="4"/>
    </row>
    <row r="8414" spans="20:25" x14ac:dyDescent="0.3">
      <c r="T8414" s="12"/>
      <c r="U8414" s="4"/>
      <c r="V8414" s="4"/>
      <c r="X8414" s="4"/>
      <c r="Y8414" s="4"/>
    </row>
    <row r="8415" spans="20:25" x14ac:dyDescent="0.3">
      <c r="T8415" s="12"/>
      <c r="U8415" s="4"/>
      <c r="V8415" s="4"/>
      <c r="X8415" s="4"/>
      <c r="Y8415" s="4"/>
    </row>
    <row r="8416" spans="20:25" x14ac:dyDescent="0.3">
      <c r="T8416" s="12"/>
      <c r="U8416" s="4"/>
      <c r="V8416" s="4"/>
      <c r="X8416" s="4"/>
      <c r="Y8416" s="4"/>
    </row>
    <row r="8417" spans="20:25" x14ac:dyDescent="0.3">
      <c r="T8417" s="12"/>
      <c r="U8417" s="4"/>
      <c r="V8417" s="4"/>
      <c r="X8417" s="4"/>
      <c r="Y8417" s="4"/>
    </row>
    <row r="8418" spans="20:25" x14ac:dyDescent="0.3">
      <c r="T8418" s="12"/>
      <c r="U8418" s="4"/>
      <c r="V8418" s="4"/>
      <c r="X8418" s="4"/>
      <c r="Y8418" s="4"/>
    </row>
    <row r="8419" spans="20:25" x14ac:dyDescent="0.3">
      <c r="T8419" s="12"/>
      <c r="U8419" s="4"/>
      <c r="V8419" s="4"/>
      <c r="X8419" s="4"/>
      <c r="Y8419" s="4"/>
    </row>
    <row r="8420" spans="20:25" x14ac:dyDescent="0.3">
      <c r="T8420" s="12"/>
      <c r="U8420" s="4"/>
      <c r="V8420" s="4"/>
      <c r="X8420" s="4"/>
      <c r="Y8420" s="4"/>
    </row>
    <row r="8421" spans="20:25" x14ac:dyDescent="0.3">
      <c r="T8421" s="12"/>
      <c r="U8421" s="4"/>
      <c r="V8421" s="4"/>
      <c r="X8421" s="4"/>
      <c r="Y8421" s="4"/>
    </row>
    <row r="8422" spans="20:25" x14ac:dyDescent="0.3">
      <c r="T8422" s="12"/>
      <c r="U8422" s="4"/>
      <c r="V8422" s="4"/>
      <c r="X8422" s="4"/>
      <c r="Y8422" s="4"/>
    </row>
    <row r="8423" spans="20:25" x14ac:dyDescent="0.3">
      <c r="T8423" s="12"/>
      <c r="U8423" s="4"/>
      <c r="V8423" s="4"/>
      <c r="X8423" s="4"/>
      <c r="Y8423" s="4"/>
    </row>
    <row r="8424" spans="20:25" x14ac:dyDescent="0.3">
      <c r="T8424" s="12"/>
      <c r="U8424" s="4"/>
      <c r="V8424" s="4"/>
      <c r="X8424" s="4"/>
      <c r="Y8424" s="4"/>
    </row>
    <row r="8425" spans="20:25" x14ac:dyDescent="0.3">
      <c r="T8425" s="12"/>
      <c r="U8425" s="4"/>
      <c r="V8425" s="4"/>
      <c r="X8425" s="4"/>
      <c r="Y8425" s="4"/>
    </row>
    <row r="8426" spans="20:25" x14ac:dyDescent="0.3">
      <c r="T8426" s="12"/>
      <c r="U8426" s="4"/>
      <c r="V8426" s="4"/>
      <c r="X8426" s="4"/>
      <c r="Y8426" s="4"/>
    </row>
    <row r="8427" spans="20:25" x14ac:dyDescent="0.3">
      <c r="T8427" s="12"/>
      <c r="U8427" s="4"/>
      <c r="V8427" s="4"/>
      <c r="X8427" s="4"/>
      <c r="Y8427" s="4"/>
    </row>
    <row r="8428" spans="20:25" x14ac:dyDescent="0.3">
      <c r="T8428" s="12"/>
      <c r="U8428" s="4"/>
      <c r="V8428" s="4"/>
      <c r="X8428" s="4"/>
      <c r="Y8428" s="4"/>
    </row>
    <row r="8429" spans="20:25" x14ac:dyDescent="0.3">
      <c r="T8429" s="12"/>
      <c r="U8429" s="4"/>
      <c r="V8429" s="4"/>
      <c r="X8429" s="4"/>
      <c r="Y8429" s="4"/>
    </row>
    <row r="8430" spans="20:25" x14ac:dyDescent="0.3">
      <c r="T8430" s="12"/>
      <c r="U8430" s="4"/>
      <c r="V8430" s="4"/>
      <c r="X8430" s="4"/>
      <c r="Y8430" s="4"/>
    </row>
    <row r="8431" spans="20:25" x14ac:dyDescent="0.3">
      <c r="T8431" s="12"/>
      <c r="U8431" s="4"/>
      <c r="V8431" s="4"/>
      <c r="X8431" s="4"/>
      <c r="Y8431" s="4"/>
    </row>
    <row r="8432" spans="20:25" x14ac:dyDescent="0.3">
      <c r="T8432" s="12"/>
      <c r="U8432" s="4"/>
      <c r="V8432" s="4"/>
      <c r="X8432" s="4"/>
      <c r="Y8432" s="4"/>
    </row>
    <row r="8433" spans="20:25" x14ac:dyDescent="0.3">
      <c r="T8433" s="12"/>
      <c r="U8433" s="4"/>
      <c r="V8433" s="4"/>
      <c r="X8433" s="4"/>
      <c r="Y8433" s="4"/>
    </row>
    <row r="8434" spans="20:25" x14ac:dyDescent="0.3">
      <c r="T8434" s="12"/>
      <c r="U8434" s="4"/>
      <c r="V8434" s="4"/>
      <c r="X8434" s="4"/>
      <c r="Y8434" s="4"/>
    </row>
    <row r="8435" spans="20:25" x14ac:dyDescent="0.3">
      <c r="T8435" s="12"/>
      <c r="U8435" s="4"/>
      <c r="V8435" s="4"/>
      <c r="X8435" s="4"/>
      <c r="Y8435" s="4"/>
    </row>
    <row r="8436" spans="20:25" x14ac:dyDescent="0.3">
      <c r="T8436" s="12"/>
      <c r="U8436" s="4"/>
      <c r="V8436" s="4"/>
      <c r="X8436" s="4"/>
      <c r="Y8436" s="4"/>
    </row>
    <row r="8437" spans="20:25" x14ac:dyDescent="0.3">
      <c r="T8437" s="12"/>
      <c r="U8437" s="4"/>
      <c r="V8437" s="4"/>
      <c r="X8437" s="4"/>
      <c r="Y8437" s="4"/>
    </row>
    <row r="8438" spans="20:25" x14ac:dyDescent="0.3">
      <c r="T8438" s="12"/>
      <c r="U8438" s="4"/>
      <c r="V8438" s="4"/>
      <c r="X8438" s="4"/>
      <c r="Y8438" s="4"/>
    </row>
    <row r="8439" spans="20:25" x14ac:dyDescent="0.3">
      <c r="T8439" s="12"/>
      <c r="U8439" s="4"/>
      <c r="V8439" s="4"/>
      <c r="X8439" s="4"/>
      <c r="Y8439" s="4"/>
    </row>
    <row r="8440" spans="20:25" x14ac:dyDescent="0.3">
      <c r="T8440" s="12"/>
      <c r="U8440" s="4"/>
      <c r="V8440" s="4"/>
      <c r="X8440" s="4"/>
      <c r="Y8440" s="4"/>
    </row>
    <row r="8441" spans="20:25" x14ac:dyDescent="0.3">
      <c r="T8441" s="12"/>
      <c r="U8441" s="4"/>
      <c r="V8441" s="4"/>
      <c r="X8441" s="4"/>
      <c r="Y8441" s="4"/>
    </row>
    <row r="8442" spans="20:25" x14ac:dyDescent="0.3">
      <c r="T8442" s="12"/>
      <c r="U8442" s="4"/>
      <c r="V8442" s="4"/>
      <c r="X8442" s="4"/>
      <c r="Y8442" s="4"/>
    </row>
    <row r="8443" spans="20:25" x14ac:dyDescent="0.3">
      <c r="T8443" s="12"/>
      <c r="U8443" s="4"/>
      <c r="V8443" s="4"/>
      <c r="X8443" s="4"/>
      <c r="Y8443" s="4"/>
    </row>
    <row r="8444" spans="20:25" x14ac:dyDescent="0.3">
      <c r="T8444" s="12"/>
      <c r="U8444" s="4"/>
      <c r="V8444" s="4"/>
      <c r="X8444" s="4"/>
      <c r="Y8444" s="4"/>
    </row>
    <row r="8445" spans="20:25" x14ac:dyDescent="0.3">
      <c r="T8445" s="12"/>
      <c r="U8445" s="4"/>
      <c r="V8445" s="4"/>
      <c r="X8445" s="4"/>
      <c r="Y8445" s="4"/>
    </row>
    <row r="8446" spans="20:25" x14ac:dyDescent="0.3">
      <c r="T8446" s="12"/>
      <c r="U8446" s="4"/>
      <c r="V8446" s="4"/>
      <c r="X8446" s="4"/>
      <c r="Y8446" s="4"/>
    </row>
    <row r="8447" spans="20:25" x14ac:dyDescent="0.3">
      <c r="T8447" s="12"/>
      <c r="U8447" s="4"/>
      <c r="V8447" s="4"/>
      <c r="X8447" s="4"/>
      <c r="Y8447" s="4"/>
    </row>
    <row r="8448" spans="20:25" x14ac:dyDescent="0.3">
      <c r="T8448" s="12"/>
      <c r="U8448" s="4"/>
      <c r="V8448" s="4"/>
      <c r="X8448" s="4"/>
      <c r="Y8448" s="4"/>
    </row>
    <row r="8449" spans="20:25" x14ac:dyDescent="0.3">
      <c r="T8449" s="12"/>
      <c r="U8449" s="4"/>
      <c r="V8449" s="4"/>
      <c r="X8449" s="4"/>
      <c r="Y8449" s="4"/>
    </row>
    <row r="8450" spans="20:25" x14ac:dyDescent="0.3">
      <c r="T8450" s="12"/>
      <c r="U8450" s="4"/>
      <c r="V8450" s="4"/>
      <c r="X8450" s="4"/>
      <c r="Y8450" s="4"/>
    </row>
    <row r="8451" spans="20:25" x14ac:dyDescent="0.3">
      <c r="T8451" s="12"/>
      <c r="U8451" s="4"/>
      <c r="V8451" s="4"/>
      <c r="X8451" s="4"/>
      <c r="Y8451" s="4"/>
    </row>
    <row r="8452" spans="20:25" x14ac:dyDescent="0.3">
      <c r="T8452" s="12"/>
      <c r="U8452" s="4"/>
      <c r="V8452" s="4"/>
      <c r="X8452" s="4"/>
      <c r="Y8452" s="4"/>
    </row>
    <row r="8453" spans="20:25" x14ac:dyDescent="0.3">
      <c r="T8453" s="12"/>
      <c r="U8453" s="4"/>
      <c r="V8453" s="4"/>
      <c r="X8453" s="4"/>
      <c r="Y8453" s="4"/>
    </row>
    <row r="8454" spans="20:25" x14ac:dyDescent="0.3">
      <c r="T8454" s="12"/>
      <c r="U8454" s="4"/>
      <c r="V8454" s="4"/>
      <c r="X8454" s="4"/>
      <c r="Y8454" s="4"/>
    </row>
    <row r="8455" spans="20:25" x14ac:dyDescent="0.3">
      <c r="T8455" s="12"/>
      <c r="U8455" s="4"/>
      <c r="V8455" s="4"/>
      <c r="X8455" s="4"/>
      <c r="Y8455" s="4"/>
    </row>
    <row r="8456" spans="20:25" x14ac:dyDescent="0.3">
      <c r="T8456" s="12"/>
      <c r="U8456" s="4"/>
      <c r="V8456" s="4"/>
      <c r="X8456" s="4"/>
      <c r="Y8456" s="4"/>
    </row>
    <row r="8457" spans="20:25" x14ac:dyDescent="0.3">
      <c r="T8457" s="12"/>
      <c r="U8457" s="4"/>
      <c r="V8457" s="4"/>
      <c r="X8457" s="4"/>
      <c r="Y8457" s="4"/>
    </row>
    <row r="8458" spans="20:25" x14ac:dyDescent="0.3">
      <c r="T8458" s="12"/>
      <c r="U8458" s="4"/>
      <c r="V8458" s="4"/>
      <c r="X8458" s="4"/>
      <c r="Y8458" s="4"/>
    </row>
    <row r="8459" spans="20:25" x14ac:dyDescent="0.3">
      <c r="T8459" s="12"/>
      <c r="U8459" s="4"/>
      <c r="V8459" s="4"/>
      <c r="X8459" s="4"/>
      <c r="Y8459" s="4"/>
    </row>
    <row r="8460" spans="20:25" x14ac:dyDescent="0.3">
      <c r="T8460" s="12"/>
      <c r="U8460" s="4"/>
      <c r="V8460" s="4"/>
      <c r="X8460" s="4"/>
      <c r="Y8460" s="4"/>
    </row>
    <row r="8461" spans="20:25" x14ac:dyDescent="0.3">
      <c r="T8461" s="12"/>
      <c r="U8461" s="4"/>
      <c r="V8461" s="4"/>
      <c r="X8461" s="4"/>
      <c r="Y8461" s="4"/>
    </row>
    <row r="8462" spans="20:25" x14ac:dyDescent="0.3">
      <c r="T8462" s="12"/>
      <c r="U8462" s="4"/>
      <c r="V8462" s="4"/>
      <c r="X8462" s="4"/>
      <c r="Y8462" s="4"/>
    </row>
    <row r="8463" spans="20:25" x14ac:dyDescent="0.3">
      <c r="T8463" s="12"/>
      <c r="U8463" s="4"/>
      <c r="V8463" s="4"/>
      <c r="X8463" s="4"/>
      <c r="Y8463" s="4"/>
    </row>
    <row r="8464" spans="20:25" x14ac:dyDescent="0.3">
      <c r="T8464" s="12"/>
      <c r="U8464" s="4"/>
      <c r="V8464" s="4"/>
      <c r="X8464" s="4"/>
      <c r="Y8464" s="4"/>
    </row>
    <row r="8465" spans="20:25" x14ac:dyDescent="0.3">
      <c r="T8465" s="12"/>
      <c r="U8465" s="4"/>
      <c r="V8465" s="4"/>
      <c r="X8465" s="4"/>
      <c r="Y8465" s="4"/>
    </row>
    <row r="8466" spans="20:25" x14ac:dyDescent="0.3">
      <c r="T8466" s="12"/>
      <c r="U8466" s="4"/>
      <c r="V8466" s="4"/>
      <c r="X8466" s="4"/>
      <c r="Y8466" s="4"/>
    </row>
    <row r="8467" spans="20:25" x14ac:dyDescent="0.3">
      <c r="T8467" s="12"/>
      <c r="U8467" s="4"/>
      <c r="V8467" s="4"/>
      <c r="X8467" s="4"/>
      <c r="Y8467" s="4"/>
    </row>
    <row r="8468" spans="20:25" x14ac:dyDescent="0.3">
      <c r="T8468" s="12"/>
      <c r="U8468" s="4"/>
      <c r="V8468" s="4"/>
      <c r="X8468" s="4"/>
      <c r="Y8468" s="4"/>
    </row>
    <row r="8469" spans="20:25" x14ac:dyDescent="0.3">
      <c r="T8469" s="12"/>
      <c r="U8469" s="4"/>
      <c r="V8469" s="4"/>
      <c r="X8469" s="4"/>
      <c r="Y8469" s="4"/>
    </row>
    <row r="8470" spans="20:25" x14ac:dyDescent="0.3">
      <c r="T8470" s="12"/>
      <c r="U8470" s="4"/>
      <c r="V8470" s="4"/>
      <c r="X8470" s="4"/>
      <c r="Y8470" s="4"/>
    </row>
    <row r="8471" spans="20:25" x14ac:dyDescent="0.3">
      <c r="T8471" s="12"/>
      <c r="U8471" s="4"/>
      <c r="V8471" s="4"/>
      <c r="X8471" s="4"/>
      <c r="Y8471" s="4"/>
    </row>
    <row r="8472" spans="20:25" x14ac:dyDescent="0.3">
      <c r="T8472" s="12"/>
      <c r="U8472" s="4"/>
      <c r="V8472" s="4"/>
      <c r="X8472" s="4"/>
      <c r="Y8472" s="4"/>
    </row>
    <row r="8473" spans="20:25" x14ac:dyDescent="0.3">
      <c r="T8473" s="12"/>
      <c r="U8473" s="4"/>
      <c r="V8473" s="4"/>
      <c r="X8473" s="4"/>
      <c r="Y8473" s="4"/>
    </row>
    <row r="8474" spans="20:25" x14ac:dyDescent="0.3">
      <c r="T8474" s="12"/>
      <c r="U8474" s="4"/>
      <c r="V8474" s="4"/>
      <c r="X8474" s="4"/>
      <c r="Y8474" s="4"/>
    </row>
    <row r="8475" spans="20:25" x14ac:dyDescent="0.3">
      <c r="T8475" s="12"/>
      <c r="U8475" s="4"/>
      <c r="V8475" s="4"/>
      <c r="X8475" s="4"/>
      <c r="Y8475" s="4"/>
    </row>
    <row r="8476" spans="20:25" x14ac:dyDescent="0.3">
      <c r="T8476" s="12"/>
      <c r="U8476" s="4"/>
      <c r="V8476" s="4"/>
      <c r="X8476" s="4"/>
      <c r="Y8476" s="4"/>
    </row>
    <row r="8477" spans="20:25" x14ac:dyDescent="0.3">
      <c r="T8477" s="12"/>
      <c r="U8477" s="4"/>
      <c r="V8477" s="4"/>
      <c r="X8477" s="4"/>
      <c r="Y8477" s="4"/>
    </row>
    <row r="8478" spans="20:25" x14ac:dyDescent="0.3">
      <c r="T8478" s="12"/>
      <c r="U8478" s="4"/>
      <c r="V8478" s="4"/>
      <c r="X8478" s="4"/>
      <c r="Y8478" s="4"/>
    </row>
    <row r="8479" spans="20:25" x14ac:dyDescent="0.3">
      <c r="T8479" s="12"/>
      <c r="U8479" s="4"/>
      <c r="V8479" s="4"/>
      <c r="X8479" s="4"/>
      <c r="Y8479" s="4"/>
    </row>
    <row r="8480" spans="20:25" x14ac:dyDescent="0.3">
      <c r="T8480" s="12"/>
      <c r="U8480" s="4"/>
      <c r="V8480" s="4"/>
      <c r="X8480" s="4"/>
      <c r="Y8480" s="4"/>
    </row>
    <row r="8481" spans="20:25" x14ac:dyDescent="0.3">
      <c r="T8481" s="12"/>
      <c r="U8481" s="4"/>
      <c r="V8481" s="4"/>
      <c r="X8481" s="4"/>
      <c r="Y8481" s="4"/>
    </row>
    <row r="8482" spans="20:25" x14ac:dyDescent="0.3">
      <c r="T8482" s="12"/>
      <c r="U8482" s="4"/>
      <c r="V8482" s="4"/>
      <c r="X8482" s="4"/>
      <c r="Y8482" s="4"/>
    </row>
    <row r="8483" spans="20:25" x14ac:dyDescent="0.3">
      <c r="T8483" s="12"/>
      <c r="U8483" s="4"/>
      <c r="V8483" s="4"/>
      <c r="X8483" s="4"/>
      <c r="Y8483" s="4"/>
    </row>
    <row r="8484" spans="20:25" x14ac:dyDescent="0.3">
      <c r="T8484" s="12"/>
      <c r="U8484" s="4"/>
      <c r="V8484" s="4"/>
      <c r="X8484" s="4"/>
      <c r="Y8484" s="4"/>
    </row>
    <row r="8485" spans="20:25" x14ac:dyDescent="0.3">
      <c r="T8485" s="12"/>
      <c r="U8485" s="4"/>
      <c r="V8485" s="4"/>
      <c r="X8485" s="4"/>
      <c r="Y8485" s="4"/>
    </row>
    <row r="8486" spans="20:25" x14ac:dyDescent="0.3">
      <c r="T8486" s="12"/>
      <c r="U8486" s="4"/>
      <c r="V8486" s="4"/>
      <c r="X8486" s="4"/>
      <c r="Y8486" s="4"/>
    </row>
    <row r="8487" spans="20:25" x14ac:dyDescent="0.3">
      <c r="T8487" s="12"/>
      <c r="U8487" s="4"/>
      <c r="V8487" s="4"/>
      <c r="X8487" s="4"/>
      <c r="Y8487" s="4"/>
    </row>
    <row r="8488" spans="20:25" x14ac:dyDescent="0.3">
      <c r="T8488" s="12"/>
      <c r="U8488" s="4"/>
      <c r="V8488" s="4"/>
      <c r="X8488" s="4"/>
      <c r="Y8488" s="4"/>
    </row>
    <row r="8489" spans="20:25" x14ac:dyDescent="0.3">
      <c r="T8489" s="12"/>
      <c r="U8489" s="4"/>
      <c r="V8489" s="4"/>
      <c r="X8489" s="4"/>
      <c r="Y8489" s="4"/>
    </row>
    <row r="8490" spans="20:25" x14ac:dyDescent="0.3">
      <c r="T8490" s="12"/>
      <c r="U8490" s="4"/>
      <c r="V8490" s="4"/>
      <c r="X8490" s="4"/>
      <c r="Y8490" s="4"/>
    </row>
    <row r="8491" spans="20:25" x14ac:dyDescent="0.3">
      <c r="T8491" s="12"/>
      <c r="U8491" s="4"/>
      <c r="V8491" s="4"/>
      <c r="X8491" s="4"/>
      <c r="Y8491" s="4"/>
    </row>
    <row r="8492" spans="20:25" x14ac:dyDescent="0.3">
      <c r="T8492" s="12"/>
      <c r="U8492" s="4"/>
      <c r="V8492" s="4"/>
      <c r="X8492" s="4"/>
      <c r="Y8492" s="4"/>
    </row>
    <row r="8493" spans="20:25" x14ac:dyDescent="0.3">
      <c r="T8493" s="12"/>
      <c r="U8493" s="4"/>
      <c r="V8493" s="4"/>
      <c r="X8493" s="4"/>
      <c r="Y8493" s="4"/>
    </row>
    <row r="8494" spans="20:25" x14ac:dyDescent="0.3">
      <c r="T8494" s="12"/>
      <c r="U8494" s="4"/>
      <c r="V8494" s="4"/>
      <c r="X8494" s="4"/>
      <c r="Y8494" s="4"/>
    </row>
    <row r="8495" spans="20:25" x14ac:dyDescent="0.3">
      <c r="T8495" s="12"/>
      <c r="U8495" s="4"/>
      <c r="V8495" s="4"/>
      <c r="X8495" s="4"/>
      <c r="Y8495" s="4"/>
    </row>
    <row r="8496" spans="20:25" x14ac:dyDescent="0.3">
      <c r="T8496" s="12"/>
      <c r="U8496" s="4"/>
      <c r="V8496" s="4"/>
      <c r="X8496" s="4"/>
      <c r="Y8496" s="4"/>
    </row>
    <row r="8497" spans="20:25" x14ac:dyDescent="0.3">
      <c r="T8497" s="12"/>
      <c r="U8497" s="4"/>
      <c r="V8497" s="4"/>
      <c r="X8497" s="4"/>
      <c r="Y8497" s="4"/>
    </row>
    <row r="8498" spans="20:25" x14ac:dyDescent="0.3">
      <c r="T8498" s="12"/>
      <c r="U8498" s="4"/>
      <c r="V8498" s="4"/>
      <c r="X8498" s="4"/>
      <c r="Y8498" s="4"/>
    </row>
    <row r="8499" spans="20:25" x14ac:dyDescent="0.3">
      <c r="T8499" s="12"/>
      <c r="U8499" s="4"/>
      <c r="V8499" s="4"/>
      <c r="X8499" s="4"/>
      <c r="Y8499" s="4"/>
    </row>
    <row r="8500" spans="20:25" x14ac:dyDescent="0.3">
      <c r="T8500" s="12"/>
      <c r="U8500" s="4"/>
      <c r="V8500" s="4"/>
      <c r="X8500" s="4"/>
      <c r="Y8500" s="4"/>
    </row>
    <row r="8501" spans="20:25" x14ac:dyDescent="0.3">
      <c r="T8501" s="12"/>
      <c r="U8501" s="4"/>
      <c r="V8501" s="4"/>
      <c r="X8501" s="4"/>
      <c r="Y8501" s="4"/>
    </row>
    <row r="8502" spans="20:25" x14ac:dyDescent="0.3">
      <c r="T8502" s="12"/>
      <c r="U8502" s="4"/>
      <c r="V8502" s="4"/>
      <c r="X8502" s="4"/>
      <c r="Y8502" s="4"/>
    </row>
    <row r="8503" spans="20:25" x14ac:dyDescent="0.3">
      <c r="T8503" s="12"/>
      <c r="U8503" s="4"/>
      <c r="V8503" s="4"/>
      <c r="X8503" s="4"/>
      <c r="Y8503" s="4"/>
    </row>
    <row r="8504" spans="20:25" x14ac:dyDescent="0.3">
      <c r="T8504" s="12"/>
      <c r="U8504" s="4"/>
      <c r="V8504" s="4"/>
      <c r="X8504" s="4"/>
      <c r="Y8504" s="4"/>
    </row>
    <row r="8505" spans="20:25" x14ac:dyDescent="0.3">
      <c r="T8505" s="12"/>
      <c r="U8505" s="4"/>
      <c r="V8505" s="4"/>
      <c r="X8505" s="4"/>
      <c r="Y8505" s="4"/>
    </row>
    <row r="8506" spans="20:25" x14ac:dyDescent="0.3">
      <c r="T8506" s="12"/>
      <c r="U8506" s="4"/>
      <c r="V8506" s="4"/>
      <c r="X8506" s="4"/>
      <c r="Y8506" s="4"/>
    </row>
    <row r="8507" spans="20:25" x14ac:dyDescent="0.3">
      <c r="T8507" s="12"/>
      <c r="U8507" s="4"/>
      <c r="V8507" s="4"/>
      <c r="X8507" s="4"/>
      <c r="Y8507" s="4"/>
    </row>
    <row r="8508" spans="20:25" x14ac:dyDescent="0.3">
      <c r="T8508" s="12"/>
      <c r="U8508" s="4"/>
      <c r="V8508" s="4"/>
      <c r="X8508" s="4"/>
      <c r="Y8508" s="4"/>
    </row>
    <row r="8509" spans="20:25" x14ac:dyDescent="0.3">
      <c r="T8509" s="12"/>
      <c r="U8509" s="4"/>
      <c r="V8509" s="4"/>
      <c r="X8509" s="4"/>
      <c r="Y8509" s="4"/>
    </row>
    <row r="8510" spans="20:25" x14ac:dyDescent="0.3">
      <c r="T8510" s="12"/>
      <c r="U8510" s="4"/>
      <c r="V8510" s="4"/>
      <c r="X8510" s="4"/>
      <c r="Y8510" s="4"/>
    </row>
    <row r="8511" spans="20:25" x14ac:dyDescent="0.3">
      <c r="T8511" s="12"/>
      <c r="U8511" s="4"/>
      <c r="V8511" s="4"/>
      <c r="X8511" s="4"/>
      <c r="Y8511" s="4"/>
    </row>
    <row r="8512" spans="20:25" x14ac:dyDescent="0.3">
      <c r="T8512" s="12"/>
      <c r="U8512" s="4"/>
      <c r="V8512" s="4"/>
      <c r="X8512" s="4"/>
      <c r="Y8512" s="4"/>
    </row>
    <row r="8513" spans="20:25" x14ac:dyDescent="0.3">
      <c r="T8513" s="12"/>
      <c r="U8513" s="4"/>
      <c r="V8513" s="4"/>
      <c r="X8513" s="4"/>
      <c r="Y8513" s="4"/>
    </row>
    <row r="8514" spans="20:25" x14ac:dyDescent="0.3">
      <c r="T8514" s="12"/>
      <c r="U8514" s="4"/>
      <c r="V8514" s="4"/>
      <c r="X8514" s="4"/>
      <c r="Y8514" s="4"/>
    </row>
    <row r="8515" spans="20:25" x14ac:dyDescent="0.3">
      <c r="T8515" s="12"/>
      <c r="U8515" s="4"/>
      <c r="V8515" s="4"/>
      <c r="X8515" s="4"/>
      <c r="Y8515" s="4"/>
    </row>
    <row r="8516" spans="20:25" x14ac:dyDescent="0.3">
      <c r="T8516" s="12"/>
      <c r="U8516" s="4"/>
      <c r="V8516" s="4"/>
      <c r="X8516" s="4"/>
      <c r="Y8516" s="4"/>
    </row>
    <row r="8517" spans="20:25" x14ac:dyDescent="0.3">
      <c r="T8517" s="12"/>
      <c r="U8517" s="4"/>
      <c r="V8517" s="4"/>
      <c r="X8517" s="4"/>
      <c r="Y8517" s="4"/>
    </row>
    <row r="8518" spans="20:25" x14ac:dyDescent="0.3">
      <c r="T8518" s="12"/>
      <c r="U8518" s="4"/>
      <c r="V8518" s="4"/>
      <c r="X8518" s="4"/>
      <c r="Y8518" s="4"/>
    </row>
    <row r="8519" spans="20:25" x14ac:dyDescent="0.3">
      <c r="T8519" s="12"/>
      <c r="U8519" s="4"/>
      <c r="V8519" s="4"/>
      <c r="X8519" s="4"/>
      <c r="Y8519" s="4"/>
    </row>
    <row r="8520" spans="20:25" x14ac:dyDescent="0.3">
      <c r="T8520" s="12"/>
      <c r="U8520" s="4"/>
      <c r="V8520" s="4"/>
      <c r="X8520" s="4"/>
      <c r="Y8520" s="4"/>
    </row>
    <row r="8521" spans="20:25" x14ac:dyDescent="0.3">
      <c r="T8521" s="12"/>
      <c r="U8521" s="4"/>
      <c r="V8521" s="4"/>
      <c r="X8521" s="4"/>
      <c r="Y8521" s="4"/>
    </row>
    <row r="8522" spans="20:25" x14ac:dyDescent="0.3">
      <c r="T8522" s="12"/>
      <c r="U8522" s="4"/>
      <c r="V8522" s="4"/>
      <c r="X8522" s="4"/>
      <c r="Y8522" s="4"/>
    </row>
    <row r="8523" spans="20:25" x14ac:dyDescent="0.3">
      <c r="T8523" s="12"/>
      <c r="U8523" s="4"/>
      <c r="V8523" s="4"/>
      <c r="X8523" s="4"/>
      <c r="Y8523" s="4"/>
    </row>
    <row r="8524" spans="20:25" x14ac:dyDescent="0.3">
      <c r="T8524" s="12"/>
      <c r="U8524" s="4"/>
      <c r="V8524" s="4"/>
      <c r="X8524" s="4"/>
      <c r="Y8524" s="4"/>
    </row>
    <row r="8525" spans="20:25" x14ac:dyDescent="0.3">
      <c r="T8525" s="12"/>
      <c r="U8525" s="4"/>
      <c r="V8525" s="4"/>
      <c r="X8525" s="4"/>
      <c r="Y8525" s="4"/>
    </row>
    <row r="8526" spans="20:25" x14ac:dyDescent="0.3">
      <c r="T8526" s="12"/>
      <c r="U8526" s="4"/>
      <c r="V8526" s="4"/>
      <c r="X8526" s="4"/>
      <c r="Y8526" s="4"/>
    </row>
    <row r="8527" spans="20:25" x14ac:dyDescent="0.3">
      <c r="T8527" s="12"/>
      <c r="U8527" s="4"/>
      <c r="V8527" s="4"/>
      <c r="X8527" s="4"/>
      <c r="Y8527" s="4"/>
    </row>
    <row r="8528" spans="20:25" x14ac:dyDescent="0.3">
      <c r="T8528" s="12"/>
      <c r="U8528" s="4"/>
      <c r="V8528" s="4"/>
      <c r="X8528" s="4"/>
      <c r="Y8528" s="4"/>
    </row>
    <row r="8529" spans="20:25" x14ac:dyDescent="0.3">
      <c r="T8529" s="12"/>
      <c r="U8529" s="4"/>
      <c r="V8529" s="4"/>
      <c r="X8529" s="4"/>
      <c r="Y8529" s="4"/>
    </row>
    <row r="8530" spans="20:25" x14ac:dyDescent="0.3">
      <c r="T8530" s="12"/>
      <c r="U8530" s="4"/>
      <c r="V8530" s="4"/>
      <c r="X8530" s="4"/>
      <c r="Y8530" s="4"/>
    </row>
    <row r="8531" spans="20:25" x14ac:dyDescent="0.3">
      <c r="T8531" s="12"/>
      <c r="U8531" s="4"/>
      <c r="V8531" s="4"/>
      <c r="X8531" s="4"/>
      <c r="Y8531" s="4"/>
    </row>
    <row r="8532" spans="20:25" x14ac:dyDescent="0.3">
      <c r="T8532" s="12"/>
      <c r="U8532" s="4"/>
      <c r="V8532" s="4"/>
      <c r="X8532" s="4"/>
      <c r="Y8532" s="4"/>
    </row>
    <row r="8533" spans="20:25" x14ac:dyDescent="0.3">
      <c r="T8533" s="12"/>
      <c r="U8533" s="4"/>
      <c r="V8533" s="4"/>
      <c r="X8533" s="4"/>
      <c r="Y8533" s="4"/>
    </row>
    <row r="8534" spans="20:25" x14ac:dyDescent="0.3">
      <c r="T8534" s="12"/>
      <c r="U8534" s="4"/>
      <c r="V8534" s="4"/>
      <c r="X8534" s="4"/>
      <c r="Y8534" s="4"/>
    </row>
    <row r="8535" spans="20:25" x14ac:dyDescent="0.3">
      <c r="T8535" s="12"/>
      <c r="U8535" s="4"/>
      <c r="V8535" s="4"/>
      <c r="X8535" s="4"/>
      <c r="Y8535" s="4"/>
    </row>
    <row r="8536" spans="20:25" x14ac:dyDescent="0.3">
      <c r="T8536" s="12"/>
      <c r="U8536" s="4"/>
      <c r="V8536" s="4"/>
      <c r="X8536" s="4"/>
      <c r="Y8536" s="4"/>
    </row>
    <row r="8537" spans="20:25" x14ac:dyDescent="0.3">
      <c r="T8537" s="12"/>
      <c r="U8537" s="4"/>
      <c r="V8537" s="4"/>
      <c r="X8537" s="4"/>
      <c r="Y8537" s="4"/>
    </row>
    <row r="8538" spans="20:25" x14ac:dyDescent="0.3">
      <c r="T8538" s="12"/>
      <c r="U8538" s="4"/>
      <c r="V8538" s="4"/>
      <c r="X8538" s="4"/>
      <c r="Y8538" s="4"/>
    </row>
    <row r="8539" spans="20:25" x14ac:dyDescent="0.3">
      <c r="T8539" s="12"/>
      <c r="U8539" s="4"/>
      <c r="V8539" s="4"/>
      <c r="X8539" s="4"/>
      <c r="Y8539" s="4"/>
    </row>
    <row r="8540" spans="20:25" x14ac:dyDescent="0.3">
      <c r="T8540" s="12"/>
      <c r="U8540" s="4"/>
      <c r="V8540" s="4"/>
      <c r="X8540" s="4"/>
      <c r="Y8540" s="4"/>
    </row>
    <row r="8541" spans="20:25" x14ac:dyDescent="0.3">
      <c r="T8541" s="12"/>
      <c r="U8541" s="4"/>
      <c r="V8541" s="4"/>
      <c r="X8541" s="4"/>
      <c r="Y8541" s="4"/>
    </row>
    <row r="8542" spans="20:25" x14ac:dyDescent="0.3">
      <c r="T8542" s="12"/>
      <c r="U8542" s="4"/>
      <c r="V8542" s="4"/>
      <c r="X8542" s="4"/>
      <c r="Y8542" s="4"/>
    </row>
    <row r="8543" spans="20:25" x14ac:dyDescent="0.3">
      <c r="T8543" s="12"/>
      <c r="U8543" s="4"/>
      <c r="V8543" s="4"/>
      <c r="X8543" s="4"/>
      <c r="Y8543" s="4"/>
    </row>
    <row r="8544" spans="20:25" x14ac:dyDescent="0.3">
      <c r="T8544" s="12"/>
      <c r="U8544" s="4"/>
      <c r="V8544" s="4"/>
      <c r="X8544" s="4"/>
      <c r="Y8544" s="4"/>
    </row>
    <row r="8545" spans="20:25" x14ac:dyDescent="0.3">
      <c r="T8545" s="12"/>
      <c r="U8545" s="4"/>
      <c r="V8545" s="4"/>
      <c r="X8545" s="4"/>
      <c r="Y8545" s="4"/>
    </row>
    <row r="8546" spans="20:25" x14ac:dyDescent="0.3">
      <c r="T8546" s="12"/>
      <c r="U8546" s="4"/>
      <c r="V8546" s="4"/>
      <c r="X8546" s="4"/>
      <c r="Y8546" s="4"/>
    </row>
    <row r="8547" spans="20:25" x14ac:dyDescent="0.3">
      <c r="T8547" s="12"/>
      <c r="U8547" s="4"/>
      <c r="V8547" s="4"/>
      <c r="X8547" s="4"/>
      <c r="Y8547" s="4"/>
    </row>
    <row r="8548" spans="20:25" x14ac:dyDescent="0.3">
      <c r="T8548" s="12"/>
      <c r="U8548" s="4"/>
      <c r="V8548" s="4"/>
      <c r="X8548" s="4"/>
      <c r="Y8548" s="4"/>
    </row>
    <row r="8549" spans="20:25" x14ac:dyDescent="0.3">
      <c r="T8549" s="12"/>
      <c r="U8549" s="4"/>
      <c r="V8549" s="4"/>
      <c r="X8549" s="4"/>
      <c r="Y8549" s="4"/>
    </row>
    <row r="8550" spans="20:25" x14ac:dyDescent="0.3">
      <c r="T8550" s="12"/>
      <c r="U8550" s="4"/>
      <c r="V8550" s="4"/>
      <c r="X8550" s="4"/>
      <c r="Y8550" s="4"/>
    </row>
    <row r="8551" spans="20:25" x14ac:dyDescent="0.3">
      <c r="T8551" s="12"/>
      <c r="U8551" s="4"/>
      <c r="V8551" s="4"/>
      <c r="X8551" s="4"/>
      <c r="Y8551" s="4"/>
    </row>
    <row r="8552" spans="20:25" x14ac:dyDescent="0.3">
      <c r="T8552" s="12"/>
      <c r="U8552" s="4"/>
      <c r="V8552" s="4"/>
      <c r="X8552" s="4"/>
      <c r="Y8552" s="4"/>
    </row>
    <row r="8553" spans="20:25" x14ac:dyDescent="0.3">
      <c r="T8553" s="12"/>
      <c r="U8553" s="4"/>
      <c r="V8553" s="4"/>
      <c r="X8553" s="4"/>
      <c r="Y8553" s="4"/>
    </row>
    <row r="8554" spans="20:25" x14ac:dyDescent="0.3">
      <c r="T8554" s="12"/>
      <c r="U8554" s="4"/>
      <c r="V8554" s="4"/>
      <c r="X8554" s="4"/>
      <c r="Y8554" s="4"/>
    </row>
    <row r="8555" spans="20:25" x14ac:dyDescent="0.3">
      <c r="T8555" s="12"/>
      <c r="U8555" s="4"/>
      <c r="V8555" s="4"/>
      <c r="X8555" s="4"/>
      <c r="Y8555" s="4"/>
    </row>
    <row r="8556" spans="20:25" x14ac:dyDescent="0.3">
      <c r="T8556" s="12"/>
      <c r="U8556" s="4"/>
      <c r="V8556" s="4"/>
      <c r="X8556" s="4"/>
      <c r="Y8556" s="4"/>
    </row>
    <row r="8557" spans="20:25" x14ac:dyDescent="0.3">
      <c r="T8557" s="12"/>
      <c r="U8557" s="4"/>
      <c r="V8557" s="4"/>
      <c r="X8557" s="4"/>
      <c r="Y8557" s="4"/>
    </row>
    <row r="8558" spans="20:25" x14ac:dyDescent="0.3">
      <c r="T8558" s="12"/>
      <c r="U8558" s="4"/>
      <c r="V8558" s="4"/>
      <c r="X8558" s="4"/>
      <c r="Y8558" s="4"/>
    </row>
    <row r="8559" spans="20:25" x14ac:dyDescent="0.3">
      <c r="T8559" s="12"/>
      <c r="U8559" s="4"/>
      <c r="V8559" s="4"/>
      <c r="X8559" s="4"/>
      <c r="Y8559" s="4"/>
    </row>
    <row r="8560" spans="20:25" x14ac:dyDescent="0.3">
      <c r="T8560" s="12"/>
      <c r="U8560" s="4"/>
      <c r="V8560" s="4"/>
      <c r="X8560" s="4"/>
      <c r="Y8560" s="4"/>
    </row>
    <row r="8561" spans="20:25" x14ac:dyDescent="0.3">
      <c r="T8561" s="12"/>
      <c r="U8561" s="4"/>
      <c r="V8561" s="4"/>
      <c r="X8561" s="4"/>
      <c r="Y8561" s="4"/>
    </row>
    <row r="8562" spans="20:25" x14ac:dyDescent="0.3">
      <c r="T8562" s="12"/>
      <c r="U8562" s="4"/>
      <c r="V8562" s="4"/>
      <c r="X8562" s="4"/>
      <c r="Y8562" s="4"/>
    </row>
    <row r="8563" spans="20:25" x14ac:dyDescent="0.3">
      <c r="T8563" s="12"/>
      <c r="U8563" s="4"/>
      <c r="V8563" s="4"/>
      <c r="X8563" s="4"/>
      <c r="Y8563" s="4"/>
    </row>
    <row r="8564" spans="20:25" x14ac:dyDescent="0.3">
      <c r="T8564" s="12"/>
      <c r="U8564" s="4"/>
      <c r="V8564" s="4"/>
      <c r="X8564" s="4"/>
      <c r="Y8564" s="4"/>
    </row>
    <row r="8565" spans="20:25" x14ac:dyDescent="0.3">
      <c r="T8565" s="12"/>
      <c r="U8565" s="4"/>
      <c r="V8565" s="4"/>
      <c r="X8565" s="4"/>
      <c r="Y8565" s="4"/>
    </row>
    <row r="8566" spans="20:25" x14ac:dyDescent="0.3">
      <c r="T8566" s="12"/>
      <c r="U8566" s="4"/>
      <c r="V8566" s="4"/>
      <c r="X8566" s="4"/>
      <c r="Y8566" s="4"/>
    </row>
    <row r="8567" spans="20:25" x14ac:dyDescent="0.3">
      <c r="T8567" s="12"/>
      <c r="U8567" s="4"/>
      <c r="V8567" s="4"/>
      <c r="X8567" s="4"/>
      <c r="Y8567" s="4"/>
    </row>
    <row r="8568" spans="20:25" x14ac:dyDescent="0.3">
      <c r="T8568" s="12"/>
      <c r="U8568" s="4"/>
      <c r="V8568" s="4"/>
      <c r="X8568" s="4"/>
      <c r="Y8568" s="4"/>
    </row>
    <row r="8569" spans="20:25" x14ac:dyDescent="0.3">
      <c r="T8569" s="12"/>
      <c r="U8569" s="4"/>
      <c r="V8569" s="4"/>
      <c r="X8569" s="4"/>
      <c r="Y8569" s="4"/>
    </row>
    <row r="8570" spans="20:25" x14ac:dyDescent="0.3">
      <c r="T8570" s="12"/>
      <c r="U8570" s="4"/>
      <c r="V8570" s="4"/>
      <c r="X8570" s="4"/>
      <c r="Y8570" s="4"/>
    </row>
    <row r="8571" spans="20:25" x14ac:dyDescent="0.3">
      <c r="T8571" s="12"/>
      <c r="U8571" s="4"/>
      <c r="V8571" s="4"/>
      <c r="X8571" s="4"/>
      <c r="Y8571" s="4"/>
    </row>
    <row r="8572" spans="20:25" x14ac:dyDescent="0.3">
      <c r="T8572" s="12"/>
      <c r="U8572" s="4"/>
      <c r="V8572" s="4"/>
      <c r="X8572" s="4"/>
      <c r="Y8572" s="4"/>
    </row>
    <row r="8573" spans="20:25" x14ac:dyDescent="0.3">
      <c r="T8573" s="12"/>
      <c r="U8573" s="4"/>
      <c r="V8573" s="4"/>
      <c r="X8573" s="4"/>
      <c r="Y8573" s="4"/>
    </row>
    <row r="8574" spans="20:25" x14ac:dyDescent="0.3">
      <c r="T8574" s="12"/>
      <c r="U8574" s="4"/>
      <c r="V8574" s="4"/>
      <c r="X8574" s="4"/>
      <c r="Y8574" s="4"/>
    </row>
    <row r="8575" spans="20:25" x14ac:dyDescent="0.3">
      <c r="T8575" s="12"/>
      <c r="U8575" s="4"/>
      <c r="V8575" s="4"/>
      <c r="X8575" s="4"/>
      <c r="Y8575" s="4"/>
    </row>
    <row r="8576" spans="20:25" x14ac:dyDescent="0.3">
      <c r="T8576" s="12"/>
      <c r="U8576" s="4"/>
      <c r="V8576" s="4"/>
      <c r="X8576" s="4"/>
      <c r="Y8576" s="4"/>
    </row>
    <row r="8577" spans="20:25" x14ac:dyDescent="0.3">
      <c r="T8577" s="12"/>
      <c r="U8577" s="4"/>
      <c r="V8577" s="4"/>
      <c r="X8577" s="4"/>
      <c r="Y8577" s="4"/>
    </row>
    <row r="8578" spans="20:25" x14ac:dyDescent="0.3">
      <c r="T8578" s="12"/>
      <c r="U8578" s="4"/>
      <c r="V8578" s="4"/>
      <c r="X8578" s="4"/>
      <c r="Y8578" s="4"/>
    </row>
    <row r="8579" spans="20:25" x14ac:dyDescent="0.3">
      <c r="T8579" s="12"/>
      <c r="U8579" s="4"/>
      <c r="V8579" s="4"/>
      <c r="X8579" s="4"/>
      <c r="Y8579" s="4"/>
    </row>
    <row r="8580" spans="20:25" x14ac:dyDescent="0.3">
      <c r="T8580" s="12"/>
      <c r="U8580" s="4"/>
      <c r="V8580" s="4"/>
      <c r="X8580" s="4"/>
      <c r="Y8580" s="4"/>
    </row>
    <row r="8581" spans="20:25" x14ac:dyDescent="0.3">
      <c r="T8581" s="12"/>
      <c r="U8581" s="4"/>
      <c r="V8581" s="4"/>
      <c r="X8581" s="4"/>
      <c r="Y8581" s="4"/>
    </row>
    <row r="8582" spans="20:25" x14ac:dyDescent="0.3">
      <c r="T8582" s="12"/>
      <c r="U8582" s="4"/>
      <c r="V8582" s="4"/>
      <c r="X8582" s="4"/>
      <c r="Y8582" s="4"/>
    </row>
    <row r="8583" spans="20:25" x14ac:dyDescent="0.3">
      <c r="T8583" s="12"/>
      <c r="U8583" s="4"/>
      <c r="V8583" s="4"/>
      <c r="X8583" s="4"/>
      <c r="Y8583" s="4"/>
    </row>
    <row r="8584" spans="20:25" x14ac:dyDescent="0.3">
      <c r="T8584" s="12"/>
      <c r="U8584" s="4"/>
      <c r="V8584" s="4"/>
      <c r="X8584" s="4"/>
      <c r="Y8584" s="4"/>
    </row>
    <row r="8585" spans="20:25" x14ac:dyDescent="0.3">
      <c r="T8585" s="12"/>
      <c r="U8585" s="4"/>
      <c r="V8585" s="4"/>
      <c r="X8585" s="4"/>
      <c r="Y8585" s="4"/>
    </row>
    <row r="8586" spans="20:25" x14ac:dyDescent="0.3">
      <c r="T8586" s="12"/>
      <c r="U8586" s="4"/>
      <c r="V8586" s="4"/>
      <c r="X8586" s="4"/>
      <c r="Y8586" s="4"/>
    </row>
    <row r="8587" spans="20:25" x14ac:dyDescent="0.3">
      <c r="T8587" s="12"/>
      <c r="U8587" s="4"/>
      <c r="V8587" s="4"/>
      <c r="X8587" s="4"/>
      <c r="Y8587" s="4"/>
    </row>
    <row r="8588" spans="20:25" x14ac:dyDescent="0.3">
      <c r="T8588" s="12"/>
      <c r="U8588" s="4"/>
      <c r="V8588" s="4"/>
      <c r="X8588" s="4"/>
      <c r="Y8588" s="4"/>
    </row>
    <row r="8589" spans="20:25" x14ac:dyDescent="0.3">
      <c r="T8589" s="12"/>
      <c r="U8589" s="4"/>
      <c r="V8589" s="4"/>
      <c r="X8589" s="4"/>
      <c r="Y8589" s="4"/>
    </row>
    <row r="8590" spans="20:25" x14ac:dyDescent="0.3">
      <c r="T8590" s="12"/>
      <c r="U8590" s="4"/>
      <c r="V8590" s="4"/>
      <c r="X8590" s="4"/>
      <c r="Y8590" s="4"/>
    </row>
    <row r="8591" spans="20:25" x14ac:dyDescent="0.3">
      <c r="T8591" s="12"/>
      <c r="U8591" s="4"/>
      <c r="V8591" s="4"/>
      <c r="X8591" s="4"/>
      <c r="Y8591" s="4"/>
    </row>
    <row r="8592" spans="20:25" x14ac:dyDescent="0.3">
      <c r="T8592" s="12"/>
      <c r="U8592" s="4"/>
      <c r="V8592" s="4"/>
      <c r="X8592" s="4"/>
      <c r="Y8592" s="4"/>
    </row>
    <row r="8593" spans="20:25" x14ac:dyDescent="0.3">
      <c r="T8593" s="12"/>
      <c r="U8593" s="4"/>
      <c r="V8593" s="4"/>
      <c r="X8593" s="4"/>
      <c r="Y8593" s="4"/>
    </row>
    <row r="8594" spans="20:25" x14ac:dyDescent="0.3">
      <c r="T8594" s="12"/>
      <c r="U8594" s="4"/>
      <c r="V8594" s="4"/>
      <c r="X8594" s="4"/>
      <c r="Y8594" s="4"/>
    </row>
    <row r="8595" spans="20:25" x14ac:dyDescent="0.3">
      <c r="T8595" s="12"/>
      <c r="U8595" s="4"/>
      <c r="V8595" s="4"/>
      <c r="X8595" s="4"/>
      <c r="Y8595" s="4"/>
    </row>
    <row r="8596" spans="20:25" x14ac:dyDescent="0.3">
      <c r="T8596" s="12"/>
      <c r="U8596" s="4"/>
      <c r="V8596" s="4"/>
      <c r="X8596" s="4"/>
      <c r="Y8596" s="4"/>
    </row>
    <row r="8597" spans="20:25" x14ac:dyDescent="0.3">
      <c r="T8597" s="12"/>
      <c r="U8597" s="4"/>
      <c r="V8597" s="4"/>
      <c r="X8597" s="4"/>
      <c r="Y8597" s="4"/>
    </row>
    <row r="8598" spans="20:25" x14ac:dyDescent="0.3">
      <c r="T8598" s="12"/>
      <c r="U8598" s="4"/>
      <c r="V8598" s="4"/>
      <c r="X8598" s="4"/>
      <c r="Y8598" s="4"/>
    </row>
    <row r="8599" spans="20:25" x14ac:dyDescent="0.3">
      <c r="T8599" s="12"/>
      <c r="U8599" s="4"/>
      <c r="V8599" s="4"/>
      <c r="X8599" s="4"/>
      <c r="Y8599" s="4"/>
    </row>
    <row r="8600" spans="20:25" x14ac:dyDescent="0.3">
      <c r="T8600" s="12"/>
      <c r="U8600" s="4"/>
      <c r="V8600" s="4"/>
      <c r="X8600" s="4"/>
      <c r="Y8600" s="4"/>
    </row>
    <row r="8601" spans="20:25" x14ac:dyDescent="0.3">
      <c r="T8601" s="12"/>
      <c r="U8601" s="4"/>
      <c r="V8601" s="4"/>
      <c r="X8601" s="4"/>
      <c r="Y8601" s="4"/>
    </row>
    <row r="8602" spans="20:25" x14ac:dyDescent="0.3">
      <c r="T8602" s="12"/>
      <c r="U8602" s="4"/>
      <c r="V8602" s="4"/>
      <c r="X8602" s="4"/>
      <c r="Y8602" s="4"/>
    </row>
    <row r="8603" spans="20:25" x14ac:dyDescent="0.3">
      <c r="T8603" s="12"/>
      <c r="U8603" s="4"/>
      <c r="V8603" s="4"/>
      <c r="X8603" s="4"/>
      <c r="Y8603" s="4"/>
    </row>
    <row r="8604" spans="20:25" x14ac:dyDescent="0.3">
      <c r="T8604" s="12"/>
      <c r="U8604" s="4"/>
      <c r="V8604" s="4"/>
      <c r="X8604" s="4"/>
      <c r="Y8604" s="4"/>
    </row>
    <row r="8605" spans="20:25" x14ac:dyDescent="0.3">
      <c r="T8605" s="12"/>
      <c r="U8605" s="4"/>
      <c r="V8605" s="4"/>
      <c r="X8605" s="4"/>
      <c r="Y8605" s="4"/>
    </row>
    <row r="8606" spans="20:25" x14ac:dyDescent="0.3">
      <c r="T8606" s="12"/>
      <c r="U8606" s="4"/>
      <c r="V8606" s="4"/>
      <c r="X8606" s="4"/>
      <c r="Y8606" s="4"/>
    </row>
    <row r="8607" spans="20:25" x14ac:dyDescent="0.3">
      <c r="T8607" s="12"/>
      <c r="U8607" s="4"/>
      <c r="V8607" s="4"/>
      <c r="X8607" s="4"/>
      <c r="Y8607" s="4"/>
    </row>
    <row r="8608" spans="20:25" x14ac:dyDescent="0.3">
      <c r="T8608" s="12"/>
      <c r="U8608" s="4"/>
      <c r="V8608" s="4"/>
      <c r="X8608" s="4"/>
      <c r="Y8608" s="4"/>
    </row>
    <row r="8609" spans="20:25" x14ac:dyDescent="0.3">
      <c r="T8609" s="12"/>
      <c r="U8609" s="4"/>
      <c r="V8609" s="4"/>
      <c r="X8609" s="4"/>
      <c r="Y8609" s="4"/>
    </row>
    <row r="8610" spans="20:25" x14ac:dyDescent="0.3">
      <c r="T8610" s="12"/>
      <c r="U8610" s="4"/>
      <c r="V8610" s="4"/>
      <c r="X8610" s="4"/>
      <c r="Y8610" s="4"/>
    </row>
    <row r="8611" spans="20:25" x14ac:dyDescent="0.3">
      <c r="T8611" s="12"/>
      <c r="U8611" s="4"/>
      <c r="V8611" s="4"/>
      <c r="X8611" s="4"/>
      <c r="Y8611" s="4"/>
    </row>
    <row r="8612" spans="20:25" x14ac:dyDescent="0.3">
      <c r="T8612" s="12"/>
      <c r="U8612" s="4"/>
      <c r="V8612" s="4"/>
      <c r="X8612" s="4"/>
      <c r="Y8612" s="4"/>
    </row>
    <row r="8613" spans="20:25" x14ac:dyDescent="0.3">
      <c r="T8613" s="12"/>
      <c r="U8613" s="4"/>
      <c r="V8613" s="4"/>
      <c r="X8613" s="4"/>
      <c r="Y8613" s="4"/>
    </row>
    <row r="8614" spans="20:25" x14ac:dyDescent="0.3">
      <c r="T8614" s="12"/>
      <c r="U8614" s="4"/>
      <c r="V8614" s="4"/>
      <c r="X8614" s="4"/>
      <c r="Y8614" s="4"/>
    </row>
    <row r="8615" spans="20:25" x14ac:dyDescent="0.3">
      <c r="T8615" s="12"/>
      <c r="U8615" s="4"/>
      <c r="V8615" s="4"/>
      <c r="X8615" s="4"/>
      <c r="Y8615" s="4"/>
    </row>
    <row r="8616" spans="20:25" x14ac:dyDescent="0.3">
      <c r="T8616" s="12"/>
      <c r="U8616" s="4"/>
      <c r="V8616" s="4"/>
      <c r="X8616" s="4"/>
      <c r="Y8616" s="4"/>
    </row>
    <row r="8617" spans="20:25" x14ac:dyDescent="0.3">
      <c r="T8617" s="12"/>
      <c r="U8617" s="4"/>
      <c r="V8617" s="4"/>
      <c r="X8617" s="4"/>
      <c r="Y8617" s="4"/>
    </row>
    <row r="8618" spans="20:25" x14ac:dyDescent="0.3">
      <c r="T8618" s="12"/>
      <c r="U8618" s="4"/>
      <c r="V8618" s="4"/>
      <c r="X8618" s="4"/>
      <c r="Y8618" s="4"/>
    </row>
    <row r="8619" spans="20:25" x14ac:dyDescent="0.3">
      <c r="T8619" s="12"/>
      <c r="U8619" s="4"/>
      <c r="V8619" s="4"/>
      <c r="X8619" s="4"/>
      <c r="Y8619" s="4"/>
    </row>
    <row r="8620" spans="20:25" x14ac:dyDescent="0.3">
      <c r="T8620" s="12"/>
      <c r="U8620" s="4"/>
      <c r="V8620" s="4"/>
      <c r="X8620" s="4"/>
      <c r="Y8620" s="4"/>
    </row>
    <row r="8621" spans="20:25" x14ac:dyDescent="0.3">
      <c r="T8621" s="12"/>
      <c r="U8621" s="4"/>
      <c r="V8621" s="4"/>
      <c r="X8621" s="4"/>
      <c r="Y8621" s="4"/>
    </row>
    <row r="8622" spans="20:25" x14ac:dyDescent="0.3">
      <c r="T8622" s="12"/>
      <c r="U8622" s="4"/>
      <c r="V8622" s="4"/>
      <c r="X8622" s="4"/>
      <c r="Y8622" s="4"/>
    </row>
    <row r="8623" spans="20:25" x14ac:dyDescent="0.3">
      <c r="T8623" s="12"/>
      <c r="U8623" s="4"/>
      <c r="V8623" s="4"/>
      <c r="X8623" s="4"/>
      <c r="Y8623" s="4"/>
    </row>
    <row r="8624" spans="20:25" x14ac:dyDescent="0.3">
      <c r="T8624" s="12"/>
      <c r="U8624" s="4"/>
      <c r="V8624" s="4"/>
      <c r="X8624" s="4"/>
      <c r="Y8624" s="4"/>
    </row>
    <row r="8625" spans="20:25" x14ac:dyDescent="0.3">
      <c r="T8625" s="12"/>
      <c r="U8625" s="4"/>
      <c r="V8625" s="4"/>
      <c r="X8625" s="4"/>
      <c r="Y8625" s="4"/>
    </row>
    <row r="8626" spans="20:25" x14ac:dyDescent="0.3">
      <c r="T8626" s="12"/>
      <c r="U8626" s="4"/>
      <c r="V8626" s="4"/>
      <c r="X8626" s="4"/>
      <c r="Y8626" s="4"/>
    </row>
    <row r="8627" spans="20:25" x14ac:dyDescent="0.3">
      <c r="T8627" s="12"/>
      <c r="U8627" s="4"/>
      <c r="V8627" s="4"/>
      <c r="X8627" s="4"/>
      <c r="Y8627" s="4"/>
    </row>
    <row r="8628" spans="20:25" x14ac:dyDescent="0.3">
      <c r="T8628" s="12"/>
      <c r="U8628" s="4"/>
      <c r="V8628" s="4"/>
      <c r="X8628" s="4"/>
      <c r="Y8628" s="4"/>
    </row>
    <row r="8629" spans="20:25" x14ac:dyDescent="0.3">
      <c r="T8629" s="12"/>
      <c r="U8629" s="4"/>
      <c r="V8629" s="4"/>
      <c r="X8629" s="4"/>
      <c r="Y8629" s="4"/>
    </row>
    <row r="8630" spans="20:25" x14ac:dyDescent="0.3">
      <c r="T8630" s="12"/>
      <c r="U8630" s="4"/>
      <c r="V8630" s="4"/>
      <c r="X8630" s="4"/>
      <c r="Y8630" s="4"/>
    </row>
    <row r="8631" spans="20:25" x14ac:dyDescent="0.3">
      <c r="T8631" s="12"/>
      <c r="U8631" s="4"/>
      <c r="V8631" s="4"/>
      <c r="X8631" s="4"/>
      <c r="Y8631" s="4"/>
    </row>
    <row r="8632" spans="20:25" x14ac:dyDescent="0.3">
      <c r="T8632" s="12"/>
      <c r="U8632" s="4"/>
      <c r="V8632" s="4"/>
      <c r="X8632" s="4"/>
      <c r="Y8632" s="4"/>
    </row>
    <row r="8633" spans="20:25" x14ac:dyDescent="0.3">
      <c r="T8633" s="12"/>
      <c r="U8633" s="4"/>
      <c r="V8633" s="4"/>
      <c r="X8633" s="4"/>
      <c r="Y8633" s="4"/>
    </row>
    <row r="8634" spans="20:25" x14ac:dyDescent="0.3">
      <c r="T8634" s="12"/>
      <c r="U8634" s="4"/>
      <c r="V8634" s="4"/>
      <c r="X8634" s="4"/>
      <c r="Y8634" s="4"/>
    </row>
    <row r="8635" spans="20:25" x14ac:dyDescent="0.3">
      <c r="T8635" s="12"/>
      <c r="U8635" s="4"/>
      <c r="V8635" s="4"/>
      <c r="X8635" s="4"/>
      <c r="Y8635" s="4"/>
    </row>
    <row r="8636" spans="20:25" x14ac:dyDescent="0.3">
      <c r="T8636" s="12"/>
      <c r="U8636" s="4"/>
      <c r="V8636" s="4"/>
      <c r="X8636" s="4"/>
      <c r="Y8636" s="4"/>
    </row>
    <row r="8637" spans="20:25" x14ac:dyDescent="0.3">
      <c r="T8637" s="12"/>
      <c r="U8637" s="4"/>
      <c r="V8637" s="4"/>
      <c r="X8637" s="4"/>
      <c r="Y8637" s="4"/>
    </row>
    <row r="8638" spans="20:25" x14ac:dyDescent="0.3">
      <c r="T8638" s="12"/>
      <c r="U8638" s="4"/>
      <c r="V8638" s="4"/>
      <c r="X8638" s="4"/>
      <c r="Y8638" s="4"/>
    </row>
    <row r="8639" spans="20:25" x14ac:dyDescent="0.3">
      <c r="T8639" s="12"/>
      <c r="U8639" s="4"/>
      <c r="V8639" s="4"/>
      <c r="X8639" s="4"/>
      <c r="Y8639" s="4"/>
    </row>
    <row r="8640" spans="20:25" x14ac:dyDescent="0.3">
      <c r="T8640" s="12"/>
      <c r="U8640" s="4"/>
      <c r="V8640" s="4"/>
      <c r="X8640" s="4"/>
      <c r="Y8640" s="4"/>
    </row>
    <row r="8641" spans="20:25" x14ac:dyDescent="0.3">
      <c r="T8641" s="12"/>
      <c r="U8641" s="4"/>
      <c r="V8641" s="4"/>
      <c r="X8641" s="4"/>
      <c r="Y8641" s="4"/>
    </row>
    <row r="8642" spans="20:25" x14ac:dyDescent="0.3">
      <c r="T8642" s="12"/>
      <c r="U8642" s="4"/>
      <c r="V8642" s="4"/>
      <c r="X8642" s="4"/>
      <c r="Y8642" s="4"/>
    </row>
    <row r="8643" spans="20:25" x14ac:dyDescent="0.3">
      <c r="T8643" s="12"/>
      <c r="U8643" s="4"/>
      <c r="V8643" s="4"/>
      <c r="X8643" s="4"/>
      <c r="Y8643" s="4"/>
    </row>
    <row r="8644" spans="20:25" x14ac:dyDescent="0.3">
      <c r="T8644" s="12"/>
      <c r="U8644" s="4"/>
      <c r="V8644" s="4"/>
      <c r="X8644" s="4"/>
      <c r="Y8644" s="4"/>
    </row>
    <row r="8645" spans="20:25" x14ac:dyDescent="0.3">
      <c r="T8645" s="12"/>
      <c r="U8645" s="4"/>
      <c r="V8645" s="4"/>
      <c r="X8645" s="4"/>
      <c r="Y8645" s="4"/>
    </row>
    <row r="8646" spans="20:25" x14ac:dyDescent="0.3">
      <c r="T8646" s="12"/>
      <c r="U8646" s="4"/>
      <c r="V8646" s="4"/>
      <c r="X8646" s="4"/>
      <c r="Y8646" s="4"/>
    </row>
    <row r="8647" spans="20:25" x14ac:dyDescent="0.3">
      <c r="T8647" s="12"/>
      <c r="U8647" s="4"/>
      <c r="V8647" s="4"/>
      <c r="X8647" s="4"/>
      <c r="Y8647" s="4"/>
    </row>
    <row r="8648" spans="20:25" x14ac:dyDescent="0.3">
      <c r="T8648" s="12"/>
      <c r="U8648" s="4"/>
      <c r="V8648" s="4"/>
      <c r="X8648" s="4"/>
      <c r="Y8648" s="4"/>
    </row>
    <row r="8649" spans="20:25" x14ac:dyDescent="0.3">
      <c r="T8649" s="12"/>
      <c r="U8649" s="4"/>
      <c r="V8649" s="4"/>
      <c r="X8649" s="4"/>
      <c r="Y8649" s="4"/>
    </row>
    <row r="8650" spans="20:25" x14ac:dyDescent="0.3">
      <c r="T8650" s="12"/>
      <c r="U8650" s="4"/>
      <c r="V8650" s="4"/>
      <c r="X8650" s="4"/>
      <c r="Y8650" s="4"/>
    </row>
    <row r="8651" spans="20:25" x14ac:dyDescent="0.3">
      <c r="T8651" s="12"/>
      <c r="U8651" s="4"/>
      <c r="V8651" s="4"/>
      <c r="X8651" s="4"/>
      <c r="Y8651" s="4"/>
    </row>
    <row r="8652" spans="20:25" x14ac:dyDescent="0.3">
      <c r="T8652" s="12"/>
      <c r="U8652" s="4"/>
      <c r="V8652" s="4"/>
      <c r="X8652" s="4"/>
      <c r="Y8652" s="4"/>
    </row>
    <row r="8653" spans="20:25" x14ac:dyDescent="0.3">
      <c r="T8653" s="12"/>
      <c r="U8653" s="4"/>
      <c r="V8653" s="4"/>
      <c r="X8653" s="4"/>
      <c r="Y8653" s="4"/>
    </row>
    <row r="8654" spans="20:25" x14ac:dyDescent="0.3">
      <c r="T8654" s="12"/>
      <c r="U8654" s="4"/>
      <c r="V8654" s="4"/>
      <c r="X8654" s="4"/>
      <c r="Y8654" s="4"/>
    </row>
    <row r="8655" spans="20:25" x14ac:dyDescent="0.3">
      <c r="T8655" s="12"/>
      <c r="U8655" s="4"/>
      <c r="V8655" s="4"/>
      <c r="X8655" s="4"/>
      <c r="Y8655" s="4"/>
    </row>
    <row r="8656" spans="20:25" x14ac:dyDescent="0.3">
      <c r="T8656" s="12"/>
      <c r="U8656" s="4"/>
      <c r="V8656" s="4"/>
      <c r="X8656" s="4"/>
      <c r="Y8656" s="4"/>
    </row>
    <row r="8657" spans="20:25" x14ac:dyDescent="0.3">
      <c r="T8657" s="12"/>
      <c r="U8657" s="4"/>
      <c r="V8657" s="4"/>
      <c r="X8657" s="4"/>
      <c r="Y8657" s="4"/>
    </row>
    <row r="8658" spans="20:25" x14ac:dyDescent="0.3">
      <c r="T8658" s="12"/>
      <c r="U8658" s="4"/>
      <c r="V8658" s="4"/>
      <c r="X8658" s="4"/>
      <c r="Y8658" s="4"/>
    </row>
    <row r="8659" spans="20:25" x14ac:dyDescent="0.3">
      <c r="T8659" s="12"/>
      <c r="U8659" s="4"/>
      <c r="V8659" s="4"/>
      <c r="X8659" s="4"/>
      <c r="Y8659" s="4"/>
    </row>
    <row r="8660" spans="20:25" x14ac:dyDescent="0.3">
      <c r="T8660" s="12"/>
      <c r="U8660" s="4"/>
      <c r="V8660" s="4"/>
      <c r="X8660" s="4"/>
      <c r="Y8660" s="4"/>
    </row>
    <row r="8661" spans="20:25" x14ac:dyDescent="0.3">
      <c r="T8661" s="12"/>
      <c r="U8661" s="4"/>
      <c r="V8661" s="4"/>
      <c r="X8661" s="4"/>
      <c r="Y8661" s="4"/>
    </row>
    <row r="8662" spans="20:25" x14ac:dyDescent="0.3">
      <c r="T8662" s="12"/>
      <c r="U8662" s="4"/>
      <c r="V8662" s="4"/>
      <c r="X8662" s="4"/>
      <c r="Y8662" s="4"/>
    </row>
    <row r="8663" spans="20:25" x14ac:dyDescent="0.3">
      <c r="T8663" s="12"/>
      <c r="U8663" s="4"/>
      <c r="V8663" s="4"/>
      <c r="X8663" s="4"/>
      <c r="Y8663" s="4"/>
    </row>
    <row r="8664" spans="20:25" x14ac:dyDescent="0.3">
      <c r="T8664" s="12"/>
      <c r="U8664" s="4"/>
      <c r="V8664" s="4"/>
      <c r="X8664" s="4"/>
      <c r="Y8664" s="4"/>
    </row>
    <row r="8665" spans="20:25" x14ac:dyDescent="0.3">
      <c r="T8665" s="12"/>
      <c r="U8665" s="4"/>
      <c r="V8665" s="4"/>
      <c r="X8665" s="4"/>
      <c r="Y8665" s="4"/>
    </row>
    <row r="8666" spans="20:25" x14ac:dyDescent="0.3">
      <c r="T8666" s="12"/>
      <c r="U8666" s="4"/>
      <c r="V8666" s="4"/>
      <c r="X8666" s="4"/>
      <c r="Y8666" s="4"/>
    </row>
    <row r="8667" spans="20:25" x14ac:dyDescent="0.3">
      <c r="T8667" s="12"/>
      <c r="U8667" s="4"/>
      <c r="V8667" s="4"/>
      <c r="X8667" s="4"/>
      <c r="Y8667" s="4"/>
    </row>
    <row r="8668" spans="20:25" x14ac:dyDescent="0.3">
      <c r="T8668" s="12"/>
      <c r="U8668" s="4"/>
      <c r="V8668" s="4"/>
      <c r="X8668" s="4"/>
      <c r="Y8668" s="4"/>
    </row>
    <row r="8669" spans="20:25" x14ac:dyDescent="0.3">
      <c r="T8669" s="12"/>
      <c r="U8669" s="4"/>
      <c r="V8669" s="4"/>
      <c r="X8669" s="4"/>
      <c r="Y8669" s="4"/>
    </row>
    <row r="8670" spans="20:25" x14ac:dyDescent="0.3">
      <c r="T8670" s="12"/>
      <c r="U8670" s="4"/>
      <c r="V8670" s="4"/>
      <c r="X8670" s="4"/>
      <c r="Y8670" s="4"/>
    </row>
    <row r="8671" spans="20:25" x14ac:dyDescent="0.3">
      <c r="T8671" s="12"/>
      <c r="U8671" s="4"/>
      <c r="V8671" s="4"/>
      <c r="X8671" s="4"/>
      <c r="Y8671" s="4"/>
    </row>
    <row r="8672" spans="20:25" x14ac:dyDescent="0.3">
      <c r="T8672" s="12"/>
      <c r="U8672" s="4"/>
      <c r="V8672" s="4"/>
      <c r="X8672" s="4"/>
      <c r="Y8672" s="4"/>
    </row>
    <row r="8673" spans="20:25" x14ac:dyDescent="0.3">
      <c r="T8673" s="12"/>
      <c r="U8673" s="4"/>
      <c r="V8673" s="4"/>
      <c r="X8673" s="4"/>
      <c r="Y8673" s="4"/>
    </row>
    <row r="8674" spans="20:25" x14ac:dyDescent="0.3">
      <c r="T8674" s="12"/>
      <c r="U8674" s="4"/>
      <c r="V8674" s="4"/>
      <c r="X8674" s="4"/>
      <c r="Y8674" s="4"/>
    </row>
    <row r="8675" spans="20:25" x14ac:dyDescent="0.3">
      <c r="T8675" s="12"/>
      <c r="U8675" s="4"/>
      <c r="V8675" s="4"/>
      <c r="X8675" s="4"/>
      <c r="Y8675" s="4"/>
    </row>
    <row r="8676" spans="20:25" x14ac:dyDescent="0.3">
      <c r="T8676" s="12"/>
      <c r="U8676" s="4"/>
      <c r="V8676" s="4"/>
      <c r="X8676" s="4"/>
      <c r="Y8676" s="4"/>
    </row>
    <row r="8677" spans="20:25" x14ac:dyDescent="0.3">
      <c r="T8677" s="12"/>
      <c r="U8677" s="4"/>
      <c r="V8677" s="4"/>
      <c r="X8677" s="4"/>
      <c r="Y8677" s="4"/>
    </row>
    <row r="8678" spans="20:25" x14ac:dyDescent="0.3">
      <c r="T8678" s="12"/>
      <c r="U8678" s="4"/>
      <c r="V8678" s="4"/>
      <c r="X8678" s="4"/>
      <c r="Y8678" s="4"/>
    </row>
    <row r="8679" spans="20:25" x14ac:dyDescent="0.3">
      <c r="T8679" s="12"/>
      <c r="U8679" s="4"/>
      <c r="V8679" s="4"/>
      <c r="X8679" s="4"/>
      <c r="Y8679" s="4"/>
    </row>
    <row r="8680" spans="20:25" x14ac:dyDescent="0.3">
      <c r="T8680" s="12"/>
      <c r="U8680" s="4"/>
      <c r="V8680" s="4"/>
      <c r="X8680" s="4"/>
      <c r="Y8680" s="4"/>
    </row>
    <row r="8681" spans="20:25" x14ac:dyDescent="0.3">
      <c r="T8681" s="12"/>
      <c r="U8681" s="4"/>
      <c r="V8681" s="4"/>
      <c r="X8681" s="4"/>
      <c r="Y8681" s="4"/>
    </row>
    <row r="8682" spans="20:25" x14ac:dyDescent="0.3">
      <c r="T8682" s="12"/>
      <c r="U8682" s="4"/>
      <c r="V8682" s="4"/>
      <c r="X8682" s="4"/>
      <c r="Y8682" s="4"/>
    </row>
    <row r="8683" spans="20:25" x14ac:dyDescent="0.3">
      <c r="T8683" s="12"/>
      <c r="U8683" s="4"/>
      <c r="V8683" s="4"/>
      <c r="X8683" s="4"/>
      <c r="Y8683" s="4"/>
    </row>
    <row r="8684" spans="20:25" x14ac:dyDescent="0.3">
      <c r="T8684" s="12"/>
      <c r="U8684" s="4"/>
      <c r="V8684" s="4"/>
      <c r="X8684" s="4"/>
      <c r="Y8684" s="4"/>
    </row>
    <row r="8685" spans="20:25" x14ac:dyDescent="0.3">
      <c r="T8685" s="12"/>
      <c r="U8685" s="4"/>
      <c r="V8685" s="4"/>
      <c r="X8685" s="4"/>
      <c r="Y8685" s="4"/>
    </row>
    <row r="8686" spans="20:25" x14ac:dyDescent="0.3">
      <c r="T8686" s="12"/>
      <c r="U8686" s="4"/>
      <c r="V8686" s="4"/>
      <c r="X8686" s="4"/>
      <c r="Y8686" s="4"/>
    </row>
    <row r="8687" spans="20:25" x14ac:dyDescent="0.3">
      <c r="T8687" s="12"/>
      <c r="U8687" s="4"/>
      <c r="V8687" s="4"/>
      <c r="X8687" s="4"/>
      <c r="Y8687" s="4"/>
    </row>
    <row r="8688" spans="20:25" x14ac:dyDescent="0.3">
      <c r="T8688" s="12"/>
      <c r="U8688" s="4"/>
      <c r="V8688" s="4"/>
      <c r="X8688" s="4"/>
      <c r="Y8688" s="4"/>
    </row>
    <row r="8689" spans="20:25" x14ac:dyDescent="0.3">
      <c r="T8689" s="12"/>
      <c r="U8689" s="4"/>
      <c r="V8689" s="4"/>
      <c r="X8689" s="4"/>
      <c r="Y8689" s="4"/>
    </row>
    <row r="8690" spans="20:25" x14ac:dyDescent="0.3">
      <c r="T8690" s="12"/>
      <c r="U8690" s="4"/>
      <c r="V8690" s="4"/>
      <c r="X8690" s="4"/>
      <c r="Y8690" s="4"/>
    </row>
    <row r="8691" spans="20:25" x14ac:dyDescent="0.3">
      <c r="T8691" s="12"/>
      <c r="U8691" s="4"/>
      <c r="V8691" s="4"/>
      <c r="X8691" s="4"/>
      <c r="Y8691" s="4"/>
    </row>
    <row r="8692" spans="20:25" x14ac:dyDescent="0.3">
      <c r="T8692" s="12"/>
      <c r="U8692" s="4"/>
      <c r="V8692" s="4"/>
      <c r="X8692" s="4"/>
      <c r="Y8692" s="4"/>
    </row>
    <row r="8693" spans="20:25" x14ac:dyDescent="0.3">
      <c r="T8693" s="12"/>
      <c r="U8693" s="4"/>
      <c r="V8693" s="4"/>
      <c r="X8693" s="4"/>
      <c r="Y8693" s="4"/>
    </row>
    <row r="8694" spans="20:25" x14ac:dyDescent="0.3">
      <c r="T8694" s="12"/>
      <c r="U8694" s="4"/>
      <c r="V8694" s="4"/>
      <c r="X8694" s="4"/>
      <c r="Y8694" s="4"/>
    </row>
    <row r="8695" spans="20:25" x14ac:dyDescent="0.3">
      <c r="T8695" s="12"/>
      <c r="U8695" s="4"/>
      <c r="V8695" s="4"/>
      <c r="X8695" s="4"/>
      <c r="Y8695" s="4"/>
    </row>
    <row r="8696" spans="20:25" x14ac:dyDescent="0.3">
      <c r="T8696" s="12"/>
      <c r="U8696" s="4"/>
      <c r="V8696" s="4"/>
      <c r="X8696" s="4"/>
      <c r="Y8696" s="4"/>
    </row>
    <row r="8697" spans="20:25" x14ac:dyDescent="0.3">
      <c r="T8697" s="12"/>
      <c r="U8697" s="4"/>
      <c r="V8697" s="4"/>
      <c r="X8697" s="4"/>
      <c r="Y8697" s="4"/>
    </row>
    <row r="8698" spans="20:25" x14ac:dyDescent="0.3">
      <c r="T8698" s="12"/>
      <c r="U8698" s="4"/>
      <c r="V8698" s="4"/>
      <c r="X8698" s="4"/>
      <c r="Y8698" s="4"/>
    </row>
    <row r="8699" spans="20:25" x14ac:dyDescent="0.3">
      <c r="T8699" s="12"/>
      <c r="U8699" s="4"/>
      <c r="V8699" s="4"/>
      <c r="X8699" s="4"/>
      <c r="Y8699" s="4"/>
    </row>
    <row r="8700" spans="20:25" x14ac:dyDescent="0.3">
      <c r="T8700" s="12"/>
      <c r="U8700" s="4"/>
      <c r="V8700" s="4"/>
      <c r="X8700" s="4"/>
      <c r="Y8700" s="4"/>
    </row>
    <row r="8701" spans="20:25" x14ac:dyDescent="0.3">
      <c r="T8701" s="12"/>
      <c r="U8701" s="4"/>
      <c r="V8701" s="4"/>
      <c r="X8701" s="4"/>
      <c r="Y8701" s="4"/>
    </row>
    <row r="8702" spans="20:25" x14ac:dyDescent="0.3">
      <c r="T8702" s="12"/>
      <c r="U8702" s="4"/>
      <c r="V8702" s="4"/>
      <c r="X8702" s="4"/>
      <c r="Y8702" s="4"/>
    </row>
    <row r="8703" spans="20:25" x14ac:dyDescent="0.3">
      <c r="T8703" s="12"/>
      <c r="U8703" s="4"/>
      <c r="V8703" s="4"/>
      <c r="X8703" s="4"/>
      <c r="Y8703" s="4"/>
    </row>
    <row r="8704" spans="20:25" x14ac:dyDescent="0.3">
      <c r="T8704" s="12"/>
      <c r="U8704" s="4"/>
      <c r="V8704" s="4"/>
      <c r="X8704" s="4"/>
      <c r="Y8704" s="4"/>
    </row>
    <row r="8705" spans="20:25" x14ac:dyDescent="0.3">
      <c r="T8705" s="12"/>
      <c r="U8705" s="4"/>
      <c r="V8705" s="4"/>
      <c r="X8705" s="4"/>
      <c r="Y8705" s="4"/>
    </row>
    <row r="8706" spans="20:25" x14ac:dyDescent="0.3">
      <c r="T8706" s="12"/>
      <c r="U8706" s="4"/>
      <c r="V8706" s="4"/>
      <c r="X8706" s="4"/>
      <c r="Y8706" s="4"/>
    </row>
    <row r="8707" spans="20:25" x14ac:dyDescent="0.3">
      <c r="T8707" s="12"/>
      <c r="U8707" s="4"/>
      <c r="V8707" s="4"/>
      <c r="X8707" s="4"/>
      <c r="Y8707" s="4"/>
    </row>
    <row r="8708" spans="20:25" x14ac:dyDescent="0.3">
      <c r="T8708" s="12"/>
      <c r="U8708" s="4"/>
      <c r="V8708" s="4"/>
      <c r="X8708" s="4"/>
      <c r="Y8708" s="4"/>
    </row>
    <row r="8709" spans="20:25" x14ac:dyDescent="0.3">
      <c r="T8709" s="12"/>
      <c r="U8709" s="4"/>
      <c r="V8709" s="4"/>
      <c r="X8709" s="4"/>
      <c r="Y8709" s="4"/>
    </row>
    <row r="8710" spans="20:25" x14ac:dyDescent="0.3">
      <c r="T8710" s="12"/>
      <c r="U8710" s="4"/>
      <c r="V8710" s="4"/>
      <c r="X8710" s="4"/>
      <c r="Y8710" s="4"/>
    </row>
    <row r="8711" spans="20:25" x14ac:dyDescent="0.3">
      <c r="T8711" s="12"/>
      <c r="U8711" s="4"/>
      <c r="V8711" s="4"/>
      <c r="X8711" s="4"/>
      <c r="Y8711" s="4"/>
    </row>
    <row r="8712" spans="20:25" x14ac:dyDescent="0.3">
      <c r="T8712" s="12"/>
      <c r="U8712" s="4"/>
      <c r="V8712" s="4"/>
      <c r="X8712" s="4"/>
      <c r="Y8712" s="4"/>
    </row>
    <row r="8713" spans="20:25" x14ac:dyDescent="0.3">
      <c r="T8713" s="12"/>
      <c r="U8713" s="4"/>
      <c r="V8713" s="4"/>
      <c r="X8713" s="4"/>
      <c r="Y8713" s="4"/>
    </row>
    <row r="8714" spans="20:25" x14ac:dyDescent="0.3">
      <c r="T8714" s="12"/>
      <c r="U8714" s="4"/>
      <c r="V8714" s="4"/>
      <c r="X8714" s="4"/>
      <c r="Y8714" s="4"/>
    </row>
    <row r="8715" spans="20:25" x14ac:dyDescent="0.3">
      <c r="T8715" s="12"/>
      <c r="U8715" s="4"/>
      <c r="V8715" s="4"/>
      <c r="X8715" s="4"/>
      <c r="Y8715" s="4"/>
    </row>
    <row r="8716" spans="20:25" x14ac:dyDescent="0.3">
      <c r="T8716" s="12"/>
      <c r="U8716" s="4"/>
      <c r="V8716" s="4"/>
      <c r="X8716" s="4"/>
      <c r="Y8716" s="4"/>
    </row>
    <row r="8717" spans="20:25" x14ac:dyDescent="0.3">
      <c r="T8717" s="12"/>
      <c r="U8717" s="4"/>
      <c r="V8717" s="4"/>
      <c r="X8717" s="4"/>
      <c r="Y8717" s="4"/>
    </row>
    <row r="8718" spans="20:25" x14ac:dyDescent="0.3">
      <c r="T8718" s="12"/>
      <c r="U8718" s="4"/>
      <c r="V8718" s="4"/>
      <c r="X8718" s="4"/>
      <c r="Y8718" s="4"/>
    </row>
    <row r="8719" spans="20:25" x14ac:dyDescent="0.3">
      <c r="T8719" s="12"/>
      <c r="U8719" s="4"/>
      <c r="V8719" s="4"/>
      <c r="X8719" s="4"/>
      <c r="Y8719" s="4"/>
    </row>
    <row r="8720" spans="20:25" x14ac:dyDescent="0.3">
      <c r="T8720" s="12"/>
      <c r="U8720" s="4"/>
      <c r="V8720" s="4"/>
      <c r="X8720" s="4"/>
      <c r="Y8720" s="4"/>
    </row>
    <row r="8721" spans="20:25" x14ac:dyDescent="0.3">
      <c r="T8721" s="12"/>
      <c r="U8721" s="4"/>
      <c r="V8721" s="4"/>
      <c r="X8721" s="4"/>
      <c r="Y8721" s="4"/>
    </row>
    <row r="8722" spans="20:25" x14ac:dyDescent="0.3">
      <c r="T8722" s="12"/>
      <c r="U8722" s="4"/>
      <c r="V8722" s="4"/>
      <c r="X8722" s="4"/>
      <c r="Y8722" s="4"/>
    </row>
    <row r="8723" spans="20:25" x14ac:dyDescent="0.3">
      <c r="T8723" s="12"/>
      <c r="U8723" s="4"/>
      <c r="V8723" s="4"/>
      <c r="X8723" s="4"/>
      <c r="Y8723" s="4"/>
    </row>
    <row r="8724" spans="20:25" x14ac:dyDescent="0.3">
      <c r="T8724" s="12"/>
      <c r="U8724" s="4"/>
      <c r="V8724" s="4"/>
      <c r="X8724" s="4"/>
      <c r="Y8724" s="4"/>
    </row>
    <row r="8725" spans="20:25" x14ac:dyDescent="0.3">
      <c r="T8725" s="12"/>
      <c r="U8725" s="4"/>
      <c r="V8725" s="4"/>
      <c r="X8725" s="4"/>
      <c r="Y8725" s="4"/>
    </row>
    <row r="8726" spans="20:25" x14ac:dyDescent="0.3">
      <c r="T8726" s="12"/>
      <c r="U8726" s="4"/>
      <c r="V8726" s="4"/>
      <c r="X8726" s="4"/>
      <c r="Y8726" s="4"/>
    </row>
    <row r="8727" spans="20:25" x14ac:dyDescent="0.3">
      <c r="T8727" s="12"/>
      <c r="U8727" s="4"/>
      <c r="V8727" s="4"/>
      <c r="X8727" s="4"/>
      <c r="Y8727" s="4"/>
    </row>
    <row r="8728" spans="20:25" x14ac:dyDescent="0.3">
      <c r="T8728" s="12"/>
      <c r="U8728" s="4"/>
      <c r="V8728" s="4"/>
      <c r="X8728" s="4"/>
      <c r="Y8728" s="4"/>
    </row>
    <row r="8729" spans="20:25" x14ac:dyDescent="0.3">
      <c r="T8729" s="12"/>
      <c r="U8729" s="4"/>
      <c r="V8729" s="4"/>
      <c r="X8729" s="4"/>
      <c r="Y8729" s="4"/>
    </row>
    <row r="8730" spans="20:25" x14ac:dyDescent="0.3">
      <c r="T8730" s="12"/>
      <c r="U8730" s="4"/>
      <c r="V8730" s="4"/>
      <c r="X8730" s="4"/>
      <c r="Y8730" s="4"/>
    </row>
    <row r="8731" spans="20:25" x14ac:dyDescent="0.3">
      <c r="T8731" s="12"/>
      <c r="U8731" s="4"/>
      <c r="V8731" s="4"/>
      <c r="X8731" s="4"/>
      <c r="Y8731" s="4"/>
    </row>
    <row r="8732" spans="20:25" x14ac:dyDescent="0.3">
      <c r="T8732" s="12"/>
      <c r="U8732" s="4"/>
      <c r="V8732" s="4"/>
      <c r="X8732" s="4"/>
      <c r="Y8732" s="4"/>
    </row>
    <row r="8733" spans="20:25" x14ac:dyDescent="0.3">
      <c r="T8733" s="12"/>
      <c r="U8733" s="4"/>
      <c r="V8733" s="4"/>
      <c r="X8733" s="4"/>
      <c r="Y8733" s="4"/>
    </row>
    <row r="8734" spans="20:25" x14ac:dyDescent="0.3">
      <c r="T8734" s="12"/>
      <c r="U8734" s="4"/>
      <c r="V8734" s="4"/>
      <c r="X8734" s="4"/>
      <c r="Y8734" s="4"/>
    </row>
    <row r="8735" spans="20:25" x14ac:dyDescent="0.3">
      <c r="T8735" s="12"/>
      <c r="U8735" s="4"/>
      <c r="V8735" s="4"/>
      <c r="X8735" s="4"/>
      <c r="Y8735" s="4"/>
    </row>
    <row r="8736" spans="20:25" x14ac:dyDescent="0.3">
      <c r="T8736" s="12"/>
      <c r="U8736" s="4"/>
      <c r="V8736" s="4"/>
      <c r="X8736" s="4"/>
      <c r="Y8736" s="4"/>
    </row>
    <row r="8737" spans="20:25" x14ac:dyDescent="0.3">
      <c r="T8737" s="12"/>
      <c r="U8737" s="4"/>
      <c r="V8737" s="4"/>
      <c r="X8737" s="4"/>
      <c r="Y8737" s="4"/>
    </row>
    <row r="8738" spans="20:25" x14ac:dyDescent="0.3">
      <c r="T8738" s="12"/>
      <c r="U8738" s="4"/>
      <c r="V8738" s="4"/>
      <c r="X8738" s="4"/>
      <c r="Y8738" s="4"/>
    </row>
    <row r="8739" spans="20:25" x14ac:dyDescent="0.3">
      <c r="T8739" s="12"/>
      <c r="U8739" s="4"/>
      <c r="V8739" s="4"/>
      <c r="X8739" s="4"/>
      <c r="Y8739" s="4"/>
    </row>
    <row r="8740" spans="20:25" x14ac:dyDescent="0.3">
      <c r="T8740" s="12"/>
      <c r="U8740" s="4"/>
      <c r="V8740" s="4"/>
      <c r="X8740" s="4"/>
      <c r="Y8740" s="4"/>
    </row>
    <row r="8741" spans="20:25" x14ac:dyDescent="0.3">
      <c r="T8741" s="12"/>
      <c r="U8741" s="4"/>
      <c r="V8741" s="4"/>
      <c r="X8741" s="4"/>
      <c r="Y8741" s="4"/>
    </row>
    <row r="8742" spans="20:25" x14ac:dyDescent="0.3">
      <c r="T8742" s="12"/>
      <c r="U8742" s="4"/>
      <c r="V8742" s="4"/>
      <c r="X8742" s="4"/>
      <c r="Y8742" s="4"/>
    </row>
    <row r="8743" spans="20:25" x14ac:dyDescent="0.3">
      <c r="T8743" s="12"/>
      <c r="U8743" s="4"/>
      <c r="V8743" s="4"/>
      <c r="X8743" s="4"/>
      <c r="Y8743" s="4"/>
    </row>
    <row r="8744" spans="20:25" x14ac:dyDescent="0.3">
      <c r="T8744" s="12"/>
      <c r="U8744" s="4"/>
      <c r="V8744" s="4"/>
      <c r="X8744" s="4"/>
      <c r="Y8744" s="4"/>
    </row>
    <row r="8745" spans="20:25" x14ac:dyDescent="0.3">
      <c r="T8745" s="12"/>
      <c r="U8745" s="4"/>
      <c r="V8745" s="4"/>
      <c r="X8745" s="4"/>
      <c r="Y8745" s="4"/>
    </row>
    <row r="8746" spans="20:25" x14ac:dyDescent="0.3">
      <c r="T8746" s="12"/>
      <c r="U8746" s="4"/>
      <c r="V8746" s="4"/>
      <c r="X8746" s="4"/>
      <c r="Y8746" s="4"/>
    </row>
    <row r="8747" spans="20:25" x14ac:dyDescent="0.3">
      <c r="T8747" s="12"/>
      <c r="U8747" s="4"/>
      <c r="V8747" s="4"/>
      <c r="X8747" s="4"/>
      <c r="Y8747" s="4"/>
    </row>
    <row r="8748" spans="20:25" x14ac:dyDescent="0.3">
      <c r="T8748" s="12"/>
      <c r="U8748" s="4"/>
      <c r="V8748" s="4"/>
      <c r="X8748" s="4"/>
      <c r="Y8748" s="4"/>
    </row>
    <row r="8749" spans="20:25" x14ac:dyDescent="0.3">
      <c r="T8749" s="12"/>
      <c r="U8749" s="4"/>
      <c r="V8749" s="4"/>
      <c r="X8749" s="4"/>
      <c r="Y8749" s="4"/>
    </row>
    <row r="8750" spans="20:25" x14ac:dyDescent="0.3">
      <c r="T8750" s="12"/>
      <c r="U8750" s="4"/>
      <c r="V8750" s="4"/>
      <c r="X8750" s="4"/>
      <c r="Y8750" s="4"/>
    </row>
    <row r="8751" spans="20:25" x14ac:dyDescent="0.3">
      <c r="T8751" s="12"/>
      <c r="U8751" s="4"/>
      <c r="V8751" s="4"/>
      <c r="X8751" s="4"/>
      <c r="Y8751" s="4"/>
    </row>
    <row r="8752" spans="20:25" x14ac:dyDescent="0.3">
      <c r="T8752" s="12"/>
      <c r="U8752" s="4"/>
      <c r="V8752" s="4"/>
      <c r="X8752" s="4"/>
      <c r="Y8752" s="4"/>
    </row>
    <row r="8753" spans="20:25" x14ac:dyDescent="0.3">
      <c r="T8753" s="12"/>
      <c r="U8753" s="4"/>
      <c r="V8753" s="4"/>
      <c r="X8753" s="4"/>
      <c r="Y8753" s="4"/>
    </row>
    <row r="8754" spans="20:25" x14ac:dyDescent="0.3">
      <c r="T8754" s="12"/>
      <c r="U8754" s="4"/>
      <c r="V8754" s="4"/>
      <c r="X8754" s="4"/>
      <c r="Y8754" s="4"/>
    </row>
    <row r="8755" spans="20:25" x14ac:dyDescent="0.3">
      <c r="T8755" s="12"/>
      <c r="U8755" s="4"/>
      <c r="V8755" s="4"/>
      <c r="X8755" s="4"/>
      <c r="Y8755" s="4"/>
    </row>
    <row r="8756" spans="20:25" x14ac:dyDescent="0.3">
      <c r="T8756" s="12"/>
      <c r="U8756" s="4"/>
      <c r="V8756" s="4"/>
      <c r="X8756" s="4"/>
      <c r="Y8756" s="4"/>
    </row>
    <row r="8757" spans="20:25" x14ac:dyDescent="0.3">
      <c r="T8757" s="12"/>
      <c r="U8757" s="4"/>
      <c r="V8757" s="4"/>
      <c r="X8757" s="4"/>
      <c r="Y8757" s="4"/>
    </row>
    <row r="8758" spans="20:25" x14ac:dyDescent="0.3">
      <c r="T8758" s="12"/>
      <c r="U8758" s="4"/>
      <c r="V8758" s="4"/>
      <c r="X8758" s="4"/>
      <c r="Y8758" s="4"/>
    </row>
    <row r="8759" spans="20:25" x14ac:dyDescent="0.3">
      <c r="T8759" s="12"/>
      <c r="U8759" s="4"/>
      <c r="V8759" s="4"/>
      <c r="X8759" s="4"/>
      <c r="Y8759" s="4"/>
    </row>
    <row r="8760" spans="20:25" x14ac:dyDescent="0.3">
      <c r="T8760" s="12"/>
      <c r="U8760" s="4"/>
      <c r="V8760" s="4"/>
      <c r="X8760" s="4"/>
      <c r="Y8760" s="4"/>
    </row>
    <row r="8761" spans="20:25" x14ac:dyDescent="0.3">
      <c r="T8761" s="12"/>
      <c r="U8761" s="4"/>
      <c r="V8761" s="4"/>
      <c r="X8761" s="4"/>
      <c r="Y8761" s="4"/>
    </row>
    <row r="8762" spans="20:25" x14ac:dyDescent="0.3">
      <c r="T8762" s="12"/>
      <c r="U8762" s="4"/>
      <c r="V8762" s="4"/>
      <c r="X8762" s="4"/>
      <c r="Y8762" s="4"/>
    </row>
    <row r="8763" spans="20:25" x14ac:dyDescent="0.3">
      <c r="T8763" s="12"/>
      <c r="U8763" s="4"/>
      <c r="V8763" s="4"/>
      <c r="X8763" s="4"/>
      <c r="Y8763" s="4"/>
    </row>
    <row r="8764" spans="20:25" x14ac:dyDescent="0.3">
      <c r="T8764" s="12"/>
      <c r="U8764" s="4"/>
      <c r="V8764" s="4"/>
      <c r="X8764" s="4"/>
      <c r="Y8764" s="4"/>
    </row>
    <row r="8765" spans="20:25" x14ac:dyDescent="0.3">
      <c r="T8765" s="12"/>
      <c r="U8765" s="4"/>
      <c r="V8765" s="4"/>
      <c r="X8765" s="4"/>
      <c r="Y8765" s="4"/>
    </row>
    <row r="8766" spans="20:25" x14ac:dyDescent="0.3">
      <c r="T8766" s="12"/>
      <c r="U8766" s="4"/>
      <c r="V8766" s="4"/>
      <c r="X8766" s="4"/>
      <c r="Y8766" s="4"/>
    </row>
    <row r="8767" spans="20:25" x14ac:dyDescent="0.3">
      <c r="T8767" s="12"/>
      <c r="U8767" s="4"/>
      <c r="V8767" s="4"/>
      <c r="X8767" s="4"/>
      <c r="Y8767" s="4"/>
    </row>
    <row r="8768" spans="20:25" x14ac:dyDescent="0.3">
      <c r="T8768" s="12"/>
      <c r="U8768" s="4"/>
      <c r="V8768" s="4"/>
      <c r="X8768" s="4"/>
      <c r="Y8768" s="4"/>
    </row>
    <row r="8769" spans="20:25" x14ac:dyDescent="0.3">
      <c r="T8769" s="12"/>
      <c r="U8769" s="4"/>
      <c r="V8769" s="4"/>
      <c r="X8769" s="4"/>
      <c r="Y8769" s="4"/>
    </row>
    <row r="8770" spans="20:25" x14ac:dyDescent="0.3">
      <c r="T8770" s="12"/>
      <c r="U8770" s="4"/>
      <c r="V8770" s="4"/>
      <c r="X8770" s="4"/>
      <c r="Y8770" s="4"/>
    </row>
    <row r="8771" spans="20:25" x14ac:dyDescent="0.3">
      <c r="T8771" s="12"/>
      <c r="U8771" s="4"/>
      <c r="V8771" s="4"/>
      <c r="X8771" s="4"/>
      <c r="Y8771" s="4"/>
    </row>
    <row r="8772" spans="20:25" x14ac:dyDescent="0.3">
      <c r="T8772" s="12"/>
      <c r="U8772" s="4"/>
      <c r="V8772" s="4"/>
      <c r="X8772" s="4"/>
      <c r="Y8772" s="4"/>
    </row>
    <row r="8773" spans="20:25" x14ac:dyDescent="0.3">
      <c r="T8773" s="12"/>
      <c r="U8773" s="4"/>
      <c r="V8773" s="4"/>
      <c r="X8773" s="4"/>
      <c r="Y8773" s="4"/>
    </row>
    <row r="8774" spans="20:25" x14ac:dyDescent="0.3">
      <c r="T8774" s="12"/>
      <c r="U8774" s="4"/>
      <c r="V8774" s="4"/>
      <c r="X8774" s="4"/>
      <c r="Y8774" s="4"/>
    </row>
    <row r="8775" spans="20:25" x14ac:dyDescent="0.3">
      <c r="T8775" s="12"/>
      <c r="U8775" s="4"/>
      <c r="V8775" s="4"/>
      <c r="X8775" s="4"/>
      <c r="Y8775" s="4"/>
    </row>
    <row r="8776" spans="20:25" x14ac:dyDescent="0.3">
      <c r="T8776" s="12"/>
      <c r="U8776" s="4"/>
      <c r="V8776" s="4"/>
      <c r="X8776" s="4"/>
      <c r="Y8776" s="4"/>
    </row>
    <row r="8777" spans="20:25" x14ac:dyDescent="0.3">
      <c r="T8777" s="12"/>
      <c r="U8777" s="4"/>
      <c r="V8777" s="4"/>
      <c r="X8777" s="4"/>
      <c r="Y8777" s="4"/>
    </row>
    <row r="8778" spans="20:25" x14ac:dyDescent="0.3">
      <c r="T8778" s="12"/>
      <c r="U8778" s="4"/>
      <c r="V8778" s="4"/>
      <c r="X8778" s="4"/>
      <c r="Y8778" s="4"/>
    </row>
    <row r="8779" spans="20:25" x14ac:dyDescent="0.3">
      <c r="T8779" s="12"/>
      <c r="U8779" s="4"/>
      <c r="V8779" s="4"/>
      <c r="X8779" s="4"/>
      <c r="Y8779" s="4"/>
    </row>
    <row r="8780" spans="20:25" x14ac:dyDescent="0.3">
      <c r="T8780" s="12"/>
      <c r="U8780" s="4"/>
      <c r="V8780" s="4"/>
      <c r="X8780" s="4"/>
      <c r="Y8780" s="4"/>
    </row>
    <row r="8781" spans="20:25" x14ac:dyDescent="0.3">
      <c r="T8781" s="12"/>
      <c r="U8781" s="4"/>
      <c r="V8781" s="4"/>
      <c r="X8781" s="4"/>
      <c r="Y8781" s="4"/>
    </row>
    <row r="8782" spans="20:25" x14ac:dyDescent="0.3">
      <c r="T8782" s="12"/>
      <c r="U8782" s="4"/>
      <c r="V8782" s="4"/>
      <c r="X8782" s="4"/>
      <c r="Y8782" s="4"/>
    </row>
    <row r="8783" spans="20:25" x14ac:dyDescent="0.3">
      <c r="T8783" s="12"/>
      <c r="U8783" s="4"/>
      <c r="V8783" s="4"/>
      <c r="X8783" s="4"/>
      <c r="Y8783" s="4"/>
    </row>
    <row r="8784" spans="20:25" x14ac:dyDescent="0.3">
      <c r="T8784" s="12"/>
      <c r="U8784" s="4"/>
      <c r="V8784" s="4"/>
      <c r="X8784" s="4"/>
      <c r="Y8784" s="4"/>
    </row>
    <row r="8785" spans="20:25" x14ac:dyDescent="0.3">
      <c r="T8785" s="12"/>
      <c r="U8785" s="4"/>
      <c r="V8785" s="4"/>
      <c r="X8785" s="4"/>
      <c r="Y8785" s="4"/>
    </row>
    <row r="8786" spans="20:25" x14ac:dyDescent="0.3">
      <c r="T8786" s="12"/>
      <c r="U8786" s="4"/>
      <c r="V8786" s="4"/>
      <c r="X8786" s="4"/>
      <c r="Y8786" s="4"/>
    </row>
    <row r="8787" spans="20:25" x14ac:dyDescent="0.3">
      <c r="T8787" s="12"/>
      <c r="U8787" s="4"/>
      <c r="V8787" s="4"/>
      <c r="X8787" s="4"/>
      <c r="Y8787" s="4"/>
    </row>
    <row r="8788" spans="20:25" x14ac:dyDescent="0.3">
      <c r="T8788" s="12"/>
      <c r="U8788" s="4"/>
      <c r="V8788" s="4"/>
      <c r="X8788" s="4"/>
      <c r="Y8788" s="4"/>
    </row>
    <row r="8789" spans="20:25" x14ac:dyDescent="0.3">
      <c r="T8789" s="12"/>
      <c r="U8789" s="4"/>
      <c r="V8789" s="4"/>
      <c r="X8789" s="4"/>
      <c r="Y8789" s="4"/>
    </row>
    <row r="8790" spans="20:25" x14ac:dyDescent="0.3">
      <c r="T8790" s="12"/>
      <c r="U8790" s="4"/>
      <c r="V8790" s="4"/>
      <c r="X8790" s="4"/>
      <c r="Y8790" s="4"/>
    </row>
    <row r="8791" spans="20:25" x14ac:dyDescent="0.3">
      <c r="T8791" s="12"/>
      <c r="U8791" s="4"/>
      <c r="V8791" s="4"/>
      <c r="X8791" s="4"/>
      <c r="Y8791" s="4"/>
    </row>
    <row r="8792" spans="20:25" x14ac:dyDescent="0.3">
      <c r="T8792" s="12"/>
      <c r="U8792" s="4"/>
      <c r="V8792" s="4"/>
      <c r="X8792" s="4"/>
      <c r="Y8792" s="4"/>
    </row>
    <row r="8793" spans="20:25" x14ac:dyDescent="0.3">
      <c r="T8793" s="12"/>
      <c r="U8793" s="4"/>
      <c r="V8793" s="4"/>
      <c r="X8793" s="4"/>
      <c r="Y8793" s="4"/>
    </row>
    <row r="8794" spans="20:25" x14ac:dyDescent="0.3">
      <c r="T8794" s="12"/>
      <c r="U8794" s="4"/>
      <c r="V8794" s="4"/>
      <c r="X8794" s="4"/>
      <c r="Y8794" s="4"/>
    </row>
    <row r="8795" spans="20:25" x14ac:dyDescent="0.3">
      <c r="T8795" s="12"/>
      <c r="U8795" s="4"/>
      <c r="V8795" s="4"/>
      <c r="X8795" s="4"/>
      <c r="Y8795" s="4"/>
    </row>
    <row r="8796" spans="20:25" x14ac:dyDescent="0.3">
      <c r="T8796" s="12"/>
      <c r="U8796" s="4"/>
      <c r="V8796" s="4"/>
      <c r="X8796" s="4"/>
      <c r="Y8796" s="4"/>
    </row>
    <row r="8797" spans="20:25" x14ac:dyDescent="0.3">
      <c r="T8797" s="12"/>
      <c r="U8797" s="4"/>
      <c r="V8797" s="4"/>
      <c r="X8797" s="4"/>
      <c r="Y8797" s="4"/>
    </row>
    <row r="8798" spans="20:25" x14ac:dyDescent="0.3">
      <c r="T8798" s="12"/>
      <c r="U8798" s="4"/>
      <c r="V8798" s="4"/>
      <c r="X8798" s="4"/>
      <c r="Y8798" s="4"/>
    </row>
    <row r="8799" spans="20:25" x14ac:dyDescent="0.3">
      <c r="T8799" s="12"/>
      <c r="U8799" s="4"/>
      <c r="V8799" s="4"/>
      <c r="X8799" s="4"/>
      <c r="Y8799" s="4"/>
    </row>
    <row r="8800" spans="20:25" x14ac:dyDescent="0.3">
      <c r="T8800" s="12"/>
      <c r="U8800" s="4"/>
      <c r="V8800" s="4"/>
      <c r="X8800" s="4"/>
      <c r="Y8800" s="4"/>
    </row>
    <row r="8801" spans="20:25" x14ac:dyDescent="0.3">
      <c r="T8801" s="12"/>
      <c r="U8801" s="4"/>
      <c r="V8801" s="4"/>
      <c r="X8801" s="4"/>
      <c r="Y8801" s="4"/>
    </row>
    <row r="8802" spans="20:25" x14ac:dyDescent="0.3">
      <c r="T8802" s="12"/>
      <c r="U8802" s="4"/>
      <c r="V8802" s="4"/>
      <c r="X8802" s="4"/>
      <c r="Y8802" s="4"/>
    </row>
    <row r="8803" spans="20:25" x14ac:dyDescent="0.3">
      <c r="T8803" s="12"/>
      <c r="U8803" s="4"/>
      <c r="V8803" s="4"/>
      <c r="X8803" s="4"/>
      <c r="Y8803" s="4"/>
    </row>
    <row r="8804" spans="20:25" x14ac:dyDescent="0.3">
      <c r="T8804" s="12"/>
      <c r="U8804" s="4"/>
      <c r="V8804" s="4"/>
      <c r="X8804" s="4"/>
      <c r="Y8804" s="4"/>
    </row>
    <row r="8805" spans="20:25" x14ac:dyDescent="0.3">
      <c r="T8805" s="12"/>
      <c r="U8805" s="4"/>
      <c r="V8805" s="4"/>
      <c r="X8805" s="4"/>
      <c r="Y8805" s="4"/>
    </row>
    <row r="8806" spans="20:25" x14ac:dyDescent="0.3">
      <c r="T8806" s="12"/>
      <c r="U8806" s="4"/>
      <c r="V8806" s="4"/>
      <c r="X8806" s="4"/>
      <c r="Y8806" s="4"/>
    </row>
    <row r="8807" spans="20:25" x14ac:dyDescent="0.3">
      <c r="T8807" s="12"/>
      <c r="U8807" s="4"/>
      <c r="V8807" s="4"/>
      <c r="X8807" s="4"/>
      <c r="Y8807" s="4"/>
    </row>
    <row r="8808" spans="20:25" x14ac:dyDescent="0.3">
      <c r="T8808" s="12"/>
      <c r="U8808" s="4"/>
      <c r="V8808" s="4"/>
      <c r="X8808" s="4"/>
      <c r="Y8808" s="4"/>
    </row>
    <row r="8809" spans="20:25" x14ac:dyDescent="0.3">
      <c r="T8809" s="12"/>
      <c r="U8809" s="4"/>
      <c r="V8809" s="4"/>
      <c r="X8809" s="4"/>
      <c r="Y8809" s="4"/>
    </row>
    <row r="8810" spans="20:25" x14ac:dyDescent="0.3">
      <c r="T8810" s="12"/>
      <c r="U8810" s="4"/>
      <c r="V8810" s="4"/>
      <c r="X8810" s="4"/>
      <c r="Y8810" s="4"/>
    </row>
    <row r="8811" spans="20:25" x14ac:dyDescent="0.3">
      <c r="T8811" s="12"/>
      <c r="U8811" s="4"/>
      <c r="V8811" s="4"/>
      <c r="X8811" s="4"/>
      <c r="Y8811" s="4"/>
    </row>
    <row r="8812" spans="20:25" x14ac:dyDescent="0.3">
      <c r="T8812" s="12"/>
      <c r="U8812" s="4"/>
      <c r="V8812" s="4"/>
      <c r="X8812" s="4"/>
      <c r="Y8812" s="4"/>
    </row>
    <row r="8813" spans="20:25" x14ac:dyDescent="0.3">
      <c r="T8813" s="12"/>
      <c r="U8813" s="4"/>
      <c r="V8813" s="4"/>
      <c r="X8813" s="4"/>
      <c r="Y8813" s="4"/>
    </row>
    <row r="8814" spans="20:25" x14ac:dyDescent="0.3">
      <c r="T8814" s="12"/>
      <c r="U8814" s="4"/>
      <c r="V8814" s="4"/>
      <c r="X8814" s="4"/>
      <c r="Y8814" s="4"/>
    </row>
    <row r="8815" spans="20:25" x14ac:dyDescent="0.3">
      <c r="T8815" s="12"/>
      <c r="U8815" s="4"/>
      <c r="V8815" s="4"/>
      <c r="X8815" s="4"/>
      <c r="Y8815" s="4"/>
    </row>
    <row r="8816" spans="20:25" x14ac:dyDescent="0.3">
      <c r="T8816" s="12"/>
      <c r="U8816" s="4"/>
      <c r="V8816" s="4"/>
      <c r="X8816" s="4"/>
      <c r="Y8816" s="4"/>
    </row>
    <row r="8817" spans="20:25" x14ac:dyDescent="0.3">
      <c r="T8817" s="12"/>
      <c r="U8817" s="4"/>
      <c r="V8817" s="4"/>
      <c r="X8817" s="4"/>
      <c r="Y8817" s="4"/>
    </row>
    <row r="8818" spans="20:25" x14ac:dyDescent="0.3">
      <c r="T8818" s="12"/>
      <c r="U8818" s="4"/>
      <c r="V8818" s="4"/>
      <c r="X8818" s="4"/>
      <c r="Y8818" s="4"/>
    </row>
    <row r="8819" spans="20:25" x14ac:dyDescent="0.3">
      <c r="T8819" s="12"/>
      <c r="U8819" s="4"/>
      <c r="V8819" s="4"/>
      <c r="X8819" s="4"/>
      <c r="Y8819" s="4"/>
    </row>
    <row r="8820" spans="20:25" x14ac:dyDescent="0.3">
      <c r="T8820" s="12"/>
      <c r="U8820" s="4"/>
      <c r="V8820" s="4"/>
      <c r="X8820" s="4"/>
      <c r="Y8820" s="4"/>
    </row>
    <row r="8821" spans="20:25" x14ac:dyDescent="0.3">
      <c r="T8821" s="12"/>
      <c r="U8821" s="4"/>
      <c r="V8821" s="4"/>
      <c r="X8821" s="4"/>
      <c r="Y8821" s="4"/>
    </row>
    <row r="8822" spans="20:25" x14ac:dyDescent="0.3">
      <c r="T8822" s="12"/>
      <c r="U8822" s="4"/>
      <c r="V8822" s="4"/>
      <c r="X8822" s="4"/>
      <c r="Y8822" s="4"/>
    </row>
    <row r="8823" spans="20:25" x14ac:dyDescent="0.3">
      <c r="T8823" s="12"/>
      <c r="U8823" s="4"/>
      <c r="V8823" s="4"/>
      <c r="X8823" s="4"/>
      <c r="Y8823" s="4"/>
    </row>
    <row r="8824" spans="20:25" x14ac:dyDescent="0.3">
      <c r="T8824" s="12"/>
      <c r="U8824" s="4"/>
      <c r="V8824" s="4"/>
      <c r="X8824" s="4"/>
      <c r="Y8824" s="4"/>
    </row>
    <row r="8825" spans="20:25" x14ac:dyDescent="0.3">
      <c r="T8825" s="12"/>
      <c r="U8825" s="4"/>
      <c r="V8825" s="4"/>
      <c r="X8825" s="4"/>
      <c r="Y8825" s="4"/>
    </row>
    <row r="8826" spans="20:25" x14ac:dyDescent="0.3">
      <c r="T8826" s="12"/>
      <c r="U8826" s="4"/>
      <c r="V8826" s="4"/>
      <c r="X8826" s="4"/>
      <c r="Y8826" s="4"/>
    </row>
    <row r="8827" spans="20:25" x14ac:dyDescent="0.3">
      <c r="T8827" s="12"/>
      <c r="U8827" s="4"/>
      <c r="V8827" s="4"/>
      <c r="X8827" s="4"/>
      <c r="Y8827" s="4"/>
    </row>
    <row r="8828" spans="20:25" x14ac:dyDescent="0.3">
      <c r="T8828" s="12"/>
      <c r="U8828" s="4"/>
      <c r="V8828" s="4"/>
      <c r="X8828" s="4"/>
      <c r="Y8828" s="4"/>
    </row>
    <row r="8829" spans="20:25" x14ac:dyDescent="0.3">
      <c r="T8829" s="12"/>
      <c r="U8829" s="4"/>
      <c r="V8829" s="4"/>
      <c r="X8829" s="4"/>
      <c r="Y8829" s="4"/>
    </row>
    <row r="8830" spans="20:25" x14ac:dyDescent="0.3">
      <c r="T8830" s="12"/>
      <c r="U8830" s="4"/>
      <c r="V8830" s="4"/>
      <c r="X8830" s="4"/>
      <c r="Y8830" s="4"/>
    </row>
    <row r="8831" spans="20:25" x14ac:dyDescent="0.3">
      <c r="T8831" s="12"/>
      <c r="U8831" s="4"/>
      <c r="V8831" s="4"/>
      <c r="X8831" s="4"/>
      <c r="Y8831" s="4"/>
    </row>
    <row r="8832" spans="20:25" x14ac:dyDescent="0.3">
      <c r="T8832" s="12"/>
      <c r="U8832" s="4"/>
      <c r="V8832" s="4"/>
      <c r="X8832" s="4"/>
      <c r="Y8832" s="4"/>
    </row>
    <row r="8833" spans="20:25" x14ac:dyDescent="0.3">
      <c r="T8833" s="12"/>
      <c r="U8833" s="4"/>
      <c r="V8833" s="4"/>
      <c r="X8833" s="4"/>
      <c r="Y8833" s="4"/>
    </row>
    <row r="8834" spans="20:25" x14ac:dyDescent="0.3">
      <c r="T8834" s="12"/>
      <c r="U8834" s="4"/>
      <c r="V8834" s="4"/>
      <c r="X8834" s="4"/>
      <c r="Y8834" s="4"/>
    </row>
    <row r="8835" spans="20:25" x14ac:dyDescent="0.3">
      <c r="T8835" s="12"/>
      <c r="U8835" s="4"/>
      <c r="V8835" s="4"/>
      <c r="X8835" s="4"/>
      <c r="Y8835" s="4"/>
    </row>
    <row r="8836" spans="20:25" x14ac:dyDescent="0.3">
      <c r="T8836" s="12"/>
      <c r="U8836" s="4"/>
      <c r="V8836" s="4"/>
      <c r="X8836" s="4"/>
      <c r="Y8836" s="4"/>
    </row>
    <row r="8837" spans="20:25" x14ac:dyDescent="0.3">
      <c r="T8837" s="12"/>
      <c r="U8837" s="4"/>
      <c r="V8837" s="4"/>
      <c r="X8837" s="4"/>
      <c r="Y8837" s="4"/>
    </row>
    <row r="8838" spans="20:25" x14ac:dyDescent="0.3">
      <c r="T8838" s="12"/>
      <c r="U8838" s="4"/>
      <c r="V8838" s="4"/>
      <c r="X8838" s="4"/>
      <c r="Y8838" s="4"/>
    </row>
    <row r="8839" spans="20:25" x14ac:dyDescent="0.3">
      <c r="T8839" s="12"/>
      <c r="U8839" s="4"/>
      <c r="V8839" s="4"/>
      <c r="X8839" s="4"/>
      <c r="Y8839" s="4"/>
    </row>
    <row r="8840" spans="20:25" x14ac:dyDescent="0.3">
      <c r="T8840" s="12"/>
      <c r="U8840" s="4"/>
      <c r="V8840" s="4"/>
      <c r="X8840" s="4"/>
      <c r="Y8840" s="4"/>
    </row>
    <row r="8841" spans="20:25" x14ac:dyDescent="0.3">
      <c r="T8841" s="12"/>
      <c r="U8841" s="4"/>
      <c r="V8841" s="4"/>
      <c r="X8841" s="4"/>
      <c r="Y8841" s="4"/>
    </row>
    <row r="8842" spans="20:25" x14ac:dyDescent="0.3">
      <c r="T8842" s="12"/>
      <c r="U8842" s="4"/>
      <c r="V8842" s="4"/>
      <c r="X8842" s="4"/>
      <c r="Y8842" s="4"/>
    </row>
    <row r="8843" spans="20:25" x14ac:dyDescent="0.3">
      <c r="T8843" s="12"/>
      <c r="U8843" s="4"/>
      <c r="V8843" s="4"/>
      <c r="X8843" s="4"/>
      <c r="Y8843" s="4"/>
    </row>
    <row r="8844" spans="20:25" x14ac:dyDescent="0.3">
      <c r="T8844" s="12"/>
      <c r="U8844" s="4"/>
      <c r="V8844" s="4"/>
      <c r="X8844" s="4"/>
      <c r="Y8844" s="4"/>
    </row>
    <row r="8845" spans="20:25" x14ac:dyDescent="0.3">
      <c r="T8845" s="12"/>
      <c r="U8845" s="4"/>
      <c r="V8845" s="4"/>
      <c r="X8845" s="4"/>
      <c r="Y8845" s="4"/>
    </row>
    <row r="8846" spans="20:25" x14ac:dyDescent="0.3">
      <c r="T8846" s="12"/>
      <c r="U8846" s="4"/>
      <c r="V8846" s="4"/>
      <c r="X8846" s="4"/>
      <c r="Y8846" s="4"/>
    </row>
    <row r="8847" spans="20:25" x14ac:dyDescent="0.3">
      <c r="T8847" s="12"/>
      <c r="U8847" s="4"/>
      <c r="V8847" s="4"/>
      <c r="X8847" s="4"/>
      <c r="Y8847" s="4"/>
    </row>
    <row r="8848" spans="20:25" x14ac:dyDescent="0.3">
      <c r="T8848" s="12"/>
      <c r="U8848" s="4"/>
      <c r="V8848" s="4"/>
      <c r="X8848" s="4"/>
      <c r="Y8848" s="4"/>
    </row>
    <row r="8849" spans="20:25" x14ac:dyDescent="0.3">
      <c r="T8849" s="12"/>
      <c r="U8849" s="4"/>
      <c r="V8849" s="4"/>
      <c r="X8849" s="4"/>
      <c r="Y8849" s="4"/>
    </row>
    <row r="8850" spans="20:25" x14ac:dyDescent="0.3">
      <c r="T8850" s="12"/>
      <c r="U8850" s="4"/>
      <c r="V8850" s="4"/>
      <c r="X8850" s="4"/>
      <c r="Y8850" s="4"/>
    </row>
    <row r="8851" spans="20:25" x14ac:dyDescent="0.3">
      <c r="T8851" s="12"/>
      <c r="U8851" s="4"/>
      <c r="V8851" s="4"/>
      <c r="X8851" s="4"/>
      <c r="Y8851" s="4"/>
    </row>
    <row r="8852" spans="20:25" x14ac:dyDescent="0.3">
      <c r="T8852" s="12"/>
      <c r="U8852" s="4"/>
      <c r="V8852" s="4"/>
      <c r="X8852" s="4"/>
      <c r="Y8852" s="4"/>
    </row>
    <row r="8853" spans="20:25" x14ac:dyDescent="0.3">
      <c r="T8853" s="12"/>
      <c r="U8853" s="4"/>
      <c r="V8853" s="4"/>
      <c r="X8853" s="4"/>
      <c r="Y8853" s="4"/>
    </row>
    <row r="8854" spans="20:25" x14ac:dyDescent="0.3">
      <c r="T8854" s="12"/>
      <c r="U8854" s="4"/>
      <c r="V8854" s="4"/>
      <c r="X8854" s="4"/>
      <c r="Y8854" s="4"/>
    </row>
    <row r="8855" spans="20:25" x14ac:dyDescent="0.3">
      <c r="T8855" s="12"/>
      <c r="U8855" s="4"/>
      <c r="V8855" s="4"/>
      <c r="X8855" s="4"/>
      <c r="Y8855" s="4"/>
    </row>
    <row r="8856" spans="20:25" x14ac:dyDescent="0.3">
      <c r="T8856" s="12"/>
      <c r="U8856" s="4"/>
      <c r="V8856" s="4"/>
      <c r="X8856" s="4"/>
      <c r="Y8856" s="4"/>
    </row>
    <row r="8857" spans="20:25" x14ac:dyDescent="0.3">
      <c r="T8857" s="12"/>
      <c r="U8857" s="4"/>
      <c r="V8857" s="4"/>
      <c r="X8857" s="4"/>
      <c r="Y8857" s="4"/>
    </row>
    <row r="8858" spans="20:25" x14ac:dyDescent="0.3">
      <c r="T8858" s="12"/>
      <c r="U8858" s="4"/>
      <c r="V8858" s="4"/>
      <c r="X8858" s="4"/>
      <c r="Y8858" s="4"/>
    </row>
    <row r="8859" spans="20:25" x14ac:dyDescent="0.3">
      <c r="T8859" s="12"/>
      <c r="U8859" s="4"/>
      <c r="V8859" s="4"/>
      <c r="X8859" s="4"/>
      <c r="Y8859" s="4"/>
    </row>
    <row r="8860" spans="20:25" x14ac:dyDescent="0.3">
      <c r="T8860" s="12"/>
      <c r="U8860" s="4"/>
      <c r="V8860" s="4"/>
      <c r="X8860" s="4"/>
      <c r="Y8860" s="4"/>
    </row>
    <row r="8861" spans="20:25" x14ac:dyDescent="0.3">
      <c r="T8861" s="12"/>
      <c r="U8861" s="4"/>
      <c r="V8861" s="4"/>
      <c r="X8861" s="4"/>
      <c r="Y8861" s="4"/>
    </row>
    <row r="8862" spans="20:25" x14ac:dyDescent="0.3">
      <c r="T8862" s="12"/>
      <c r="U8862" s="4"/>
      <c r="V8862" s="4"/>
      <c r="X8862" s="4"/>
      <c r="Y8862" s="4"/>
    </row>
    <row r="8863" spans="20:25" x14ac:dyDescent="0.3">
      <c r="T8863" s="12"/>
      <c r="U8863" s="4"/>
      <c r="V8863" s="4"/>
      <c r="X8863" s="4"/>
      <c r="Y8863" s="4"/>
    </row>
    <row r="8864" spans="20:25" x14ac:dyDescent="0.3">
      <c r="T8864" s="12"/>
      <c r="U8864" s="4"/>
      <c r="V8864" s="4"/>
      <c r="X8864" s="4"/>
      <c r="Y8864" s="4"/>
    </row>
    <row r="8865" spans="20:25" x14ac:dyDescent="0.3">
      <c r="T8865" s="12"/>
      <c r="U8865" s="4"/>
      <c r="V8865" s="4"/>
      <c r="X8865" s="4"/>
      <c r="Y8865" s="4"/>
    </row>
    <row r="8866" spans="20:25" x14ac:dyDescent="0.3">
      <c r="T8866" s="12"/>
      <c r="U8866" s="4"/>
      <c r="V8866" s="4"/>
      <c r="X8866" s="4"/>
      <c r="Y8866" s="4"/>
    </row>
    <row r="8867" spans="20:25" x14ac:dyDescent="0.3">
      <c r="T8867" s="12"/>
      <c r="U8867" s="4"/>
      <c r="V8867" s="4"/>
      <c r="X8867" s="4"/>
      <c r="Y8867" s="4"/>
    </row>
    <row r="8868" spans="20:25" x14ac:dyDescent="0.3">
      <c r="T8868" s="12"/>
      <c r="U8868" s="4"/>
      <c r="V8868" s="4"/>
      <c r="X8868" s="4"/>
      <c r="Y8868" s="4"/>
    </row>
    <row r="8869" spans="20:25" x14ac:dyDescent="0.3">
      <c r="T8869" s="12"/>
      <c r="U8869" s="4"/>
      <c r="V8869" s="4"/>
      <c r="X8869" s="4"/>
      <c r="Y8869" s="4"/>
    </row>
    <row r="8870" spans="20:25" x14ac:dyDescent="0.3">
      <c r="T8870" s="12"/>
      <c r="U8870" s="4"/>
      <c r="V8870" s="4"/>
      <c r="X8870" s="4"/>
      <c r="Y8870" s="4"/>
    </row>
    <row r="8871" spans="20:25" x14ac:dyDescent="0.3">
      <c r="T8871" s="12"/>
      <c r="U8871" s="4"/>
      <c r="V8871" s="4"/>
      <c r="X8871" s="4"/>
      <c r="Y8871" s="4"/>
    </row>
    <row r="8872" spans="20:25" x14ac:dyDescent="0.3">
      <c r="T8872" s="12"/>
      <c r="U8872" s="4"/>
      <c r="V8872" s="4"/>
      <c r="X8872" s="4"/>
      <c r="Y8872" s="4"/>
    </row>
    <row r="8873" spans="20:25" x14ac:dyDescent="0.3">
      <c r="T8873" s="12"/>
      <c r="U8873" s="4"/>
      <c r="V8873" s="4"/>
      <c r="X8873" s="4"/>
      <c r="Y8873" s="4"/>
    </row>
    <row r="8874" spans="20:25" x14ac:dyDescent="0.3">
      <c r="T8874" s="12"/>
      <c r="U8874" s="4"/>
      <c r="V8874" s="4"/>
      <c r="X8874" s="4"/>
      <c r="Y8874" s="4"/>
    </row>
    <row r="8875" spans="20:25" x14ac:dyDescent="0.3">
      <c r="T8875" s="12"/>
      <c r="U8875" s="4"/>
      <c r="V8875" s="4"/>
      <c r="X8875" s="4"/>
      <c r="Y8875" s="4"/>
    </row>
    <row r="8876" spans="20:25" x14ac:dyDescent="0.3">
      <c r="T8876" s="12"/>
      <c r="U8876" s="4"/>
      <c r="V8876" s="4"/>
      <c r="X8876" s="4"/>
      <c r="Y8876" s="4"/>
    </row>
    <row r="8877" spans="20:25" x14ac:dyDescent="0.3">
      <c r="T8877" s="12"/>
      <c r="U8877" s="4"/>
      <c r="V8877" s="4"/>
      <c r="X8877" s="4"/>
      <c r="Y8877" s="4"/>
    </row>
    <row r="8878" spans="20:25" x14ac:dyDescent="0.3">
      <c r="T8878" s="12"/>
      <c r="U8878" s="4"/>
      <c r="V8878" s="4"/>
      <c r="X8878" s="4"/>
      <c r="Y8878" s="4"/>
    </row>
    <row r="8879" spans="20:25" x14ac:dyDescent="0.3">
      <c r="T8879" s="12"/>
      <c r="U8879" s="4"/>
      <c r="V8879" s="4"/>
      <c r="X8879" s="4"/>
      <c r="Y8879" s="4"/>
    </row>
    <row r="8880" spans="20:25" x14ac:dyDescent="0.3">
      <c r="T8880" s="12"/>
      <c r="U8880" s="4"/>
      <c r="V8880" s="4"/>
      <c r="X8880" s="4"/>
      <c r="Y8880" s="4"/>
    </row>
    <row r="8881" spans="20:25" x14ac:dyDescent="0.3">
      <c r="T8881" s="12"/>
      <c r="U8881" s="4"/>
      <c r="V8881" s="4"/>
      <c r="X8881" s="4"/>
      <c r="Y8881" s="4"/>
    </row>
    <row r="8882" spans="20:25" x14ac:dyDescent="0.3">
      <c r="T8882" s="12"/>
      <c r="U8882" s="4"/>
      <c r="V8882" s="4"/>
      <c r="X8882" s="4"/>
      <c r="Y8882" s="4"/>
    </row>
    <row r="8883" spans="20:25" x14ac:dyDescent="0.3">
      <c r="T8883" s="12"/>
      <c r="U8883" s="4"/>
      <c r="V8883" s="4"/>
      <c r="X8883" s="4"/>
      <c r="Y8883" s="4"/>
    </row>
    <row r="8884" spans="20:25" x14ac:dyDescent="0.3">
      <c r="T8884" s="12"/>
      <c r="U8884" s="4"/>
      <c r="V8884" s="4"/>
      <c r="X8884" s="4"/>
      <c r="Y8884" s="4"/>
    </row>
    <row r="8885" spans="20:25" x14ac:dyDescent="0.3">
      <c r="T8885" s="12"/>
      <c r="U8885" s="4"/>
      <c r="V8885" s="4"/>
      <c r="X8885" s="4"/>
      <c r="Y8885" s="4"/>
    </row>
    <row r="8886" spans="20:25" x14ac:dyDescent="0.3">
      <c r="T8886" s="12"/>
      <c r="U8886" s="4"/>
      <c r="V8886" s="4"/>
      <c r="X8886" s="4"/>
      <c r="Y8886" s="4"/>
    </row>
    <row r="8887" spans="20:25" x14ac:dyDescent="0.3">
      <c r="T8887" s="12"/>
      <c r="U8887" s="4"/>
      <c r="V8887" s="4"/>
      <c r="X8887" s="4"/>
      <c r="Y8887" s="4"/>
    </row>
    <row r="8888" spans="20:25" x14ac:dyDescent="0.3">
      <c r="T8888" s="12"/>
      <c r="U8888" s="4"/>
      <c r="V8888" s="4"/>
      <c r="X8888" s="4"/>
      <c r="Y8888" s="4"/>
    </row>
    <row r="8889" spans="20:25" x14ac:dyDescent="0.3">
      <c r="T8889" s="12"/>
      <c r="U8889" s="4"/>
      <c r="V8889" s="4"/>
      <c r="X8889" s="4"/>
      <c r="Y8889" s="4"/>
    </row>
    <row r="8890" spans="20:25" x14ac:dyDescent="0.3">
      <c r="T8890" s="12"/>
      <c r="U8890" s="4"/>
      <c r="V8890" s="4"/>
      <c r="X8890" s="4"/>
      <c r="Y8890" s="4"/>
    </row>
    <row r="8891" spans="20:25" x14ac:dyDescent="0.3">
      <c r="T8891" s="12"/>
      <c r="U8891" s="4"/>
      <c r="V8891" s="4"/>
      <c r="X8891" s="4"/>
      <c r="Y8891" s="4"/>
    </row>
    <row r="8892" spans="20:25" x14ac:dyDescent="0.3">
      <c r="T8892" s="12"/>
      <c r="U8892" s="4"/>
      <c r="V8892" s="4"/>
      <c r="X8892" s="4"/>
      <c r="Y8892" s="4"/>
    </row>
    <row r="8893" spans="20:25" x14ac:dyDescent="0.3">
      <c r="T8893" s="12"/>
      <c r="U8893" s="4"/>
      <c r="V8893" s="4"/>
      <c r="X8893" s="4"/>
      <c r="Y8893" s="4"/>
    </row>
    <row r="8894" spans="20:25" x14ac:dyDescent="0.3">
      <c r="T8894" s="12"/>
      <c r="U8894" s="4"/>
      <c r="V8894" s="4"/>
      <c r="X8894" s="4"/>
      <c r="Y8894" s="4"/>
    </row>
    <row r="8895" spans="20:25" x14ac:dyDescent="0.3">
      <c r="T8895" s="12"/>
      <c r="U8895" s="4"/>
      <c r="V8895" s="4"/>
      <c r="X8895" s="4"/>
      <c r="Y8895" s="4"/>
    </row>
    <row r="8896" spans="20:25" x14ac:dyDescent="0.3">
      <c r="T8896" s="12"/>
      <c r="U8896" s="4"/>
      <c r="V8896" s="4"/>
      <c r="X8896" s="4"/>
      <c r="Y8896" s="4"/>
    </row>
    <row r="8897" spans="20:25" x14ac:dyDescent="0.3">
      <c r="T8897" s="12"/>
      <c r="U8897" s="4"/>
      <c r="V8897" s="4"/>
      <c r="X8897" s="4"/>
      <c r="Y8897" s="4"/>
    </row>
    <row r="8898" spans="20:25" x14ac:dyDescent="0.3">
      <c r="T8898" s="12"/>
      <c r="U8898" s="4"/>
      <c r="V8898" s="4"/>
      <c r="X8898" s="4"/>
      <c r="Y8898" s="4"/>
    </row>
    <row r="8899" spans="20:25" x14ac:dyDescent="0.3">
      <c r="T8899" s="12"/>
      <c r="U8899" s="4"/>
      <c r="V8899" s="4"/>
      <c r="X8899" s="4"/>
      <c r="Y8899" s="4"/>
    </row>
    <row r="8900" spans="20:25" x14ac:dyDescent="0.3">
      <c r="T8900" s="12"/>
      <c r="U8900" s="4"/>
      <c r="V8900" s="4"/>
      <c r="X8900" s="4"/>
      <c r="Y8900" s="4"/>
    </row>
    <row r="8901" spans="20:25" x14ac:dyDescent="0.3">
      <c r="T8901" s="12"/>
      <c r="U8901" s="4"/>
      <c r="V8901" s="4"/>
      <c r="X8901" s="4"/>
      <c r="Y8901" s="4"/>
    </row>
    <row r="8902" spans="20:25" x14ac:dyDescent="0.3">
      <c r="T8902" s="12"/>
      <c r="U8902" s="4"/>
      <c r="V8902" s="4"/>
      <c r="X8902" s="4"/>
      <c r="Y8902" s="4"/>
    </row>
    <row r="8903" spans="20:25" x14ac:dyDescent="0.3">
      <c r="T8903" s="12"/>
      <c r="U8903" s="4"/>
      <c r="V8903" s="4"/>
      <c r="X8903" s="4"/>
      <c r="Y8903" s="4"/>
    </row>
    <row r="8904" spans="20:25" x14ac:dyDescent="0.3">
      <c r="T8904" s="12"/>
      <c r="U8904" s="4"/>
      <c r="V8904" s="4"/>
      <c r="X8904" s="4"/>
      <c r="Y8904" s="4"/>
    </row>
    <row r="8905" spans="20:25" x14ac:dyDescent="0.3">
      <c r="T8905" s="12"/>
      <c r="U8905" s="4"/>
      <c r="V8905" s="4"/>
      <c r="X8905" s="4"/>
      <c r="Y8905" s="4"/>
    </row>
    <row r="8906" spans="20:25" x14ac:dyDescent="0.3">
      <c r="T8906" s="12"/>
      <c r="U8906" s="4"/>
      <c r="V8906" s="4"/>
      <c r="X8906" s="4"/>
      <c r="Y8906" s="4"/>
    </row>
    <row r="8907" spans="20:25" x14ac:dyDescent="0.3">
      <c r="T8907" s="12"/>
      <c r="U8907" s="4"/>
      <c r="V8907" s="4"/>
      <c r="X8907" s="4"/>
      <c r="Y8907" s="4"/>
    </row>
    <row r="8908" spans="20:25" x14ac:dyDescent="0.3">
      <c r="T8908" s="12"/>
      <c r="U8908" s="4"/>
      <c r="V8908" s="4"/>
      <c r="X8908" s="4"/>
      <c r="Y8908" s="4"/>
    </row>
    <row r="8909" spans="20:25" x14ac:dyDescent="0.3">
      <c r="T8909" s="12"/>
      <c r="U8909" s="4"/>
      <c r="V8909" s="4"/>
      <c r="X8909" s="4"/>
      <c r="Y8909" s="4"/>
    </row>
    <row r="8910" spans="20:25" x14ac:dyDescent="0.3">
      <c r="T8910" s="12"/>
      <c r="U8910" s="4"/>
      <c r="V8910" s="4"/>
      <c r="X8910" s="4"/>
      <c r="Y8910" s="4"/>
    </row>
    <row r="8911" spans="20:25" x14ac:dyDescent="0.3">
      <c r="T8911" s="12"/>
      <c r="U8911" s="4"/>
      <c r="V8911" s="4"/>
      <c r="X8911" s="4"/>
      <c r="Y8911" s="4"/>
    </row>
    <row r="8912" spans="20:25" x14ac:dyDescent="0.3">
      <c r="T8912" s="12"/>
      <c r="U8912" s="4"/>
      <c r="V8912" s="4"/>
      <c r="X8912" s="4"/>
      <c r="Y8912" s="4"/>
    </row>
    <row r="8913" spans="20:25" x14ac:dyDescent="0.3">
      <c r="T8913" s="12"/>
      <c r="U8913" s="4"/>
      <c r="V8913" s="4"/>
      <c r="X8913" s="4"/>
      <c r="Y8913" s="4"/>
    </row>
    <row r="8914" spans="20:25" x14ac:dyDescent="0.3">
      <c r="T8914" s="12"/>
      <c r="U8914" s="4"/>
      <c r="V8914" s="4"/>
      <c r="X8914" s="4"/>
      <c r="Y8914" s="4"/>
    </row>
    <row r="8915" spans="20:25" x14ac:dyDescent="0.3">
      <c r="T8915" s="12"/>
      <c r="U8915" s="4"/>
      <c r="V8915" s="4"/>
      <c r="X8915" s="4"/>
      <c r="Y8915" s="4"/>
    </row>
    <row r="8916" spans="20:25" x14ac:dyDescent="0.3">
      <c r="T8916" s="12"/>
      <c r="U8916" s="4"/>
      <c r="V8916" s="4"/>
      <c r="X8916" s="4"/>
      <c r="Y8916" s="4"/>
    </row>
    <row r="8917" spans="20:25" x14ac:dyDescent="0.3">
      <c r="T8917" s="12"/>
      <c r="U8917" s="4"/>
      <c r="V8917" s="4"/>
      <c r="X8917" s="4"/>
      <c r="Y8917" s="4"/>
    </row>
    <row r="8918" spans="20:25" x14ac:dyDescent="0.3">
      <c r="T8918" s="12"/>
      <c r="U8918" s="4"/>
      <c r="V8918" s="4"/>
      <c r="X8918" s="4"/>
      <c r="Y8918" s="4"/>
    </row>
    <row r="8919" spans="20:25" x14ac:dyDescent="0.3">
      <c r="T8919" s="12"/>
      <c r="U8919" s="4"/>
      <c r="V8919" s="4"/>
      <c r="X8919" s="4"/>
      <c r="Y8919" s="4"/>
    </row>
    <row r="8920" spans="20:25" x14ac:dyDescent="0.3">
      <c r="T8920" s="12"/>
      <c r="U8920" s="4"/>
      <c r="V8920" s="4"/>
      <c r="X8920" s="4"/>
      <c r="Y8920" s="4"/>
    </row>
    <row r="8921" spans="20:25" x14ac:dyDescent="0.3">
      <c r="T8921" s="12"/>
      <c r="U8921" s="4"/>
      <c r="V8921" s="4"/>
      <c r="X8921" s="4"/>
      <c r="Y8921" s="4"/>
    </row>
    <row r="8922" spans="20:25" x14ac:dyDescent="0.3">
      <c r="T8922" s="12"/>
      <c r="U8922" s="4"/>
      <c r="V8922" s="4"/>
      <c r="X8922" s="4"/>
      <c r="Y8922" s="4"/>
    </row>
    <row r="8923" spans="20:25" x14ac:dyDescent="0.3">
      <c r="T8923" s="12"/>
      <c r="U8923" s="4"/>
      <c r="V8923" s="4"/>
      <c r="X8923" s="4"/>
      <c r="Y8923" s="4"/>
    </row>
    <row r="8924" spans="20:25" x14ac:dyDescent="0.3">
      <c r="T8924" s="12"/>
      <c r="U8924" s="4"/>
      <c r="V8924" s="4"/>
      <c r="X8924" s="4"/>
      <c r="Y8924" s="4"/>
    </row>
    <row r="8925" spans="20:25" x14ac:dyDescent="0.3">
      <c r="T8925" s="12"/>
      <c r="U8925" s="4"/>
      <c r="V8925" s="4"/>
      <c r="X8925" s="4"/>
      <c r="Y8925" s="4"/>
    </row>
    <row r="8926" spans="20:25" x14ac:dyDescent="0.3">
      <c r="T8926" s="12"/>
      <c r="U8926" s="4"/>
      <c r="V8926" s="4"/>
      <c r="X8926" s="4"/>
      <c r="Y8926" s="4"/>
    </row>
    <row r="8927" spans="20:25" x14ac:dyDescent="0.3">
      <c r="T8927" s="12"/>
      <c r="U8927" s="4"/>
      <c r="V8927" s="4"/>
      <c r="X8927" s="4"/>
      <c r="Y8927" s="4"/>
    </row>
    <row r="8928" spans="20:25" x14ac:dyDescent="0.3">
      <c r="T8928" s="12"/>
      <c r="U8928" s="4"/>
      <c r="V8928" s="4"/>
      <c r="X8928" s="4"/>
      <c r="Y8928" s="4"/>
    </row>
    <row r="8929" spans="20:25" x14ac:dyDescent="0.3">
      <c r="T8929" s="12"/>
      <c r="U8929" s="4"/>
      <c r="V8929" s="4"/>
      <c r="X8929" s="4"/>
      <c r="Y8929" s="4"/>
    </row>
    <row r="8930" spans="20:25" x14ac:dyDescent="0.3">
      <c r="T8930" s="12"/>
      <c r="U8930" s="4"/>
      <c r="V8930" s="4"/>
      <c r="X8930" s="4"/>
      <c r="Y8930" s="4"/>
    </row>
    <row r="8931" spans="20:25" x14ac:dyDescent="0.3">
      <c r="T8931" s="12"/>
      <c r="U8931" s="4"/>
      <c r="V8931" s="4"/>
      <c r="X8931" s="4"/>
      <c r="Y8931" s="4"/>
    </row>
    <row r="8932" spans="20:25" x14ac:dyDescent="0.3">
      <c r="T8932" s="12"/>
      <c r="U8932" s="4"/>
      <c r="V8932" s="4"/>
      <c r="X8932" s="4"/>
      <c r="Y8932" s="4"/>
    </row>
    <row r="8933" spans="20:25" x14ac:dyDescent="0.3">
      <c r="T8933" s="12"/>
      <c r="U8933" s="4"/>
      <c r="V8933" s="4"/>
      <c r="X8933" s="4"/>
      <c r="Y8933" s="4"/>
    </row>
    <row r="8934" spans="20:25" x14ac:dyDescent="0.3">
      <c r="T8934" s="12"/>
      <c r="U8934" s="4"/>
      <c r="V8934" s="4"/>
      <c r="X8934" s="4"/>
      <c r="Y8934" s="4"/>
    </row>
    <row r="8935" spans="20:25" x14ac:dyDescent="0.3">
      <c r="T8935" s="12"/>
      <c r="U8935" s="4"/>
      <c r="V8935" s="4"/>
      <c r="X8935" s="4"/>
      <c r="Y8935" s="4"/>
    </row>
    <row r="8936" spans="20:25" x14ac:dyDescent="0.3">
      <c r="T8936" s="12"/>
      <c r="U8936" s="4"/>
      <c r="V8936" s="4"/>
      <c r="X8936" s="4"/>
      <c r="Y8936" s="4"/>
    </row>
    <row r="8937" spans="20:25" x14ac:dyDescent="0.3">
      <c r="T8937" s="12"/>
      <c r="U8937" s="4"/>
      <c r="V8937" s="4"/>
      <c r="X8937" s="4"/>
      <c r="Y8937" s="4"/>
    </row>
    <row r="8938" spans="20:25" x14ac:dyDescent="0.3">
      <c r="T8938" s="12"/>
      <c r="U8938" s="4"/>
      <c r="V8938" s="4"/>
      <c r="X8938" s="4"/>
      <c r="Y8938" s="4"/>
    </row>
    <row r="8939" spans="20:25" x14ac:dyDescent="0.3">
      <c r="T8939" s="12"/>
      <c r="U8939" s="4"/>
      <c r="V8939" s="4"/>
      <c r="X8939" s="4"/>
      <c r="Y8939" s="4"/>
    </row>
    <row r="8940" spans="20:25" x14ac:dyDescent="0.3">
      <c r="T8940" s="12"/>
      <c r="U8940" s="4"/>
      <c r="V8940" s="4"/>
      <c r="X8940" s="4"/>
      <c r="Y8940" s="4"/>
    </row>
    <row r="8941" spans="20:25" x14ac:dyDescent="0.3">
      <c r="T8941" s="12"/>
      <c r="U8941" s="4"/>
      <c r="V8941" s="4"/>
      <c r="X8941" s="4"/>
      <c r="Y8941" s="4"/>
    </row>
    <row r="8942" spans="20:25" x14ac:dyDescent="0.3">
      <c r="T8942" s="12"/>
      <c r="U8942" s="4"/>
      <c r="V8942" s="4"/>
      <c r="X8942" s="4"/>
      <c r="Y8942" s="4"/>
    </row>
    <row r="8943" spans="20:25" x14ac:dyDescent="0.3">
      <c r="T8943" s="12"/>
      <c r="U8943" s="4"/>
      <c r="V8943" s="4"/>
      <c r="X8943" s="4"/>
      <c r="Y8943" s="4"/>
    </row>
    <row r="8944" spans="20:25" x14ac:dyDescent="0.3">
      <c r="T8944" s="12"/>
      <c r="U8944" s="4"/>
      <c r="V8944" s="4"/>
      <c r="X8944" s="4"/>
      <c r="Y8944" s="4"/>
    </row>
    <row r="8945" spans="20:25" x14ac:dyDescent="0.3">
      <c r="T8945" s="12"/>
      <c r="U8945" s="4"/>
      <c r="V8945" s="4"/>
      <c r="X8945" s="4"/>
      <c r="Y8945" s="4"/>
    </row>
    <row r="8946" spans="20:25" x14ac:dyDescent="0.3">
      <c r="T8946" s="12"/>
      <c r="U8946" s="4"/>
      <c r="V8946" s="4"/>
      <c r="X8946" s="4"/>
      <c r="Y8946" s="4"/>
    </row>
    <row r="8947" spans="20:25" x14ac:dyDescent="0.3">
      <c r="T8947" s="12"/>
      <c r="U8947" s="4"/>
      <c r="V8947" s="4"/>
      <c r="X8947" s="4"/>
      <c r="Y8947" s="4"/>
    </row>
    <row r="8948" spans="20:25" x14ac:dyDescent="0.3">
      <c r="T8948" s="12"/>
      <c r="U8948" s="4"/>
      <c r="V8948" s="4"/>
      <c r="X8948" s="4"/>
      <c r="Y8948" s="4"/>
    </row>
    <row r="8949" spans="20:25" x14ac:dyDescent="0.3">
      <c r="T8949" s="12"/>
      <c r="U8949" s="4"/>
      <c r="V8949" s="4"/>
      <c r="X8949" s="4"/>
      <c r="Y8949" s="4"/>
    </row>
    <row r="8950" spans="20:25" x14ac:dyDescent="0.3">
      <c r="T8950" s="12"/>
      <c r="U8950" s="4"/>
      <c r="V8950" s="4"/>
      <c r="X8950" s="4"/>
      <c r="Y8950" s="4"/>
    </row>
    <row r="8951" spans="20:25" x14ac:dyDescent="0.3">
      <c r="T8951" s="12"/>
      <c r="U8951" s="4"/>
      <c r="V8951" s="4"/>
      <c r="X8951" s="4"/>
      <c r="Y8951" s="4"/>
    </row>
    <row r="8952" spans="20:25" x14ac:dyDescent="0.3">
      <c r="T8952" s="12"/>
      <c r="U8952" s="4"/>
      <c r="V8952" s="4"/>
      <c r="X8952" s="4"/>
      <c r="Y8952" s="4"/>
    </row>
    <row r="8953" spans="20:25" x14ac:dyDescent="0.3">
      <c r="T8953" s="12"/>
      <c r="U8953" s="4"/>
      <c r="V8953" s="4"/>
      <c r="X8953" s="4"/>
      <c r="Y8953" s="4"/>
    </row>
    <row r="8954" spans="20:25" x14ac:dyDescent="0.3">
      <c r="T8954" s="12"/>
      <c r="U8954" s="4"/>
      <c r="V8954" s="4"/>
      <c r="X8954" s="4"/>
      <c r="Y8954" s="4"/>
    </row>
    <row r="8955" spans="20:25" x14ac:dyDescent="0.3">
      <c r="T8955" s="12"/>
      <c r="U8955" s="4"/>
      <c r="V8955" s="4"/>
      <c r="X8955" s="4"/>
      <c r="Y8955" s="4"/>
    </row>
    <row r="8956" spans="20:25" x14ac:dyDescent="0.3">
      <c r="T8956" s="12"/>
      <c r="U8956" s="4"/>
      <c r="V8956" s="4"/>
      <c r="X8956" s="4"/>
      <c r="Y8956" s="4"/>
    </row>
    <row r="8957" spans="20:25" x14ac:dyDescent="0.3">
      <c r="T8957" s="12"/>
      <c r="U8957" s="4"/>
      <c r="V8957" s="4"/>
      <c r="X8957" s="4"/>
      <c r="Y8957" s="4"/>
    </row>
    <row r="8958" spans="20:25" x14ac:dyDescent="0.3">
      <c r="T8958" s="12"/>
      <c r="U8958" s="4"/>
      <c r="V8958" s="4"/>
      <c r="X8958" s="4"/>
      <c r="Y8958" s="4"/>
    </row>
    <row r="8959" spans="20:25" x14ac:dyDescent="0.3">
      <c r="T8959" s="12"/>
      <c r="U8959" s="4"/>
      <c r="V8959" s="4"/>
      <c r="X8959" s="4"/>
      <c r="Y8959" s="4"/>
    </row>
    <row r="8960" spans="20:25" x14ac:dyDescent="0.3">
      <c r="T8960" s="12"/>
      <c r="U8960" s="4"/>
      <c r="V8960" s="4"/>
      <c r="X8960" s="4"/>
      <c r="Y8960" s="4"/>
    </row>
    <row r="8961" spans="20:25" x14ac:dyDescent="0.3">
      <c r="T8961" s="12"/>
      <c r="U8961" s="4"/>
      <c r="V8961" s="4"/>
      <c r="X8961" s="4"/>
      <c r="Y8961" s="4"/>
    </row>
    <row r="8962" spans="20:25" x14ac:dyDescent="0.3">
      <c r="T8962" s="12"/>
      <c r="U8962" s="4"/>
      <c r="V8962" s="4"/>
      <c r="X8962" s="4"/>
      <c r="Y8962" s="4"/>
    </row>
    <row r="8963" spans="20:25" x14ac:dyDescent="0.3">
      <c r="T8963" s="12"/>
      <c r="U8963" s="4"/>
      <c r="V8963" s="4"/>
      <c r="X8963" s="4"/>
      <c r="Y8963" s="4"/>
    </row>
    <row r="8964" spans="20:25" x14ac:dyDescent="0.3">
      <c r="T8964" s="12"/>
      <c r="U8964" s="4"/>
      <c r="V8964" s="4"/>
      <c r="X8964" s="4"/>
      <c r="Y8964" s="4"/>
    </row>
    <row r="8965" spans="20:25" x14ac:dyDescent="0.3">
      <c r="T8965" s="12"/>
      <c r="U8965" s="4"/>
      <c r="V8965" s="4"/>
      <c r="X8965" s="4"/>
      <c r="Y8965" s="4"/>
    </row>
    <row r="8966" spans="20:25" x14ac:dyDescent="0.3">
      <c r="T8966" s="12"/>
      <c r="U8966" s="4"/>
      <c r="V8966" s="4"/>
      <c r="X8966" s="4"/>
      <c r="Y8966" s="4"/>
    </row>
    <row r="8967" spans="20:25" x14ac:dyDescent="0.3">
      <c r="T8967" s="12"/>
      <c r="U8967" s="4"/>
      <c r="V8967" s="4"/>
      <c r="X8967" s="4"/>
      <c r="Y8967" s="4"/>
    </row>
    <row r="8968" spans="20:25" x14ac:dyDescent="0.3">
      <c r="T8968" s="12"/>
      <c r="U8968" s="4"/>
      <c r="V8968" s="4"/>
      <c r="X8968" s="4"/>
      <c r="Y8968" s="4"/>
    </row>
    <row r="8969" spans="20:25" x14ac:dyDescent="0.3">
      <c r="T8969" s="12"/>
      <c r="U8969" s="4"/>
      <c r="V8969" s="4"/>
      <c r="X8969" s="4"/>
      <c r="Y8969" s="4"/>
    </row>
    <row r="8970" spans="20:25" x14ac:dyDescent="0.3">
      <c r="T8970" s="12"/>
      <c r="U8970" s="4"/>
      <c r="V8970" s="4"/>
      <c r="X8970" s="4"/>
      <c r="Y8970" s="4"/>
    </row>
    <row r="8971" spans="20:25" x14ac:dyDescent="0.3">
      <c r="T8971" s="12"/>
      <c r="U8971" s="4"/>
      <c r="V8971" s="4"/>
      <c r="X8971" s="4"/>
      <c r="Y8971" s="4"/>
    </row>
    <row r="8972" spans="20:25" x14ac:dyDescent="0.3">
      <c r="T8972" s="12"/>
      <c r="U8972" s="4"/>
      <c r="V8972" s="4"/>
      <c r="X8972" s="4"/>
      <c r="Y8972" s="4"/>
    </row>
    <row r="8973" spans="20:25" x14ac:dyDescent="0.3">
      <c r="T8973" s="12"/>
      <c r="U8973" s="4"/>
      <c r="V8973" s="4"/>
      <c r="X8973" s="4"/>
      <c r="Y8973" s="4"/>
    </row>
    <row r="8974" spans="20:25" x14ac:dyDescent="0.3">
      <c r="T8974" s="12"/>
      <c r="U8974" s="4"/>
      <c r="V8974" s="4"/>
      <c r="X8974" s="4"/>
      <c r="Y8974" s="4"/>
    </row>
    <row r="8975" spans="20:25" x14ac:dyDescent="0.3">
      <c r="T8975" s="12"/>
      <c r="U8975" s="4"/>
      <c r="V8975" s="4"/>
      <c r="X8975" s="4"/>
      <c r="Y8975" s="4"/>
    </row>
    <row r="8976" spans="20:25" x14ac:dyDescent="0.3">
      <c r="T8976" s="12"/>
      <c r="U8976" s="4"/>
      <c r="V8976" s="4"/>
      <c r="X8976" s="4"/>
      <c r="Y8976" s="4"/>
    </row>
    <row r="8977" spans="20:25" x14ac:dyDescent="0.3">
      <c r="T8977" s="12"/>
      <c r="U8977" s="4"/>
      <c r="V8977" s="4"/>
      <c r="X8977" s="4"/>
      <c r="Y8977" s="4"/>
    </row>
    <row r="8978" spans="20:25" x14ac:dyDescent="0.3">
      <c r="T8978" s="12"/>
      <c r="U8978" s="4"/>
      <c r="V8978" s="4"/>
      <c r="X8978" s="4"/>
      <c r="Y8978" s="4"/>
    </row>
    <row r="8979" spans="20:25" x14ac:dyDescent="0.3">
      <c r="T8979" s="12"/>
      <c r="U8979" s="4"/>
      <c r="V8979" s="4"/>
      <c r="X8979" s="4"/>
      <c r="Y8979" s="4"/>
    </row>
    <row r="8980" spans="20:25" x14ac:dyDescent="0.3">
      <c r="T8980" s="12"/>
      <c r="U8980" s="4"/>
      <c r="V8980" s="4"/>
      <c r="X8980" s="4"/>
      <c r="Y8980" s="4"/>
    </row>
    <row r="8981" spans="20:25" x14ac:dyDescent="0.3">
      <c r="T8981" s="12"/>
      <c r="U8981" s="4"/>
      <c r="V8981" s="4"/>
      <c r="X8981" s="4"/>
      <c r="Y8981" s="4"/>
    </row>
    <row r="8982" spans="20:25" x14ac:dyDescent="0.3">
      <c r="T8982" s="12"/>
      <c r="U8982" s="4"/>
      <c r="V8982" s="4"/>
      <c r="X8982" s="4"/>
      <c r="Y8982" s="4"/>
    </row>
    <row r="8983" spans="20:25" x14ac:dyDescent="0.3">
      <c r="T8983" s="12"/>
      <c r="U8983" s="4"/>
      <c r="V8983" s="4"/>
      <c r="X8983" s="4"/>
      <c r="Y8983" s="4"/>
    </row>
    <row r="8984" spans="20:25" x14ac:dyDescent="0.3">
      <c r="T8984" s="12"/>
      <c r="U8984" s="4"/>
      <c r="V8984" s="4"/>
      <c r="X8984" s="4"/>
      <c r="Y8984" s="4"/>
    </row>
    <row r="8985" spans="20:25" x14ac:dyDescent="0.3">
      <c r="T8985" s="12"/>
      <c r="U8985" s="4"/>
      <c r="V8985" s="4"/>
      <c r="X8985" s="4"/>
      <c r="Y8985" s="4"/>
    </row>
    <row r="8986" spans="20:25" x14ac:dyDescent="0.3">
      <c r="T8986" s="12"/>
      <c r="U8986" s="4"/>
      <c r="V8986" s="4"/>
      <c r="X8986" s="4"/>
      <c r="Y8986" s="4"/>
    </row>
    <row r="8987" spans="20:25" x14ac:dyDescent="0.3">
      <c r="T8987" s="12"/>
      <c r="U8987" s="4"/>
      <c r="V8987" s="4"/>
      <c r="X8987" s="4"/>
      <c r="Y8987" s="4"/>
    </row>
    <row r="8988" spans="20:25" x14ac:dyDescent="0.3">
      <c r="T8988" s="12"/>
      <c r="U8988" s="4"/>
      <c r="V8988" s="4"/>
      <c r="X8988" s="4"/>
      <c r="Y8988" s="4"/>
    </row>
    <row r="8989" spans="20:25" x14ac:dyDescent="0.3">
      <c r="T8989" s="12"/>
      <c r="U8989" s="4"/>
      <c r="V8989" s="4"/>
      <c r="X8989" s="4"/>
      <c r="Y8989" s="4"/>
    </row>
    <row r="8990" spans="20:25" x14ac:dyDescent="0.3">
      <c r="T8990" s="12"/>
      <c r="U8990" s="4"/>
      <c r="V8990" s="4"/>
      <c r="X8990" s="4"/>
      <c r="Y8990" s="4"/>
    </row>
    <row r="8991" spans="20:25" x14ac:dyDescent="0.3">
      <c r="T8991" s="12"/>
      <c r="U8991" s="4"/>
      <c r="V8991" s="4"/>
      <c r="X8991" s="4"/>
      <c r="Y8991" s="4"/>
    </row>
    <row r="8992" spans="20:25" x14ac:dyDescent="0.3">
      <c r="T8992" s="12"/>
      <c r="U8992" s="4"/>
      <c r="V8992" s="4"/>
      <c r="X8992" s="4"/>
      <c r="Y8992" s="4"/>
    </row>
    <row r="8993" spans="20:25" x14ac:dyDescent="0.3">
      <c r="T8993" s="12"/>
      <c r="U8993" s="4"/>
      <c r="V8993" s="4"/>
      <c r="X8993" s="4"/>
      <c r="Y8993" s="4"/>
    </row>
    <row r="8994" spans="20:25" x14ac:dyDescent="0.3">
      <c r="T8994" s="12"/>
      <c r="U8994" s="4"/>
      <c r="V8994" s="4"/>
      <c r="X8994" s="4"/>
      <c r="Y8994" s="4"/>
    </row>
    <row r="8995" spans="20:25" x14ac:dyDescent="0.3">
      <c r="T8995" s="12"/>
      <c r="U8995" s="4"/>
      <c r="V8995" s="4"/>
      <c r="X8995" s="4"/>
      <c r="Y8995" s="4"/>
    </row>
    <row r="8996" spans="20:25" x14ac:dyDescent="0.3">
      <c r="T8996" s="12"/>
      <c r="U8996" s="4"/>
      <c r="V8996" s="4"/>
      <c r="X8996" s="4"/>
      <c r="Y8996" s="4"/>
    </row>
    <row r="8997" spans="20:25" x14ac:dyDescent="0.3">
      <c r="T8997" s="12"/>
      <c r="U8997" s="4"/>
      <c r="V8997" s="4"/>
      <c r="X8997" s="4"/>
      <c r="Y8997" s="4"/>
    </row>
    <row r="8998" spans="20:25" x14ac:dyDescent="0.3">
      <c r="T8998" s="12"/>
      <c r="U8998" s="4"/>
      <c r="V8998" s="4"/>
      <c r="X8998" s="4"/>
      <c r="Y8998" s="4"/>
    </row>
    <row r="8999" spans="20:25" x14ac:dyDescent="0.3">
      <c r="T8999" s="12"/>
      <c r="U8999" s="4"/>
      <c r="V8999" s="4"/>
      <c r="X8999" s="4"/>
      <c r="Y8999" s="4"/>
    </row>
    <row r="9000" spans="20:25" x14ac:dyDescent="0.3">
      <c r="T9000" s="12"/>
      <c r="U9000" s="4"/>
      <c r="V9000" s="4"/>
      <c r="X9000" s="4"/>
      <c r="Y9000" s="4"/>
    </row>
    <row r="9001" spans="20:25" x14ac:dyDescent="0.3">
      <c r="T9001" s="12"/>
      <c r="U9001" s="4"/>
      <c r="V9001" s="4"/>
      <c r="X9001" s="4"/>
      <c r="Y9001" s="4"/>
    </row>
    <row r="9002" spans="20:25" x14ac:dyDescent="0.3">
      <c r="T9002" s="12"/>
      <c r="U9002" s="4"/>
      <c r="V9002" s="4"/>
      <c r="X9002" s="4"/>
      <c r="Y9002" s="4"/>
    </row>
    <row r="9003" spans="20:25" x14ac:dyDescent="0.3">
      <c r="T9003" s="12"/>
      <c r="U9003" s="4"/>
      <c r="V9003" s="4"/>
      <c r="X9003" s="4"/>
      <c r="Y9003" s="4"/>
    </row>
    <row r="9004" spans="20:25" x14ac:dyDescent="0.3">
      <c r="T9004" s="12"/>
      <c r="U9004" s="4"/>
      <c r="V9004" s="4"/>
      <c r="X9004" s="4"/>
      <c r="Y9004" s="4"/>
    </row>
    <row r="9005" spans="20:25" x14ac:dyDescent="0.3">
      <c r="T9005" s="12"/>
      <c r="U9005" s="4"/>
      <c r="V9005" s="4"/>
      <c r="X9005" s="4"/>
      <c r="Y9005" s="4"/>
    </row>
    <row r="9006" spans="20:25" x14ac:dyDescent="0.3">
      <c r="T9006" s="12"/>
      <c r="U9006" s="4"/>
      <c r="V9006" s="4"/>
      <c r="X9006" s="4"/>
      <c r="Y9006" s="4"/>
    </row>
    <row r="9007" spans="20:25" x14ac:dyDescent="0.3">
      <c r="T9007" s="12"/>
      <c r="U9007" s="4"/>
      <c r="V9007" s="4"/>
      <c r="X9007" s="4"/>
      <c r="Y9007" s="4"/>
    </row>
    <row r="9008" spans="20:25" x14ac:dyDescent="0.3">
      <c r="T9008" s="12"/>
      <c r="U9008" s="4"/>
      <c r="V9008" s="4"/>
      <c r="X9008" s="4"/>
      <c r="Y9008" s="4"/>
    </row>
    <row r="9009" spans="20:25" x14ac:dyDescent="0.3">
      <c r="T9009" s="12"/>
      <c r="U9009" s="4"/>
      <c r="V9009" s="4"/>
      <c r="X9009" s="4"/>
      <c r="Y9009" s="4"/>
    </row>
    <row r="9010" spans="20:25" x14ac:dyDescent="0.3">
      <c r="T9010" s="12"/>
      <c r="U9010" s="4"/>
      <c r="V9010" s="4"/>
      <c r="X9010" s="4"/>
      <c r="Y9010" s="4"/>
    </row>
    <row r="9011" spans="20:25" x14ac:dyDescent="0.3">
      <c r="T9011" s="12"/>
      <c r="U9011" s="4"/>
      <c r="V9011" s="4"/>
      <c r="X9011" s="4"/>
      <c r="Y9011" s="4"/>
    </row>
    <row r="9012" spans="20:25" x14ac:dyDescent="0.3">
      <c r="T9012" s="12"/>
      <c r="U9012" s="4"/>
      <c r="V9012" s="4"/>
      <c r="X9012" s="4"/>
      <c r="Y9012" s="4"/>
    </row>
    <row r="9013" spans="20:25" x14ac:dyDescent="0.3">
      <c r="T9013" s="12"/>
      <c r="U9013" s="4"/>
      <c r="V9013" s="4"/>
      <c r="X9013" s="4"/>
      <c r="Y9013" s="4"/>
    </row>
    <row r="9014" spans="20:25" x14ac:dyDescent="0.3">
      <c r="T9014" s="12"/>
      <c r="U9014" s="4"/>
      <c r="V9014" s="4"/>
      <c r="X9014" s="4"/>
      <c r="Y9014" s="4"/>
    </row>
    <row r="9015" spans="20:25" x14ac:dyDescent="0.3">
      <c r="T9015" s="12"/>
      <c r="U9015" s="4"/>
      <c r="V9015" s="4"/>
      <c r="X9015" s="4"/>
      <c r="Y9015" s="4"/>
    </row>
    <row r="9016" spans="20:25" x14ac:dyDescent="0.3">
      <c r="T9016" s="12"/>
      <c r="U9016" s="4"/>
      <c r="V9016" s="4"/>
      <c r="X9016" s="4"/>
      <c r="Y9016" s="4"/>
    </row>
    <row r="9017" spans="20:25" x14ac:dyDescent="0.3">
      <c r="T9017" s="12"/>
      <c r="U9017" s="4"/>
      <c r="V9017" s="4"/>
      <c r="X9017" s="4"/>
      <c r="Y9017" s="4"/>
    </row>
    <row r="9018" spans="20:25" x14ac:dyDescent="0.3">
      <c r="T9018" s="12"/>
      <c r="U9018" s="4"/>
      <c r="V9018" s="4"/>
      <c r="X9018" s="4"/>
      <c r="Y9018" s="4"/>
    </row>
    <row r="9019" spans="20:25" x14ac:dyDescent="0.3">
      <c r="T9019" s="12"/>
      <c r="U9019" s="4"/>
      <c r="V9019" s="4"/>
      <c r="X9019" s="4"/>
      <c r="Y9019" s="4"/>
    </row>
    <row r="9020" spans="20:25" x14ac:dyDescent="0.3">
      <c r="T9020" s="12"/>
      <c r="U9020" s="4"/>
      <c r="V9020" s="4"/>
      <c r="X9020" s="4"/>
      <c r="Y9020" s="4"/>
    </row>
    <row r="9021" spans="20:25" x14ac:dyDescent="0.3">
      <c r="T9021" s="12"/>
      <c r="U9021" s="4"/>
      <c r="V9021" s="4"/>
      <c r="X9021" s="4"/>
      <c r="Y9021" s="4"/>
    </row>
    <row r="9022" spans="20:25" x14ac:dyDescent="0.3">
      <c r="T9022" s="12"/>
      <c r="U9022" s="4"/>
      <c r="V9022" s="4"/>
      <c r="X9022" s="4"/>
      <c r="Y9022" s="4"/>
    </row>
    <row r="9023" spans="20:25" x14ac:dyDescent="0.3">
      <c r="T9023" s="12"/>
      <c r="U9023" s="4"/>
      <c r="V9023" s="4"/>
      <c r="X9023" s="4"/>
      <c r="Y9023" s="4"/>
    </row>
    <row r="9024" spans="20:25" x14ac:dyDescent="0.3">
      <c r="T9024" s="12"/>
      <c r="U9024" s="4"/>
      <c r="V9024" s="4"/>
      <c r="X9024" s="4"/>
      <c r="Y9024" s="4"/>
    </row>
    <row r="9025" spans="20:25" x14ac:dyDescent="0.3">
      <c r="T9025" s="12"/>
      <c r="U9025" s="4"/>
      <c r="V9025" s="4"/>
      <c r="X9025" s="4"/>
      <c r="Y9025" s="4"/>
    </row>
    <row r="9026" spans="20:25" x14ac:dyDescent="0.3">
      <c r="T9026" s="12"/>
      <c r="U9026" s="4"/>
      <c r="V9026" s="4"/>
      <c r="X9026" s="4"/>
      <c r="Y9026" s="4"/>
    </row>
    <row r="9027" spans="20:25" x14ac:dyDescent="0.3">
      <c r="T9027" s="12"/>
      <c r="U9027" s="4"/>
      <c r="V9027" s="4"/>
      <c r="X9027" s="4"/>
      <c r="Y9027" s="4"/>
    </row>
    <row r="9028" spans="20:25" x14ac:dyDescent="0.3">
      <c r="T9028" s="12"/>
      <c r="U9028" s="4"/>
      <c r="V9028" s="4"/>
      <c r="X9028" s="4"/>
      <c r="Y9028" s="4"/>
    </row>
    <row r="9029" spans="20:25" x14ac:dyDescent="0.3">
      <c r="T9029" s="12"/>
      <c r="U9029" s="4"/>
      <c r="V9029" s="4"/>
      <c r="X9029" s="4"/>
      <c r="Y9029" s="4"/>
    </row>
    <row r="9030" spans="20:25" x14ac:dyDescent="0.3">
      <c r="T9030" s="12"/>
      <c r="U9030" s="4"/>
      <c r="V9030" s="4"/>
      <c r="X9030" s="4"/>
      <c r="Y9030" s="4"/>
    </row>
    <row r="9031" spans="20:25" x14ac:dyDescent="0.3">
      <c r="T9031" s="12"/>
      <c r="U9031" s="4"/>
      <c r="V9031" s="4"/>
      <c r="X9031" s="4"/>
      <c r="Y9031" s="4"/>
    </row>
    <row r="9032" spans="20:25" x14ac:dyDescent="0.3">
      <c r="T9032" s="12"/>
      <c r="U9032" s="4"/>
      <c r="V9032" s="4"/>
      <c r="X9032" s="4"/>
      <c r="Y9032" s="4"/>
    </row>
    <row r="9033" spans="20:25" x14ac:dyDescent="0.3">
      <c r="T9033" s="12"/>
      <c r="U9033" s="4"/>
      <c r="V9033" s="4"/>
      <c r="X9033" s="4"/>
      <c r="Y9033" s="4"/>
    </row>
    <row r="9034" spans="20:25" x14ac:dyDescent="0.3">
      <c r="T9034" s="12"/>
      <c r="U9034" s="4"/>
      <c r="V9034" s="4"/>
      <c r="X9034" s="4"/>
      <c r="Y9034" s="4"/>
    </row>
    <row r="9035" spans="20:25" x14ac:dyDescent="0.3">
      <c r="T9035" s="12"/>
      <c r="U9035" s="4"/>
      <c r="V9035" s="4"/>
      <c r="X9035" s="4"/>
      <c r="Y9035" s="4"/>
    </row>
    <row r="9036" spans="20:25" x14ac:dyDescent="0.3">
      <c r="T9036" s="12"/>
      <c r="U9036" s="4"/>
      <c r="V9036" s="4"/>
      <c r="X9036" s="4"/>
      <c r="Y9036" s="4"/>
    </row>
    <row r="9037" spans="20:25" x14ac:dyDescent="0.3">
      <c r="T9037" s="12"/>
      <c r="U9037" s="4"/>
      <c r="V9037" s="4"/>
      <c r="X9037" s="4"/>
      <c r="Y9037" s="4"/>
    </row>
    <row r="9038" spans="20:25" x14ac:dyDescent="0.3">
      <c r="T9038" s="12"/>
      <c r="U9038" s="4"/>
      <c r="V9038" s="4"/>
      <c r="X9038" s="4"/>
      <c r="Y9038" s="4"/>
    </row>
    <row r="9039" spans="20:25" x14ac:dyDescent="0.3">
      <c r="T9039" s="12"/>
      <c r="U9039" s="4"/>
      <c r="V9039" s="4"/>
      <c r="X9039" s="4"/>
      <c r="Y9039" s="4"/>
    </row>
    <row r="9040" spans="20:25" x14ac:dyDescent="0.3">
      <c r="T9040" s="12"/>
      <c r="U9040" s="4"/>
      <c r="V9040" s="4"/>
      <c r="X9040" s="4"/>
      <c r="Y9040" s="4"/>
    </row>
    <row r="9041" spans="20:25" x14ac:dyDescent="0.3">
      <c r="T9041" s="12"/>
      <c r="U9041" s="4"/>
      <c r="V9041" s="4"/>
      <c r="X9041" s="4"/>
      <c r="Y9041" s="4"/>
    </row>
    <row r="9042" spans="20:25" x14ac:dyDescent="0.3">
      <c r="T9042" s="12"/>
      <c r="U9042" s="4"/>
      <c r="V9042" s="4"/>
      <c r="X9042" s="4"/>
      <c r="Y9042" s="4"/>
    </row>
    <row r="9043" spans="20:25" x14ac:dyDescent="0.3">
      <c r="T9043" s="12"/>
      <c r="U9043" s="4"/>
      <c r="V9043" s="4"/>
      <c r="X9043" s="4"/>
      <c r="Y9043" s="4"/>
    </row>
    <row r="9044" spans="20:25" x14ac:dyDescent="0.3">
      <c r="T9044" s="12"/>
      <c r="U9044" s="4"/>
      <c r="V9044" s="4"/>
      <c r="X9044" s="4"/>
      <c r="Y9044" s="4"/>
    </row>
    <row r="9045" spans="20:25" x14ac:dyDescent="0.3">
      <c r="T9045" s="12"/>
      <c r="U9045" s="4"/>
      <c r="V9045" s="4"/>
      <c r="X9045" s="4"/>
      <c r="Y9045" s="4"/>
    </row>
    <row r="9046" spans="20:25" x14ac:dyDescent="0.3">
      <c r="T9046" s="12"/>
      <c r="U9046" s="4"/>
      <c r="V9046" s="4"/>
      <c r="X9046" s="4"/>
      <c r="Y9046" s="4"/>
    </row>
    <row r="9047" spans="20:25" x14ac:dyDescent="0.3">
      <c r="T9047" s="12"/>
      <c r="U9047" s="4"/>
      <c r="V9047" s="4"/>
      <c r="X9047" s="4"/>
      <c r="Y9047" s="4"/>
    </row>
    <row r="9048" spans="20:25" x14ac:dyDescent="0.3">
      <c r="T9048" s="12"/>
      <c r="U9048" s="4"/>
      <c r="V9048" s="4"/>
      <c r="X9048" s="4"/>
      <c r="Y9048" s="4"/>
    </row>
    <row r="9049" spans="20:25" x14ac:dyDescent="0.3">
      <c r="T9049" s="12"/>
      <c r="U9049" s="4"/>
      <c r="V9049" s="4"/>
      <c r="X9049" s="4"/>
      <c r="Y9049" s="4"/>
    </row>
    <row r="9050" spans="20:25" x14ac:dyDescent="0.3">
      <c r="T9050" s="12"/>
      <c r="U9050" s="4"/>
      <c r="V9050" s="4"/>
      <c r="X9050" s="4"/>
      <c r="Y9050" s="4"/>
    </row>
    <row r="9051" spans="20:25" x14ac:dyDescent="0.3">
      <c r="T9051" s="12"/>
      <c r="U9051" s="4"/>
      <c r="V9051" s="4"/>
      <c r="X9051" s="4"/>
      <c r="Y9051" s="4"/>
    </row>
    <row r="9052" spans="20:25" x14ac:dyDescent="0.3">
      <c r="T9052" s="12"/>
      <c r="U9052" s="4"/>
      <c r="V9052" s="4"/>
      <c r="X9052" s="4"/>
      <c r="Y9052" s="4"/>
    </row>
    <row r="9053" spans="20:25" x14ac:dyDescent="0.3">
      <c r="T9053" s="12"/>
      <c r="U9053" s="4"/>
      <c r="V9053" s="4"/>
      <c r="X9053" s="4"/>
      <c r="Y9053" s="4"/>
    </row>
    <row r="9054" spans="20:25" x14ac:dyDescent="0.3">
      <c r="T9054" s="12"/>
      <c r="U9054" s="4"/>
      <c r="V9054" s="4"/>
      <c r="X9054" s="4"/>
      <c r="Y9054" s="4"/>
    </row>
    <row r="9055" spans="20:25" x14ac:dyDescent="0.3">
      <c r="T9055" s="12"/>
      <c r="U9055" s="4"/>
      <c r="V9055" s="4"/>
      <c r="X9055" s="4"/>
      <c r="Y9055" s="4"/>
    </row>
    <row r="9056" spans="20:25" x14ac:dyDescent="0.3">
      <c r="T9056" s="12"/>
      <c r="U9056" s="4"/>
      <c r="V9056" s="4"/>
      <c r="X9056" s="4"/>
      <c r="Y9056" s="4"/>
    </row>
    <row r="9057" spans="20:25" x14ac:dyDescent="0.3">
      <c r="T9057" s="12"/>
      <c r="U9057" s="4"/>
      <c r="V9057" s="4"/>
      <c r="X9057" s="4"/>
      <c r="Y9057" s="4"/>
    </row>
    <row r="9058" spans="20:25" x14ac:dyDescent="0.3">
      <c r="T9058" s="12"/>
      <c r="U9058" s="4"/>
      <c r="V9058" s="4"/>
      <c r="X9058" s="4"/>
      <c r="Y9058" s="4"/>
    </row>
    <row r="9059" spans="20:25" x14ac:dyDescent="0.3">
      <c r="T9059" s="12"/>
      <c r="U9059" s="4"/>
      <c r="V9059" s="4"/>
      <c r="X9059" s="4"/>
      <c r="Y9059" s="4"/>
    </row>
    <row r="9060" spans="20:25" x14ac:dyDescent="0.3">
      <c r="T9060" s="12"/>
      <c r="U9060" s="4"/>
      <c r="V9060" s="4"/>
      <c r="X9060" s="4"/>
      <c r="Y9060" s="4"/>
    </row>
    <row r="9061" spans="20:25" x14ac:dyDescent="0.3">
      <c r="T9061" s="12"/>
      <c r="U9061" s="4"/>
      <c r="V9061" s="4"/>
      <c r="X9061" s="4"/>
      <c r="Y9061" s="4"/>
    </row>
    <row r="9062" spans="20:25" x14ac:dyDescent="0.3">
      <c r="T9062" s="12"/>
      <c r="U9062" s="4"/>
      <c r="V9062" s="4"/>
      <c r="X9062" s="4"/>
      <c r="Y9062" s="4"/>
    </row>
    <row r="9063" spans="20:25" x14ac:dyDescent="0.3">
      <c r="T9063" s="12"/>
      <c r="U9063" s="4"/>
      <c r="V9063" s="4"/>
      <c r="X9063" s="4"/>
      <c r="Y9063" s="4"/>
    </row>
    <row r="9064" spans="20:25" x14ac:dyDescent="0.3">
      <c r="T9064" s="12"/>
      <c r="U9064" s="4"/>
      <c r="V9064" s="4"/>
      <c r="X9064" s="4"/>
      <c r="Y9064" s="4"/>
    </row>
    <row r="9065" spans="20:25" x14ac:dyDescent="0.3">
      <c r="T9065" s="12"/>
      <c r="U9065" s="4"/>
      <c r="V9065" s="4"/>
      <c r="X9065" s="4"/>
      <c r="Y9065" s="4"/>
    </row>
    <row r="9066" spans="20:25" x14ac:dyDescent="0.3">
      <c r="T9066" s="12"/>
      <c r="U9066" s="4"/>
      <c r="V9066" s="4"/>
      <c r="X9066" s="4"/>
      <c r="Y9066" s="4"/>
    </row>
    <row r="9067" spans="20:25" x14ac:dyDescent="0.3">
      <c r="T9067" s="12"/>
      <c r="U9067" s="4"/>
      <c r="V9067" s="4"/>
      <c r="X9067" s="4"/>
      <c r="Y9067" s="4"/>
    </row>
    <row r="9068" spans="20:25" x14ac:dyDescent="0.3">
      <c r="T9068" s="12"/>
      <c r="U9068" s="4"/>
      <c r="V9068" s="4"/>
      <c r="X9068" s="4"/>
      <c r="Y9068" s="4"/>
    </row>
    <row r="9069" spans="20:25" x14ac:dyDescent="0.3">
      <c r="T9069" s="12"/>
      <c r="U9069" s="4"/>
      <c r="V9069" s="4"/>
      <c r="X9069" s="4"/>
      <c r="Y9069" s="4"/>
    </row>
    <row r="9070" spans="20:25" x14ac:dyDescent="0.3">
      <c r="T9070" s="12"/>
      <c r="U9070" s="4"/>
      <c r="V9070" s="4"/>
      <c r="X9070" s="4"/>
      <c r="Y9070" s="4"/>
    </row>
    <row r="9071" spans="20:25" x14ac:dyDescent="0.3">
      <c r="T9071" s="12"/>
      <c r="U9071" s="4"/>
      <c r="V9071" s="4"/>
      <c r="X9071" s="4"/>
      <c r="Y9071" s="4"/>
    </row>
    <row r="9072" spans="20:25" x14ac:dyDescent="0.3">
      <c r="T9072" s="12"/>
      <c r="U9072" s="4"/>
      <c r="V9072" s="4"/>
      <c r="X9072" s="4"/>
      <c r="Y9072" s="4"/>
    </row>
    <row r="9073" spans="20:25" x14ac:dyDescent="0.3">
      <c r="T9073" s="12"/>
      <c r="U9073" s="4"/>
      <c r="V9073" s="4"/>
      <c r="X9073" s="4"/>
      <c r="Y9073" s="4"/>
    </row>
    <row r="9074" spans="20:25" x14ac:dyDescent="0.3">
      <c r="T9074" s="12"/>
      <c r="U9074" s="4"/>
      <c r="V9074" s="4"/>
      <c r="X9074" s="4"/>
      <c r="Y9074" s="4"/>
    </row>
    <row r="9075" spans="20:25" x14ac:dyDescent="0.3">
      <c r="T9075" s="12"/>
      <c r="U9075" s="4"/>
      <c r="V9075" s="4"/>
      <c r="X9075" s="4"/>
      <c r="Y9075" s="4"/>
    </row>
    <row r="9076" spans="20:25" x14ac:dyDescent="0.3">
      <c r="T9076" s="12"/>
      <c r="U9076" s="4"/>
      <c r="V9076" s="4"/>
      <c r="X9076" s="4"/>
      <c r="Y9076" s="4"/>
    </row>
    <row r="9077" spans="20:25" x14ac:dyDescent="0.3">
      <c r="T9077" s="12"/>
      <c r="U9077" s="4"/>
      <c r="V9077" s="4"/>
      <c r="X9077" s="4"/>
      <c r="Y9077" s="4"/>
    </row>
    <row r="9078" spans="20:25" x14ac:dyDescent="0.3">
      <c r="T9078" s="12"/>
      <c r="U9078" s="4"/>
      <c r="V9078" s="4"/>
      <c r="X9078" s="4"/>
      <c r="Y9078" s="4"/>
    </row>
    <row r="9079" spans="20:25" x14ac:dyDescent="0.3">
      <c r="T9079" s="12"/>
      <c r="U9079" s="4"/>
      <c r="V9079" s="4"/>
      <c r="X9079" s="4"/>
      <c r="Y9079" s="4"/>
    </row>
    <row r="9080" spans="20:25" x14ac:dyDescent="0.3">
      <c r="T9080" s="12"/>
      <c r="U9080" s="4"/>
      <c r="V9080" s="4"/>
      <c r="X9080" s="4"/>
      <c r="Y9080" s="4"/>
    </row>
    <row r="9081" spans="20:25" x14ac:dyDescent="0.3">
      <c r="T9081" s="12"/>
      <c r="U9081" s="4"/>
      <c r="V9081" s="4"/>
      <c r="X9081" s="4"/>
      <c r="Y9081" s="4"/>
    </row>
    <row r="9082" spans="20:25" x14ac:dyDescent="0.3">
      <c r="T9082" s="12"/>
      <c r="U9082" s="4"/>
      <c r="V9082" s="4"/>
      <c r="X9082" s="4"/>
      <c r="Y9082" s="4"/>
    </row>
    <row r="9083" spans="20:25" x14ac:dyDescent="0.3">
      <c r="T9083" s="12"/>
      <c r="U9083" s="4"/>
      <c r="V9083" s="4"/>
      <c r="X9083" s="4"/>
      <c r="Y9083" s="4"/>
    </row>
    <row r="9084" spans="20:25" x14ac:dyDescent="0.3">
      <c r="T9084" s="12"/>
      <c r="U9084" s="4"/>
      <c r="V9084" s="4"/>
      <c r="X9084" s="4"/>
      <c r="Y9084" s="4"/>
    </row>
    <row r="9085" spans="20:25" x14ac:dyDescent="0.3">
      <c r="T9085" s="12"/>
      <c r="U9085" s="4"/>
      <c r="V9085" s="4"/>
      <c r="X9085" s="4"/>
      <c r="Y9085" s="4"/>
    </row>
    <row r="9086" spans="20:25" x14ac:dyDescent="0.3">
      <c r="T9086" s="12"/>
      <c r="U9086" s="4"/>
      <c r="V9086" s="4"/>
      <c r="X9086" s="4"/>
      <c r="Y9086" s="4"/>
    </row>
    <row r="9087" spans="20:25" x14ac:dyDescent="0.3">
      <c r="T9087" s="12"/>
      <c r="U9087" s="4"/>
      <c r="V9087" s="4"/>
      <c r="X9087" s="4"/>
      <c r="Y9087" s="4"/>
    </row>
    <row r="9088" spans="20:25" x14ac:dyDescent="0.3">
      <c r="T9088" s="12"/>
      <c r="U9088" s="4"/>
      <c r="V9088" s="4"/>
      <c r="X9088" s="4"/>
      <c r="Y9088" s="4"/>
    </row>
    <row r="9089" spans="20:25" x14ac:dyDescent="0.3">
      <c r="T9089" s="12"/>
      <c r="U9089" s="4"/>
      <c r="V9089" s="4"/>
      <c r="X9089" s="4"/>
      <c r="Y9089" s="4"/>
    </row>
    <row r="9090" spans="20:25" x14ac:dyDescent="0.3">
      <c r="T9090" s="12"/>
      <c r="U9090" s="4"/>
      <c r="V9090" s="4"/>
      <c r="X9090" s="4"/>
      <c r="Y9090" s="4"/>
    </row>
    <row r="9091" spans="20:25" x14ac:dyDescent="0.3">
      <c r="T9091" s="12"/>
      <c r="U9091" s="4"/>
      <c r="V9091" s="4"/>
      <c r="X9091" s="4"/>
      <c r="Y9091" s="4"/>
    </row>
    <row r="9092" spans="20:25" x14ac:dyDescent="0.3">
      <c r="T9092" s="12"/>
      <c r="U9092" s="4"/>
      <c r="V9092" s="4"/>
      <c r="X9092" s="4"/>
      <c r="Y9092" s="4"/>
    </row>
    <row r="9093" spans="20:25" x14ac:dyDescent="0.3">
      <c r="T9093" s="12"/>
      <c r="U9093" s="4"/>
      <c r="V9093" s="4"/>
      <c r="X9093" s="4"/>
      <c r="Y9093" s="4"/>
    </row>
    <row r="9094" spans="20:25" x14ac:dyDescent="0.3">
      <c r="T9094" s="12"/>
      <c r="U9094" s="4"/>
      <c r="V9094" s="4"/>
      <c r="X9094" s="4"/>
      <c r="Y9094" s="4"/>
    </row>
    <row r="9095" spans="20:25" x14ac:dyDescent="0.3">
      <c r="T9095" s="12"/>
      <c r="U9095" s="4"/>
      <c r="V9095" s="4"/>
      <c r="X9095" s="4"/>
      <c r="Y9095" s="4"/>
    </row>
    <row r="9096" spans="20:25" x14ac:dyDescent="0.3">
      <c r="T9096" s="12"/>
      <c r="U9096" s="4"/>
      <c r="V9096" s="4"/>
      <c r="X9096" s="4"/>
      <c r="Y9096" s="4"/>
    </row>
    <row r="9097" spans="20:25" x14ac:dyDescent="0.3">
      <c r="T9097" s="12"/>
      <c r="U9097" s="4"/>
      <c r="V9097" s="4"/>
      <c r="X9097" s="4"/>
      <c r="Y9097" s="4"/>
    </row>
    <row r="9098" spans="20:25" x14ac:dyDescent="0.3">
      <c r="T9098" s="12"/>
      <c r="U9098" s="4"/>
      <c r="V9098" s="4"/>
      <c r="X9098" s="4"/>
      <c r="Y9098" s="4"/>
    </row>
    <row r="9099" spans="20:25" x14ac:dyDescent="0.3">
      <c r="T9099" s="12"/>
      <c r="U9099" s="4"/>
      <c r="V9099" s="4"/>
      <c r="X9099" s="4"/>
      <c r="Y9099" s="4"/>
    </row>
    <row r="9100" spans="20:25" x14ac:dyDescent="0.3">
      <c r="T9100" s="12"/>
      <c r="U9100" s="4"/>
      <c r="V9100" s="4"/>
      <c r="X9100" s="4"/>
      <c r="Y9100" s="4"/>
    </row>
    <row r="9101" spans="20:25" x14ac:dyDescent="0.3">
      <c r="T9101" s="12"/>
      <c r="U9101" s="4"/>
      <c r="V9101" s="4"/>
      <c r="X9101" s="4"/>
      <c r="Y9101" s="4"/>
    </row>
    <row r="9102" spans="20:25" x14ac:dyDescent="0.3">
      <c r="T9102" s="12"/>
      <c r="U9102" s="4"/>
      <c r="V9102" s="4"/>
      <c r="X9102" s="4"/>
      <c r="Y9102" s="4"/>
    </row>
    <row r="9103" spans="20:25" x14ac:dyDescent="0.3">
      <c r="T9103" s="12"/>
      <c r="U9103" s="4"/>
      <c r="V9103" s="4"/>
      <c r="X9103" s="4"/>
      <c r="Y9103" s="4"/>
    </row>
    <row r="9104" spans="20:25" x14ac:dyDescent="0.3">
      <c r="T9104" s="12"/>
      <c r="U9104" s="4"/>
      <c r="V9104" s="4"/>
      <c r="X9104" s="4"/>
      <c r="Y9104" s="4"/>
    </row>
    <row r="9105" spans="20:25" x14ac:dyDescent="0.3">
      <c r="T9105" s="12"/>
      <c r="U9105" s="4"/>
      <c r="V9105" s="4"/>
      <c r="X9105" s="4"/>
      <c r="Y9105" s="4"/>
    </row>
    <row r="9106" spans="20:25" x14ac:dyDescent="0.3">
      <c r="T9106" s="12"/>
      <c r="U9106" s="4"/>
      <c r="V9106" s="4"/>
      <c r="X9106" s="4"/>
      <c r="Y9106" s="4"/>
    </row>
    <row r="9107" spans="20:25" x14ac:dyDescent="0.3">
      <c r="T9107" s="12"/>
      <c r="U9107" s="4"/>
      <c r="V9107" s="4"/>
      <c r="X9107" s="4"/>
      <c r="Y9107" s="4"/>
    </row>
    <row r="9108" spans="20:25" x14ac:dyDescent="0.3">
      <c r="T9108" s="12"/>
      <c r="U9108" s="4"/>
      <c r="V9108" s="4"/>
      <c r="X9108" s="4"/>
      <c r="Y9108" s="4"/>
    </row>
    <row r="9109" spans="20:25" x14ac:dyDescent="0.3">
      <c r="T9109" s="12"/>
      <c r="U9109" s="4"/>
      <c r="V9109" s="4"/>
      <c r="X9109" s="4"/>
      <c r="Y9109" s="4"/>
    </row>
    <row r="9110" spans="20:25" x14ac:dyDescent="0.3">
      <c r="T9110" s="12"/>
      <c r="U9110" s="4"/>
      <c r="V9110" s="4"/>
      <c r="X9110" s="4"/>
      <c r="Y9110" s="4"/>
    </row>
    <row r="9111" spans="20:25" x14ac:dyDescent="0.3">
      <c r="T9111" s="12"/>
      <c r="U9111" s="4"/>
      <c r="V9111" s="4"/>
      <c r="X9111" s="4"/>
      <c r="Y9111" s="4"/>
    </row>
    <row r="9112" spans="20:25" x14ac:dyDescent="0.3">
      <c r="T9112" s="12"/>
      <c r="U9112" s="4"/>
      <c r="V9112" s="4"/>
      <c r="X9112" s="4"/>
      <c r="Y9112" s="4"/>
    </row>
    <row r="9113" spans="20:25" x14ac:dyDescent="0.3">
      <c r="T9113" s="12"/>
      <c r="U9113" s="4"/>
      <c r="V9113" s="4"/>
      <c r="X9113" s="4"/>
      <c r="Y9113" s="4"/>
    </row>
    <row r="9114" spans="20:25" x14ac:dyDescent="0.3">
      <c r="T9114" s="12"/>
      <c r="U9114" s="4"/>
      <c r="V9114" s="4"/>
      <c r="X9114" s="4"/>
      <c r="Y9114" s="4"/>
    </row>
    <row r="9115" spans="20:25" x14ac:dyDescent="0.3">
      <c r="T9115" s="12"/>
      <c r="U9115" s="4"/>
      <c r="V9115" s="4"/>
      <c r="X9115" s="4"/>
      <c r="Y9115" s="4"/>
    </row>
    <row r="9116" spans="20:25" x14ac:dyDescent="0.3">
      <c r="T9116" s="12"/>
      <c r="U9116" s="4"/>
      <c r="V9116" s="4"/>
      <c r="X9116" s="4"/>
      <c r="Y9116" s="4"/>
    </row>
    <row r="9117" spans="20:25" x14ac:dyDescent="0.3">
      <c r="T9117" s="12"/>
      <c r="U9117" s="4"/>
      <c r="V9117" s="4"/>
      <c r="X9117" s="4"/>
      <c r="Y9117" s="4"/>
    </row>
    <row r="9118" spans="20:25" x14ac:dyDescent="0.3">
      <c r="T9118" s="12"/>
      <c r="U9118" s="4"/>
      <c r="V9118" s="4"/>
      <c r="X9118" s="4"/>
      <c r="Y9118" s="4"/>
    </row>
    <row r="9119" spans="20:25" x14ac:dyDescent="0.3">
      <c r="T9119" s="12"/>
      <c r="U9119" s="4"/>
      <c r="V9119" s="4"/>
      <c r="X9119" s="4"/>
      <c r="Y9119" s="4"/>
    </row>
    <row r="9120" spans="20:25" x14ac:dyDescent="0.3">
      <c r="T9120" s="12"/>
      <c r="U9120" s="4"/>
      <c r="V9120" s="4"/>
      <c r="X9120" s="4"/>
      <c r="Y9120" s="4"/>
    </row>
    <row r="9121" spans="20:25" x14ac:dyDescent="0.3">
      <c r="T9121" s="12"/>
      <c r="U9121" s="4"/>
      <c r="V9121" s="4"/>
      <c r="X9121" s="4"/>
      <c r="Y9121" s="4"/>
    </row>
    <row r="9122" spans="20:25" x14ac:dyDescent="0.3">
      <c r="T9122" s="12"/>
      <c r="U9122" s="4"/>
      <c r="V9122" s="4"/>
      <c r="X9122" s="4"/>
      <c r="Y9122" s="4"/>
    </row>
    <row r="9123" spans="20:25" x14ac:dyDescent="0.3">
      <c r="T9123" s="12"/>
      <c r="U9123" s="4"/>
      <c r="V9123" s="4"/>
      <c r="X9123" s="4"/>
      <c r="Y9123" s="4"/>
    </row>
    <row r="9124" spans="20:25" x14ac:dyDescent="0.3">
      <c r="T9124" s="12"/>
      <c r="U9124" s="4"/>
      <c r="V9124" s="4"/>
      <c r="X9124" s="4"/>
      <c r="Y9124" s="4"/>
    </row>
    <row r="9125" spans="20:25" x14ac:dyDescent="0.3">
      <c r="T9125" s="12"/>
      <c r="U9125" s="4"/>
      <c r="V9125" s="4"/>
      <c r="X9125" s="4"/>
      <c r="Y9125" s="4"/>
    </row>
    <row r="9126" spans="20:25" x14ac:dyDescent="0.3">
      <c r="T9126" s="12"/>
      <c r="U9126" s="4"/>
      <c r="V9126" s="4"/>
      <c r="X9126" s="4"/>
      <c r="Y9126" s="4"/>
    </row>
    <row r="9127" spans="20:25" x14ac:dyDescent="0.3">
      <c r="T9127" s="12"/>
      <c r="U9127" s="4"/>
      <c r="V9127" s="4"/>
      <c r="X9127" s="4"/>
      <c r="Y9127" s="4"/>
    </row>
    <row r="9128" spans="20:25" x14ac:dyDescent="0.3">
      <c r="T9128" s="12"/>
      <c r="U9128" s="4"/>
      <c r="V9128" s="4"/>
      <c r="X9128" s="4"/>
      <c r="Y9128" s="4"/>
    </row>
    <row r="9129" spans="20:25" x14ac:dyDescent="0.3">
      <c r="T9129" s="12"/>
      <c r="U9129" s="4"/>
      <c r="V9129" s="4"/>
      <c r="X9129" s="4"/>
      <c r="Y9129" s="4"/>
    </row>
    <row r="9130" spans="20:25" x14ac:dyDescent="0.3">
      <c r="T9130" s="12"/>
      <c r="U9130" s="4"/>
      <c r="V9130" s="4"/>
      <c r="X9130" s="4"/>
      <c r="Y9130" s="4"/>
    </row>
    <row r="9131" spans="20:25" x14ac:dyDescent="0.3">
      <c r="T9131" s="12"/>
      <c r="U9131" s="4"/>
      <c r="V9131" s="4"/>
      <c r="X9131" s="4"/>
      <c r="Y9131" s="4"/>
    </row>
    <row r="9132" spans="20:25" x14ac:dyDescent="0.3">
      <c r="T9132" s="12"/>
      <c r="U9132" s="4"/>
      <c r="V9132" s="4"/>
      <c r="X9132" s="4"/>
      <c r="Y9132" s="4"/>
    </row>
    <row r="9133" spans="20:25" x14ac:dyDescent="0.3">
      <c r="T9133" s="12"/>
      <c r="U9133" s="4"/>
      <c r="V9133" s="4"/>
      <c r="X9133" s="4"/>
      <c r="Y9133" s="4"/>
    </row>
    <row r="9134" spans="20:25" x14ac:dyDescent="0.3">
      <c r="T9134" s="12"/>
      <c r="U9134" s="4"/>
      <c r="V9134" s="4"/>
      <c r="X9134" s="4"/>
      <c r="Y9134" s="4"/>
    </row>
    <row r="9135" spans="20:25" x14ac:dyDescent="0.3">
      <c r="T9135" s="12"/>
      <c r="U9135" s="4"/>
      <c r="V9135" s="4"/>
      <c r="X9135" s="4"/>
      <c r="Y9135" s="4"/>
    </row>
    <row r="9136" spans="20:25" x14ac:dyDescent="0.3">
      <c r="T9136" s="12"/>
      <c r="U9136" s="4"/>
      <c r="V9136" s="4"/>
      <c r="X9136" s="4"/>
      <c r="Y9136" s="4"/>
    </row>
    <row r="9137" spans="20:25" x14ac:dyDescent="0.3">
      <c r="T9137" s="12"/>
      <c r="U9137" s="4"/>
      <c r="V9137" s="4"/>
      <c r="X9137" s="4"/>
      <c r="Y9137" s="4"/>
    </row>
    <row r="9138" spans="20:25" x14ac:dyDescent="0.3">
      <c r="T9138" s="12"/>
      <c r="U9138" s="4"/>
      <c r="V9138" s="4"/>
      <c r="X9138" s="4"/>
      <c r="Y9138" s="4"/>
    </row>
    <row r="9139" spans="20:25" x14ac:dyDescent="0.3">
      <c r="T9139" s="12"/>
      <c r="U9139" s="4"/>
      <c r="V9139" s="4"/>
      <c r="X9139" s="4"/>
      <c r="Y9139" s="4"/>
    </row>
    <row r="9140" spans="20:25" x14ac:dyDescent="0.3">
      <c r="T9140" s="12"/>
      <c r="U9140" s="4"/>
      <c r="V9140" s="4"/>
      <c r="X9140" s="4"/>
      <c r="Y9140" s="4"/>
    </row>
    <row r="9141" spans="20:25" x14ac:dyDescent="0.3">
      <c r="T9141" s="12"/>
      <c r="U9141" s="4"/>
      <c r="V9141" s="4"/>
      <c r="X9141" s="4"/>
      <c r="Y9141" s="4"/>
    </row>
    <row r="9142" spans="20:25" x14ac:dyDescent="0.3">
      <c r="T9142" s="12"/>
      <c r="U9142" s="4"/>
      <c r="V9142" s="4"/>
      <c r="X9142" s="4"/>
      <c r="Y9142" s="4"/>
    </row>
    <row r="9143" spans="20:25" x14ac:dyDescent="0.3">
      <c r="T9143" s="12"/>
      <c r="U9143" s="4"/>
      <c r="V9143" s="4"/>
      <c r="X9143" s="4"/>
      <c r="Y9143" s="4"/>
    </row>
    <row r="9144" spans="20:25" x14ac:dyDescent="0.3">
      <c r="T9144" s="12"/>
      <c r="U9144" s="4"/>
      <c r="V9144" s="4"/>
      <c r="X9144" s="4"/>
      <c r="Y9144" s="4"/>
    </row>
    <row r="9145" spans="20:25" x14ac:dyDescent="0.3">
      <c r="T9145" s="12"/>
      <c r="U9145" s="4"/>
      <c r="V9145" s="4"/>
      <c r="X9145" s="4"/>
      <c r="Y9145" s="4"/>
    </row>
    <row r="9146" spans="20:25" x14ac:dyDescent="0.3">
      <c r="T9146" s="12"/>
      <c r="U9146" s="4"/>
      <c r="V9146" s="4"/>
      <c r="X9146" s="4"/>
      <c r="Y9146" s="4"/>
    </row>
    <row r="9147" spans="20:25" x14ac:dyDescent="0.3">
      <c r="T9147" s="12"/>
      <c r="U9147" s="4"/>
      <c r="V9147" s="4"/>
      <c r="X9147" s="4"/>
      <c r="Y9147" s="4"/>
    </row>
    <row r="9148" spans="20:25" x14ac:dyDescent="0.3">
      <c r="T9148" s="12"/>
      <c r="U9148" s="4"/>
      <c r="V9148" s="4"/>
      <c r="X9148" s="4"/>
      <c r="Y9148" s="4"/>
    </row>
    <row r="9149" spans="20:25" x14ac:dyDescent="0.3">
      <c r="T9149" s="12"/>
      <c r="U9149" s="4"/>
      <c r="V9149" s="4"/>
      <c r="X9149" s="4"/>
      <c r="Y9149" s="4"/>
    </row>
    <row r="9150" spans="20:25" x14ac:dyDescent="0.3">
      <c r="T9150" s="12"/>
      <c r="U9150" s="4"/>
      <c r="V9150" s="4"/>
      <c r="X9150" s="4"/>
      <c r="Y9150" s="4"/>
    </row>
    <row r="9151" spans="20:25" x14ac:dyDescent="0.3">
      <c r="T9151" s="12"/>
      <c r="U9151" s="4"/>
      <c r="V9151" s="4"/>
      <c r="X9151" s="4"/>
      <c r="Y9151" s="4"/>
    </row>
    <row r="9152" spans="20:25" x14ac:dyDescent="0.3">
      <c r="T9152" s="12"/>
      <c r="U9152" s="4"/>
      <c r="V9152" s="4"/>
      <c r="X9152" s="4"/>
      <c r="Y9152" s="4"/>
    </row>
    <row r="9153" spans="20:25" x14ac:dyDescent="0.3">
      <c r="T9153" s="12"/>
      <c r="U9153" s="4"/>
      <c r="V9153" s="4"/>
      <c r="X9153" s="4"/>
      <c r="Y9153" s="4"/>
    </row>
    <row r="9154" spans="20:25" x14ac:dyDescent="0.3">
      <c r="T9154" s="12"/>
      <c r="U9154" s="4"/>
      <c r="V9154" s="4"/>
      <c r="X9154" s="4"/>
      <c r="Y9154" s="4"/>
    </row>
    <row r="9155" spans="20:25" x14ac:dyDescent="0.3">
      <c r="T9155" s="12"/>
      <c r="U9155" s="4"/>
      <c r="V9155" s="4"/>
      <c r="X9155" s="4"/>
      <c r="Y9155" s="4"/>
    </row>
    <row r="9156" spans="20:25" x14ac:dyDescent="0.3">
      <c r="T9156" s="12"/>
      <c r="U9156" s="4"/>
      <c r="V9156" s="4"/>
      <c r="X9156" s="4"/>
      <c r="Y9156" s="4"/>
    </row>
    <row r="9157" spans="20:25" x14ac:dyDescent="0.3">
      <c r="T9157" s="12"/>
      <c r="U9157" s="4"/>
      <c r="V9157" s="4"/>
      <c r="X9157" s="4"/>
      <c r="Y9157" s="4"/>
    </row>
    <row r="9158" spans="20:25" x14ac:dyDescent="0.3">
      <c r="T9158" s="12"/>
      <c r="U9158" s="4"/>
      <c r="V9158" s="4"/>
      <c r="X9158" s="4"/>
      <c r="Y9158" s="4"/>
    </row>
    <row r="9159" spans="20:25" x14ac:dyDescent="0.3">
      <c r="T9159" s="12"/>
      <c r="U9159" s="4"/>
      <c r="V9159" s="4"/>
      <c r="X9159" s="4"/>
      <c r="Y9159" s="4"/>
    </row>
    <row r="9160" spans="20:25" x14ac:dyDescent="0.3">
      <c r="T9160" s="12"/>
      <c r="U9160" s="4"/>
      <c r="V9160" s="4"/>
      <c r="X9160" s="4"/>
      <c r="Y9160" s="4"/>
    </row>
    <row r="9161" spans="20:25" x14ac:dyDescent="0.3">
      <c r="T9161" s="12"/>
      <c r="U9161" s="4"/>
      <c r="V9161" s="4"/>
      <c r="X9161" s="4"/>
      <c r="Y9161" s="4"/>
    </row>
    <row r="9162" spans="20:25" x14ac:dyDescent="0.3">
      <c r="T9162" s="12"/>
      <c r="U9162" s="4"/>
      <c r="V9162" s="4"/>
      <c r="X9162" s="4"/>
      <c r="Y9162" s="4"/>
    </row>
    <row r="9163" spans="20:25" x14ac:dyDescent="0.3">
      <c r="T9163" s="12"/>
      <c r="U9163" s="4"/>
      <c r="V9163" s="4"/>
      <c r="X9163" s="4"/>
      <c r="Y9163" s="4"/>
    </row>
    <row r="9164" spans="20:25" x14ac:dyDescent="0.3">
      <c r="T9164" s="12"/>
      <c r="U9164" s="4"/>
      <c r="V9164" s="4"/>
      <c r="X9164" s="4"/>
      <c r="Y9164" s="4"/>
    </row>
    <row r="9165" spans="20:25" x14ac:dyDescent="0.3">
      <c r="T9165" s="12"/>
      <c r="U9165" s="4"/>
      <c r="V9165" s="4"/>
      <c r="X9165" s="4"/>
      <c r="Y9165" s="4"/>
    </row>
    <row r="9166" spans="20:25" x14ac:dyDescent="0.3">
      <c r="T9166" s="12"/>
      <c r="U9166" s="4"/>
      <c r="V9166" s="4"/>
      <c r="X9166" s="4"/>
      <c r="Y9166" s="4"/>
    </row>
    <row r="9167" spans="20:25" x14ac:dyDescent="0.3">
      <c r="T9167" s="12"/>
      <c r="U9167" s="4"/>
      <c r="V9167" s="4"/>
      <c r="X9167" s="4"/>
      <c r="Y9167" s="4"/>
    </row>
    <row r="9168" spans="20:25" x14ac:dyDescent="0.3">
      <c r="T9168" s="12"/>
      <c r="U9168" s="4"/>
      <c r="V9168" s="4"/>
      <c r="X9168" s="4"/>
      <c r="Y9168" s="4"/>
    </row>
    <row r="9169" spans="20:25" x14ac:dyDescent="0.3">
      <c r="T9169" s="12"/>
      <c r="U9169" s="4"/>
      <c r="V9169" s="4"/>
      <c r="X9169" s="4"/>
      <c r="Y9169" s="4"/>
    </row>
    <row r="9170" spans="20:25" x14ac:dyDescent="0.3">
      <c r="T9170" s="12"/>
      <c r="U9170" s="4"/>
      <c r="V9170" s="4"/>
      <c r="X9170" s="4"/>
      <c r="Y9170" s="4"/>
    </row>
    <row r="9171" spans="20:25" x14ac:dyDescent="0.3">
      <c r="T9171" s="12"/>
      <c r="U9171" s="4"/>
      <c r="V9171" s="4"/>
      <c r="X9171" s="4"/>
      <c r="Y9171" s="4"/>
    </row>
    <row r="9172" spans="20:25" x14ac:dyDescent="0.3">
      <c r="T9172" s="12"/>
      <c r="U9172" s="4"/>
      <c r="V9172" s="4"/>
      <c r="X9172" s="4"/>
      <c r="Y9172" s="4"/>
    </row>
    <row r="9173" spans="20:25" x14ac:dyDescent="0.3">
      <c r="T9173" s="12"/>
      <c r="U9173" s="4"/>
      <c r="V9173" s="4"/>
      <c r="X9173" s="4"/>
      <c r="Y9173" s="4"/>
    </row>
    <row r="9174" spans="20:25" x14ac:dyDescent="0.3">
      <c r="T9174" s="12"/>
      <c r="U9174" s="4"/>
      <c r="V9174" s="4"/>
      <c r="X9174" s="4"/>
      <c r="Y9174" s="4"/>
    </row>
    <row r="9175" spans="20:25" x14ac:dyDescent="0.3">
      <c r="T9175" s="12"/>
      <c r="U9175" s="4"/>
      <c r="V9175" s="4"/>
      <c r="X9175" s="4"/>
      <c r="Y9175" s="4"/>
    </row>
    <row r="9176" spans="20:25" x14ac:dyDescent="0.3">
      <c r="T9176" s="12"/>
      <c r="U9176" s="4"/>
      <c r="V9176" s="4"/>
      <c r="X9176" s="4"/>
      <c r="Y9176" s="4"/>
    </row>
    <row r="9177" spans="20:25" x14ac:dyDescent="0.3">
      <c r="T9177" s="12"/>
      <c r="U9177" s="4"/>
      <c r="V9177" s="4"/>
      <c r="X9177" s="4"/>
      <c r="Y9177" s="4"/>
    </row>
    <row r="9178" spans="20:25" x14ac:dyDescent="0.3">
      <c r="T9178" s="12"/>
      <c r="U9178" s="4"/>
      <c r="V9178" s="4"/>
      <c r="X9178" s="4"/>
      <c r="Y9178" s="4"/>
    </row>
    <row r="9179" spans="20:25" x14ac:dyDescent="0.3">
      <c r="T9179" s="12"/>
      <c r="U9179" s="4"/>
      <c r="V9179" s="4"/>
      <c r="X9179" s="4"/>
      <c r="Y9179" s="4"/>
    </row>
    <row r="9180" spans="20:25" x14ac:dyDescent="0.3">
      <c r="T9180" s="12"/>
      <c r="U9180" s="4"/>
      <c r="V9180" s="4"/>
      <c r="X9180" s="4"/>
      <c r="Y9180" s="4"/>
    </row>
    <row r="9181" spans="20:25" x14ac:dyDescent="0.3">
      <c r="T9181" s="12"/>
      <c r="U9181" s="4"/>
      <c r="V9181" s="4"/>
      <c r="X9181" s="4"/>
      <c r="Y9181" s="4"/>
    </row>
    <row r="9182" spans="20:25" x14ac:dyDescent="0.3">
      <c r="T9182" s="12"/>
      <c r="U9182" s="4"/>
      <c r="V9182" s="4"/>
      <c r="X9182" s="4"/>
      <c r="Y9182" s="4"/>
    </row>
    <row r="9183" spans="20:25" x14ac:dyDescent="0.3">
      <c r="T9183" s="12"/>
      <c r="U9183" s="4"/>
      <c r="V9183" s="4"/>
      <c r="X9183" s="4"/>
      <c r="Y9183" s="4"/>
    </row>
    <row r="9184" spans="20:25" x14ac:dyDescent="0.3">
      <c r="T9184" s="12"/>
      <c r="U9184" s="4"/>
      <c r="V9184" s="4"/>
      <c r="X9184" s="4"/>
      <c r="Y9184" s="4"/>
    </row>
    <row r="9185" spans="20:25" x14ac:dyDescent="0.3">
      <c r="T9185" s="12"/>
      <c r="U9185" s="4"/>
      <c r="V9185" s="4"/>
      <c r="X9185" s="4"/>
      <c r="Y9185" s="4"/>
    </row>
    <row r="9186" spans="20:25" x14ac:dyDescent="0.3">
      <c r="T9186" s="12"/>
      <c r="U9186" s="4"/>
      <c r="V9186" s="4"/>
      <c r="X9186" s="4"/>
      <c r="Y9186" s="4"/>
    </row>
    <row r="9187" spans="20:25" x14ac:dyDescent="0.3">
      <c r="T9187" s="12"/>
      <c r="U9187" s="4"/>
      <c r="V9187" s="4"/>
      <c r="X9187" s="4"/>
      <c r="Y9187" s="4"/>
    </row>
    <row r="9188" spans="20:25" x14ac:dyDescent="0.3">
      <c r="T9188" s="12"/>
      <c r="U9188" s="4"/>
      <c r="V9188" s="4"/>
      <c r="X9188" s="4"/>
      <c r="Y9188" s="4"/>
    </row>
    <row r="9189" spans="20:25" x14ac:dyDescent="0.3">
      <c r="T9189" s="12"/>
      <c r="U9189" s="4"/>
      <c r="V9189" s="4"/>
      <c r="X9189" s="4"/>
      <c r="Y9189" s="4"/>
    </row>
    <row r="9190" spans="20:25" x14ac:dyDescent="0.3">
      <c r="T9190" s="12"/>
      <c r="U9190" s="4"/>
      <c r="V9190" s="4"/>
      <c r="X9190" s="4"/>
      <c r="Y9190" s="4"/>
    </row>
    <row r="9191" spans="20:25" x14ac:dyDescent="0.3">
      <c r="T9191" s="12"/>
      <c r="U9191" s="4"/>
      <c r="V9191" s="4"/>
      <c r="X9191" s="4"/>
      <c r="Y9191" s="4"/>
    </row>
    <row r="9192" spans="20:25" x14ac:dyDescent="0.3">
      <c r="T9192" s="12"/>
      <c r="U9192" s="4"/>
      <c r="V9192" s="4"/>
      <c r="X9192" s="4"/>
      <c r="Y9192" s="4"/>
    </row>
    <row r="9193" spans="20:25" x14ac:dyDescent="0.3">
      <c r="T9193" s="12"/>
      <c r="U9193" s="4"/>
      <c r="V9193" s="4"/>
      <c r="X9193" s="4"/>
      <c r="Y9193" s="4"/>
    </row>
    <row r="9194" spans="20:25" x14ac:dyDescent="0.3">
      <c r="T9194" s="12"/>
      <c r="U9194" s="4"/>
      <c r="V9194" s="4"/>
      <c r="X9194" s="4"/>
      <c r="Y9194" s="4"/>
    </row>
    <row r="9195" spans="20:25" x14ac:dyDescent="0.3">
      <c r="T9195" s="12"/>
      <c r="U9195" s="4"/>
      <c r="V9195" s="4"/>
      <c r="X9195" s="4"/>
      <c r="Y9195" s="4"/>
    </row>
    <row r="9196" spans="20:25" x14ac:dyDescent="0.3">
      <c r="T9196" s="12"/>
      <c r="U9196" s="4"/>
      <c r="V9196" s="4"/>
      <c r="X9196" s="4"/>
      <c r="Y9196" s="4"/>
    </row>
    <row r="9197" spans="20:25" x14ac:dyDescent="0.3">
      <c r="T9197" s="12"/>
      <c r="U9197" s="4"/>
      <c r="V9197" s="4"/>
      <c r="X9197" s="4"/>
      <c r="Y9197" s="4"/>
    </row>
    <row r="9198" spans="20:25" x14ac:dyDescent="0.3">
      <c r="T9198" s="12"/>
      <c r="U9198" s="4"/>
      <c r="V9198" s="4"/>
      <c r="X9198" s="4"/>
      <c r="Y9198" s="4"/>
    </row>
    <row r="9199" spans="20:25" x14ac:dyDescent="0.3">
      <c r="T9199" s="12"/>
      <c r="U9199" s="4"/>
      <c r="V9199" s="4"/>
      <c r="X9199" s="4"/>
      <c r="Y9199" s="4"/>
    </row>
    <row r="9200" spans="20:25" x14ac:dyDescent="0.3">
      <c r="T9200" s="12"/>
      <c r="U9200" s="4"/>
      <c r="V9200" s="4"/>
      <c r="X9200" s="4"/>
      <c r="Y9200" s="4"/>
    </row>
    <row r="9201" spans="20:25" x14ac:dyDescent="0.3">
      <c r="T9201" s="12"/>
      <c r="U9201" s="4"/>
      <c r="V9201" s="4"/>
      <c r="X9201" s="4"/>
      <c r="Y9201" s="4"/>
    </row>
    <row r="9202" spans="20:25" x14ac:dyDescent="0.3">
      <c r="T9202" s="12"/>
      <c r="U9202" s="4"/>
      <c r="V9202" s="4"/>
      <c r="X9202" s="4"/>
      <c r="Y9202" s="4"/>
    </row>
    <row r="9203" spans="20:25" x14ac:dyDescent="0.3">
      <c r="T9203" s="12"/>
      <c r="U9203" s="4"/>
      <c r="V9203" s="4"/>
      <c r="X9203" s="4"/>
      <c r="Y9203" s="4"/>
    </row>
    <row r="9204" spans="20:25" x14ac:dyDescent="0.3">
      <c r="T9204" s="12"/>
      <c r="U9204" s="4"/>
      <c r="V9204" s="4"/>
      <c r="X9204" s="4"/>
      <c r="Y9204" s="4"/>
    </row>
    <row r="9205" spans="20:25" x14ac:dyDescent="0.3">
      <c r="T9205" s="12"/>
      <c r="U9205" s="4"/>
      <c r="V9205" s="4"/>
      <c r="X9205" s="4"/>
      <c r="Y9205" s="4"/>
    </row>
    <row r="9206" spans="20:25" x14ac:dyDescent="0.3">
      <c r="T9206" s="12"/>
      <c r="U9206" s="4"/>
      <c r="V9206" s="4"/>
      <c r="X9206" s="4"/>
      <c r="Y9206" s="4"/>
    </row>
    <row r="9207" spans="20:25" x14ac:dyDescent="0.3">
      <c r="T9207" s="12"/>
      <c r="U9207" s="4"/>
      <c r="V9207" s="4"/>
      <c r="X9207" s="4"/>
      <c r="Y9207" s="4"/>
    </row>
    <row r="9208" spans="20:25" x14ac:dyDescent="0.3">
      <c r="T9208" s="12"/>
      <c r="U9208" s="4"/>
      <c r="V9208" s="4"/>
      <c r="X9208" s="4"/>
      <c r="Y9208" s="4"/>
    </row>
    <row r="9209" spans="20:25" x14ac:dyDescent="0.3">
      <c r="T9209" s="12"/>
      <c r="U9209" s="4"/>
      <c r="V9209" s="4"/>
      <c r="X9209" s="4"/>
      <c r="Y9209" s="4"/>
    </row>
    <row r="9210" spans="20:25" x14ac:dyDescent="0.3">
      <c r="T9210" s="12"/>
      <c r="U9210" s="4"/>
      <c r="V9210" s="4"/>
      <c r="X9210" s="4"/>
      <c r="Y9210" s="4"/>
    </row>
    <row r="9211" spans="20:25" x14ac:dyDescent="0.3">
      <c r="T9211" s="12"/>
      <c r="U9211" s="4"/>
      <c r="V9211" s="4"/>
      <c r="X9211" s="4"/>
      <c r="Y9211" s="4"/>
    </row>
    <row r="9212" spans="20:25" x14ac:dyDescent="0.3">
      <c r="T9212" s="12"/>
      <c r="U9212" s="4"/>
      <c r="V9212" s="4"/>
      <c r="X9212" s="4"/>
      <c r="Y9212" s="4"/>
    </row>
    <row r="9213" spans="20:25" x14ac:dyDescent="0.3">
      <c r="T9213" s="12"/>
      <c r="U9213" s="4"/>
      <c r="V9213" s="4"/>
      <c r="X9213" s="4"/>
      <c r="Y9213" s="4"/>
    </row>
    <row r="9214" spans="20:25" x14ac:dyDescent="0.3">
      <c r="T9214" s="12"/>
      <c r="U9214" s="4"/>
      <c r="V9214" s="4"/>
      <c r="X9214" s="4"/>
      <c r="Y9214" s="4"/>
    </row>
    <row r="9215" spans="20:25" x14ac:dyDescent="0.3">
      <c r="T9215" s="12"/>
      <c r="U9215" s="4"/>
      <c r="V9215" s="4"/>
      <c r="X9215" s="4"/>
      <c r="Y9215" s="4"/>
    </row>
    <row r="9216" spans="20:25" x14ac:dyDescent="0.3">
      <c r="T9216" s="12"/>
      <c r="U9216" s="4"/>
      <c r="V9216" s="4"/>
      <c r="X9216" s="4"/>
      <c r="Y9216" s="4"/>
    </row>
    <row r="9217" spans="20:25" x14ac:dyDescent="0.3">
      <c r="T9217" s="12"/>
      <c r="U9217" s="4"/>
      <c r="V9217" s="4"/>
      <c r="X9217" s="4"/>
      <c r="Y9217" s="4"/>
    </row>
    <row r="9218" spans="20:25" x14ac:dyDescent="0.3">
      <c r="T9218" s="12"/>
      <c r="U9218" s="4"/>
      <c r="V9218" s="4"/>
      <c r="X9218" s="4"/>
      <c r="Y9218" s="4"/>
    </row>
    <row r="9219" spans="20:25" x14ac:dyDescent="0.3">
      <c r="T9219" s="12"/>
      <c r="U9219" s="4"/>
      <c r="V9219" s="4"/>
      <c r="X9219" s="4"/>
      <c r="Y9219" s="4"/>
    </row>
    <row r="9220" spans="20:25" x14ac:dyDescent="0.3">
      <c r="T9220" s="12"/>
      <c r="U9220" s="4"/>
      <c r="V9220" s="4"/>
      <c r="X9220" s="4"/>
      <c r="Y9220" s="4"/>
    </row>
    <row r="9221" spans="20:25" x14ac:dyDescent="0.3">
      <c r="T9221" s="12"/>
      <c r="U9221" s="4"/>
      <c r="V9221" s="4"/>
      <c r="X9221" s="4"/>
      <c r="Y9221" s="4"/>
    </row>
    <row r="9222" spans="20:25" x14ac:dyDescent="0.3">
      <c r="T9222" s="12"/>
      <c r="U9222" s="4"/>
      <c r="V9222" s="4"/>
      <c r="X9222" s="4"/>
      <c r="Y9222" s="4"/>
    </row>
    <row r="9223" spans="20:25" x14ac:dyDescent="0.3">
      <c r="T9223" s="12"/>
      <c r="U9223" s="4"/>
      <c r="V9223" s="4"/>
      <c r="X9223" s="4"/>
      <c r="Y9223" s="4"/>
    </row>
    <row r="9224" spans="20:25" x14ac:dyDescent="0.3">
      <c r="T9224" s="12"/>
      <c r="U9224" s="4"/>
      <c r="V9224" s="4"/>
      <c r="X9224" s="4"/>
      <c r="Y9224" s="4"/>
    </row>
    <row r="9225" spans="20:25" x14ac:dyDescent="0.3">
      <c r="T9225" s="12"/>
      <c r="U9225" s="4"/>
      <c r="V9225" s="4"/>
      <c r="X9225" s="4"/>
      <c r="Y9225" s="4"/>
    </row>
    <row r="9226" spans="20:25" x14ac:dyDescent="0.3">
      <c r="T9226" s="12"/>
      <c r="U9226" s="4"/>
      <c r="V9226" s="4"/>
      <c r="X9226" s="4"/>
      <c r="Y9226" s="4"/>
    </row>
    <row r="9227" spans="20:25" x14ac:dyDescent="0.3">
      <c r="T9227" s="12"/>
      <c r="U9227" s="4"/>
      <c r="V9227" s="4"/>
      <c r="X9227" s="4"/>
      <c r="Y9227" s="4"/>
    </row>
    <row r="9228" spans="20:25" x14ac:dyDescent="0.3">
      <c r="T9228" s="12"/>
      <c r="U9228" s="4"/>
      <c r="V9228" s="4"/>
      <c r="X9228" s="4"/>
      <c r="Y9228" s="4"/>
    </row>
    <row r="9229" spans="20:25" x14ac:dyDescent="0.3">
      <c r="T9229" s="12"/>
      <c r="U9229" s="4"/>
      <c r="V9229" s="4"/>
      <c r="X9229" s="4"/>
      <c r="Y9229" s="4"/>
    </row>
    <row r="9230" spans="20:25" x14ac:dyDescent="0.3">
      <c r="T9230" s="12"/>
      <c r="U9230" s="4"/>
      <c r="V9230" s="4"/>
      <c r="X9230" s="4"/>
      <c r="Y9230" s="4"/>
    </row>
    <row r="9231" spans="20:25" x14ac:dyDescent="0.3">
      <c r="T9231" s="12"/>
      <c r="U9231" s="4"/>
      <c r="V9231" s="4"/>
      <c r="X9231" s="4"/>
      <c r="Y9231" s="4"/>
    </row>
    <row r="9232" spans="20:25" x14ac:dyDescent="0.3">
      <c r="T9232" s="12"/>
      <c r="U9232" s="4"/>
      <c r="V9232" s="4"/>
      <c r="X9232" s="4"/>
      <c r="Y9232" s="4"/>
    </row>
    <row r="9233" spans="20:25" x14ac:dyDescent="0.3">
      <c r="T9233" s="12"/>
      <c r="U9233" s="4"/>
      <c r="V9233" s="4"/>
      <c r="X9233" s="4"/>
      <c r="Y9233" s="4"/>
    </row>
    <row r="9234" spans="20:25" x14ac:dyDescent="0.3">
      <c r="T9234" s="12"/>
      <c r="U9234" s="4"/>
      <c r="V9234" s="4"/>
      <c r="X9234" s="4"/>
      <c r="Y9234" s="4"/>
    </row>
    <row r="9235" spans="20:25" x14ac:dyDescent="0.3">
      <c r="T9235" s="12"/>
      <c r="U9235" s="4"/>
      <c r="V9235" s="4"/>
      <c r="X9235" s="4"/>
      <c r="Y9235" s="4"/>
    </row>
    <row r="9236" spans="20:25" x14ac:dyDescent="0.3">
      <c r="T9236" s="12"/>
      <c r="U9236" s="4"/>
      <c r="V9236" s="4"/>
      <c r="X9236" s="4"/>
      <c r="Y9236" s="4"/>
    </row>
    <row r="9237" spans="20:25" x14ac:dyDescent="0.3">
      <c r="T9237" s="12"/>
      <c r="U9237" s="4"/>
      <c r="V9237" s="4"/>
      <c r="X9237" s="4"/>
      <c r="Y9237" s="4"/>
    </row>
    <row r="9238" spans="20:25" x14ac:dyDescent="0.3">
      <c r="T9238" s="12"/>
      <c r="U9238" s="4"/>
      <c r="V9238" s="4"/>
      <c r="X9238" s="4"/>
      <c r="Y9238" s="4"/>
    </row>
    <row r="9239" spans="20:25" x14ac:dyDescent="0.3">
      <c r="T9239" s="12"/>
      <c r="U9239" s="4"/>
      <c r="V9239" s="4"/>
      <c r="X9239" s="4"/>
      <c r="Y9239" s="4"/>
    </row>
    <row r="9240" spans="20:25" x14ac:dyDescent="0.3">
      <c r="T9240" s="12"/>
      <c r="U9240" s="4"/>
      <c r="V9240" s="4"/>
      <c r="X9240" s="4"/>
      <c r="Y9240" s="4"/>
    </row>
    <row r="9241" spans="20:25" x14ac:dyDescent="0.3">
      <c r="T9241" s="12"/>
      <c r="U9241" s="4"/>
      <c r="V9241" s="4"/>
      <c r="X9241" s="4"/>
      <c r="Y9241" s="4"/>
    </row>
    <row r="9242" spans="20:25" x14ac:dyDescent="0.3">
      <c r="T9242" s="12"/>
      <c r="U9242" s="4"/>
      <c r="V9242" s="4"/>
      <c r="X9242" s="4"/>
      <c r="Y9242" s="4"/>
    </row>
    <row r="9243" spans="20:25" x14ac:dyDescent="0.3">
      <c r="T9243" s="12"/>
      <c r="U9243" s="4"/>
      <c r="V9243" s="4"/>
      <c r="X9243" s="4"/>
      <c r="Y9243" s="4"/>
    </row>
    <row r="9244" spans="20:25" x14ac:dyDescent="0.3">
      <c r="T9244" s="12"/>
      <c r="U9244" s="4"/>
      <c r="V9244" s="4"/>
      <c r="X9244" s="4"/>
      <c r="Y9244" s="4"/>
    </row>
    <row r="9245" spans="20:25" x14ac:dyDescent="0.3">
      <c r="T9245" s="12"/>
      <c r="U9245" s="4"/>
      <c r="V9245" s="4"/>
      <c r="X9245" s="4"/>
      <c r="Y9245" s="4"/>
    </row>
    <row r="9246" spans="20:25" x14ac:dyDescent="0.3">
      <c r="T9246" s="12"/>
      <c r="U9246" s="4"/>
      <c r="V9246" s="4"/>
      <c r="X9246" s="4"/>
      <c r="Y9246" s="4"/>
    </row>
    <row r="9247" spans="20:25" x14ac:dyDescent="0.3">
      <c r="T9247" s="12"/>
      <c r="U9247" s="4"/>
      <c r="V9247" s="4"/>
      <c r="X9247" s="4"/>
      <c r="Y9247" s="4"/>
    </row>
    <row r="9248" spans="20:25" x14ac:dyDescent="0.3">
      <c r="T9248" s="12"/>
      <c r="U9248" s="4"/>
      <c r="V9248" s="4"/>
      <c r="X9248" s="4"/>
      <c r="Y9248" s="4"/>
    </row>
    <row r="9249" spans="20:25" x14ac:dyDescent="0.3">
      <c r="T9249" s="12"/>
      <c r="U9249" s="4"/>
      <c r="V9249" s="4"/>
      <c r="X9249" s="4"/>
      <c r="Y9249" s="4"/>
    </row>
    <row r="9250" spans="20:25" x14ac:dyDescent="0.3">
      <c r="T9250" s="12"/>
      <c r="U9250" s="4"/>
      <c r="V9250" s="4"/>
      <c r="X9250" s="4"/>
      <c r="Y9250" s="4"/>
    </row>
    <row r="9251" spans="20:25" x14ac:dyDescent="0.3">
      <c r="T9251" s="12"/>
      <c r="U9251" s="4"/>
      <c r="V9251" s="4"/>
      <c r="X9251" s="4"/>
      <c r="Y9251" s="4"/>
    </row>
    <row r="9252" spans="20:25" x14ac:dyDescent="0.3">
      <c r="T9252" s="12"/>
      <c r="U9252" s="4"/>
      <c r="V9252" s="4"/>
      <c r="X9252" s="4"/>
      <c r="Y9252" s="4"/>
    </row>
    <row r="9253" spans="20:25" x14ac:dyDescent="0.3">
      <c r="T9253" s="12"/>
      <c r="U9253" s="4"/>
      <c r="V9253" s="4"/>
      <c r="X9253" s="4"/>
      <c r="Y9253" s="4"/>
    </row>
    <row r="9254" spans="20:25" x14ac:dyDescent="0.3">
      <c r="T9254" s="12"/>
      <c r="U9254" s="4"/>
      <c r="V9254" s="4"/>
      <c r="X9254" s="4"/>
      <c r="Y9254" s="4"/>
    </row>
    <row r="9255" spans="20:25" x14ac:dyDescent="0.3">
      <c r="T9255" s="12"/>
      <c r="U9255" s="4"/>
      <c r="V9255" s="4"/>
      <c r="X9255" s="4"/>
      <c r="Y9255" s="4"/>
    </row>
    <row r="9256" spans="20:25" x14ac:dyDescent="0.3">
      <c r="T9256" s="12"/>
      <c r="U9256" s="4"/>
      <c r="V9256" s="4"/>
      <c r="X9256" s="4"/>
      <c r="Y9256" s="4"/>
    </row>
    <row r="9257" spans="20:25" x14ac:dyDescent="0.3">
      <c r="T9257" s="12"/>
      <c r="U9257" s="4"/>
      <c r="V9257" s="4"/>
      <c r="X9257" s="4"/>
      <c r="Y9257" s="4"/>
    </row>
    <row r="9258" spans="20:25" x14ac:dyDescent="0.3">
      <c r="T9258" s="12"/>
      <c r="U9258" s="4"/>
      <c r="V9258" s="4"/>
      <c r="X9258" s="4"/>
      <c r="Y9258" s="4"/>
    </row>
    <row r="9259" spans="20:25" x14ac:dyDescent="0.3">
      <c r="T9259" s="12"/>
      <c r="U9259" s="4"/>
      <c r="V9259" s="4"/>
      <c r="X9259" s="4"/>
      <c r="Y9259" s="4"/>
    </row>
    <row r="9260" spans="20:25" x14ac:dyDescent="0.3">
      <c r="T9260" s="12"/>
      <c r="U9260" s="4"/>
      <c r="V9260" s="4"/>
      <c r="X9260" s="4"/>
      <c r="Y9260" s="4"/>
    </row>
    <row r="9261" spans="20:25" x14ac:dyDescent="0.3">
      <c r="T9261" s="12"/>
      <c r="U9261" s="4"/>
      <c r="V9261" s="4"/>
      <c r="X9261" s="4"/>
      <c r="Y9261" s="4"/>
    </row>
    <row r="9262" spans="20:25" x14ac:dyDescent="0.3">
      <c r="T9262" s="12"/>
      <c r="U9262" s="4"/>
      <c r="V9262" s="4"/>
      <c r="X9262" s="4"/>
      <c r="Y9262" s="4"/>
    </row>
    <row r="9263" spans="20:25" x14ac:dyDescent="0.3">
      <c r="T9263" s="12"/>
      <c r="U9263" s="4"/>
      <c r="V9263" s="4"/>
      <c r="X9263" s="4"/>
      <c r="Y9263" s="4"/>
    </row>
    <row r="9264" spans="20:25" x14ac:dyDescent="0.3">
      <c r="T9264" s="12"/>
      <c r="U9264" s="4"/>
      <c r="V9264" s="4"/>
      <c r="X9264" s="4"/>
      <c r="Y9264" s="4"/>
    </row>
    <row r="9265" spans="20:25" x14ac:dyDescent="0.3">
      <c r="T9265" s="12"/>
      <c r="U9265" s="4"/>
      <c r="V9265" s="4"/>
      <c r="X9265" s="4"/>
      <c r="Y9265" s="4"/>
    </row>
    <row r="9266" spans="20:25" x14ac:dyDescent="0.3">
      <c r="T9266" s="12"/>
      <c r="U9266" s="4"/>
      <c r="V9266" s="4"/>
      <c r="X9266" s="4"/>
      <c r="Y9266" s="4"/>
    </row>
    <row r="9267" spans="20:25" x14ac:dyDescent="0.3">
      <c r="T9267" s="12"/>
      <c r="U9267" s="4"/>
      <c r="V9267" s="4"/>
      <c r="X9267" s="4"/>
      <c r="Y9267" s="4"/>
    </row>
    <row r="9268" spans="20:25" x14ac:dyDescent="0.3">
      <c r="T9268" s="12"/>
      <c r="U9268" s="4"/>
      <c r="V9268" s="4"/>
      <c r="X9268" s="4"/>
      <c r="Y9268" s="4"/>
    </row>
    <row r="9269" spans="20:25" x14ac:dyDescent="0.3">
      <c r="T9269" s="12"/>
      <c r="U9269" s="4"/>
      <c r="V9269" s="4"/>
      <c r="X9269" s="4"/>
      <c r="Y9269" s="4"/>
    </row>
    <row r="9270" spans="20:25" x14ac:dyDescent="0.3">
      <c r="T9270" s="12"/>
      <c r="U9270" s="4"/>
      <c r="V9270" s="4"/>
      <c r="X9270" s="4"/>
      <c r="Y9270" s="4"/>
    </row>
    <row r="9271" spans="20:25" x14ac:dyDescent="0.3">
      <c r="T9271" s="12"/>
      <c r="U9271" s="4"/>
      <c r="V9271" s="4"/>
      <c r="X9271" s="4"/>
      <c r="Y9271" s="4"/>
    </row>
    <row r="9272" spans="20:25" x14ac:dyDescent="0.3">
      <c r="T9272" s="12"/>
      <c r="U9272" s="4"/>
      <c r="V9272" s="4"/>
      <c r="X9272" s="4"/>
      <c r="Y9272" s="4"/>
    </row>
    <row r="9273" spans="20:25" x14ac:dyDescent="0.3">
      <c r="T9273" s="12"/>
      <c r="U9273" s="4"/>
      <c r="V9273" s="4"/>
      <c r="X9273" s="4"/>
      <c r="Y9273" s="4"/>
    </row>
    <row r="9274" spans="20:25" x14ac:dyDescent="0.3">
      <c r="T9274" s="12"/>
      <c r="U9274" s="4"/>
      <c r="V9274" s="4"/>
      <c r="X9274" s="4"/>
      <c r="Y9274" s="4"/>
    </row>
    <row r="9275" spans="20:25" x14ac:dyDescent="0.3">
      <c r="T9275" s="12"/>
      <c r="U9275" s="4"/>
      <c r="V9275" s="4"/>
      <c r="X9275" s="4"/>
      <c r="Y9275" s="4"/>
    </row>
    <row r="9276" spans="20:25" x14ac:dyDescent="0.3">
      <c r="T9276" s="12"/>
      <c r="U9276" s="4"/>
      <c r="V9276" s="4"/>
      <c r="X9276" s="4"/>
      <c r="Y9276" s="4"/>
    </row>
    <row r="9277" spans="20:25" x14ac:dyDescent="0.3">
      <c r="T9277" s="12"/>
      <c r="U9277" s="4"/>
      <c r="V9277" s="4"/>
      <c r="X9277" s="4"/>
      <c r="Y9277" s="4"/>
    </row>
    <row r="9278" spans="20:25" x14ac:dyDescent="0.3">
      <c r="T9278" s="12"/>
      <c r="U9278" s="4"/>
      <c r="V9278" s="4"/>
      <c r="X9278" s="4"/>
      <c r="Y9278" s="4"/>
    </row>
    <row r="9279" spans="20:25" x14ac:dyDescent="0.3">
      <c r="T9279" s="12"/>
      <c r="U9279" s="4"/>
      <c r="V9279" s="4"/>
      <c r="X9279" s="4"/>
      <c r="Y9279" s="4"/>
    </row>
    <row r="9280" spans="20:25" x14ac:dyDescent="0.3">
      <c r="T9280" s="12"/>
      <c r="U9280" s="4"/>
      <c r="V9280" s="4"/>
      <c r="X9280" s="4"/>
      <c r="Y9280" s="4"/>
    </row>
    <row r="9281" spans="20:25" x14ac:dyDescent="0.3">
      <c r="T9281" s="12"/>
      <c r="U9281" s="4"/>
      <c r="V9281" s="4"/>
      <c r="X9281" s="4"/>
      <c r="Y9281" s="4"/>
    </row>
    <row r="9282" spans="20:25" x14ac:dyDescent="0.3">
      <c r="T9282" s="12"/>
      <c r="U9282" s="4"/>
      <c r="V9282" s="4"/>
      <c r="X9282" s="4"/>
      <c r="Y9282" s="4"/>
    </row>
    <row r="9283" spans="20:25" x14ac:dyDescent="0.3">
      <c r="T9283" s="12"/>
      <c r="U9283" s="4"/>
      <c r="V9283" s="4"/>
      <c r="X9283" s="4"/>
      <c r="Y9283" s="4"/>
    </row>
    <row r="9284" spans="20:25" x14ac:dyDescent="0.3">
      <c r="T9284" s="12"/>
      <c r="U9284" s="4"/>
      <c r="V9284" s="4"/>
      <c r="X9284" s="4"/>
      <c r="Y9284" s="4"/>
    </row>
    <row r="9285" spans="20:25" x14ac:dyDescent="0.3">
      <c r="T9285" s="12"/>
      <c r="U9285" s="4"/>
      <c r="V9285" s="4"/>
      <c r="X9285" s="4"/>
      <c r="Y9285" s="4"/>
    </row>
    <row r="9286" spans="20:25" x14ac:dyDescent="0.3">
      <c r="T9286" s="12"/>
      <c r="U9286" s="4"/>
      <c r="V9286" s="4"/>
      <c r="X9286" s="4"/>
      <c r="Y9286" s="4"/>
    </row>
    <row r="9287" spans="20:25" x14ac:dyDescent="0.3">
      <c r="T9287" s="12"/>
      <c r="U9287" s="4"/>
      <c r="V9287" s="4"/>
      <c r="X9287" s="4"/>
      <c r="Y9287" s="4"/>
    </row>
    <row r="9288" spans="20:25" x14ac:dyDescent="0.3">
      <c r="T9288" s="12"/>
      <c r="U9288" s="4"/>
      <c r="V9288" s="4"/>
      <c r="X9288" s="4"/>
      <c r="Y9288" s="4"/>
    </row>
    <row r="9289" spans="20:25" x14ac:dyDescent="0.3">
      <c r="T9289" s="12"/>
      <c r="U9289" s="4"/>
      <c r="V9289" s="4"/>
      <c r="X9289" s="4"/>
      <c r="Y9289" s="4"/>
    </row>
    <row r="9290" spans="20:25" x14ac:dyDescent="0.3">
      <c r="T9290" s="12"/>
      <c r="U9290" s="4"/>
      <c r="V9290" s="4"/>
      <c r="X9290" s="4"/>
      <c r="Y9290" s="4"/>
    </row>
    <row r="9291" spans="20:25" x14ac:dyDescent="0.3">
      <c r="T9291" s="12"/>
      <c r="U9291" s="4"/>
      <c r="V9291" s="4"/>
      <c r="X9291" s="4"/>
      <c r="Y9291" s="4"/>
    </row>
    <row r="9292" spans="20:25" x14ac:dyDescent="0.3">
      <c r="T9292" s="12"/>
      <c r="U9292" s="4"/>
      <c r="V9292" s="4"/>
      <c r="X9292" s="4"/>
      <c r="Y9292" s="4"/>
    </row>
    <row r="9293" spans="20:25" x14ac:dyDescent="0.3">
      <c r="T9293" s="12"/>
      <c r="U9293" s="4"/>
      <c r="V9293" s="4"/>
      <c r="X9293" s="4"/>
      <c r="Y9293" s="4"/>
    </row>
    <row r="9294" spans="20:25" x14ac:dyDescent="0.3">
      <c r="T9294" s="12"/>
      <c r="U9294" s="4"/>
      <c r="V9294" s="4"/>
      <c r="X9294" s="4"/>
      <c r="Y9294" s="4"/>
    </row>
    <row r="9295" spans="20:25" x14ac:dyDescent="0.3">
      <c r="T9295" s="12"/>
      <c r="U9295" s="4"/>
      <c r="V9295" s="4"/>
      <c r="X9295" s="4"/>
      <c r="Y9295" s="4"/>
    </row>
    <row r="9296" spans="20:25" x14ac:dyDescent="0.3">
      <c r="T9296" s="12"/>
      <c r="U9296" s="4"/>
      <c r="V9296" s="4"/>
      <c r="X9296" s="4"/>
      <c r="Y9296" s="4"/>
    </row>
    <row r="9297" spans="20:25" x14ac:dyDescent="0.3">
      <c r="T9297" s="12"/>
      <c r="U9297" s="4"/>
      <c r="V9297" s="4"/>
      <c r="X9297" s="4"/>
      <c r="Y9297" s="4"/>
    </row>
    <row r="9298" spans="20:25" x14ac:dyDescent="0.3">
      <c r="T9298" s="12"/>
      <c r="U9298" s="4"/>
      <c r="V9298" s="4"/>
      <c r="X9298" s="4"/>
      <c r="Y9298" s="4"/>
    </row>
    <row r="9299" spans="20:25" x14ac:dyDescent="0.3">
      <c r="T9299" s="12"/>
      <c r="U9299" s="4"/>
      <c r="V9299" s="4"/>
      <c r="X9299" s="4"/>
      <c r="Y9299" s="4"/>
    </row>
    <row r="9300" spans="20:25" x14ac:dyDescent="0.3">
      <c r="T9300" s="12"/>
      <c r="U9300" s="4"/>
      <c r="V9300" s="4"/>
      <c r="X9300" s="4"/>
      <c r="Y9300" s="4"/>
    </row>
    <row r="9301" spans="20:25" x14ac:dyDescent="0.3">
      <c r="T9301" s="12"/>
      <c r="U9301" s="4"/>
      <c r="V9301" s="4"/>
      <c r="X9301" s="4"/>
      <c r="Y9301" s="4"/>
    </row>
    <row r="9302" spans="20:25" x14ac:dyDescent="0.3">
      <c r="T9302" s="12"/>
      <c r="U9302" s="4"/>
      <c r="V9302" s="4"/>
      <c r="X9302" s="4"/>
      <c r="Y9302" s="4"/>
    </row>
    <row r="9303" spans="20:25" x14ac:dyDescent="0.3">
      <c r="T9303" s="12"/>
      <c r="U9303" s="4"/>
      <c r="V9303" s="4"/>
      <c r="X9303" s="4"/>
      <c r="Y9303" s="4"/>
    </row>
    <row r="9304" spans="20:25" x14ac:dyDescent="0.3">
      <c r="T9304" s="12"/>
      <c r="U9304" s="4"/>
      <c r="V9304" s="4"/>
      <c r="X9304" s="4"/>
      <c r="Y9304" s="4"/>
    </row>
    <row r="9305" spans="20:25" x14ac:dyDescent="0.3">
      <c r="T9305" s="12"/>
      <c r="U9305" s="4"/>
      <c r="V9305" s="4"/>
      <c r="X9305" s="4"/>
      <c r="Y9305" s="4"/>
    </row>
    <row r="9306" spans="20:25" x14ac:dyDescent="0.3">
      <c r="T9306" s="12"/>
      <c r="U9306" s="4"/>
      <c r="V9306" s="4"/>
      <c r="X9306" s="4"/>
      <c r="Y9306" s="4"/>
    </row>
    <row r="9307" spans="20:25" x14ac:dyDescent="0.3">
      <c r="T9307" s="12"/>
      <c r="U9307" s="4"/>
      <c r="V9307" s="4"/>
      <c r="X9307" s="4"/>
      <c r="Y9307" s="4"/>
    </row>
    <row r="9308" spans="20:25" x14ac:dyDescent="0.3">
      <c r="T9308" s="12"/>
      <c r="U9308" s="4"/>
      <c r="V9308" s="4"/>
      <c r="X9308" s="4"/>
      <c r="Y9308" s="4"/>
    </row>
    <row r="9309" spans="20:25" x14ac:dyDescent="0.3">
      <c r="T9309" s="12"/>
      <c r="U9309" s="4"/>
      <c r="V9309" s="4"/>
      <c r="X9309" s="4"/>
      <c r="Y9309" s="4"/>
    </row>
    <row r="9310" spans="20:25" x14ac:dyDescent="0.3">
      <c r="T9310" s="12"/>
      <c r="U9310" s="4"/>
      <c r="V9310" s="4"/>
      <c r="X9310" s="4"/>
      <c r="Y9310" s="4"/>
    </row>
    <row r="9311" spans="20:25" x14ac:dyDescent="0.3">
      <c r="T9311" s="12"/>
      <c r="U9311" s="4"/>
      <c r="V9311" s="4"/>
      <c r="X9311" s="4"/>
      <c r="Y9311" s="4"/>
    </row>
    <row r="9312" spans="20:25" x14ac:dyDescent="0.3">
      <c r="T9312" s="12"/>
      <c r="U9312" s="4"/>
      <c r="V9312" s="4"/>
      <c r="X9312" s="4"/>
      <c r="Y9312" s="4"/>
    </row>
    <row r="9313" spans="20:25" x14ac:dyDescent="0.3">
      <c r="T9313" s="12"/>
      <c r="U9313" s="4"/>
      <c r="V9313" s="4"/>
      <c r="X9313" s="4"/>
      <c r="Y9313" s="4"/>
    </row>
    <row r="9314" spans="20:25" x14ac:dyDescent="0.3">
      <c r="T9314" s="12"/>
      <c r="U9314" s="4"/>
      <c r="V9314" s="4"/>
      <c r="X9314" s="4"/>
      <c r="Y9314" s="4"/>
    </row>
    <row r="9315" spans="20:25" x14ac:dyDescent="0.3">
      <c r="T9315" s="12"/>
      <c r="U9315" s="4"/>
      <c r="V9315" s="4"/>
      <c r="X9315" s="4"/>
      <c r="Y9315" s="4"/>
    </row>
    <row r="9316" spans="20:25" x14ac:dyDescent="0.3">
      <c r="T9316" s="12"/>
      <c r="U9316" s="4"/>
      <c r="V9316" s="4"/>
      <c r="X9316" s="4"/>
      <c r="Y9316" s="4"/>
    </row>
    <row r="9317" spans="20:25" x14ac:dyDescent="0.3">
      <c r="T9317" s="12"/>
      <c r="U9317" s="4"/>
      <c r="V9317" s="4"/>
      <c r="X9317" s="4"/>
      <c r="Y9317" s="4"/>
    </row>
    <row r="9318" spans="20:25" x14ac:dyDescent="0.3">
      <c r="T9318" s="12"/>
      <c r="U9318" s="4"/>
      <c r="V9318" s="4"/>
      <c r="X9318" s="4"/>
      <c r="Y9318" s="4"/>
    </row>
    <row r="9319" spans="20:25" x14ac:dyDescent="0.3">
      <c r="T9319" s="12"/>
      <c r="U9319" s="4"/>
      <c r="V9319" s="4"/>
      <c r="X9319" s="4"/>
      <c r="Y9319" s="4"/>
    </row>
    <row r="9320" spans="20:25" x14ac:dyDescent="0.3">
      <c r="T9320" s="12"/>
      <c r="U9320" s="4"/>
      <c r="V9320" s="4"/>
      <c r="X9320" s="4"/>
      <c r="Y9320" s="4"/>
    </row>
    <row r="9321" spans="20:25" x14ac:dyDescent="0.3">
      <c r="T9321" s="12"/>
      <c r="U9321" s="4"/>
      <c r="V9321" s="4"/>
      <c r="X9321" s="4"/>
      <c r="Y9321" s="4"/>
    </row>
    <row r="9322" spans="20:25" x14ac:dyDescent="0.3">
      <c r="T9322" s="12"/>
      <c r="U9322" s="4"/>
      <c r="V9322" s="4"/>
      <c r="X9322" s="4"/>
      <c r="Y9322" s="4"/>
    </row>
    <row r="9323" spans="20:25" x14ac:dyDescent="0.3">
      <c r="T9323" s="12"/>
      <c r="U9323" s="4"/>
      <c r="V9323" s="4"/>
      <c r="X9323" s="4"/>
      <c r="Y9323" s="4"/>
    </row>
    <row r="9324" spans="20:25" x14ac:dyDescent="0.3">
      <c r="T9324" s="12"/>
      <c r="U9324" s="4"/>
      <c r="V9324" s="4"/>
      <c r="X9324" s="4"/>
      <c r="Y9324" s="4"/>
    </row>
    <row r="9325" spans="20:25" x14ac:dyDescent="0.3">
      <c r="T9325" s="12"/>
      <c r="U9325" s="4"/>
      <c r="V9325" s="4"/>
      <c r="X9325" s="4"/>
      <c r="Y9325" s="4"/>
    </row>
    <row r="9326" spans="20:25" x14ac:dyDescent="0.3">
      <c r="T9326" s="12"/>
      <c r="U9326" s="4"/>
      <c r="V9326" s="4"/>
      <c r="X9326" s="4"/>
      <c r="Y9326" s="4"/>
    </row>
    <row r="9327" spans="20:25" x14ac:dyDescent="0.3">
      <c r="T9327" s="12"/>
      <c r="U9327" s="4"/>
      <c r="V9327" s="4"/>
      <c r="X9327" s="4"/>
      <c r="Y9327" s="4"/>
    </row>
    <row r="9328" spans="20:25" x14ac:dyDescent="0.3">
      <c r="T9328" s="12"/>
      <c r="U9328" s="4"/>
      <c r="V9328" s="4"/>
      <c r="X9328" s="4"/>
      <c r="Y9328" s="4"/>
    </row>
    <row r="9329" spans="20:25" x14ac:dyDescent="0.3">
      <c r="T9329" s="12"/>
      <c r="U9329" s="4"/>
      <c r="V9329" s="4"/>
      <c r="X9329" s="4"/>
      <c r="Y9329" s="4"/>
    </row>
    <row r="9330" spans="20:25" x14ac:dyDescent="0.3">
      <c r="T9330" s="12"/>
      <c r="U9330" s="4"/>
      <c r="V9330" s="4"/>
      <c r="X9330" s="4"/>
      <c r="Y9330" s="4"/>
    </row>
    <row r="9331" spans="20:25" x14ac:dyDescent="0.3">
      <c r="T9331" s="12"/>
      <c r="U9331" s="4"/>
      <c r="V9331" s="4"/>
      <c r="X9331" s="4"/>
      <c r="Y9331" s="4"/>
    </row>
    <row r="9332" spans="20:25" x14ac:dyDescent="0.3">
      <c r="T9332" s="12"/>
      <c r="U9332" s="4"/>
      <c r="V9332" s="4"/>
      <c r="X9332" s="4"/>
      <c r="Y9332" s="4"/>
    </row>
    <row r="9333" spans="20:25" x14ac:dyDescent="0.3">
      <c r="T9333" s="12"/>
      <c r="U9333" s="4"/>
      <c r="V9333" s="4"/>
      <c r="X9333" s="4"/>
      <c r="Y9333" s="4"/>
    </row>
    <row r="9334" spans="20:25" x14ac:dyDescent="0.3">
      <c r="T9334" s="12"/>
      <c r="U9334" s="4"/>
      <c r="V9334" s="4"/>
      <c r="X9334" s="4"/>
      <c r="Y9334" s="4"/>
    </row>
    <row r="9335" spans="20:25" x14ac:dyDescent="0.3">
      <c r="T9335" s="12"/>
      <c r="U9335" s="4"/>
      <c r="V9335" s="4"/>
      <c r="X9335" s="4"/>
      <c r="Y9335" s="4"/>
    </row>
    <row r="9336" spans="20:25" x14ac:dyDescent="0.3">
      <c r="T9336" s="12"/>
      <c r="U9336" s="4"/>
      <c r="V9336" s="4"/>
      <c r="X9336" s="4"/>
      <c r="Y9336" s="4"/>
    </row>
    <row r="9337" spans="20:25" x14ac:dyDescent="0.3">
      <c r="T9337" s="12"/>
      <c r="U9337" s="4"/>
      <c r="V9337" s="4"/>
      <c r="X9337" s="4"/>
      <c r="Y9337" s="4"/>
    </row>
    <row r="9338" spans="20:25" x14ac:dyDescent="0.3">
      <c r="T9338" s="12"/>
      <c r="U9338" s="4"/>
      <c r="V9338" s="4"/>
      <c r="X9338" s="4"/>
      <c r="Y9338" s="4"/>
    </row>
    <row r="9339" spans="20:25" x14ac:dyDescent="0.3">
      <c r="T9339" s="12"/>
      <c r="U9339" s="4"/>
      <c r="V9339" s="4"/>
      <c r="X9339" s="4"/>
      <c r="Y9339" s="4"/>
    </row>
    <row r="9340" spans="20:25" x14ac:dyDescent="0.3">
      <c r="T9340" s="12"/>
      <c r="U9340" s="4"/>
      <c r="V9340" s="4"/>
      <c r="X9340" s="4"/>
      <c r="Y9340" s="4"/>
    </row>
    <row r="9341" spans="20:25" x14ac:dyDescent="0.3">
      <c r="T9341" s="12"/>
      <c r="U9341" s="4"/>
      <c r="V9341" s="4"/>
      <c r="X9341" s="4"/>
      <c r="Y9341" s="4"/>
    </row>
    <row r="9342" spans="20:25" x14ac:dyDescent="0.3">
      <c r="T9342" s="12"/>
      <c r="U9342" s="4"/>
      <c r="V9342" s="4"/>
      <c r="X9342" s="4"/>
      <c r="Y9342" s="4"/>
    </row>
    <row r="9343" spans="20:25" x14ac:dyDescent="0.3">
      <c r="T9343" s="12"/>
      <c r="U9343" s="4"/>
      <c r="V9343" s="4"/>
      <c r="X9343" s="4"/>
      <c r="Y9343" s="4"/>
    </row>
    <row r="9344" spans="20:25" x14ac:dyDescent="0.3">
      <c r="T9344" s="12"/>
      <c r="U9344" s="4"/>
      <c r="V9344" s="4"/>
      <c r="X9344" s="4"/>
      <c r="Y9344" s="4"/>
    </row>
    <row r="9345" spans="20:25" x14ac:dyDescent="0.3">
      <c r="T9345" s="12"/>
      <c r="U9345" s="4"/>
      <c r="V9345" s="4"/>
      <c r="X9345" s="4"/>
      <c r="Y9345" s="4"/>
    </row>
    <row r="9346" spans="20:25" x14ac:dyDescent="0.3">
      <c r="T9346" s="12"/>
      <c r="U9346" s="4"/>
      <c r="V9346" s="4"/>
      <c r="X9346" s="4"/>
      <c r="Y9346" s="4"/>
    </row>
    <row r="9347" spans="20:25" x14ac:dyDescent="0.3">
      <c r="T9347" s="12"/>
      <c r="U9347" s="4"/>
      <c r="V9347" s="4"/>
      <c r="X9347" s="4"/>
      <c r="Y9347" s="4"/>
    </row>
    <row r="9348" spans="20:25" x14ac:dyDescent="0.3">
      <c r="T9348" s="12"/>
      <c r="U9348" s="4"/>
      <c r="V9348" s="4"/>
      <c r="X9348" s="4"/>
      <c r="Y9348" s="4"/>
    </row>
    <row r="9349" spans="20:25" x14ac:dyDescent="0.3">
      <c r="T9349" s="12"/>
      <c r="U9349" s="4"/>
      <c r="V9349" s="4"/>
      <c r="X9349" s="4"/>
      <c r="Y9349" s="4"/>
    </row>
    <row r="9350" spans="20:25" x14ac:dyDescent="0.3">
      <c r="T9350" s="12"/>
      <c r="U9350" s="4"/>
      <c r="V9350" s="4"/>
      <c r="X9350" s="4"/>
      <c r="Y9350" s="4"/>
    </row>
    <row r="9351" spans="20:25" x14ac:dyDescent="0.3">
      <c r="T9351" s="12"/>
      <c r="U9351" s="4"/>
      <c r="V9351" s="4"/>
      <c r="X9351" s="4"/>
      <c r="Y9351" s="4"/>
    </row>
    <row r="9352" spans="20:25" x14ac:dyDescent="0.3">
      <c r="T9352" s="12"/>
      <c r="U9352" s="4"/>
      <c r="V9352" s="4"/>
      <c r="X9352" s="4"/>
      <c r="Y9352" s="4"/>
    </row>
    <row r="9353" spans="20:25" x14ac:dyDescent="0.3">
      <c r="T9353" s="12"/>
      <c r="U9353" s="4"/>
      <c r="V9353" s="4"/>
      <c r="X9353" s="4"/>
      <c r="Y9353" s="4"/>
    </row>
    <row r="9354" spans="20:25" x14ac:dyDescent="0.3">
      <c r="T9354" s="12"/>
      <c r="U9354" s="4"/>
      <c r="V9354" s="4"/>
      <c r="X9354" s="4"/>
      <c r="Y9354" s="4"/>
    </row>
    <row r="9355" spans="20:25" x14ac:dyDescent="0.3">
      <c r="T9355" s="12"/>
      <c r="U9355" s="4"/>
      <c r="V9355" s="4"/>
      <c r="X9355" s="4"/>
      <c r="Y9355" s="4"/>
    </row>
    <row r="9356" spans="20:25" x14ac:dyDescent="0.3">
      <c r="T9356" s="12"/>
      <c r="U9356" s="4"/>
      <c r="V9356" s="4"/>
      <c r="X9356" s="4"/>
      <c r="Y9356" s="4"/>
    </row>
    <row r="9357" spans="20:25" x14ac:dyDescent="0.3">
      <c r="T9357" s="12"/>
      <c r="U9357" s="4"/>
      <c r="V9357" s="4"/>
      <c r="X9357" s="4"/>
      <c r="Y9357" s="4"/>
    </row>
    <row r="9358" spans="20:25" x14ac:dyDescent="0.3">
      <c r="T9358" s="12"/>
      <c r="U9358" s="4"/>
      <c r="V9358" s="4"/>
      <c r="X9358" s="4"/>
      <c r="Y9358" s="4"/>
    </row>
    <row r="9359" spans="20:25" x14ac:dyDescent="0.3">
      <c r="T9359" s="12"/>
      <c r="U9359" s="4"/>
      <c r="V9359" s="4"/>
      <c r="X9359" s="4"/>
      <c r="Y9359" s="4"/>
    </row>
    <row r="9360" spans="20:25" x14ac:dyDescent="0.3">
      <c r="T9360" s="12"/>
      <c r="U9360" s="4"/>
      <c r="V9360" s="4"/>
      <c r="X9360" s="4"/>
      <c r="Y9360" s="4"/>
    </row>
    <row r="9361" spans="20:25" x14ac:dyDescent="0.3">
      <c r="T9361" s="12"/>
      <c r="U9361" s="4"/>
      <c r="V9361" s="4"/>
      <c r="X9361" s="4"/>
      <c r="Y9361" s="4"/>
    </row>
    <row r="9362" spans="20:25" x14ac:dyDescent="0.3">
      <c r="T9362" s="12"/>
      <c r="U9362" s="4"/>
      <c r="V9362" s="4"/>
      <c r="X9362" s="4"/>
      <c r="Y9362" s="4"/>
    </row>
    <row r="9363" spans="20:25" x14ac:dyDescent="0.3">
      <c r="T9363" s="12"/>
      <c r="U9363" s="4"/>
      <c r="V9363" s="4"/>
      <c r="X9363" s="4"/>
      <c r="Y9363" s="4"/>
    </row>
    <row r="9364" spans="20:25" x14ac:dyDescent="0.3">
      <c r="T9364" s="12"/>
      <c r="U9364" s="4"/>
      <c r="V9364" s="4"/>
      <c r="X9364" s="4"/>
      <c r="Y9364" s="4"/>
    </row>
    <row r="9365" spans="20:25" x14ac:dyDescent="0.3">
      <c r="T9365" s="12"/>
      <c r="U9365" s="4"/>
      <c r="V9365" s="4"/>
      <c r="X9365" s="4"/>
      <c r="Y9365" s="4"/>
    </row>
    <row r="9366" spans="20:25" x14ac:dyDescent="0.3">
      <c r="T9366" s="12"/>
      <c r="U9366" s="4"/>
      <c r="V9366" s="4"/>
      <c r="X9366" s="4"/>
      <c r="Y9366" s="4"/>
    </row>
    <row r="9367" spans="20:25" x14ac:dyDescent="0.3">
      <c r="T9367" s="12"/>
      <c r="U9367" s="4"/>
      <c r="V9367" s="4"/>
      <c r="X9367" s="4"/>
      <c r="Y9367" s="4"/>
    </row>
    <row r="9368" spans="20:25" x14ac:dyDescent="0.3">
      <c r="T9368" s="12"/>
      <c r="U9368" s="4"/>
      <c r="V9368" s="4"/>
      <c r="X9368" s="4"/>
      <c r="Y9368" s="4"/>
    </row>
    <row r="9369" spans="20:25" x14ac:dyDescent="0.3">
      <c r="T9369" s="12"/>
      <c r="U9369" s="4"/>
      <c r="V9369" s="4"/>
      <c r="X9369" s="4"/>
      <c r="Y9369" s="4"/>
    </row>
    <row r="9370" spans="20:25" x14ac:dyDescent="0.3">
      <c r="T9370" s="12"/>
      <c r="U9370" s="4"/>
      <c r="V9370" s="4"/>
      <c r="X9370" s="4"/>
      <c r="Y9370" s="4"/>
    </row>
    <row r="9371" spans="20:25" x14ac:dyDescent="0.3">
      <c r="T9371" s="12"/>
      <c r="U9371" s="4"/>
      <c r="V9371" s="4"/>
      <c r="X9371" s="4"/>
      <c r="Y9371" s="4"/>
    </row>
    <row r="9372" spans="20:25" x14ac:dyDescent="0.3">
      <c r="T9372" s="12"/>
      <c r="U9372" s="4"/>
      <c r="V9372" s="4"/>
      <c r="X9372" s="4"/>
      <c r="Y9372" s="4"/>
    </row>
    <row r="9373" spans="20:25" x14ac:dyDescent="0.3">
      <c r="T9373" s="12"/>
      <c r="U9373" s="4"/>
      <c r="V9373" s="4"/>
      <c r="X9373" s="4"/>
      <c r="Y9373" s="4"/>
    </row>
    <row r="9374" spans="20:25" x14ac:dyDescent="0.3">
      <c r="T9374" s="12"/>
      <c r="U9374" s="4"/>
      <c r="V9374" s="4"/>
      <c r="X9374" s="4"/>
      <c r="Y9374" s="4"/>
    </row>
    <row r="9375" spans="20:25" x14ac:dyDescent="0.3">
      <c r="T9375" s="12"/>
      <c r="U9375" s="4"/>
      <c r="V9375" s="4"/>
      <c r="X9375" s="4"/>
      <c r="Y9375" s="4"/>
    </row>
    <row r="9376" spans="20:25" x14ac:dyDescent="0.3">
      <c r="T9376" s="12"/>
      <c r="U9376" s="4"/>
      <c r="V9376" s="4"/>
      <c r="X9376" s="4"/>
      <c r="Y9376" s="4"/>
    </row>
    <row r="9377" spans="20:25" x14ac:dyDescent="0.3">
      <c r="T9377" s="12"/>
      <c r="U9377" s="4"/>
      <c r="V9377" s="4"/>
      <c r="X9377" s="4"/>
      <c r="Y9377" s="4"/>
    </row>
    <row r="9378" spans="20:25" x14ac:dyDescent="0.3">
      <c r="T9378" s="12"/>
      <c r="U9378" s="4"/>
      <c r="V9378" s="4"/>
      <c r="X9378" s="4"/>
      <c r="Y9378" s="4"/>
    </row>
    <row r="9379" spans="20:25" x14ac:dyDescent="0.3">
      <c r="T9379" s="12"/>
      <c r="U9379" s="4"/>
      <c r="V9379" s="4"/>
      <c r="X9379" s="4"/>
      <c r="Y9379" s="4"/>
    </row>
    <row r="9380" spans="20:25" x14ac:dyDescent="0.3">
      <c r="T9380" s="12"/>
      <c r="U9380" s="4"/>
      <c r="V9380" s="4"/>
      <c r="X9380" s="4"/>
      <c r="Y9380" s="4"/>
    </row>
    <row r="9381" spans="20:25" x14ac:dyDescent="0.3">
      <c r="T9381" s="12"/>
      <c r="U9381" s="4"/>
      <c r="V9381" s="4"/>
      <c r="X9381" s="4"/>
      <c r="Y9381" s="4"/>
    </row>
    <row r="9382" spans="20:25" x14ac:dyDescent="0.3">
      <c r="T9382" s="12"/>
      <c r="U9382" s="4"/>
      <c r="V9382" s="4"/>
      <c r="X9382" s="4"/>
      <c r="Y9382" s="4"/>
    </row>
    <row r="9383" spans="20:25" x14ac:dyDescent="0.3">
      <c r="T9383" s="12"/>
      <c r="U9383" s="4"/>
      <c r="V9383" s="4"/>
      <c r="X9383" s="4"/>
      <c r="Y9383" s="4"/>
    </row>
    <row r="9384" spans="20:25" x14ac:dyDescent="0.3">
      <c r="T9384" s="12"/>
      <c r="U9384" s="4"/>
      <c r="V9384" s="4"/>
      <c r="X9384" s="4"/>
      <c r="Y9384" s="4"/>
    </row>
    <row r="9385" spans="20:25" x14ac:dyDescent="0.3">
      <c r="T9385" s="12"/>
      <c r="U9385" s="4"/>
      <c r="V9385" s="4"/>
      <c r="X9385" s="4"/>
      <c r="Y9385" s="4"/>
    </row>
    <row r="9386" spans="20:25" x14ac:dyDescent="0.3">
      <c r="T9386" s="12"/>
      <c r="U9386" s="4"/>
      <c r="V9386" s="4"/>
      <c r="X9386" s="4"/>
      <c r="Y9386" s="4"/>
    </row>
    <row r="9387" spans="20:25" x14ac:dyDescent="0.3">
      <c r="T9387" s="12"/>
      <c r="U9387" s="4"/>
      <c r="V9387" s="4"/>
      <c r="X9387" s="4"/>
      <c r="Y9387" s="4"/>
    </row>
    <row r="9388" spans="20:25" x14ac:dyDescent="0.3">
      <c r="T9388" s="12"/>
      <c r="U9388" s="4"/>
      <c r="V9388" s="4"/>
      <c r="X9388" s="4"/>
      <c r="Y9388" s="4"/>
    </row>
    <row r="9389" spans="20:25" x14ac:dyDescent="0.3">
      <c r="T9389" s="12"/>
      <c r="U9389" s="4"/>
      <c r="V9389" s="4"/>
      <c r="X9389" s="4"/>
      <c r="Y9389" s="4"/>
    </row>
    <row r="9390" spans="20:25" x14ac:dyDescent="0.3">
      <c r="T9390" s="12"/>
      <c r="U9390" s="4"/>
      <c r="V9390" s="4"/>
      <c r="X9390" s="4"/>
      <c r="Y9390" s="4"/>
    </row>
    <row r="9391" spans="20:25" x14ac:dyDescent="0.3">
      <c r="T9391" s="12"/>
      <c r="U9391" s="4"/>
      <c r="V9391" s="4"/>
      <c r="X9391" s="4"/>
      <c r="Y9391" s="4"/>
    </row>
    <row r="9392" spans="20:25" x14ac:dyDescent="0.3">
      <c r="T9392" s="12"/>
      <c r="U9392" s="4"/>
      <c r="V9392" s="4"/>
      <c r="X9392" s="4"/>
      <c r="Y9392" s="4"/>
    </row>
    <row r="9393" spans="20:25" x14ac:dyDescent="0.3">
      <c r="T9393" s="12"/>
      <c r="U9393" s="4"/>
      <c r="V9393" s="4"/>
      <c r="X9393" s="4"/>
      <c r="Y9393" s="4"/>
    </row>
    <row r="9394" spans="20:25" x14ac:dyDescent="0.3">
      <c r="T9394" s="12"/>
      <c r="U9394" s="4"/>
      <c r="V9394" s="4"/>
      <c r="X9394" s="4"/>
      <c r="Y9394" s="4"/>
    </row>
    <row r="9395" spans="20:25" x14ac:dyDescent="0.3">
      <c r="T9395" s="12"/>
      <c r="U9395" s="4"/>
      <c r="V9395" s="4"/>
      <c r="X9395" s="4"/>
      <c r="Y9395" s="4"/>
    </row>
    <row r="9396" spans="20:25" x14ac:dyDescent="0.3">
      <c r="T9396" s="12"/>
      <c r="U9396" s="4"/>
      <c r="V9396" s="4"/>
      <c r="X9396" s="4"/>
      <c r="Y9396" s="4"/>
    </row>
    <row r="9397" spans="20:25" x14ac:dyDescent="0.3">
      <c r="T9397" s="12"/>
      <c r="U9397" s="4"/>
      <c r="V9397" s="4"/>
      <c r="X9397" s="4"/>
      <c r="Y9397" s="4"/>
    </row>
    <row r="9398" spans="20:25" x14ac:dyDescent="0.3">
      <c r="T9398" s="12"/>
      <c r="U9398" s="4"/>
      <c r="V9398" s="4"/>
      <c r="X9398" s="4"/>
      <c r="Y9398" s="4"/>
    </row>
    <row r="9399" spans="20:25" x14ac:dyDescent="0.3">
      <c r="T9399" s="12"/>
      <c r="U9399" s="4"/>
      <c r="V9399" s="4"/>
      <c r="X9399" s="4"/>
      <c r="Y9399" s="4"/>
    </row>
    <row r="9400" spans="20:25" x14ac:dyDescent="0.3">
      <c r="T9400" s="12"/>
      <c r="U9400" s="4"/>
      <c r="V9400" s="4"/>
      <c r="X9400" s="4"/>
      <c r="Y9400" s="4"/>
    </row>
    <row r="9401" spans="20:25" x14ac:dyDescent="0.3">
      <c r="T9401" s="12"/>
      <c r="U9401" s="4"/>
      <c r="V9401" s="4"/>
      <c r="X9401" s="4"/>
      <c r="Y9401" s="4"/>
    </row>
    <row r="9402" spans="20:25" x14ac:dyDescent="0.3">
      <c r="T9402" s="12"/>
      <c r="U9402" s="4"/>
      <c r="V9402" s="4"/>
      <c r="X9402" s="4"/>
      <c r="Y9402" s="4"/>
    </row>
    <row r="9403" spans="20:25" x14ac:dyDescent="0.3">
      <c r="T9403" s="12"/>
      <c r="U9403" s="4"/>
      <c r="V9403" s="4"/>
      <c r="X9403" s="4"/>
      <c r="Y9403" s="4"/>
    </row>
    <row r="9404" spans="20:25" x14ac:dyDescent="0.3">
      <c r="T9404" s="12"/>
      <c r="U9404" s="4"/>
      <c r="V9404" s="4"/>
      <c r="X9404" s="4"/>
      <c r="Y9404" s="4"/>
    </row>
    <row r="9405" spans="20:25" x14ac:dyDescent="0.3">
      <c r="T9405" s="12"/>
      <c r="U9405" s="4"/>
      <c r="V9405" s="4"/>
      <c r="X9405" s="4"/>
      <c r="Y9405" s="4"/>
    </row>
    <row r="9406" spans="20:25" x14ac:dyDescent="0.3">
      <c r="T9406" s="12"/>
      <c r="U9406" s="4"/>
      <c r="V9406" s="4"/>
      <c r="X9406" s="4"/>
      <c r="Y9406" s="4"/>
    </row>
    <row r="9407" spans="20:25" x14ac:dyDescent="0.3">
      <c r="T9407" s="12"/>
      <c r="U9407" s="4"/>
      <c r="V9407" s="4"/>
      <c r="X9407" s="4"/>
      <c r="Y9407" s="4"/>
    </row>
    <row r="9408" spans="20:25" x14ac:dyDescent="0.3">
      <c r="T9408" s="12"/>
      <c r="U9408" s="4"/>
      <c r="V9408" s="4"/>
      <c r="X9408" s="4"/>
      <c r="Y9408" s="4"/>
    </row>
    <row r="9409" spans="20:25" x14ac:dyDescent="0.3">
      <c r="T9409" s="12"/>
      <c r="U9409" s="4"/>
      <c r="V9409" s="4"/>
      <c r="X9409" s="4"/>
      <c r="Y9409" s="4"/>
    </row>
    <row r="9410" spans="20:25" x14ac:dyDescent="0.3">
      <c r="T9410" s="12"/>
      <c r="U9410" s="4"/>
      <c r="V9410" s="4"/>
      <c r="X9410" s="4"/>
      <c r="Y9410" s="4"/>
    </row>
    <row r="9411" spans="20:25" x14ac:dyDescent="0.3">
      <c r="T9411" s="12"/>
      <c r="U9411" s="4"/>
      <c r="V9411" s="4"/>
      <c r="X9411" s="4"/>
      <c r="Y9411" s="4"/>
    </row>
    <row r="9412" spans="20:25" x14ac:dyDescent="0.3">
      <c r="T9412" s="12"/>
      <c r="U9412" s="4"/>
      <c r="V9412" s="4"/>
      <c r="X9412" s="4"/>
      <c r="Y9412" s="4"/>
    </row>
    <row r="9413" spans="20:25" x14ac:dyDescent="0.3">
      <c r="T9413" s="12"/>
      <c r="U9413" s="4"/>
      <c r="V9413" s="4"/>
      <c r="X9413" s="4"/>
      <c r="Y9413" s="4"/>
    </row>
    <row r="9414" spans="20:25" x14ac:dyDescent="0.3">
      <c r="T9414" s="12"/>
      <c r="U9414" s="4"/>
      <c r="V9414" s="4"/>
      <c r="X9414" s="4"/>
      <c r="Y9414" s="4"/>
    </row>
    <row r="9415" spans="20:25" x14ac:dyDescent="0.3">
      <c r="T9415" s="12"/>
      <c r="U9415" s="4"/>
      <c r="V9415" s="4"/>
      <c r="X9415" s="4"/>
      <c r="Y9415" s="4"/>
    </row>
    <row r="9416" spans="20:25" x14ac:dyDescent="0.3">
      <c r="T9416" s="12"/>
      <c r="U9416" s="4"/>
      <c r="V9416" s="4"/>
      <c r="X9416" s="4"/>
      <c r="Y9416" s="4"/>
    </row>
    <row r="9417" spans="20:25" x14ac:dyDescent="0.3">
      <c r="T9417" s="12"/>
      <c r="U9417" s="4"/>
      <c r="V9417" s="4"/>
      <c r="X9417" s="4"/>
      <c r="Y9417" s="4"/>
    </row>
    <row r="9418" spans="20:25" x14ac:dyDescent="0.3">
      <c r="T9418" s="12"/>
      <c r="U9418" s="4"/>
      <c r="V9418" s="4"/>
      <c r="X9418" s="4"/>
      <c r="Y9418" s="4"/>
    </row>
    <row r="9419" spans="20:25" x14ac:dyDescent="0.3">
      <c r="T9419" s="12"/>
      <c r="U9419" s="4"/>
      <c r="V9419" s="4"/>
      <c r="X9419" s="4"/>
      <c r="Y9419" s="4"/>
    </row>
    <row r="9420" spans="20:25" x14ac:dyDescent="0.3">
      <c r="T9420" s="12"/>
      <c r="U9420" s="4"/>
      <c r="V9420" s="4"/>
      <c r="X9420" s="4"/>
      <c r="Y9420" s="4"/>
    </row>
    <row r="9421" spans="20:25" x14ac:dyDescent="0.3">
      <c r="T9421" s="12"/>
      <c r="U9421" s="4"/>
      <c r="V9421" s="4"/>
      <c r="X9421" s="4"/>
      <c r="Y9421" s="4"/>
    </row>
    <row r="9422" spans="20:25" x14ac:dyDescent="0.3">
      <c r="T9422" s="12"/>
      <c r="U9422" s="4"/>
      <c r="V9422" s="4"/>
      <c r="X9422" s="4"/>
      <c r="Y9422" s="4"/>
    </row>
    <row r="9423" spans="20:25" x14ac:dyDescent="0.3">
      <c r="T9423" s="12"/>
      <c r="U9423" s="4"/>
      <c r="V9423" s="4"/>
      <c r="X9423" s="4"/>
      <c r="Y9423" s="4"/>
    </row>
    <row r="9424" spans="20:25" x14ac:dyDescent="0.3">
      <c r="T9424" s="12"/>
      <c r="U9424" s="4"/>
      <c r="V9424" s="4"/>
      <c r="X9424" s="4"/>
      <c r="Y9424" s="4"/>
    </row>
    <row r="9425" spans="20:25" x14ac:dyDescent="0.3">
      <c r="T9425" s="12"/>
      <c r="U9425" s="4"/>
      <c r="V9425" s="4"/>
      <c r="X9425" s="4"/>
      <c r="Y9425" s="4"/>
    </row>
    <row r="9426" spans="20:25" x14ac:dyDescent="0.3">
      <c r="T9426" s="12"/>
      <c r="U9426" s="4"/>
      <c r="V9426" s="4"/>
      <c r="X9426" s="4"/>
      <c r="Y9426" s="4"/>
    </row>
    <row r="9427" spans="20:25" x14ac:dyDescent="0.3">
      <c r="T9427" s="12"/>
      <c r="U9427" s="4"/>
      <c r="V9427" s="4"/>
      <c r="X9427" s="4"/>
      <c r="Y9427" s="4"/>
    </row>
    <row r="9428" spans="20:25" x14ac:dyDescent="0.3">
      <c r="T9428" s="12"/>
      <c r="U9428" s="4"/>
      <c r="V9428" s="4"/>
      <c r="X9428" s="4"/>
      <c r="Y9428" s="4"/>
    </row>
    <row r="9429" spans="20:25" x14ac:dyDescent="0.3">
      <c r="T9429" s="12"/>
      <c r="U9429" s="4"/>
      <c r="V9429" s="4"/>
      <c r="X9429" s="4"/>
      <c r="Y9429" s="4"/>
    </row>
    <row r="9430" spans="20:25" x14ac:dyDescent="0.3">
      <c r="T9430" s="12"/>
      <c r="U9430" s="4"/>
      <c r="V9430" s="4"/>
      <c r="X9430" s="4"/>
      <c r="Y9430" s="4"/>
    </row>
    <row r="9431" spans="20:25" x14ac:dyDescent="0.3">
      <c r="T9431" s="12"/>
      <c r="U9431" s="4"/>
      <c r="V9431" s="4"/>
      <c r="X9431" s="4"/>
      <c r="Y9431" s="4"/>
    </row>
    <row r="9432" spans="20:25" x14ac:dyDescent="0.3">
      <c r="T9432" s="12"/>
      <c r="U9432" s="4"/>
      <c r="V9432" s="4"/>
      <c r="X9432" s="4"/>
      <c r="Y9432" s="4"/>
    </row>
    <row r="9433" spans="20:25" x14ac:dyDescent="0.3">
      <c r="T9433" s="12"/>
      <c r="U9433" s="4"/>
      <c r="V9433" s="4"/>
      <c r="X9433" s="4"/>
      <c r="Y9433" s="4"/>
    </row>
    <row r="9434" spans="20:25" x14ac:dyDescent="0.3">
      <c r="T9434" s="12"/>
      <c r="U9434" s="4"/>
      <c r="V9434" s="4"/>
      <c r="X9434" s="4"/>
      <c r="Y9434" s="4"/>
    </row>
    <row r="9435" spans="20:25" x14ac:dyDescent="0.3">
      <c r="T9435" s="12"/>
      <c r="U9435" s="4"/>
      <c r="V9435" s="4"/>
      <c r="X9435" s="4"/>
      <c r="Y9435" s="4"/>
    </row>
    <row r="9436" spans="20:25" x14ac:dyDescent="0.3">
      <c r="T9436" s="12"/>
      <c r="U9436" s="4"/>
      <c r="V9436" s="4"/>
      <c r="X9436" s="4"/>
      <c r="Y9436" s="4"/>
    </row>
    <row r="9437" spans="20:25" x14ac:dyDescent="0.3">
      <c r="T9437" s="12"/>
      <c r="U9437" s="4"/>
      <c r="V9437" s="4"/>
      <c r="X9437" s="4"/>
      <c r="Y9437" s="4"/>
    </row>
    <row r="9438" spans="20:25" x14ac:dyDescent="0.3">
      <c r="T9438" s="12"/>
      <c r="U9438" s="4"/>
      <c r="V9438" s="4"/>
      <c r="X9438" s="4"/>
      <c r="Y9438" s="4"/>
    </row>
    <row r="9439" spans="20:25" x14ac:dyDescent="0.3">
      <c r="T9439" s="12"/>
      <c r="U9439" s="4"/>
      <c r="V9439" s="4"/>
      <c r="X9439" s="4"/>
      <c r="Y9439" s="4"/>
    </row>
    <row r="9440" spans="20:25" x14ac:dyDescent="0.3">
      <c r="T9440" s="12"/>
      <c r="U9440" s="4"/>
      <c r="V9440" s="4"/>
      <c r="X9440" s="4"/>
      <c r="Y9440" s="4"/>
    </row>
    <row r="9441" spans="20:25" x14ac:dyDescent="0.3">
      <c r="T9441" s="12"/>
      <c r="U9441" s="4"/>
      <c r="V9441" s="4"/>
      <c r="X9441" s="4"/>
      <c r="Y9441" s="4"/>
    </row>
    <row r="9442" spans="20:25" x14ac:dyDescent="0.3">
      <c r="T9442" s="12"/>
      <c r="U9442" s="4"/>
      <c r="V9442" s="4"/>
      <c r="X9442" s="4"/>
      <c r="Y9442" s="4"/>
    </row>
    <row r="9443" spans="20:25" x14ac:dyDescent="0.3">
      <c r="T9443" s="12"/>
      <c r="U9443" s="4"/>
      <c r="V9443" s="4"/>
      <c r="X9443" s="4"/>
      <c r="Y9443" s="4"/>
    </row>
    <row r="9444" spans="20:25" x14ac:dyDescent="0.3">
      <c r="T9444" s="12"/>
      <c r="U9444" s="4"/>
      <c r="V9444" s="4"/>
      <c r="X9444" s="4"/>
      <c r="Y9444" s="4"/>
    </row>
    <row r="9445" spans="20:25" x14ac:dyDescent="0.3">
      <c r="T9445" s="12"/>
      <c r="U9445" s="4"/>
      <c r="V9445" s="4"/>
      <c r="X9445" s="4"/>
      <c r="Y9445" s="4"/>
    </row>
    <row r="9446" spans="20:25" x14ac:dyDescent="0.3">
      <c r="T9446" s="12"/>
      <c r="U9446" s="4"/>
      <c r="V9446" s="4"/>
      <c r="X9446" s="4"/>
      <c r="Y9446" s="4"/>
    </row>
    <row r="9447" spans="20:25" x14ac:dyDescent="0.3">
      <c r="T9447" s="12"/>
      <c r="U9447" s="4"/>
      <c r="V9447" s="4"/>
      <c r="X9447" s="4"/>
      <c r="Y9447" s="4"/>
    </row>
    <row r="9448" spans="20:25" x14ac:dyDescent="0.3">
      <c r="T9448" s="12"/>
      <c r="U9448" s="4"/>
      <c r="V9448" s="4"/>
      <c r="X9448" s="4"/>
      <c r="Y9448" s="4"/>
    </row>
    <row r="9449" spans="20:25" x14ac:dyDescent="0.3">
      <c r="T9449" s="12"/>
      <c r="U9449" s="4"/>
      <c r="V9449" s="4"/>
      <c r="X9449" s="4"/>
      <c r="Y9449" s="4"/>
    </row>
    <row r="9450" spans="20:25" x14ac:dyDescent="0.3">
      <c r="T9450" s="12"/>
      <c r="U9450" s="4"/>
      <c r="V9450" s="4"/>
      <c r="X9450" s="4"/>
      <c r="Y9450" s="4"/>
    </row>
    <row r="9451" spans="20:25" x14ac:dyDescent="0.3">
      <c r="T9451" s="12"/>
      <c r="U9451" s="4"/>
      <c r="V9451" s="4"/>
      <c r="X9451" s="4"/>
      <c r="Y9451" s="4"/>
    </row>
    <row r="9452" spans="20:25" x14ac:dyDescent="0.3">
      <c r="T9452" s="12"/>
      <c r="U9452" s="4"/>
      <c r="V9452" s="4"/>
      <c r="X9452" s="4"/>
      <c r="Y9452" s="4"/>
    </row>
    <row r="9453" spans="20:25" x14ac:dyDescent="0.3">
      <c r="T9453" s="12"/>
      <c r="U9453" s="4"/>
      <c r="V9453" s="4"/>
      <c r="X9453" s="4"/>
      <c r="Y9453" s="4"/>
    </row>
    <row r="9454" spans="20:25" x14ac:dyDescent="0.3">
      <c r="T9454" s="12"/>
      <c r="U9454" s="4"/>
      <c r="V9454" s="4"/>
      <c r="X9454" s="4"/>
      <c r="Y9454" s="4"/>
    </row>
    <row r="9455" spans="20:25" x14ac:dyDescent="0.3">
      <c r="T9455" s="12"/>
      <c r="U9455" s="4"/>
      <c r="V9455" s="4"/>
      <c r="X9455" s="4"/>
      <c r="Y9455" s="4"/>
    </row>
    <row r="9456" spans="20:25" x14ac:dyDescent="0.3">
      <c r="T9456" s="12"/>
      <c r="U9456" s="4"/>
      <c r="V9456" s="4"/>
      <c r="X9456" s="4"/>
      <c r="Y9456" s="4"/>
    </row>
    <row r="9457" spans="20:25" x14ac:dyDescent="0.3">
      <c r="T9457" s="12"/>
      <c r="U9457" s="4"/>
      <c r="V9457" s="4"/>
      <c r="X9457" s="4"/>
      <c r="Y9457" s="4"/>
    </row>
    <row r="9458" spans="20:25" x14ac:dyDescent="0.3">
      <c r="T9458" s="12"/>
      <c r="U9458" s="4"/>
      <c r="V9458" s="4"/>
      <c r="X9458" s="4"/>
      <c r="Y9458" s="4"/>
    </row>
    <row r="9459" spans="20:25" x14ac:dyDescent="0.3">
      <c r="T9459" s="12"/>
      <c r="U9459" s="4"/>
      <c r="V9459" s="4"/>
      <c r="X9459" s="4"/>
      <c r="Y9459" s="4"/>
    </row>
    <row r="9460" spans="20:25" x14ac:dyDescent="0.3">
      <c r="T9460" s="12"/>
      <c r="U9460" s="4"/>
      <c r="V9460" s="4"/>
      <c r="X9460" s="4"/>
      <c r="Y9460" s="4"/>
    </row>
    <row r="9461" spans="20:25" x14ac:dyDescent="0.3">
      <c r="T9461" s="12"/>
      <c r="U9461" s="4"/>
      <c r="V9461" s="4"/>
      <c r="X9461" s="4"/>
      <c r="Y9461" s="4"/>
    </row>
    <row r="9462" spans="20:25" x14ac:dyDescent="0.3">
      <c r="T9462" s="12"/>
      <c r="U9462" s="4"/>
      <c r="V9462" s="4"/>
      <c r="X9462" s="4"/>
      <c r="Y9462" s="4"/>
    </row>
    <row r="9463" spans="20:25" x14ac:dyDescent="0.3">
      <c r="T9463" s="12"/>
      <c r="U9463" s="4"/>
      <c r="V9463" s="4"/>
      <c r="X9463" s="4"/>
      <c r="Y9463" s="4"/>
    </row>
    <row r="9464" spans="20:25" x14ac:dyDescent="0.3">
      <c r="T9464" s="12"/>
      <c r="U9464" s="4"/>
      <c r="V9464" s="4"/>
      <c r="X9464" s="4"/>
      <c r="Y9464" s="4"/>
    </row>
    <row r="9465" spans="20:25" x14ac:dyDescent="0.3">
      <c r="T9465" s="12"/>
      <c r="U9465" s="4"/>
      <c r="V9465" s="4"/>
      <c r="X9465" s="4"/>
      <c r="Y9465" s="4"/>
    </row>
    <row r="9466" spans="20:25" x14ac:dyDescent="0.3">
      <c r="T9466" s="12"/>
      <c r="U9466" s="4"/>
      <c r="V9466" s="4"/>
      <c r="X9466" s="4"/>
      <c r="Y9466" s="4"/>
    </row>
    <row r="9467" spans="20:25" x14ac:dyDescent="0.3">
      <c r="T9467" s="12"/>
      <c r="U9467" s="4"/>
      <c r="V9467" s="4"/>
      <c r="X9467" s="4"/>
      <c r="Y9467" s="4"/>
    </row>
    <row r="9468" spans="20:25" x14ac:dyDescent="0.3">
      <c r="T9468" s="12"/>
      <c r="U9468" s="4"/>
      <c r="V9468" s="4"/>
      <c r="X9468" s="4"/>
      <c r="Y9468" s="4"/>
    </row>
    <row r="9469" spans="20:25" x14ac:dyDescent="0.3">
      <c r="T9469" s="12"/>
      <c r="U9469" s="4"/>
      <c r="V9469" s="4"/>
      <c r="X9469" s="4"/>
      <c r="Y9469" s="4"/>
    </row>
    <row r="9470" spans="20:25" x14ac:dyDescent="0.3">
      <c r="T9470" s="12"/>
      <c r="U9470" s="4"/>
      <c r="V9470" s="4"/>
      <c r="X9470" s="4"/>
      <c r="Y9470" s="4"/>
    </row>
    <row r="9471" spans="20:25" x14ac:dyDescent="0.3">
      <c r="T9471" s="12"/>
      <c r="U9471" s="4"/>
      <c r="V9471" s="4"/>
      <c r="X9471" s="4"/>
      <c r="Y9471" s="4"/>
    </row>
    <row r="9472" spans="20:25" x14ac:dyDescent="0.3">
      <c r="T9472" s="12"/>
      <c r="U9472" s="4"/>
      <c r="V9472" s="4"/>
      <c r="X9472" s="4"/>
      <c r="Y9472" s="4"/>
    </row>
    <row r="9473" spans="20:25" x14ac:dyDescent="0.3">
      <c r="T9473" s="12"/>
      <c r="U9473" s="4"/>
      <c r="V9473" s="4"/>
      <c r="X9473" s="4"/>
      <c r="Y9473" s="4"/>
    </row>
    <row r="9474" spans="20:25" x14ac:dyDescent="0.3">
      <c r="T9474" s="12"/>
      <c r="U9474" s="4"/>
      <c r="V9474" s="4"/>
      <c r="X9474" s="4"/>
      <c r="Y9474" s="4"/>
    </row>
    <row r="9475" spans="20:25" x14ac:dyDescent="0.3">
      <c r="T9475" s="12"/>
      <c r="U9475" s="4"/>
      <c r="V9475" s="4"/>
      <c r="X9475" s="4"/>
      <c r="Y9475" s="4"/>
    </row>
    <row r="9476" spans="20:25" x14ac:dyDescent="0.3">
      <c r="T9476" s="12"/>
      <c r="U9476" s="4"/>
      <c r="V9476" s="4"/>
      <c r="X9476" s="4"/>
      <c r="Y9476" s="4"/>
    </row>
    <row r="9477" spans="20:25" x14ac:dyDescent="0.3">
      <c r="T9477" s="12"/>
      <c r="U9477" s="4"/>
      <c r="V9477" s="4"/>
      <c r="X9477" s="4"/>
      <c r="Y9477" s="4"/>
    </row>
    <row r="9478" spans="20:25" x14ac:dyDescent="0.3">
      <c r="T9478" s="12"/>
      <c r="U9478" s="4"/>
      <c r="V9478" s="4"/>
      <c r="X9478" s="4"/>
      <c r="Y9478" s="4"/>
    </row>
    <row r="9479" spans="20:25" x14ac:dyDescent="0.3">
      <c r="T9479" s="12"/>
      <c r="U9479" s="4"/>
      <c r="V9479" s="4"/>
      <c r="X9479" s="4"/>
      <c r="Y9479" s="4"/>
    </row>
    <row r="9480" spans="20:25" x14ac:dyDescent="0.3">
      <c r="T9480" s="12"/>
      <c r="U9480" s="4"/>
      <c r="V9480" s="4"/>
      <c r="X9480" s="4"/>
      <c r="Y9480" s="4"/>
    </row>
    <row r="9481" spans="20:25" x14ac:dyDescent="0.3">
      <c r="T9481" s="12"/>
      <c r="U9481" s="4"/>
      <c r="V9481" s="4"/>
      <c r="X9481" s="4"/>
      <c r="Y9481" s="4"/>
    </row>
    <row r="9482" spans="20:25" x14ac:dyDescent="0.3">
      <c r="T9482" s="12"/>
      <c r="U9482" s="4"/>
      <c r="V9482" s="4"/>
      <c r="X9482" s="4"/>
      <c r="Y9482" s="4"/>
    </row>
    <row r="9483" spans="20:25" x14ac:dyDescent="0.3">
      <c r="T9483" s="12"/>
      <c r="U9483" s="4"/>
      <c r="V9483" s="4"/>
      <c r="X9483" s="4"/>
      <c r="Y9483" s="4"/>
    </row>
    <row r="9484" spans="20:25" x14ac:dyDescent="0.3">
      <c r="T9484" s="12"/>
      <c r="U9484" s="4"/>
      <c r="V9484" s="4"/>
      <c r="X9484" s="4"/>
      <c r="Y9484" s="4"/>
    </row>
    <row r="9485" spans="20:25" x14ac:dyDescent="0.3">
      <c r="T9485" s="12"/>
      <c r="U9485" s="4"/>
      <c r="V9485" s="4"/>
      <c r="X9485" s="4"/>
      <c r="Y9485" s="4"/>
    </row>
    <row r="9486" spans="20:25" x14ac:dyDescent="0.3">
      <c r="T9486" s="12"/>
      <c r="U9486" s="4"/>
      <c r="V9486" s="4"/>
      <c r="X9486" s="4"/>
      <c r="Y9486" s="4"/>
    </row>
    <row r="9487" spans="20:25" x14ac:dyDescent="0.3">
      <c r="T9487" s="12"/>
      <c r="U9487" s="4"/>
      <c r="V9487" s="4"/>
      <c r="X9487" s="4"/>
      <c r="Y9487" s="4"/>
    </row>
    <row r="9488" spans="20:25" x14ac:dyDescent="0.3">
      <c r="T9488" s="12"/>
      <c r="U9488" s="4"/>
      <c r="V9488" s="4"/>
      <c r="X9488" s="4"/>
      <c r="Y9488" s="4"/>
    </row>
    <row r="9489" spans="20:25" x14ac:dyDescent="0.3">
      <c r="T9489" s="12"/>
      <c r="U9489" s="4"/>
      <c r="V9489" s="4"/>
      <c r="X9489" s="4"/>
      <c r="Y9489" s="4"/>
    </row>
    <row r="9490" spans="20:25" x14ac:dyDescent="0.3">
      <c r="T9490" s="12"/>
      <c r="U9490" s="4"/>
      <c r="V9490" s="4"/>
      <c r="X9490" s="4"/>
      <c r="Y9490" s="4"/>
    </row>
    <row r="9491" spans="20:25" x14ac:dyDescent="0.3">
      <c r="T9491" s="12"/>
      <c r="U9491" s="4"/>
      <c r="V9491" s="4"/>
      <c r="X9491" s="4"/>
      <c r="Y9491" s="4"/>
    </row>
    <row r="9492" spans="20:25" x14ac:dyDescent="0.3">
      <c r="T9492" s="12"/>
      <c r="U9492" s="4"/>
      <c r="V9492" s="4"/>
      <c r="X9492" s="4"/>
      <c r="Y9492" s="4"/>
    </row>
    <row r="9493" spans="20:25" x14ac:dyDescent="0.3">
      <c r="T9493" s="12"/>
      <c r="U9493" s="4"/>
      <c r="V9493" s="4"/>
      <c r="X9493" s="4"/>
      <c r="Y9493" s="4"/>
    </row>
    <row r="9494" spans="20:25" x14ac:dyDescent="0.3">
      <c r="T9494" s="12"/>
      <c r="U9494" s="4"/>
      <c r="V9494" s="4"/>
      <c r="X9494" s="4"/>
      <c r="Y9494" s="4"/>
    </row>
    <row r="9495" spans="20:25" x14ac:dyDescent="0.3">
      <c r="T9495" s="12"/>
      <c r="U9495" s="4"/>
      <c r="V9495" s="4"/>
      <c r="X9495" s="4"/>
      <c r="Y9495" s="4"/>
    </row>
    <row r="9496" spans="20:25" x14ac:dyDescent="0.3">
      <c r="T9496" s="12"/>
      <c r="U9496" s="4"/>
      <c r="V9496" s="4"/>
      <c r="X9496" s="4"/>
      <c r="Y9496" s="4"/>
    </row>
    <row r="9497" spans="20:25" x14ac:dyDescent="0.3">
      <c r="T9497" s="12"/>
      <c r="U9497" s="4"/>
      <c r="V9497" s="4"/>
      <c r="X9497" s="4"/>
      <c r="Y9497" s="4"/>
    </row>
    <row r="9498" spans="20:25" x14ac:dyDescent="0.3">
      <c r="T9498" s="12"/>
      <c r="U9498" s="4"/>
      <c r="V9498" s="4"/>
      <c r="X9498" s="4"/>
      <c r="Y9498" s="4"/>
    </row>
    <row r="9499" spans="20:25" x14ac:dyDescent="0.3">
      <c r="T9499" s="12"/>
      <c r="U9499" s="4"/>
      <c r="V9499" s="4"/>
      <c r="X9499" s="4"/>
      <c r="Y9499" s="4"/>
    </row>
    <row r="9500" spans="20:25" x14ac:dyDescent="0.3">
      <c r="T9500" s="12"/>
      <c r="U9500" s="4"/>
      <c r="V9500" s="4"/>
      <c r="X9500" s="4"/>
      <c r="Y9500" s="4"/>
    </row>
    <row r="9501" spans="20:25" x14ac:dyDescent="0.3">
      <c r="T9501" s="12"/>
      <c r="U9501" s="4"/>
      <c r="V9501" s="4"/>
      <c r="X9501" s="4"/>
      <c r="Y9501" s="4"/>
    </row>
    <row r="9502" spans="20:25" x14ac:dyDescent="0.3">
      <c r="T9502" s="12"/>
      <c r="U9502" s="4"/>
      <c r="V9502" s="4"/>
      <c r="X9502" s="4"/>
      <c r="Y9502" s="4"/>
    </row>
    <row r="9503" spans="20:25" x14ac:dyDescent="0.3">
      <c r="T9503" s="12"/>
      <c r="U9503" s="4"/>
      <c r="V9503" s="4"/>
      <c r="X9503" s="4"/>
      <c r="Y9503" s="4"/>
    </row>
    <row r="9504" spans="20:25" x14ac:dyDescent="0.3">
      <c r="T9504" s="12"/>
      <c r="U9504" s="4"/>
      <c r="V9504" s="4"/>
      <c r="X9504" s="4"/>
      <c r="Y9504" s="4"/>
    </row>
    <row r="9505" spans="20:25" x14ac:dyDescent="0.3">
      <c r="T9505" s="12"/>
      <c r="U9505" s="4"/>
      <c r="V9505" s="4"/>
      <c r="X9505" s="4"/>
      <c r="Y9505" s="4"/>
    </row>
    <row r="9506" spans="20:25" x14ac:dyDescent="0.3">
      <c r="T9506" s="12"/>
      <c r="U9506" s="4"/>
      <c r="V9506" s="4"/>
      <c r="X9506" s="4"/>
      <c r="Y9506" s="4"/>
    </row>
    <row r="9507" spans="20:25" x14ac:dyDescent="0.3">
      <c r="T9507" s="12"/>
      <c r="U9507" s="4"/>
      <c r="V9507" s="4"/>
      <c r="X9507" s="4"/>
      <c r="Y9507" s="4"/>
    </row>
    <row r="9508" spans="20:25" x14ac:dyDescent="0.3">
      <c r="T9508" s="12"/>
      <c r="U9508" s="4"/>
      <c r="V9508" s="4"/>
      <c r="X9508" s="4"/>
      <c r="Y9508" s="4"/>
    </row>
    <row r="9509" spans="20:25" x14ac:dyDescent="0.3">
      <c r="T9509" s="12"/>
      <c r="U9509" s="4"/>
      <c r="V9509" s="4"/>
      <c r="X9509" s="4"/>
      <c r="Y9509" s="4"/>
    </row>
    <row r="9510" spans="20:25" x14ac:dyDescent="0.3">
      <c r="T9510" s="12"/>
      <c r="U9510" s="4"/>
      <c r="V9510" s="4"/>
      <c r="X9510" s="4"/>
      <c r="Y9510" s="4"/>
    </row>
    <row r="9511" spans="20:25" x14ac:dyDescent="0.3">
      <c r="T9511" s="12"/>
      <c r="U9511" s="4"/>
      <c r="V9511" s="4"/>
      <c r="X9511" s="4"/>
      <c r="Y9511" s="4"/>
    </row>
    <row r="9512" spans="20:25" x14ac:dyDescent="0.3">
      <c r="T9512" s="12"/>
      <c r="U9512" s="4"/>
      <c r="V9512" s="4"/>
      <c r="X9512" s="4"/>
      <c r="Y9512" s="4"/>
    </row>
    <row r="9513" spans="20:25" x14ac:dyDescent="0.3">
      <c r="T9513" s="12"/>
      <c r="U9513" s="4"/>
      <c r="V9513" s="4"/>
      <c r="X9513" s="4"/>
      <c r="Y9513" s="4"/>
    </row>
    <row r="9514" spans="20:25" x14ac:dyDescent="0.3">
      <c r="T9514" s="12"/>
      <c r="U9514" s="4"/>
      <c r="V9514" s="4"/>
      <c r="X9514" s="4"/>
      <c r="Y9514" s="4"/>
    </row>
    <row r="9515" spans="20:25" x14ac:dyDescent="0.3">
      <c r="T9515" s="12"/>
      <c r="U9515" s="4"/>
      <c r="V9515" s="4"/>
      <c r="X9515" s="4"/>
      <c r="Y9515" s="4"/>
    </row>
    <row r="9516" spans="20:25" x14ac:dyDescent="0.3">
      <c r="T9516" s="12"/>
      <c r="U9516" s="4"/>
      <c r="V9516" s="4"/>
      <c r="X9516" s="4"/>
      <c r="Y9516" s="4"/>
    </row>
    <row r="9517" spans="20:25" x14ac:dyDescent="0.3">
      <c r="T9517" s="12"/>
      <c r="U9517" s="4"/>
      <c r="V9517" s="4"/>
      <c r="X9517" s="4"/>
      <c r="Y9517" s="4"/>
    </row>
    <row r="9518" spans="20:25" x14ac:dyDescent="0.3">
      <c r="T9518" s="12"/>
      <c r="U9518" s="4"/>
      <c r="V9518" s="4"/>
      <c r="X9518" s="4"/>
      <c r="Y9518" s="4"/>
    </row>
    <row r="9519" spans="20:25" x14ac:dyDescent="0.3">
      <c r="T9519" s="12"/>
      <c r="U9519" s="4"/>
      <c r="V9519" s="4"/>
      <c r="X9519" s="4"/>
      <c r="Y9519" s="4"/>
    </row>
    <row r="9520" spans="20:25" x14ac:dyDescent="0.3">
      <c r="T9520" s="12"/>
      <c r="U9520" s="4"/>
      <c r="V9520" s="4"/>
      <c r="X9520" s="4"/>
      <c r="Y9520" s="4"/>
    </row>
    <row r="9521" spans="20:25" x14ac:dyDescent="0.3">
      <c r="T9521" s="12"/>
      <c r="U9521" s="4"/>
      <c r="V9521" s="4"/>
      <c r="X9521" s="4"/>
      <c r="Y9521" s="4"/>
    </row>
    <row r="9522" spans="20:25" x14ac:dyDescent="0.3">
      <c r="T9522" s="12"/>
      <c r="U9522" s="4"/>
      <c r="V9522" s="4"/>
      <c r="X9522" s="4"/>
      <c r="Y9522" s="4"/>
    </row>
    <row r="9523" spans="20:25" x14ac:dyDescent="0.3">
      <c r="T9523" s="12"/>
      <c r="U9523" s="4"/>
      <c r="V9523" s="4"/>
      <c r="X9523" s="4"/>
      <c r="Y9523" s="4"/>
    </row>
    <row r="9524" spans="20:25" x14ac:dyDescent="0.3">
      <c r="T9524" s="12"/>
      <c r="U9524" s="4"/>
      <c r="V9524" s="4"/>
      <c r="X9524" s="4"/>
      <c r="Y9524" s="4"/>
    </row>
    <row r="9525" spans="20:25" x14ac:dyDescent="0.3">
      <c r="T9525" s="12"/>
      <c r="U9525" s="4"/>
      <c r="V9525" s="4"/>
      <c r="X9525" s="4"/>
      <c r="Y9525" s="4"/>
    </row>
    <row r="9526" spans="20:25" x14ac:dyDescent="0.3">
      <c r="T9526" s="12"/>
      <c r="U9526" s="4"/>
      <c r="V9526" s="4"/>
      <c r="X9526" s="4"/>
      <c r="Y9526" s="4"/>
    </row>
    <row r="9527" spans="20:25" x14ac:dyDescent="0.3">
      <c r="T9527" s="12"/>
      <c r="U9527" s="4"/>
      <c r="V9527" s="4"/>
      <c r="X9527" s="4"/>
      <c r="Y9527" s="4"/>
    </row>
    <row r="9528" spans="20:25" x14ac:dyDescent="0.3">
      <c r="T9528" s="12"/>
      <c r="U9528" s="4"/>
      <c r="V9528" s="4"/>
      <c r="X9528" s="4"/>
      <c r="Y9528" s="4"/>
    </row>
    <row r="9529" spans="20:25" x14ac:dyDescent="0.3">
      <c r="T9529" s="12"/>
      <c r="U9529" s="4"/>
      <c r="V9529" s="4"/>
      <c r="X9529" s="4"/>
      <c r="Y9529" s="4"/>
    </row>
    <row r="9530" spans="20:25" x14ac:dyDescent="0.3">
      <c r="T9530" s="12"/>
      <c r="U9530" s="4"/>
      <c r="V9530" s="4"/>
      <c r="X9530" s="4"/>
      <c r="Y9530" s="4"/>
    </row>
    <row r="9531" spans="20:25" x14ac:dyDescent="0.3">
      <c r="T9531" s="12"/>
      <c r="U9531" s="4"/>
      <c r="V9531" s="4"/>
      <c r="X9531" s="4"/>
      <c r="Y9531" s="4"/>
    </row>
    <row r="9532" spans="20:25" x14ac:dyDescent="0.3">
      <c r="T9532" s="12"/>
      <c r="U9532" s="4"/>
      <c r="V9532" s="4"/>
      <c r="X9532" s="4"/>
      <c r="Y9532" s="4"/>
    </row>
    <row r="9533" spans="20:25" x14ac:dyDescent="0.3">
      <c r="T9533" s="12"/>
      <c r="U9533" s="4"/>
      <c r="V9533" s="4"/>
      <c r="X9533" s="4"/>
      <c r="Y9533" s="4"/>
    </row>
    <row r="9534" spans="20:25" x14ac:dyDescent="0.3">
      <c r="T9534" s="12"/>
      <c r="U9534" s="4"/>
      <c r="V9534" s="4"/>
      <c r="X9534" s="4"/>
      <c r="Y9534" s="4"/>
    </row>
    <row r="9535" spans="20:25" x14ac:dyDescent="0.3">
      <c r="T9535" s="12"/>
      <c r="U9535" s="4"/>
      <c r="V9535" s="4"/>
      <c r="X9535" s="4"/>
      <c r="Y9535" s="4"/>
    </row>
    <row r="9536" spans="20:25" x14ac:dyDescent="0.3">
      <c r="T9536" s="12"/>
      <c r="U9536" s="4"/>
      <c r="V9536" s="4"/>
      <c r="X9536" s="4"/>
      <c r="Y9536" s="4"/>
    </row>
    <row r="9537" spans="20:25" x14ac:dyDescent="0.3">
      <c r="T9537" s="12"/>
      <c r="U9537" s="4"/>
      <c r="V9537" s="4"/>
      <c r="X9537" s="4"/>
      <c r="Y9537" s="4"/>
    </row>
    <row r="9538" spans="20:25" x14ac:dyDescent="0.3">
      <c r="T9538" s="12"/>
      <c r="U9538" s="4"/>
      <c r="V9538" s="4"/>
      <c r="X9538" s="4"/>
      <c r="Y9538" s="4"/>
    </row>
    <row r="9539" spans="20:25" x14ac:dyDescent="0.3">
      <c r="T9539" s="12"/>
      <c r="U9539" s="4"/>
      <c r="V9539" s="4"/>
      <c r="X9539" s="4"/>
      <c r="Y9539" s="4"/>
    </row>
    <row r="9540" spans="20:25" x14ac:dyDescent="0.3">
      <c r="T9540" s="12"/>
      <c r="U9540" s="4"/>
      <c r="V9540" s="4"/>
      <c r="X9540" s="4"/>
      <c r="Y9540" s="4"/>
    </row>
    <row r="9541" spans="20:25" x14ac:dyDescent="0.3">
      <c r="T9541" s="12"/>
      <c r="U9541" s="4"/>
      <c r="V9541" s="4"/>
      <c r="X9541" s="4"/>
      <c r="Y9541" s="4"/>
    </row>
    <row r="9542" spans="20:25" x14ac:dyDescent="0.3">
      <c r="T9542" s="12"/>
      <c r="U9542" s="4"/>
      <c r="V9542" s="4"/>
      <c r="X9542" s="4"/>
      <c r="Y9542" s="4"/>
    </row>
    <row r="9543" spans="20:25" x14ac:dyDescent="0.3">
      <c r="T9543" s="12"/>
      <c r="U9543" s="4"/>
      <c r="V9543" s="4"/>
      <c r="X9543" s="4"/>
      <c r="Y9543" s="4"/>
    </row>
    <row r="9544" spans="20:25" x14ac:dyDescent="0.3">
      <c r="T9544" s="12"/>
      <c r="U9544" s="4"/>
      <c r="V9544" s="4"/>
      <c r="X9544" s="4"/>
      <c r="Y9544" s="4"/>
    </row>
    <row r="9545" spans="20:25" x14ac:dyDescent="0.3">
      <c r="T9545" s="12"/>
      <c r="U9545" s="4"/>
      <c r="V9545" s="4"/>
      <c r="X9545" s="4"/>
      <c r="Y9545" s="4"/>
    </row>
    <row r="9546" spans="20:25" x14ac:dyDescent="0.3">
      <c r="T9546" s="12"/>
      <c r="U9546" s="4"/>
      <c r="V9546" s="4"/>
      <c r="X9546" s="4"/>
      <c r="Y9546" s="4"/>
    </row>
    <row r="9547" spans="20:25" x14ac:dyDescent="0.3">
      <c r="T9547" s="12"/>
      <c r="U9547" s="4"/>
      <c r="V9547" s="4"/>
      <c r="X9547" s="4"/>
      <c r="Y9547" s="4"/>
    </row>
    <row r="9548" spans="20:25" x14ac:dyDescent="0.3">
      <c r="T9548" s="12"/>
      <c r="U9548" s="4"/>
      <c r="V9548" s="4"/>
      <c r="X9548" s="4"/>
      <c r="Y9548" s="4"/>
    </row>
    <row r="9549" spans="20:25" x14ac:dyDescent="0.3">
      <c r="T9549" s="12"/>
      <c r="U9549" s="4"/>
      <c r="V9549" s="4"/>
      <c r="X9549" s="4"/>
      <c r="Y9549" s="4"/>
    </row>
    <row r="9550" spans="20:25" x14ac:dyDescent="0.3">
      <c r="T9550" s="12"/>
      <c r="U9550" s="4"/>
      <c r="V9550" s="4"/>
      <c r="X9550" s="4"/>
      <c r="Y9550" s="4"/>
    </row>
    <row r="9551" spans="20:25" x14ac:dyDescent="0.3">
      <c r="T9551" s="12"/>
      <c r="U9551" s="4"/>
      <c r="V9551" s="4"/>
      <c r="X9551" s="4"/>
      <c r="Y9551" s="4"/>
    </row>
    <row r="9552" spans="20:25" x14ac:dyDescent="0.3">
      <c r="T9552" s="12"/>
      <c r="U9552" s="4"/>
      <c r="V9552" s="4"/>
      <c r="X9552" s="4"/>
      <c r="Y9552" s="4"/>
    </row>
    <row r="9553" spans="20:25" x14ac:dyDescent="0.3">
      <c r="T9553" s="12"/>
      <c r="U9553" s="4"/>
      <c r="V9553" s="4"/>
      <c r="X9553" s="4"/>
      <c r="Y9553" s="4"/>
    </row>
    <row r="9554" spans="20:25" x14ac:dyDescent="0.3">
      <c r="T9554" s="12"/>
      <c r="U9554" s="4"/>
      <c r="V9554" s="4"/>
      <c r="X9554" s="4"/>
      <c r="Y9554" s="4"/>
    </row>
    <row r="9555" spans="20:25" x14ac:dyDescent="0.3">
      <c r="T9555" s="12"/>
      <c r="U9555" s="4"/>
      <c r="V9555" s="4"/>
      <c r="X9555" s="4"/>
      <c r="Y9555" s="4"/>
    </row>
    <row r="9556" spans="20:25" x14ac:dyDescent="0.3">
      <c r="T9556" s="12"/>
      <c r="U9556" s="4"/>
      <c r="V9556" s="4"/>
      <c r="X9556" s="4"/>
      <c r="Y9556" s="4"/>
    </row>
    <row r="9557" spans="20:25" x14ac:dyDescent="0.3">
      <c r="T9557" s="12"/>
      <c r="U9557" s="4"/>
      <c r="V9557" s="4"/>
      <c r="X9557" s="4"/>
      <c r="Y9557" s="4"/>
    </row>
    <row r="9558" spans="20:25" x14ac:dyDescent="0.3">
      <c r="T9558" s="12"/>
      <c r="U9558" s="4"/>
      <c r="V9558" s="4"/>
      <c r="X9558" s="4"/>
      <c r="Y9558" s="4"/>
    </row>
    <row r="9559" spans="20:25" x14ac:dyDescent="0.3">
      <c r="T9559" s="12"/>
      <c r="U9559" s="4"/>
      <c r="V9559" s="4"/>
      <c r="X9559" s="4"/>
      <c r="Y9559" s="4"/>
    </row>
    <row r="9560" spans="20:25" x14ac:dyDescent="0.3">
      <c r="T9560" s="12"/>
      <c r="U9560" s="4"/>
      <c r="V9560" s="4"/>
      <c r="X9560" s="4"/>
      <c r="Y9560" s="4"/>
    </row>
    <row r="9561" spans="20:25" x14ac:dyDescent="0.3">
      <c r="T9561" s="12"/>
      <c r="U9561" s="4"/>
      <c r="V9561" s="4"/>
      <c r="X9561" s="4"/>
      <c r="Y9561" s="4"/>
    </row>
    <row r="9562" spans="20:25" x14ac:dyDescent="0.3">
      <c r="T9562" s="12"/>
      <c r="U9562" s="4"/>
      <c r="V9562" s="4"/>
      <c r="X9562" s="4"/>
      <c r="Y9562" s="4"/>
    </row>
    <row r="9563" spans="20:25" x14ac:dyDescent="0.3">
      <c r="T9563" s="12"/>
      <c r="U9563" s="4"/>
      <c r="V9563" s="4"/>
      <c r="X9563" s="4"/>
      <c r="Y9563" s="4"/>
    </row>
    <row r="9564" spans="20:25" x14ac:dyDescent="0.3">
      <c r="T9564" s="12"/>
      <c r="U9564" s="4"/>
      <c r="V9564" s="4"/>
      <c r="X9564" s="4"/>
      <c r="Y9564" s="4"/>
    </row>
    <row r="9565" spans="20:25" x14ac:dyDescent="0.3">
      <c r="T9565" s="12"/>
      <c r="U9565" s="4"/>
      <c r="V9565" s="4"/>
      <c r="X9565" s="4"/>
      <c r="Y9565" s="4"/>
    </row>
    <row r="9566" spans="20:25" x14ac:dyDescent="0.3">
      <c r="T9566" s="12"/>
      <c r="U9566" s="4"/>
      <c r="V9566" s="4"/>
      <c r="X9566" s="4"/>
      <c r="Y9566" s="4"/>
    </row>
    <row r="9567" spans="20:25" x14ac:dyDescent="0.3">
      <c r="T9567" s="12"/>
      <c r="U9567" s="4"/>
      <c r="V9567" s="4"/>
      <c r="X9567" s="4"/>
      <c r="Y9567" s="4"/>
    </row>
    <row r="9568" spans="20:25" x14ac:dyDescent="0.3">
      <c r="T9568" s="12"/>
      <c r="U9568" s="4"/>
      <c r="V9568" s="4"/>
      <c r="X9568" s="4"/>
      <c r="Y9568" s="4"/>
    </row>
    <row r="9569" spans="20:25" x14ac:dyDescent="0.3">
      <c r="T9569" s="12"/>
      <c r="U9569" s="4"/>
      <c r="V9569" s="4"/>
      <c r="X9569" s="4"/>
      <c r="Y9569" s="4"/>
    </row>
    <row r="9570" spans="20:25" x14ac:dyDescent="0.3">
      <c r="T9570" s="12"/>
      <c r="U9570" s="4"/>
      <c r="V9570" s="4"/>
      <c r="X9570" s="4"/>
      <c r="Y9570" s="4"/>
    </row>
    <row r="9571" spans="20:25" x14ac:dyDescent="0.3">
      <c r="T9571" s="12"/>
      <c r="U9571" s="4"/>
      <c r="V9571" s="4"/>
      <c r="X9571" s="4"/>
      <c r="Y9571" s="4"/>
    </row>
    <row r="9572" spans="20:25" x14ac:dyDescent="0.3">
      <c r="T9572" s="12"/>
      <c r="U9572" s="4"/>
      <c r="V9572" s="4"/>
      <c r="X9572" s="4"/>
      <c r="Y9572" s="4"/>
    </row>
    <row r="9573" spans="20:25" x14ac:dyDescent="0.3">
      <c r="T9573" s="12"/>
      <c r="U9573" s="4"/>
      <c r="V9573" s="4"/>
      <c r="X9573" s="4"/>
      <c r="Y9573" s="4"/>
    </row>
    <row r="9574" spans="20:25" x14ac:dyDescent="0.3">
      <c r="T9574" s="12"/>
      <c r="U9574" s="4"/>
      <c r="V9574" s="4"/>
      <c r="X9574" s="4"/>
      <c r="Y9574" s="4"/>
    </row>
    <row r="9575" spans="20:25" x14ac:dyDescent="0.3">
      <c r="T9575" s="12"/>
      <c r="U9575" s="4"/>
      <c r="V9575" s="4"/>
      <c r="X9575" s="4"/>
      <c r="Y9575" s="4"/>
    </row>
    <row r="9576" spans="20:25" x14ac:dyDescent="0.3">
      <c r="T9576" s="12"/>
      <c r="U9576" s="4"/>
      <c r="V9576" s="4"/>
      <c r="X9576" s="4"/>
      <c r="Y9576" s="4"/>
    </row>
    <row r="9577" spans="20:25" x14ac:dyDescent="0.3">
      <c r="T9577" s="12"/>
      <c r="U9577" s="4"/>
      <c r="V9577" s="4"/>
      <c r="X9577" s="4"/>
      <c r="Y9577" s="4"/>
    </row>
    <row r="9578" spans="20:25" x14ac:dyDescent="0.3">
      <c r="T9578" s="12"/>
      <c r="U9578" s="4"/>
      <c r="V9578" s="4"/>
      <c r="X9578" s="4"/>
      <c r="Y9578" s="4"/>
    </row>
    <row r="9579" spans="20:25" x14ac:dyDescent="0.3">
      <c r="T9579" s="12"/>
      <c r="U9579" s="4"/>
      <c r="V9579" s="4"/>
      <c r="X9579" s="4"/>
      <c r="Y9579" s="4"/>
    </row>
    <row r="9580" spans="20:25" x14ac:dyDescent="0.3">
      <c r="T9580" s="12"/>
      <c r="U9580" s="4"/>
      <c r="V9580" s="4"/>
      <c r="X9580" s="4"/>
      <c r="Y9580" s="4"/>
    </row>
    <row r="9581" spans="20:25" x14ac:dyDescent="0.3">
      <c r="T9581" s="12"/>
      <c r="U9581" s="4"/>
      <c r="V9581" s="4"/>
      <c r="X9581" s="4"/>
      <c r="Y9581" s="4"/>
    </row>
    <row r="9582" spans="20:25" x14ac:dyDescent="0.3">
      <c r="T9582" s="12"/>
      <c r="U9582" s="4"/>
      <c r="V9582" s="4"/>
      <c r="X9582" s="4"/>
      <c r="Y9582" s="4"/>
    </row>
    <row r="9583" spans="20:25" x14ac:dyDescent="0.3">
      <c r="T9583" s="12"/>
      <c r="U9583" s="4"/>
      <c r="V9583" s="4"/>
      <c r="X9583" s="4"/>
      <c r="Y9583" s="4"/>
    </row>
    <row r="9584" spans="20:25" x14ac:dyDescent="0.3">
      <c r="T9584" s="12"/>
      <c r="U9584" s="4"/>
      <c r="V9584" s="4"/>
      <c r="X9584" s="4"/>
      <c r="Y9584" s="4"/>
    </row>
    <row r="9585" spans="20:25" x14ac:dyDescent="0.3">
      <c r="T9585" s="12"/>
      <c r="U9585" s="4"/>
      <c r="V9585" s="4"/>
      <c r="X9585" s="4"/>
      <c r="Y9585" s="4"/>
    </row>
    <row r="9586" spans="20:25" x14ac:dyDescent="0.3">
      <c r="T9586" s="12"/>
      <c r="U9586" s="4"/>
      <c r="V9586" s="4"/>
      <c r="X9586" s="4"/>
      <c r="Y9586" s="4"/>
    </row>
    <row r="9587" spans="20:25" x14ac:dyDescent="0.3">
      <c r="T9587" s="12"/>
      <c r="U9587" s="4"/>
      <c r="V9587" s="4"/>
      <c r="X9587" s="4"/>
      <c r="Y9587" s="4"/>
    </row>
    <row r="9588" spans="20:25" x14ac:dyDescent="0.3">
      <c r="T9588" s="12"/>
      <c r="U9588" s="4"/>
      <c r="V9588" s="4"/>
      <c r="X9588" s="4"/>
      <c r="Y9588" s="4"/>
    </row>
    <row r="9589" spans="20:25" x14ac:dyDescent="0.3">
      <c r="T9589" s="12"/>
      <c r="U9589" s="4"/>
      <c r="V9589" s="4"/>
      <c r="X9589" s="4"/>
      <c r="Y9589" s="4"/>
    </row>
    <row r="9590" spans="20:25" x14ac:dyDescent="0.3">
      <c r="T9590" s="12"/>
      <c r="U9590" s="4"/>
      <c r="V9590" s="4"/>
      <c r="X9590" s="4"/>
      <c r="Y9590" s="4"/>
    </row>
    <row r="9591" spans="20:25" x14ac:dyDescent="0.3">
      <c r="T9591" s="12"/>
      <c r="U9591" s="4"/>
      <c r="V9591" s="4"/>
      <c r="X9591" s="4"/>
      <c r="Y9591" s="4"/>
    </row>
    <row r="9592" spans="20:25" x14ac:dyDescent="0.3">
      <c r="T9592" s="12"/>
      <c r="U9592" s="4"/>
      <c r="V9592" s="4"/>
      <c r="X9592" s="4"/>
      <c r="Y9592" s="4"/>
    </row>
    <row r="9593" spans="20:25" x14ac:dyDescent="0.3">
      <c r="T9593" s="12"/>
      <c r="U9593" s="4"/>
      <c r="V9593" s="4"/>
      <c r="X9593" s="4"/>
      <c r="Y9593" s="4"/>
    </row>
    <row r="9594" spans="20:25" x14ac:dyDescent="0.3">
      <c r="T9594" s="12"/>
      <c r="U9594" s="4"/>
      <c r="V9594" s="4"/>
      <c r="X9594" s="4"/>
      <c r="Y9594" s="4"/>
    </row>
    <row r="9595" spans="20:25" x14ac:dyDescent="0.3">
      <c r="T9595" s="12"/>
      <c r="U9595" s="4"/>
      <c r="V9595" s="4"/>
      <c r="X9595" s="4"/>
      <c r="Y9595" s="4"/>
    </row>
    <row r="9596" spans="20:25" x14ac:dyDescent="0.3">
      <c r="T9596" s="12"/>
      <c r="U9596" s="4"/>
      <c r="V9596" s="4"/>
      <c r="X9596" s="4"/>
      <c r="Y9596" s="4"/>
    </row>
    <row r="9597" spans="20:25" x14ac:dyDescent="0.3">
      <c r="T9597" s="12"/>
      <c r="U9597" s="4"/>
      <c r="V9597" s="4"/>
      <c r="X9597" s="4"/>
      <c r="Y9597" s="4"/>
    </row>
    <row r="9598" spans="20:25" x14ac:dyDescent="0.3">
      <c r="T9598" s="12"/>
      <c r="U9598" s="4"/>
      <c r="V9598" s="4"/>
      <c r="X9598" s="4"/>
      <c r="Y9598" s="4"/>
    </row>
    <row r="9599" spans="20:25" x14ac:dyDescent="0.3">
      <c r="T9599" s="12"/>
      <c r="U9599" s="4"/>
      <c r="V9599" s="4"/>
      <c r="X9599" s="4"/>
      <c r="Y9599" s="4"/>
    </row>
    <row r="9600" spans="20:25" x14ac:dyDescent="0.3">
      <c r="T9600" s="12"/>
      <c r="U9600" s="4"/>
      <c r="V9600" s="4"/>
      <c r="X9600" s="4"/>
      <c r="Y9600" s="4"/>
    </row>
    <row r="9601" spans="20:25" x14ac:dyDescent="0.3">
      <c r="T9601" s="12"/>
      <c r="U9601" s="4"/>
      <c r="V9601" s="4"/>
      <c r="X9601" s="4"/>
      <c r="Y9601" s="4"/>
    </row>
    <row r="9602" spans="20:25" x14ac:dyDescent="0.3">
      <c r="T9602" s="12"/>
      <c r="U9602" s="4"/>
      <c r="V9602" s="4"/>
      <c r="X9602" s="4"/>
      <c r="Y9602" s="4"/>
    </row>
    <row r="9603" spans="20:25" x14ac:dyDescent="0.3">
      <c r="T9603" s="12"/>
      <c r="U9603" s="4"/>
      <c r="V9603" s="4"/>
      <c r="X9603" s="4"/>
      <c r="Y9603" s="4"/>
    </row>
    <row r="9604" spans="20:25" x14ac:dyDescent="0.3">
      <c r="T9604" s="12"/>
      <c r="U9604" s="4"/>
      <c r="V9604" s="4"/>
      <c r="X9604" s="4"/>
      <c r="Y9604" s="4"/>
    </row>
    <row r="9605" spans="20:25" x14ac:dyDescent="0.3">
      <c r="T9605" s="12"/>
      <c r="U9605" s="4"/>
      <c r="V9605" s="4"/>
      <c r="X9605" s="4"/>
      <c r="Y9605" s="4"/>
    </row>
    <row r="9606" spans="20:25" x14ac:dyDescent="0.3">
      <c r="T9606" s="12"/>
      <c r="U9606" s="4"/>
      <c r="V9606" s="4"/>
      <c r="X9606" s="4"/>
      <c r="Y9606" s="4"/>
    </row>
    <row r="9607" spans="20:25" x14ac:dyDescent="0.3">
      <c r="T9607" s="12"/>
      <c r="U9607" s="4"/>
      <c r="V9607" s="4"/>
      <c r="X9607" s="4"/>
      <c r="Y9607" s="4"/>
    </row>
    <row r="9608" spans="20:25" x14ac:dyDescent="0.3">
      <c r="T9608" s="12"/>
      <c r="U9608" s="4"/>
      <c r="V9608" s="4"/>
      <c r="X9608" s="4"/>
      <c r="Y9608" s="4"/>
    </row>
    <row r="9609" spans="20:25" x14ac:dyDescent="0.3">
      <c r="T9609" s="12"/>
      <c r="U9609" s="4"/>
      <c r="V9609" s="4"/>
      <c r="X9609" s="4"/>
      <c r="Y9609" s="4"/>
    </row>
    <row r="9610" spans="20:25" x14ac:dyDescent="0.3">
      <c r="T9610" s="12"/>
      <c r="U9610" s="4"/>
      <c r="V9610" s="4"/>
      <c r="X9610" s="4"/>
      <c r="Y9610" s="4"/>
    </row>
    <row r="9611" spans="20:25" x14ac:dyDescent="0.3">
      <c r="T9611" s="12"/>
      <c r="U9611" s="4"/>
      <c r="V9611" s="4"/>
      <c r="X9611" s="4"/>
      <c r="Y9611" s="4"/>
    </row>
    <row r="9612" spans="20:25" x14ac:dyDescent="0.3">
      <c r="T9612" s="12"/>
      <c r="U9612" s="4"/>
      <c r="V9612" s="4"/>
      <c r="X9612" s="4"/>
      <c r="Y9612" s="4"/>
    </row>
    <row r="9613" spans="20:25" x14ac:dyDescent="0.3">
      <c r="T9613" s="12"/>
      <c r="U9613" s="4"/>
      <c r="V9613" s="4"/>
      <c r="X9613" s="4"/>
      <c r="Y9613" s="4"/>
    </row>
    <row r="9614" spans="20:25" x14ac:dyDescent="0.3">
      <c r="T9614" s="12"/>
      <c r="U9614" s="4"/>
      <c r="V9614" s="4"/>
      <c r="X9614" s="4"/>
      <c r="Y9614" s="4"/>
    </row>
    <row r="9615" spans="20:25" x14ac:dyDescent="0.3">
      <c r="T9615" s="12"/>
      <c r="U9615" s="4"/>
      <c r="V9615" s="4"/>
      <c r="X9615" s="4"/>
      <c r="Y9615" s="4"/>
    </row>
    <row r="9616" spans="20:25" x14ac:dyDescent="0.3">
      <c r="T9616" s="12"/>
      <c r="U9616" s="4"/>
      <c r="V9616" s="4"/>
      <c r="X9616" s="4"/>
      <c r="Y9616" s="4"/>
    </row>
    <row r="9617" spans="20:25" x14ac:dyDescent="0.3">
      <c r="T9617" s="12"/>
      <c r="U9617" s="4"/>
      <c r="V9617" s="4"/>
      <c r="X9617" s="4"/>
      <c r="Y9617" s="4"/>
    </row>
    <row r="9618" spans="20:25" x14ac:dyDescent="0.3">
      <c r="T9618" s="12"/>
      <c r="U9618" s="4"/>
      <c r="V9618" s="4"/>
      <c r="X9618" s="4"/>
      <c r="Y9618" s="4"/>
    </row>
    <row r="9619" spans="20:25" x14ac:dyDescent="0.3">
      <c r="T9619" s="12"/>
      <c r="U9619" s="4"/>
      <c r="V9619" s="4"/>
      <c r="X9619" s="4"/>
      <c r="Y9619" s="4"/>
    </row>
    <row r="9620" spans="20:25" x14ac:dyDescent="0.3">
      <c r="T9620" s="12"/>
      <c r="U9620" s="4"/>
      <c r="V9620" s="4"/>
      <c r="X9620" s="4"/>
      <c r="Y9620" s="4"/>
    </row>
    <row r="9621" spans="20:25" x14ac:dyDescent="0.3">
      <c r="T9621" s="12"/>
      <c r="U9621" s="4"/>
      <c r="V9621" s="4"/>
      <c r="X9621" s="4"/>
      <c r="Y9621" s="4"/>
    </row>
    <row r="9622" spans="20:25" x14ac:dyDescent="0.3">
      <c r="T9622" s="12"/>
      <c r="U9622" s="4"/>
      <c r="V9622" s="4"/>
      <c r="X9622" s="4"/>
      <c r="Y9622" s="4"/>
    </row>
    <row r="9623" spans="20:25" x14ac:dyDescent="0.3">
      <c r="T9623" s="12"/>
      <c r="U9623" s="4"/>
      <c r="V9623" s="4"/>
      <c r="X9623" s="4"/>
      <c r="Y9623" s="4"/>
    </row>
    <row r="9624" spans="20:25" x14ac:dyDescent="0.3">
      <c r="T9624" s="12"/>
      <c r="U9624" s="4"/>
      <c r="V9624" s="4"/>
      <c r="X9624" s="4"/>
      <c r="Y9624" s="4"/>
    </row>
    <row r="9625" spans="20:25" x14ac:dyDescent="0.3">
      <c r="T9625" s="12"/>
      <c r="U9625" s="4"/>
      <c r="V9625" s="4"/>
      <c r="X9625" s="4"/>
      <c r="Y9625" s="4"/>
    </row>
    <row r="9626" spans="20:25" x14ac:dyDescent="0.3">
      <c r="T9626" s="12"/>
      <c r="U9626" s="4"/>
      <c r="V9626" s="4"/>
      <c r="X9626" s="4"/>
      <c r="Y9626" s="4"/>
    </row>
    <row r="9627" spans="20:25" x14ac:dyDescent="0.3">
      <c r="T9627" s="12"/>
      <c r="U9627" s="4"/>
      <c r="V9627" s="4"/>
      <c r="X9627" s="4"/>
      <c r="Y9627" s="4"/>
    </row>
    <row r="9628" spans="20:25" x14ac:dyDescent="0.3">
      <c r="T9628" s="12"/>
      <c r="U9628" s="4"/>
      <c r="V9628" s="4"/>
      <c r="X9628" s="4"/>
      <c r="Y9628" s="4"/>
    </row>
    <row r="9629" spans="20:25" x14ac:dyDescent="0.3">
      <c r="T9629" s="12"/>
      <c r="U9629" s="4"/>
      <c r="V9629" s="4"/>
      <c r="X9629" s="4"/>
      <c r="Y9629" s="4"/>
    </row>
    <row r="9630" spans="20:25" x14ac:dyDescent="0.3">
      <c r="T9630" s="12"/>
      <c r="U9630" s="4"/>
      <c r="V9630" s="4"/>
      <c r="X9630" s="4"/>
      <c r="Y9630" s="4"/>
    </row>
    <row r="9631" spans="20:25" x14ac:dyDescent="0.3">
      <c r="T9631" s="12"/>
      <c r="U9631" s="4"/>
      <c r="V9631" s="4"/>
      <c r="X9631" s="4"/>
      <c r="Y9631" s="4"/>
    </row>
    <row r="9632" spans="20:25" x14ac:dyDescent="0.3">
      <c r="T9632" s="12"/>
      <c r="U9632" s="4"/>
      <c r="V9632" s="4"/>
      <c r="X9632" s="4"/>
      <c r="Y9632" s="4"/>
    </row>
    <row r="9633" spans="20:25" x14ac:dyDescent="0.3">
      <c r="T9633" s="12"/>
      <c r="U9633" s="4"/>
      <c r="V9633" s="4"/>
      <c r="X9633" s="4"/>
      <c r="Y9633" s="4"/>
    </row>
    <row r="9634" spans="20:25" x14ac:dyDescent="0.3">
      <c r="T9634" s="12"/>
      <c r="U9634" s="4"/>
      <c r="V9634" s="4"/>
      <c r="X9634" s="4"/>
      <c r="Y9634" s="4"/>
    </row>
    <row r="9635" spans="20:25" x14ac:dyDescent="0.3">
      <c r="T9635" s="12"/>
      <c r="U9635" s="4"/>
      <c r="V9635" s="4"/>
      <c r="X9635" s="4"/>
      <c r="Y9635" s="4"/>
    </row>
    <row r="9636" spans="20:25" x14ac:dyDescent="0.3">
      <c r="T9636" s="12"/>
      <c r="U9636" s="4"/>
      <c r="V9636" s="4"/>
      <c r="X9636" s="4"/>
      <c r="Y9636" s="4"/>
    </row>
    <row r="9637" spans="20:25" x14ac:dyDescent="0.3">
      <c r="T9637" s="12"/>
      <c r="U9637" s="4"/>
      <c r="V9637" s="4"/>
      <c r="X9637" s="4"/>
      <c r="Y9637" s="4"/>
    </row>
    <row r="9638" spans="20:25" x14ac:dyDescent="0.3">
      <c r="T9638" s="12"/>
      <c r="U9638" s="4"/>
      <c r="V9638" s="4"/>
      <c r="X9638" s="4"/>
      <c r="Y9638" s="4"/>
    </row>
    <row r="9639" spans="20:25" x14ac:dyDescent="0.3">
      <c r="T9639" s="12"/>
      <c r="U9639" s="4"/>
      <c r="V9639" s="4"/>
      <c r="X9639" s="4"/>
      <c r="Y9639" s="4"/>
    </row>
    <row r="9640" spans="20:25" x14ac:dyDescent="0.3">
      <c r="T9640" s="12"/>
      <c r="U9640" s="4"/>
      <c r="V9640" s="4"/>
      <c r="X9640" s="4"/>
      <c r="Y9640" s="4"/>
    </row>
    <row r="9641" spans="20:25" x14ac:dyDescent="0.3">
      <c r="T9641" s="12"/>
      <c r="U9641" s="4"/>
      <c r="V9641" s="4"/>
      <c r="X9641" s="4"/>
      <c r="Y9641" s="4"/>
    </row>
    <row r="9642" spans="20:25" x14ac:dyDescent="0.3">
      <c r="T9642" s="12"/>
      <c r="U9642" s="4"/>
      <c r="V9642" s="4"/>
      <c r="X9642" s="4"/>
      <c r="Y9642" s="4"/>
    </row>
    <row r="9643" spans="20:25" x14ac:dyDescent="0.3">
      <c r="T9643" s="12"/>
      <c r="U9643" s="4"/>
      <c r="V9643" s="4"/>
      <c r="X9643" s="4"/>
      <c r="Y9643" s="4"/>
    </row>
    <row r="9644" spans="20:25" x14ac:dyDescent="0.3">
      <c r="T9644" s="12"/>
      <c r="U9644" s="4"/>
      <c r="V9644" s="4"/>
      <c r="X9644" s="4"/>
      <c r="Y9644" s="4"/>
    </row>
    <row r="9645" spans="20:25" x14ac:dyDescent="0.3">
      <c r="T9645" s="12"/>
      <c r="U9645" s="4"/>
      <c r="V9645" s="4"/>
      <c r="X9645" s="4"/>
      <c r="Y9645" s="4"/>
    </row>
    <row r="9646" spans="20:25" x14ac:dyDescent="0.3">
      <c r="T9646" s="12"/>
      <c r="U9646" s="4"/>
      <c r="V9646" s="4"/>
      <c r="X9646" s="4"/>
      <c r="Y9646" s="4"/>
    </row>
    <row r="9647" spans="20:25" x14ac:dyDescent="0.3">
      <c r="T9647" s="12"/>
      <c r="U9647" s="4"/>
      <c r="V9647" s="4"/>
      <c r="X9647" s="4"/>
      <c r="Y9647" s="4"/>
    </row>
    <row r="9648" spans="20:25" x14ac:dyDescent="0.3">
      <c r="T9648" s="12"/>
      <c r="U9648" s="4"/>
      <c r="V9648" s="4"/>
      <c r="X9648" s="4"/>
      <c r="Y9648" s="4"/>
    </row>
    <row r="9649" spans="20:25" x14ac:dyDescent="0.3">
      <c r="T9649" s="12"/>
      <c r="U9649" s="4"/>
      <c r="V9649" s="4"/>
      <c r="X9649" s="4"/>
      <c r="Y9649" s="4"/>
    </row>
    <row r="9650" spans="20:25" x14ac:dyDescent="0.3">
      <c r="T9650" s="12"/>
      <c r="U9650" s="4"/>
      <c r="V9650" s="4"/>
      <c r="X9650" s="4"/>
      <c r="Y9650" s="4"/>
    </row>
    <row r="9651" spans="20:25" x14ac:dyDescent="0.3">
      <c r="T9651" s="12"/>
      <c r="U9651" s="4"/>
      <c r="V9651" s="4"/>
      <c r="X9651" s="4"/>
      <c r="Y9651" s="4"/>
    </row>
    <row r="9652" spans="20:25" x14ac:dyDescent="0.3">
      <c r="T9652" s="12"/>
      <c r="U9652" s="4"/>
      <c r="V9652" s="4"/>
      <c r="X9652" s="4"/>
      <c r="Y9652" s="4"/>
    </row>
    <row r="9653" spans="20:25" x14ac:dyDescent="0.3">
      <c r="T9653" s="12"/>
      <c r="U9653" s="4"/>
      <c r="V9653" s="4"/>
      <c r="X9653" s="4"/>
      <c r="Y9653" s="4"/>
    </row>
    <row r="9654" spans="20:25" x14ac:dyDescent="0.3">
      <c r="T9654" s="12"/>
      <c r="U9654" s="4"/>
      <c r="V9654" s="4"/>
      <c r="X9654" s="4"/>
      <c r="Y9654" s="4"/>
    </row>
    <row r="9655" spans="20:25" x14ac:dyDescent="0.3">
      <c r="T9655" s="12"/>
      <c r="U9655" s="4"/>
      <c r="V9655" s="4"/>
      <c r="X9655" s="4"/>
      <c r="Y9655" s="4"/>
    </row>
    <row r="9656" spans="20:25" x14ac:dyDescent="0.3">
      <c r="T9656" s="12"/>
      <c r="U9656" s="4"/>
      <c r="V9656" s="4"/>
      <c r="X9656" s="4"/>
      <c r="Y9656" s="4"/>
    </row>
    <row r="9657" spans="20:25" x14ac:dyDescent="0.3">
      <c r="T9657" s="12"/>
      <c r="U9657" s="4"/>
      <c r="V9657" s="4"/>
      <c r="X9657" s="4"/>
      <c r="Y9657" s="4"/>
    </row>
    <row r="9658" spans="20:25" x14ac:dyDescent="0.3">
      <c r="T9658" s="12"/>
      <c r="U9658" s="4"/>
      <c r="V9658" s="4"/>
      <c r="X9658" s="4"/>
      <c r="Y9658" s="4"/>
    </row>
    <row r="9659" spans="20:25" x14ac:dyDescent="0.3">
      <c r="T9659" s="12"/>
      <c r="U9659" s="4"/>
      <c r="V9659" s="4"/>
      <c r="X9659" s="4"/>
      <c r="Y9659" s="4"/>
    </row>
    <row r="9660" spans="20:25" x14ac:dyDescent="0.3">
      <c r="T9660" s="12"/>
      <c r="U9660" s="4"/>
      <c r="V9660" s="4"/>
      <c r="X9660" s="4"/>
      <c r="Y9660" s="4"/>
    </row>
    <row r="9661" spans="20:25" x14ac:dyDescent="0.3">
      <c r="T9661" s="12"/>
      <c r="U9661" s="4"/>
      <c r="V9661" s="4"/>
      <c r="X9661" s="4"/>
      <c r="Y9661" s="4"/>
    </row>
    <row r="9662" spans="20:25" x14ac:dyDescent="0.3">
      <c r="T9662" s="12"/>
      <c r="U9662" s="4"/>
      <c r="V9662" s="4"/>
      <c r="X9662" s="4"/>
      <c r="Y9662" s="4"/>
    </row>
    <row r="9663" spans="20:25" x14ac:dyDescent="0.3">
      <c r="T9663" s="12"/>
      <c r="U9663" s="4"/>
      <c r="V9663" s="4"/>
      <c r="X9663" s="4"/>
      <c r="Y9663" s="4"/>
    </row>
    <row r="9664" spans="20:25" x14ac:dyDescent="0.3">
      <c r="T9664" s="12"/>
      <c r="U9664" s="4"/>
      <c r="V9664" s="4"/>
      <c r="X9664" s="4"/>
      <c r="Y9664" s="4"/>
    </row>
    <row r="9665" spans="20:25" x14ac:dyDescent="0.3">
      <c r="T9665" s="12"/>
      <c r="U9665" s="4"/>
      <c r="V9665" s="4"/>
      <c r="X9665" s="4"/>
      <c r="Y9665" s="4"/>
    </row>
    <row r="9666" spans="20:25" x14ac:dyDescent="0.3">
      <c r="T9666" s="12"/>
      <c r="U9666" s="4"/>
      <c r="V9666" s="4"/>
      <c r="X9666" s="4"/>
      <c r="Y9666" s="4"/>
    </row>
    <row r="9667" spans="20:25" x14ac:dyDescent="0.3">
      <c r="T9667" s="12"/>
      <c r="U9667" s="4"/>
      <c r="V9667" s="4"/>
      <c r="X9667" s="4"/>
      <c r="Y9667" s="4"/>
    </row>
    <row r="9668" spans="20:25" x14ac:dyDescent="0.3">
      <c r="T9668" s="12"/>
      <c r="U9668" s="4"/>
      <c r="V9668" s="4"/>
      <c r="X9668" s="4"/>
      <c r="Y9668" s="4"/>
    </row>
    <row r="9669" spans="20:25" x14ac:dyDescent="0.3">
      <c r="T9669" s="12"/>
      <c r="U9669" s="4"/>
      <c r="V9669" s="4"/>
      <c r="X9669" s="4"/>
      <c r="Y9669" s="4"/>
    </row>
    <row r="9670" spans="20:25" x14ac:dyDescent="0.3">
      <c r="T9670" s="12"/>
      <c r="U9670" s="4"/>
      <c r="V9670" s="4"/>
      <c r="X9670" s="4"/>
      <c r="Y9670" s="4"/>
    </row>
    <row r="9671" spans="20:25" x14ac:dyDescent="0.3">
      <c r="T9671" s="12"/>
      <c r="U9671" s="4"/>
      <c r="V9671" s="4"/>
      <c r="X9671" s="4"/>
      <c r="Y9671" s="4"/>
    </row>
    <row r="9672" spans="20:25" x14ac:dyDescent="0.3">
      <c r="T9672" s="12"/>
      <c r="U9672" s="4"/>
      <c r="V9672" s="4"/>
      <c r="X9672" s="4"/>
      <c r="Y9672" s="4"/>
    </row>
    <row r="9673" spans="20:25" x14ac:dyDescent="0.3">
      <c r="T9673" s="12"/>
      <c r="U9673" s="4"/>
      <c r="V9673" s="4"/>
      <c r="X9673" s="4"/>
      <c r="Y9673" s="4"/>
    </row>
    <row r="9674" spans="20:25" x14ac:dyDescent="0.3">
      <c r="T9674" s="12"/>
      <c r="U9674" s="4"/>
      <c r="V9674" s="4"/>
      <c r="X9674" s="4"/>
      <c r="Y9674" s="4"/>
    </row>
    <row r="9675" spans="20:25" x14ac:dyDescent="0.3">
      <c r="T9675" s="12"/>
      <c r="U9675" s="4"/>
      <c r="V9675" s="4"/>
      <c r="X9675" s="4"/>
      <c r="Y9675" s="4"/>
    </row>
    <row r="9676" spans="20:25" x14ac:dyDescent="0.3">
      <c r="T9676" s="12"/>
      <c r="U9676" s="4"/>
      <c r="V9676" s="4"/>
      <c r="X9676" s="4"/>
      <c r="Y9676" s="4"/>
    </row>
    <row r="9677" spans="20:25" x14ac:dyDescent="0.3">
      <c r="T9677" s="12"/>
      <c r="U9677" s="4"/>
      <c r="V9677" s="4"/>
      <c r="X9677" s="4"/>
      <c r="Y9677" s="4"/>
    </row>
    <row r="9678" spans="20:25" x14ac:dyDescent="0.3">
      <c r="T9678" s="12"/>
      <c r="U9678" s="4"/>
      <c r="V9678" s="4"/>
      <c r="X9678" s="4"/>
      <c r="Y9678" s="4"/>
    </row>
    <row r="9679" spans="20:25" x14ac:dyDescent="0.3">
      <c r="T9679" s="12"/>
      <c r="U9679" s="4"/>
      <c r="V9679" s="4"/>
      <c r="X9679" s="4"/>
      <c r="Y9679" s="4"/>
    </row>
    <row r="9680" spans="20:25" x14ac:dyDescent="0.3">
      <c r="T9680" s="12"/>
      <c r="U9680" s="4"/>
      <c r="V9680" s="4"/>
      <c r="X9680" s="4"/>
      <c r="Y9680" s="4"/>
    </row>
    <row r="9681" spans="20:25" x14ac:dyDescent="0.3">
      <c r="T9681" s="12"/>
      <c r="U9681" s="4"/>
      <c r="V9681" s="4"/>
      <c r="X9681" s="4"/>
      <c r="Y9681" s="4"/>
    </row>
    <row r="9682" spans="20:25" x14ac:dyDescent="0.3">
      <c r="T9682" s="12"/>
      <c r="U9682" s="4"/>
      <c r="V9682" s="4"/>
      <c r="X9682" s="4"/>
      <c r="Y9682" s="4"/>
    </row>
    <row r="9683" spans="20:25" x14ac:dyDescent="0.3">
      <c r="T9683" s="12"/>
      <c r="U9683" s="4"/>
      <c r="V9683" s="4"/>
      <c r="X9683" s="4"/>
      <c r="Y9683" s="4"/>
    </row>
    <row r="9684" spans="20:25" x14ac:dyDescent="0.3">
      <c r="T9684" s="12"/>
      <c r="U9684" s="4"/>
      <c r="V9684" s="4"/>
      <c r="X9684" s="4"/>
      <c r="Y9684" s="4"/>
    </row>
    <row r="9685" spans="20:25" x14ac:dyDescent="0.3">
      <c r="T9685" s="12"/>
      <c r="U9685" s="4"/>
      <c r="V9685" s="4"/>
      <c r="X9685" s="4"/>
      <c r="Y9685" s="4"/>
    </row>
    <row r="9686" spans="20:25" x14ac:dyDescent="0.3">
      <c r="T9686" s="12"/>
      <c r="U9686" s="4"/>
      <c r="V9686" s="4"/>
      <c r="X9686" s="4"/>
      <c r="Y9686" s="4"/>
    </row>
    <row r="9687" spans="20:25" x14ac:dyDescent="0.3">
      <c r="T9687" s="12"/>
      <c r="U9687" s="4"/>
      <c r="V9687" s="4"/>
      <c r="X9687" s="4"/>
      <c r="Y9687" s="4"/>
    </row>
    <row r="9688" spans="20:25" x14ac:dyDescent="0.3">
      <c r="T9688" s="12"/>
      <c r="U9688" s="4"/>
      <c r="V9688" s="4"/>
      <c r="X9688" s="4"/>
      <c r="Y9688" s="4"/>
    </row>
    <row r="9689" spans="20:25" x14ac:dyDescent="0.3">
      <c r="T9689" s="12"/>
      <c r="U9689" s="4"/>
      <c r="V9689" s="4"/>
      <c r="X9689" s="4"/>
      <c r="Y9689" s="4"/>
    </row>
    <row r="9690" spans="20:25" x14ac:dyDescent="0.3">
      <c r="T9690" s="12"/>
      <c r="U9690" s="4"/>
      <c r="V9690" s="4"/>
      <c r="X9690" s="4"/>
      <c r="Y9690" s="4"/>
    </row>
    <row r="9691" spans="20:25" x14ac:dyDescent="0.3">
      <c r="T9691" s="12"/>
      <c r="U9691" s="4"/>
      <c r="V9691" s="4"/>
      <c r="X9691" s="4"/>
      <c r="Y9691" s="4"/>
    </row>
    <row r="9692" spans="20:25" x14ac:dyDescent="0.3">
      <c r="T9692" s="12"/>
      <c r="U9692" s="4"/>
      <c r="V9692" s="4"/>
      <c r="X9692" s="4"/>
      <c r="Y9692" s="4"/>
    </row>
    <row r="9693" spans="20:25" x14ac:dyDescent="0.3">
      <c r="T9693" s="12"/>
      <c r="U9693" s="4"/>
      <c r="V9693" s="4"/>
      <c r="X9693" s="4"/>
      <c r="Y9693" s="4"/>
    </row>
    <row r="9694" spans="20:25" x14ac:dyDescent="0.3">
      <c r="T9694" s="12"/>
      <c r="U9694" s="4"/>
      <c r="V9694" s="4"/>
      <c r="X9694" s="4"/>
      <c r="Y9694" s="4"/>
    </row>
    <row r="9695" spans="20:25" x14ac:dyDescent="0.3">
      <c r="T9695" s="12"/>
      <c r="U9695" s="4"/>
      <c r="V9695" s="4"/>
      <c r="X9695" s="4"/>
      <c r="Y9695" s="4"/>
    </row>
    <row r="9696" spans="20:25" x14ac:dyDescent="0.3">
      <c r="T9696" s="12"/>
      <c r="U9696" s="4"/>
      <c r="V9696" s="4"/>
      <c r="X9696" s="4"/>
      <c r="Y9696" s="4"/>
    </row>
    <row r="9697" spans="20:25" x14ac:dyDescent="0.3">
      <c r="T9697" s="12"/>
      <c r="U9697" s="4"/>
      <c r="V9697" s="4"/>
      <c r="X9697" s="4"/>
      <c r="Y9697" s="4"/>
    </row>
    <row r="9698" spans="20:25" x14ac:dyDescent="0.3">
      <c r="T9698" s="12"/>
      <c r="U9698" s="4"/>
      <c r="V9698" s="4"/>
      <c r="X9698" s="4"/>
      <c r="Y9698" s="4"/>
    </row>
    <row r="9699" spans="20:25" x14ac:dyDescent="0.3">
      <c r="T9699" s="12"/>
      <c r="U9699" s="4"/>
      <c r="V9699" s="4"/>
      <c r="X9699" s="4"/>
      <c r="Y9699" s="4"/>
    </row>
    <row r="9700" spans="20:25" x14ac:dyDescent="0.3">
      <c r="T9700" s="12"/>
      <c r="U9700" s="4"/>
      <c r="V9700" s="4"/>
      <c r="X9700" s="4"/>
      <c r="Y9700" s="4"/>
    </row>
    <row r="9701" spans="20:25" x14ac:dyDescent="0.3">
      <c r="T9701" s="12"/>
      <c r="U9701" s="4"/>
      <c r="V9701" s="4"/>
      <c r="X9701" s="4"/>
      <c r="Y9701" s="4"/>
    </row>
    <row r="9702" spans="20:25" x14ac:dyDescent="0.3">
      <c r="T9702" s="12"/>
      <c r="U9702" s="4"/>
      <c r="V9702" s="4"/>
      <c r="X9702" s="4"/>
      <c r="Y9702" s="4"/>
    </row>
    <row r="9703" spans="20:25" x14ac:dyDescent="0.3">
      <c r="T9703" s="12"/>
      <c r="U9703" s="4"/>
      <c r="V9703" s="4"/>
      <c r="X9703" s="4"/>
      <c r="Y9703" s="4"/>
    </row>
    <row r="9704" spans="20:25" x14ac:dyDescent="0.3">
      <c r="T9704" s="12"/>
      <c r="U9704" s="4"/>
      <c r="V9704" s="4"/>
      <c r="X9704" s="4"/>
      <c r="Y9704" s="4"/>
    </row>
    <row r="9705" spans="20:25" x14ac:dyDescent="0.3">
      <c r="T9705" s="12"/>
      <c r="U9705" s="4"/>
      <c r="V9705" s="4"/>
      <c r="X9705" s="4"/>
      <c r="Y9705" s="4"/>
    </row>
    <row r="9706" spans="20:25" x14ac:dyDescent="0.3">
      <c r="T9706" s="12"/>
      <c r="U9706" s="4"/>
      <c r="V9706" s="4"/>
      <c r="X9706" s="4"/>
      <c r="Y9706" s="4"/>
    </row>
    <row r="9707" spans="20:25" x14ac:dyDescent="0.3">
      <c r="T9707" s="12"/>
      <c r="U9707" s="4"/>
      <c r="V9707" s="4"/>
      <c r="X9707" s="4"/>
      <c r="Y9707" s="4"/>
    </row>
    <row r="9708" spans="20:25" x14ac:dyDescent="0.3">
      <c r="T9708" s="12"/>
      <c r="U9708" s="4"/>
      <c r="V9708" s="4"/>
      <c r="X9708" s="4"/>
      <c r="Y9708" s="4"/>
    </row>
    <row r="9709" spans="20:25" x14ac:dyDescent="0.3">
      <c r="T9709" s="12"/>
      <c r="U9709" s="4"/>
      <c r="V9709" s="4"/>
      <c r="X9709" s="4"/>
      <c r="Y9709" s="4"/>
    </row>
    <row r="9710" spans="20:25" x14ac:dyDescent="0.3">
      <c r="T9710" s="12"/>
      <c r="U9710" s="4"/>
      <c r="V9710" s="4"/>
      <c r="X9710" s="4"/>
      <c r="Y9710" s="4"/>
    </row>
    <row r="9711" spans="20:25" x14ac:dyDescent="0.3">
      <c r="T9711" s="12"/>
      <c r="U9711" s="4"/>
      <c r="V9711" s="4"/>
      <c r="X9711" s="4"/>
      <c r="Y9711" s="4"/>
    </row>
    <row r="9712" spans="20:25" x14ac:dyDescent="0.3">
      <c r="T9712" s="12"/>
      <c r="U9712" s="4"/>
      <c r="V9712" s="4"/>
      <c r="X9712" s="4"/>
      <c r="Y9712" s="4"/>
    </row>
    <row r="9713" spans="20:25" x14ac:dyDescent="0.3">
      <c r="T9713" s="12"/>
      <c r="U9713" s="4"/>
      <c r="V9713" s="4"/>
      <c r="X9713" s="4"/>
      <c r="Y9713" s="4"/>
    </row>
    <row r="9714" spans="20:25" x14ac:dyDescent="0.3">
      <c r="T9714" s="12"/>
      <c r="U9714" s="4"/>
      <c r="V9714" s="4"/>
      <c r="X9714" s="4"/>
      <c r="Y9714" s="4"/>
    </row>
    <row r="9715" spans="20:25" x14ac:dyDescent="0.3">
      <c r="T9715" s="12"/>
      <c r="U9715" s="4"/>
      <c r="V9715" s="4"/>
      <c r="X9715" s="4"/>
      <c r="Y9715" s="4"/>
    </row>
    <row r="9716" spans="20:25" x14ac:dyDescent="0.3">
      <c r="T9716" s="12"/>
      <c r="U9716" s="4"/>
      <c r="V9716" s="4"/>
      <c r="X9716" s="4"/>
      <c r="Y9716" s="4"/>
    </row>
    <row r="9717" spans="20:25" x14ac:dyDescent="0.3">
      <c r="T9717" s="12"/>
      <c r="U9717" s="4"/>
      <c r="V9717" s="4"/>
      <c r="X9717" s="4"/>
      <c r="Y9717" s="4"/>
    </row>
    <row r="9718" spans="20:25" x14ac:dyDescent="0.3">
      <c r="T9718" s="12"/>
      <c r="U9718" s="4"/>
      <c r="V9718" s="4"/>
      <c r="X9718" s="4"/>
      <c r="Y9718" s="4"/>
    </row>
    <row r="9719" spans="20:25" x14ac:dyDescent="0.3">
      <c r="T9719" s="12"/>
      <c r="U9719" s="4"/>
      <c r="V9719" s="4"/>
      <c r="X9719" s="4"/>
      <c r="Y9719" s="4"/>
    </row>
    <row r="9720" spans="20:25" x14ac:dyDescent="0.3">
      <c r="T9720" s="12"/>
      <c r="U9720" s="4"/>
      <c r="V9720" s="4"/>
      <c r="X9720" s="4"/>
      <c r="Y9720" s="4"/>
    </row>
    <row r="9721" spans="20:25" x14ac:dyDescent="0.3">
      <c r="T9721" s="12"/>
      <c r="U9721" s="4"/>
      <c r="V9721" s="4"/>
      <c r="X9721" s="4"/>
      <c r="Y9721" s="4"/>
    </row>
    <row r="9722" spans="20:25" x14ac:dyDescent="0.3">
      <c r="T9722" s="12"/>
      <c r="U9722" s="4"/>
      <c r="V9722" s="4"/>
      <c r="X9722" s="4"/>
      <c r="Y9722" s="4"/>
    </row>
    <row r="9723" spans="20:25" x14ac:dyDescent="0.3">
      <c r="T9723" s="12"/>
      <c r="U9723" s="4"/>
      <c r="V9723" s="4"/>
      <c r="X9723" s="4"/>
      <c r="Y9723" s="4"/>
    </row>
    <row r="9724" spans="20:25" x14ac:dyDescent="0.3">
      <c r="T9724" s="12"/>
      <c r="U9724" s="4"/>
      <c r="V9724" s="4"/>
      <c r="X9724" s="4"/>
      <c r="Y9724" s="4"/>
    </row>
    <row r="9725" spans="20:25" x14ac:dyDescent="0.3">
      <c r="T9725" s="12"/>
      <c r="U9725" s="4"/>
      <c r="V9725" s="4"/>
      <c r="X9725" s="4"/>
      <c r="Y9725" s="4"/>
    </row>
    <row r="9726" spans="20:25" x14ac:dyDescent="0.3">
      <c r="T9726" s="12"/>
      <c r="U9726" s="4"/>
      <c r="V9726" s="4"/>
      <c r="X9726" s="4"/>
      <c r="Y9726" s="4"/>
    </row>
    <row r="9727" spans="20:25" x14ac:dyDescent="0.3">
      <c r="T9727" s="12"/>
      <c r="U9727" s="4"/>
      <c r="V9727" s="4"/>
      <c r="X9727" s="4"/>
      <c r="Y9727" s="4"/>
    </row>
    <row r="9728" spans="20:25" x14ac:dyDescent="0.3">
      <c r="T9728" s="12"/>
      <c r="U9728" s="4"/>
      <c r="V9728" s="4"/>
      <c r="X9728" s="4"/>
      <c r="Y9728" s="4"/>
    </row>
    <row r="9729" spans="20:25" x14ac:dyDescent="0.3">
      <c r="T9729" s="12"/>
      <c r="U9729" s="4"/>
      <c r="V9729" s="4"/>
      <c r="X9729" s="4"/>
      <c r="Y9729" s="4"/>
    </row>
    <row r="9730" spans="20:25" x14ac:dyDescent="0.3">
      <c r="T9730" s="12"/>
      <c r="U9730" s="4"/>
      <c r="V9730" s="4"/>
      <c r="X9730" s="4"/>
      <c r="Y9730" s="4"/>
    </row>
    <row r="9731" spans="20:25" x14ac:dyDescent="0.3">
      <c r="T9731" s="12"/>
      <c r="U9731" s="4"/>
      <c r="V9731" s="4"/>
      <c r="X9731" s="4"/>
      <c r="Y9731" s="4"/>
    </row>
    <row r="9732" spans="20:25" x14ac:dyDescent="0.3">
      <c r="T9732" s="12"/>
      <c r="U9732" s="4"/>
      <c r="V9732" s="4"/>
      <c r="X9732" s="4"/>
      <c r="Y9732" s="4"/>
    </row>
    <row r="9733" spans="20:25" x14ac:dyDescent="0.3">
      <c r="T9733" s="12"/>
      <c r="U9733" s="4"/>
      <c r="V9733" s="4"/>
      <c r="X9733" s="4"/>
      <c r="Y9733" s="4"/>
    </row>
    <row r="9734" spans="20:25" x14ac:dyDescent="0.3">
      <c r="T9734" s="12"/>
      <c r="U9734" s="4"/>
      <c r="V9734" s="4"/>
      <c r="X9734" s="4"/>
      <c r="Y9734" s="4"/>
    </row>
    <row r="9735" spans="20:25" x14ac:dyDescent="0.3">
      <c r="T9735" s="12"/>
      <c r="U9735" s="4"/>
      <c r="V9735" s="4"/>
      <c r="X9735" s="4"/>
      <c r="Y9735" s="4"/>
    </row>
    <row r="9736" spans="20:25" x14ac:dyDescent="0.3">
      <c r="T9736" s="12"/>
      <c r="U9736" s="4"/>
      <c r="V9736" s="4"/>
      <c r="X9736" s="4"/>
      <c r="Y9736" s="4"/>
    </row>
    <row r="9737" spans="20:25" x14ac:dyDescent="0.3">
      <c r="T9737" s="12"/>
      <c r="U9737" s="4"/>
      <c r="V9737" s="4"/>
      <c r="X9737" s="4"/>
      <c r="Y9737" s="4"/>
    </row>
    <row r="9738" spans="20:25" x14ac:dyDescent="0.3">
      <c r="T9738" s="12"/>
      <c r="U9738" s="4"/>
      <c r="V9738" s="4"/>
      <c r="X9738" s="4"/>
      <c r="Y9738" s="4"/>
    </row>
    <row r="9739" spans="20:25" x14ac:dyDescent="0.3">
      <c r="T9739" s="12"/>
      <c r="U9739" s="4"/>
      <c r="V9739" s="4"/>
      <c r="X9739" s="4"/>
      <c r="Y9739" s="4"/>
    </row>
    <row r="9740" spans="20:25" x14ac:dyDescent="0.3">
      <c r="T9740" s="12"/>
      <c r="U9740" s="4"/>
      <c r="V9740" s="4"/>
      <c r="X9740" s="4"/>
      <c r="Y9740" s="4"/>
    </row>
    <row r="9741" spans="20:25" x14ac:dyDescent="0.3">
      <c r="T9741" s="12"/>
      <c r="U9741" s="4"/>
      <c r="V9741" s="4"/>
      <c r="X9741" s="4"/>
      <c r="Y9741" s="4"/>
    </row>
    <row r="9742" spans="20:25" x14ac:dyDescent="0.3">
      <c r="T9742" s="12"/>
      <c r="U9742" s="4"/>
      <c r="V9742" s="4"/>
      <c r="X9742" s="4"/>
      <c r="Y9742" s="4"/>
    </row>
    <row r="9743" spans="20:25" x14ac:dyDescent="0.3">
      <c r="T9743" s="12"/>
      <c r="U9743" s="4"/>
      <c r="V9743" s="4"/>
      <c r="X9743" s="4"/>
      <c r="Y9743" s="4"/>
    </row>
    <row r="9744" spans="20:25" x14ac:dyDescent="0.3">
      <c r="T9744" s="12"/>
      <c r="U9744" s="4"/>
      <c r="V9744" s="4"/>
      <c r="X9744" s="4"/>
      <c r="Y9744" s="4"/>
    </row>
    <row r="9745" spans="20:25" x14ac:dyDescent="0.3">
      <c r="T9745" s="12"/>
      <c r="U9745" s="4"/>
      <c r="V9745" s="4"/>
      <c r="X9745" s="4"/>
      <c r="Y9745" s="4"/>
    </row>
    <row r="9746" spans="20:25" x14ac:dyDescent="0.3">
      <c r="T9746" s="12"/>
      <c r="U9746" s="4"/>
      <c r="V9746" s="4"/>
      <c r="X9746" s="4"/>
      <c r="Y9746" s="4"/>
    </row>
    <row r="9747" spans="20:25" x14ac:dyDescent="0.3">
      <c r="T9747" s="12"/>
      <c r="U9747" s="4"/>
      <c r="V9747" s="4"/>
      <c r="X9747" s="4"/>
      <c r="Y9747" s="4"/>
    </row>
    <row r="9748" spans="20:25" x14ac:dyDescent="0.3">
      <c r="T9748" s="12"/>
      <c r="U9748" s="4"/>
      <c r="V9748" s="4"/>
      <c r="X9748" s="4"/>
      <c r="Y9748" s="4"/>
    </row>
    <row r="9749" spans="20:25" x14ac:dyDescent="0.3">
      <c r="T9749" s="12"/>
      <c r="U9749" s="4"/>
      <c r="V9749" s="4"/>
      <c r="X9749" s="4"/>
      <c r="Y9749" s="4"/>
    </row>
    <row r="9750" spans="20:25" x14ac:dyDescent="0.3">
      <c r="T9750" s="12"/>
      <c r="U9750" s="4"/>
      <c r="V9750" s="4"/>
      <c r="X9750" s="4"/>
      <c r="Y9750" s="4"/>
    </row>
    <row r="9751" spans="20:25" x14ac:dyDescent="0.3">
      <c r="T9751" s="12"/>
      <c r="U9751" s="4"/>
      <c r="V9751" s="4"/>
      <c r="X9751" s="4"/>
      <c r="Y9751" s="4"/>
    </row>
    <row r="9752" spans="20:25" x14ac:dyDescent="0.3">
      <c r="T9752" s="12"/>
      <c r="U9752" s="4"/>
      <c r="V9752" s="4"/>
      <c r="X9752" s="4"/>
      <c r="Y9752" s="4"/>
    </row>
    <row r="9753" spans="20:25" x14ac:dyDescent="0.3">
      <c r="T9753" s="12"/>
      <c r="U9753" s="4"/>
      <c r="V9753" s="4"/>
      <c r="X9753" s="4"/>
      <c r="Y9753" s="4"/>
    </row>
    <row r="9754" spans="20:25" x14ac:dyDescent="0.3">
      <c r="T9754" s="12"/>
      <c r="U9754" s="4"/>
      <c r="V9754" s="4"/>
      <c r="X9754" s="4"/>
      <c r="Y9754" s="4"/>
    </row>
    <row r="9755" spans="20:25" x14ac:dyDescent="0.3">
      <c r="T9755" s="12"/>
      <c r="U9755" s="4"/>
      <c r="V9755" s="4"/>
      <c r="X9755" s="4"/>
      <c r="Y9755" s="4"/>
    </row>
    <row r="9756" spans="20:25" x14ac:dyDescent="0.3">
      <c r="T9756" s="12"/>
      <c r="U9756" s="4"/>
      <c r="V9756" s="4"/>
      <c r="X9756" s="4"/>
      <c r="Y9756" s="4"/>
    </row>
    <row r="9757" spans="20:25" x14ac:dyDescent="0.3">
      <c r="T9757" s="12"/>
      <c r="U9757" s="4"/>
      <c r="V9757" s="4"/>
      <c r="X9757" s="4"/>
      <c r="Y9757" s="4"/>
    </row>
    <row r="9758" spans="20:25" x14ac:dyDescent="0.3">
      <c r="T9758" s="12"/>
      <c r="U9758" s="4"/>
      <c r="V9758" s="4"/>
      <c r="X9758" s="4"/>
      <c r="Y9758" s="4"/>
    </row>
    <row r="9759" spans="20:25" x14ac:dyDescent="0.3">
      <c r="T9759" s="12"/>
      <c r="U9759" s="4"/>
      <c r="V9759" s="4"/>
      <c r="X9759" s="4"/>
      <c r="Y9759" s="4"/>
    </row>
    <row r="9760" spans="20:25" x14ac:dyDescent="0.3">
      <c r="T9760" s="12"/>
      <c r="U9760" s="4"/>
      <c r="V9760" s="4"/>
      <c r="X9760" s="4"/>
      <c r="Y9760" s="4"/>
    </row>
    <row r="9761" spans="20:25" x14ac:dyDescent="0.3">
      <c r="T9761" s="12"/>
      <c r="U9761" s="4"/>
      <c r="V9761" s="4"/>
      <c r="X9761" s="4"/>
      <c r="Y9761" s="4"/>
    </row>
    <row r="9762" spans="20:25" x14ac:dyDescent="0.3">
      <c r="T9762" s="12"/>
      <c r="U9762" s="4"/>
      <c r="V9762" s="4"/>
      <c r="X9762" s="4"/>
      <c r="Y9762" s="4"/>
    </row>
    <row r="9763" spans="20:25" x14ac:dyDescent="0.3">
      <c r="T9763" s="12"/>
      <c r="U9763" s="4"/>
      <c r="V9763" s="4"/>
      <c r="X9763" s="4"/>
      <c r="Y9763" s="4"/>
    </row>
    <row r="9764" spans="20:25" x14ac:dyDescent="0.3">
      <c r="T9764" s="12"/>
      <c r="U9764" s="4"/>
      <c r="V9764" s="4"/>
      <c r="X9764" s="4"/>
      <c r="Y9764" s="4"/>
    </row>
    <row r="9765" spans="20:25" x14ac:dyDescent="0.3">
      <c r="T9765" s="12"/>
      <c r="U9765" s="4"/>
      <c r="V9765" s="4"/>
      <c r="X9765" s="4"/>
      <c r="Y9765" s="4"/>
    </row>
    <row r="9766" spans="20:25" x14ac:dyDescent="0.3">
      <c r="T9766" s="12"/>
      <c r="U9766" s="4"/>
      <c r="V9766" s="4"/>
      <c r="X9766" s="4"/>
      <c r="Y9766" s="4"/>
    </row>
    <row r="9767" spans="20:25" x14ac:dyDescent="0.3">
      <c r="T9767" s="12"/>
      <c r="U9767" s="4"/>
      <c r="V9767" s="4"/>
      <c r="X9767" s="4"/>
      <c r="Y9767" s="4"/>
    </row>
    <row r="9768" spans="20:25" x14ac:dyDescent="0.3">
      <c r="T9768" s="12"/>
      <c r="U9768" s="4"/>
      <c r="V9768" s="4"/>
      <c r="X9768" s="4"/>
      <c r="Y9768" s="4"/>
    </row>
    <row r="9769" spans="20:25" x14ac:dyDescent="0.3">
      <c r="T9769" s="12"/>
      <c r="U9769" s="4"/>
      <c r="V9769" s="4"/>
      <c r="X9769" s="4"/>
      <c r="Y9769" s="4"/>
    </row>
    <row r="9770" spans="20:25" x14ac:dyDescent="0.3">
      <c r="T9770" s="12"/>
      <c r="U9770" s="4"/>
      <c r="V9770" s="4"/>
      <c r="X9770" s="4"/>
      <c r="Y9770" s="4"/>
    </row>
    <row r="9771" spans="20:25" x14ac:dyDescent="0.3">
      <c r="T9771" s="12"/>
      <c r="U9771" s="4"/>
      <c r="V9771" s="4"/>
      <c r="X9771" s="4"/>
      <c r="Y9771" s="4"/>
    </row>
    <row r="9772" spans="20:25" x14ac:dyDescent="0.3">
      <c r="T9772" s="12"/>
      <c r="U9772" s="4"/>
      <c r="V9772" s="4"/>
      <c r="X9772" s="4"/>
      <c r="Y9772" s="4"/>
    </row>
    <row r="9773" spans="20:25" x14ac:dyDescent="0.3">
      <c r="T9773" s="12"/>
      <c r="U9773" s="4"/>
      <c r="V9773" s="4"/>
      <c r="X9773" s="4"/>
      <c r="Y9773" s="4"/>
    </row>
    <row r="9774" spans="20:25" x14ac:dyDescent="0.3">
      <c r="T9774" s="12"/>
      <c r="U9774" s="4"/>
      <c r="V9774" s="4"/>
      <c r="X9774" s="4"/>
      <c r="Y9774" s="4"/>
    </row>
    <row r="9775" spans="20:25" x14ac:dyDescent="0.3">
      <c r="T9775" s="12"/>
      <c r="U9775" s="4"/>
      <c r="V9775" s="4"/>
      <c r="X9775" s="4"/>
      <c r="Y9775" s="4"/>
    </row>
    <row r="9776" spans="20:25" x14ac:dyDescent="0.3">
      <c r="T9776" s="12"/>
      <c r="U9776" s="4"/>
      <c r="V9776" s="4"/>
      <c r="X9776" s="4"/>
      <c r="Y9776" s="4"/>
    </row>
    <row r="9777" spans="20:25" x14ac:dyDescent="0.3">
      <c r="T9777" s="12"/>
      <c r="U9777" s="4"/>
      <c r="V9777" s="4"/>
      <c r="X9777" s="4"/>
      <c r="Y9777" s="4"/>
    </row>
    <row r="9778" spans="20:25" x14ac:dyDescent="0.3">
      <c r="T9778" s="12"/>
      <c r="U9778" s="4"/>
      <c r="V9778" s="4"/>
      <c r="X9778" s="4"/>
      <c r="Y9778" s="4"/>
    </row>
    <row r="9779" spans="20:25" x14ac:dyDescent="0.3">
      <c r="T9779" s="12"/>
      <c r="U9779" s="4"/>
      <c r="V9779" s="4"/>
      <c r="X9779" s="4"/>
      <c r="Y9779" s="4"/>
    </row>
    <row r="9780" spans="20:25" x14ac:dyDescent="0.3">
      <c r="T9780" s="12"/>
      <c r="U9780" s="4"/>
      <c r="V9780" s="4"/>
      <c r="X9780" s="4"/>
      <c r="Y9780" s="4"/>
    </row>
    <row r="9781" spans="20:25" x14ac:dyDescent="0.3">
      <c r="T9781" s="12"/>
      <c r="U9781" s="4"/>
      <c r="V9781" s="4"/>
      <c r="X9781" s="4"/>
      <c r="Y9781" s="4"/>
    </row>
    <row r="9782" spans="20:25" x14ac:dyDescent="0.3">
      <c r="T9782" s="12"/>
      <c r="U9782" s="4"/>
      <c r="V9782" s="4"/>
      <c r="X9782" s="4"/>
      <c r="Y9782" s="4"/>
    </row>
    <row r="9783" spans="20:25" x14ac:dyDescent="0.3">
      <c r="T9783" s="12"/>
      <c r="U9783" s="4"/>
      <c r="V9783" s="4"/>
      <c r="X9783" s="4"/>
      <c r="Y9783" s="4"/>
    </row>
    <row r="9784" spans="20:25" x14ac:dyDescent="0.3">
      <c r="T9784" s="12"/>
      <c r="U9784" s="4"/>
      <c r="V9784" s="4"/>
      <c r="X9784" s="4"/>
      <c r="Y9784" s="4"/>
    </row>
    <row r="9785" spans="20:25" x14ac:dyDescent="0.3">
      <c r="T9785" s="12"/>
      <c r="U9785" s="4"/>
      <c r="V9785" s="4"/>
      <c r="X9785" s="4"/>
      <c r="Y9785" s="4"/>
    </row>
    <row r="9786" spans="20:25" x14ac:dyDescent="0.3">
      <c r="T9786" s="12"/>
      <c r="U9786" s="4"/>
      <c r="V9786" s="4"/>
      <c r="X9786" s="4"/>
      <c r="Y9786" s="4"/>
    </row>
    <row r="9787" spans="20:25" x14ac:dyDescent="0.3">
      <c r="T9787" s="12"/>
      <c r="U9787" s="4"/>
      <c r="V9787" s="4"/>
      <c r="X9787" s="4"/>
      <c r="Y9787" s="4"/>
    </row>
    <row r="9788" spans="20:25" x14ac:dyDescent="0.3">
      <c r="T9788" s="12"/>
      <c r="U9788" s="4"/>
      <c r="V9788" s="4"/>
      <c r="X9788" s="4"/>
      <c r="Y9788" s="4"/>
    </row>
    <row r="9789" spans="20:25" x14ac:dyDescent="0.3">
      <c r="T9789" s="12"/>
      <c r="U9789" s="4"/>
      <c r="V9789" s="4"/>
      <c r="X9789" s="4"/>
      <c r="Y9789" s="4"/>
    </row>
    <row r="9790" spans="20:25" x14ac:dyDescent="0.3">
      <c r="T9790" s="12"/>
      <c r="U9790" s="4"/>
      <c r="V9790" s="4"/>
      <c r="X9790" s="4"/>
      <c r="Y9790" s="4"/>
    </row>
    <row r="9791" spans="20:25" x14ac:dyDescent="0.3">
      <c r="T9791" s="12"/>
      <c r="U9791" s="4"/>
      <c r="V9791" s="4"/>
      <c r="X9791" s="4"/>
      <c r="Y9791" s="4"/>
    </row>
    <row r="9792" spans="20:25" x14ac:dyDescent="0.3">
      <c r="T9792" s="12"/>
      <c r="U9792" s="4"/>
      <c r="V9792" s="4"/>
      <c r="X9792" s="4"/>
      <c r="Y9792" s="4"/>
    </row>
    <row r="9793" spans="20:25" x14ac:dyDescent="0.3">
      <c r="T9793" s="12"/>
      <c r="U9793" s="4"/>
      <c r="V9793" s="4"/>
      <c r="X9793" s="4"/>
      <c r="Y9793" s="4"/>
    </row>
    <row r="9794" spans="20:25" x14ac:dyDescent="0.3">
      <c r="T9794" s="12"/>
      <c r="U9794" s="4"/>
      <c r="V9794" s="4"/>
      <c r="X9794" s="4"/>
      <c r="Y9794" s="4"/>
    </row>
    <row r="9795" spans="20:25" x14ac:dyDescent="0.3">
      <c r="T9795" s="12"/>
      <c r="U9795" s="4"/>
      <c r="V9795" s="4"/>
      <c r="X9795" s="4"/>
      <c r="Y9795" s="4"/>
    </row>
    <row r="9796" spans="20:25" x14ac:dyDescent="0.3">
      <c r="T9796" s="12"/>
      <c r="U9796" s="4"/>
      <c r="V9796" s="4"/>
      <c r="X9796" s="4"/>
      <c r="Y9796" s="4"/>
    </row>
    <row r="9797" spans="20:25" x14ac:dyDescent="0.3">
      <c r="T9797" s="12"/>
      <c r="U9797" s="4"/>
      <c r="V9797" s="4"/>
      <c r="X9797" s="4"/>
      <c r="Y9797" s="4"/>
    </row>
    <row r="9798" spans="20:25" x14ac:dyDescent="0.3">
      <c r="T9798" s="12"/>
      <c r="U9798" s="4"/>
      <c r="V9798" s="4"/>
      <c r="X9798" s="4"/>
      <c r="Y9798" s="4"/>
    </row>
    <row r="9799" spans="20:25" x14ac:dyDescent="0.3">
      <c r="T9799" s="12"/>
      <c r="U9799" s="4"/>
      <c r="V9799" s="4"/>
      <c r="X9799" s="4"/>
      <c r="Y9799" s="4"/>
    </row>
    <row r="9800" spans="20:25" x14ac:dyDescent="0.3">
      <c r="T9800" s="12"/>
      <c r="U9800" s="4"/>
      <c r="V9800" s="4"/>
      <c r="X9800" s="4"/>
      <c r="Y9800" s="4"/>
    </row>
    <row r="9801" spans="20:25" x14ac:dyDescent="0.3">
      <c r="T9801" s="12"/>
      <c r="U9801" s="4"/>
      <c r="V9801" s="4"/>
      <c r="X9801" s="4"/>
      <c r="Y9801" s="4"/>
    </row>
    <row r="9802" spans="20:25" x14ac:dyDescent="0.3">
      <c r="T9802" s="12"/>
      <c r="U9802" s="4"/>
      <c r="V9802" s="4"/>
      <c r="X9802" s="4"/>
      <c r="Y9802" s="4"/>
    </row>
    <row r="9803" spans="20:25" x14ac:dyDescent="0.3">
      <c r="T9803" s="12"/>
      <c r="U9803" s="4"/>
      <c r="V9803" s="4"/>
      <c r="X9803" s="4"/>
      <c r="Y9803" s="4"/>
    </row>
    <row r="9804" spans="20:25" x14ac:dyDescent="0.3">
      <c r="T9804" s="12"/>
      <c r="U9804" s="4"/>
      <c r="V9804" s="4"/>
      <c r="X9804" s="4"/>
      <c r="Y9804" s="4"/>
    </row>
    <row r="9805" spans="20:25" x14ac:dyDescent="0.3">
      <c r="T9805" s="12"/>
      <c r="U9805" s="4"/>
      <c r="V9805" s="4"/>
      <c r="X9805" s="4"/>
      <c r="Y9805" s="4"/>
    </row>
    <row r="9806" spans="20:25" x14ac:dyDescent="0.3">
      <c r="T9806" s="12"/>
      <c r="U9806" s="4"/>
      <c r="V9806" s="4"/>
      <c r="X9806" s="4"/>
      <c r="Y9806" s="4"/>
    </row>
    <row r="9807" spans="20:25" x14ac:dyDescent="0.3">
      <c r="T9807" s="12"/>
      <c r="U9807" s="4"/>
      <c r="V9807" s="4"/>
      <c r="X9807" s="4"/>
      <c r="Y9807" s="4"/>
    </row>
    <row r="9808" spans="20:25" x14ac:dyDescent="0.3">
      <c r="T9808" s="12"/>
      <c r="U9808" s="4"/>
      <c r="V9808" s="4"/>
      <c r="X9808" s="4"/>
      <c r="Y9808" s="4"/>
    </row>
    <row r="9809" spans="20:25" x14ac:dyDescent="0.3">
      <c r="T9809" s="12"/>
      <c r="U9809" s="4"/>
      <c r="V9809" s="4"/>
      <c r="X9809" s="4"/>
      <c r="Y9809" s="4"/>
    </row>
    <row r="9810" spans="20:25" x14ac:dyDescent="0.3">
      <c r="T9810" s="12"/>
      <c r="U9810" s="4"/>
      <c r="V9810" s="4"/>
      <c r="X9810" s="4"/>
      <c r="Y9810" s="4"/>
    </row>
    <row r="9811" spans="20:25" x14ac:dyDescent="0.3">
      <c r="T9811" s="12"/>
      <c r="U9811" s="4"/>
      <c r="V9811" s="4"/>
      <c r="X9811" s="4"/>
      <c r="Y9811" s="4"/>
    </row>
    <row r="9812" spans="20:25" x14ac:dyDescent="0.3">
      <c r="T9812" s="12"/>
      <c r="U9812" s="4"/>
      <c r="V9812" s="4"/>
      <c r="X9812" s="4"/>
      <c r="Y9812" s="4"/>
    </row>
    <row r="9813" spans="20:25" x14ac:dyDescent="0.3">
      <c r="T9813" s="12"/>
      <c r="U9813" s="4"/>
      <c r="V9813" s="4"/>
      <c r="X9813" s="4"/>
      <c r="Y9813" s="4"/>
    </row>
    <row r="9814" spans="20:25" x14ac:dyDescent="0.3">
      <c r="T9814" s="12"/>
      <c r="U9814" s="4"/>
      <c r="V9814" s="4"/>
      <c r="X9814" s="4"/>
      <c r="Y9814" s="4"/>
    </row>
    <row r="9815" spans="20:25" x14ac:dyDescent="0.3">
      <c r="T9815" s="12"/>
      <c r="U9815" s="4"/>
      <c r="V9815" s="4"/>
      <c r="X9815" s="4"/>
      <c r="Y9815" s="4"/>
    </row>
    <row r="9816" spans="20:25" x14ac:dyDescent="0.3">
      <c r="T9816" s="12"/>
      <c r="U9816" s="4"/>
      <c r="V9816" s="4"/>
      <c r="X9816" s="4"/>
      <c r="Y9816" s="4"/>
    </row>
    <row r="9817" spans="20:25" x14ac:dyDescent="0.3">
      <c r="T9817" s="12"/>
      <c r="U9817" s="4"/>
      <c r="V9817" s="4"/>
      <c r="X9817" s="4"/>
      <c r="Y9817" s="4"/>
    </row>
    <row r="9818" spans="20:25" x14ac:dyDescent="0.3">
      <c r="T9818" s="12"/>
      <c r="U9818" s="4"/>
      <c r="V9818" s="4"/>
      <c r="X9818" s="4"/>
      <c r="Y9818" s="4"/>
    </row>
    <row r="9819" spans="20:25" x14ac:dyDescent="0.3">
      <c r="T9819" s="12"/>
      <c r="U9819" s="4"/>
      <c r="V9819" s="4"/>
      <c r="X9819" s="4"/>
      <c r="Y9819" s="4"/>
    </row>
    <row r="9820" spans="20:25" x14ac:dyDescent="0.3">
      <c r="T9820" s="12"/>
      <c r="U9820" s="4"/>
      <c r="V9820" s="4"/>
      <c r="X9820" s="4"/>
      <c r="Y9820" s="4"/>
    </row>
    <row r="9821" spans="20:25" x14ac:dyDescent="0.3">
      <c r="T9821" s="12"/>
      <c r="U9821" s="4"/>
      <c r="V9821" s="4"/>
      <c r="X9821" s="4"/>
      <c r="Y9821" s="4"/>
    </row>
    <row r="9822" spans="20:25" x14ac:dyDescent="0.3">
      <c r="T9822" s="12"/>
      <c r="U9822" s="4"/>
      <c r="V9822" s="4"/>
      <c r="X9822" s="4"/>
      <c r="Y9822" s="4"/>
    </row>
    <row r="9823" spans="20:25" x14ac:dyDescent="0.3">
      <c r="T9823" s="12"/>
      <c r="U9823" s="4"/>
      <c r="V9823" s="4"/>
      <c r="X9823" s="4"/>
      <c r="Y9823" s="4"/>
    </row>
    <row r="9824" spans="20:25" x14ac:dyDescent="0.3">
      <c r="T9824" s="12"/>
      <c r="U9824" s="4"/>
      <c r="V9824" s="4"/>
      <c r="X9824" s="4"/>
      <c r="Y9824" s="4"/>
    </row>
    <row r="9825" spans="20:25" x14ac:dyDescent="0.3">
      <c r="T9825" s="12"/>
      <c r="U9825" s="4"/>
      <c r="V9825" s="4"/>
      <c r="X9825" s="4"/>
      <c r="Y9825" s="4"/>
    </row>
    <row r="9826" spans="20:25" x14ac:dyDescent="0.3">
      <c r="T9826" s="12"/>
      <c r="U9826" s="4"/>
      <c r="V9826" s="4"/>
      <c r="X9826" s="4"/>
      <c r="Y9826" s="4"/>
    </row>
    <row r="9827" spans="20:25" x14ac:dyDescent="0.3">
      <c r="T9827" s="12"/>
      <c r="U9827" s="4"/>
      <c r="V9827" s="4"/>
      <c r="X9827" s="4"/>
      <c r="Y9827" s="4"/>
    </row>
    <row r="9828" spans="20:25" x14ac:dyDescent="0.3">
      <c r="T9828" s="12"/>
      <c r="U9828" s="4"/>
      <c r="V9828" s="4"/>
      <c r="X9828" s="4"/>
      <c r="Y9828" s="4"/>
    </row>
    <row r="9829" spans="20:25" x14ac:dyDescent="0.3">
      <c r="T9829" s="12"/>
      <c r="U9829" s="4"/>
      <c r="V9829" s="4"/>
      <c r="X9829" s="4"/>
      <c r="Y9829" s="4"/>
    </row>
    <row r="9830" spans="20:25" x14ac:dyDescent="0.3">
      <c r="T9830" s="12"/>
      <c r="U9830" s="4"/>
      <c r="V9830" s="4"/>
      <c r="X9830" s="4"/>
      <c r="Y9830" s="4"/>
    </row>
    <row r="9831" spans="20:25" x14ac:dyDescent="0.3">
      <c r="T9831" s="12"/>
      <c r="U9831" s="4"/>
      <c r="V9831" s="4"/>
      <c r="X9831" s="4"/>
      <c r="Y9831" s="4"/>
    </row>
    <row r="9832" spans="20:25" x14ac:dyDescent="0.3">
      <c r="T9832" s="12"/>
      <c r="U9832" s="4"/>
      <c r="V9832" s="4"/>
      <c r="X9832" s="4"/>
      <c r="Y9832" s="4"/>
    </row>
    <row r="9833" spans="20:25" x14ac:dyDescent="0.3">
      <c r="T9833" s="12"/>
      <c r="U9833" s="4"/>
      <c r="V9833" s="4"/>
      <c r="X9833" s="4"/>
      <c r="Y9833" s="4"/>
    </row>
    <row r="9834" spans="20:25" x14ac:dyDescent="0.3">
      <c r="T9834" s="12"/>
      <c r="U9834" s="4"/>
      <c r="V9834" s="4"/>
      <c r="X9834" s="4"/>
      <c r="Y9834" s="4"/>
    </row>
    <row r="9835" spans="20:25" x14ac:dyDescent="0.3">
      <c r="T9835" s="12"/>
      <c r="U9835" s="4"/>
      <c r="V9835" s="4"/>
      <c r="X9835" s="4"/>
      <c r="Y9835" s="4"/>
    </row>
    <row r="9836" spans="20:25" x14ac:dyDescent="0.3">
      <c r="T9836" s="12"/>
      <c r="U9836" s="4"/>
      <c r="V9836" s="4"/>
      <c r="X9836" s="4"/>
      <c r="Y9836" s="4"/>
    </row>
    <row r="9837" spans="20:25" x14ac:dyDescent="0.3">
      <c r="T9837" s="12"/>
      <c r="U9837" s="4"/>
      <c r="V9837" s="4"/>
      <c r="X9837" s="4"/>
      <c r="Y9837" s="4"/>
    </row>
    <row r="9838" spans="20:25" x14ac:dyDescent="0.3">
      <c r="T9838" s="12"/>
      <c r="U9838" s="4"/>
      <c r="V9838" s="4"/>
      <c r="X9838" s="4"/>
      <c r="Y9838" s="4"/>
    </row>
    <row r="9839" spans="20:25" x14ac:dyDescent="0.3">
      <c r="T9839" s="12"/>
      <c r="U9839" s="4"/>
      <c r="V9839" s="4"/>
      <c r="X9839" s="4"/>
      <c r="Y9839" s="4"/>
    </row>
    <row r="9840" spans="20:25" x14ac:dyDescent="0.3">
      <c r="T9840" s="12"/>
      <c r="U9840" s="4"/>
      <c r="V9840" s="4"/>
      <c r="X9840" s="4"/>
      <c r="Y9840" s="4"/>
    </row>
    <row r="9841" spans="20:25" x14ac:dyDescent="0.3">
      <c r="T9841" s="12"/>
      <c r="U9841" s="4"/>
      <c r="V9841" s="4"/>
      <c r="X9841" s="4"/>
      <c r="Y9841" s="4"/>
    </row>
    <row r="9842" spans="20:25" x14ac:dyDescent="0.3">
      <c r="T9842" s="12"/>
      <c r="U9842" s="4"/>
      <c r="V9842" s="4"/>
      <c r="X9842" s="4"/>
      <c r="Y9842" s="4"/>
    </row>
    <row r="9843" spans="20:25" x14ac:dyDescent="0.3">
      <c r="T9843" s="12"/>
      <c r="U9843" s="4"/>
      <c r="V9843" s="4"/>
      <c r="X9843" s="4"/>
      <c r="Y9843" s="4"/>
    </row>
    <row r="9844" spans="20:25" x14ac:dyDescent="0.3">
      <c r="T9844" s="12"/>
      <c r="U9844" s="4"/>
      <c r="V9844" s="4"/>
      <c r="X9844" s="4"/>
      <c r="Y9844" s="4"/>
    </row>
    <row r="9845" spans="20:25" x14ac:dyDescent="0.3">
      <c r="T9845" s="12"/>
      <c r="U9845" s="4"/>
      <c r="V9845" s="4"/>
      <c r="X9845" s="4"/>
      <c r="Y9845" s="4"/>
    </row>
    <row r="9846" spans="20:25" x14ac:dyDescent="0.3">
      <c r="T9846" s="12"/>
      <c r="U9846" s="4"/>
      <c r="V9846" s="4"/>
      <c r="X9846" s="4"/>
      <c r="Y9846" s="4"/>
    </row>
    <row r="9847" spans="20:25" x14ac:dyDescent="0.3">
      <c r="T9847" s="12"/>
      <c r="U9847" s="4"/>
      <c r="V9847" s="4"/>
      <c r="X9847" s="4"/>
      <c r="Y9847" s="4"/>
    </row>
    <row r="9848" spans="20:25" x14ac:dyDescent="0.3">
      <c r="T9848" s="12"/>
      <c r="U9848" s="4"/>
      <c r="V9848" s="4"/>
      <c r="X9848" s="4"/>
      <c r="Y9848" s="4"/>
    </row>
    <row r="9849" spans="20:25" x14ac:dyDescent="0.3">
      <c r="T9849" s="12"/>
      <c r="U9849" s="4"/>
      <c r="V9849" s="4"/>
      <c r="X9849" s="4"/>
      <c r="Y9849" s="4"/>
    </row>
    <row r="9850" spans="20:25" x14ac:dyDescent="0.3">
      <c r="T9850" s="12"/>
      <c r="U9850" s="4"/>
      <c r="V9850" s="4"/>
      <c r="X9850" s="4"/>
      <c r="Y9850" s="4"/>
    </row>
    <row r="9851" spans="20:25" x14ac:dyDescent="0.3">
      <c r="T9851" s="12"/>
      <c r="U9851" s="4"/>
      <c r="V9851" s="4"/>
      <c r="X9851" s="4"/>
      <c r="Y9851" s="4"/>
    </row>
    <row r="9852" spans="20:25" x14ac:dyDescent="0.3">
      <c r="T9852" s="12"/>
      <c r="U9852" s="4"/>
      <c r="V9852" s="4"/>
      <c r="X9852" s="4"/>
      <c r="Y9852" s="4"/>
    </row>
    <row r="9853" spans="20:25" x14ac:dyDescent="0.3">
      <c r="T9853" s="12"/>
      <c r="U9853" s="4"/>
      <c r="V9853" s="4"/>
      <c r="X9853" s="4"/>
      <c r="Y9853" s="4"/>
    </row>
    <row r="9854" spans="20:25" x14ac:dyDescent="0.3">
      <c r="T9854" s="12"/>
      <c r="U9854" s="4"/>
      <c r="V9854" s="4"/>
      <c r="X9854" s="4"/>
      <c r="Y9854" s="4"/>
    </row>
    <row r="9855" spans="20:25" x14ac:dyDescent="0.3">
      <c r="T9855" s="12"/>
      <c r="U9855" s="4"/>
      <c r="V9855" s="4"/>
      <c r="X9855" s="4"/>
      <c r="Y9855" s="4"/>
    </row>
    <row r="9856" spans="20:25" x14ac:dyDescent="0.3">
      <c r="T9856" s="12"/>
      <c r="U9856" s="4"/>
      <c r="V9856" s="4"/>
      <c r="X9856" s="4"/>
      <c r="Y9856" s="4"/>
    </row>
    <row r="9857" spans="20:25" x14ac:dyDescent="0.3">
      <c r="T9857" s="12"/>
      <c r="U9857" s="4"/>
      <c r="V9857" s="4"/>
      <c r="X9857" s="4"/>
      <c r="Y9857" s="4"/>
    </row>
    <row r="9858" spans="20:25" x14ac:dyDescent="0.3">
      <c r="T9858" s="12"/>
      <c r="U9858" s="4"/>
      <c r="V9858" s="4"/>
      <c r="X9858" s="4"/>
      <c r="Y9858" s="4"/>
    </row>
    <row r="9859" spans="20:25" x14ac:dyDescent="0.3">
      <c r="T9859" s="12"/>
      <c r="U9859" s="4"/>
      <c r="V9859" s="4"/>
      <c r="X9859" s="4"/>
      <c r="Y9859" s="4"/>
    </row>
    <row r="9860" spans="20:25" x14ac:dyDescent="0.3">
      <c r="T9860" s="12"/>
      <c r="U9860" s="4"/>
      <c r="V9860" s="4"/>
      <c r="X9860" s="4"/>
      <c r="Y9860" s="4"/>
    </row>
    <row r="9861" spans="20:25" x14ac:dyDescent="0.3">
      <c r="T9861" s="12"/>
      <c r="U9861" s="4"/>
      <c r="V9861" s="4"/>
      <c r="X9861" s="4"/>
      <c r="Y9861" s="4"/>
    </row>
    <row r="9862" spans="20:25" x14ac:dyDescent="0.3">
      <c r="T9862" s="12"/>
      <c r="U9862" s="4"/>
      <c r="V9862" s="4"/>
      <c r="X9862" s="4"/>
      <c r="Y9862" s="4"/>
    </row>
    <row r="9863" spans="20:25" x14ac:dyDescent="0.3">
      <c r="T9863" s="12"/>
      <c r="U9863" s="4"/>
      <c r="V9863" s="4"/>
      <c r="X9863" s="4"/>
      <c r="Y9863" s="4"/>
    </row>
    <row r="9864" spans="20:25" x14ac:dyDescent="0.3">
      <c r="T9864" s="12"/>
      <c r="U9864" s="4"/>
      <c r="V9864" s="4"/>
      <c r="X9864" s="4"/>
      <c r="Y9864" s="4"/>
    </row>
    <row r="9865" spans="20:25" x14ac:dyDescent="0.3">
      <c r="T9865" s="12"/>
      <c r="U9865" s="4"/>
      <c r="V9865" s="4"/>
      <c r="X9865" s="4"/>
      <c r="Y9865" s="4"/>
    </row>
    <row r="9866" spans="20:25" x14ac:dyDescent="0.3">
      <c r="T9866" s="12"/>
      <c r="U9866" s="4"/>
      <c r="V9866" s="4"/>
      <c r="X9866" s="4"/>
      <c r="Y9866" s="4"/>
    </row>
    <row r="9867" spans="20:25" x14ac:dyDescent="0.3">
      <c r="T9867" s="12"/>
      <c r="U9867" s="4"/>
      <c r="V9867" s="4"/>
      <c r="X9867" s="4"/>
      <c r="Y9867" s="4"/>
    </row>
    <row r="9868" spans="20:25" x14ac:dyDescent="0.3">
      <c r="T9868" s="12"/>
      <c r="U9868" s="4"/>
      <c r="V9868" s="4"/>
      <c r="X9868" s="4"/>
      <c r="Y9868" s="4"/>
    </row>
    <row r="9869" spans="20:25" x14ac:dyDescent="0.3">
      <c r="T9869" s="12"/>
      <c r="U9869" s="4"/>
      <c r="V9869" s="4"/>
      <c r="X9869" s="4"/>
      <c r="Y9869" s="4"/>
    </row>
    <row r="9870" spans="20:25" x14ac:dyDescent="0.3">
      <c r="T9870" s="12"/>
      <c r="U9870" s="4"/>
      <c r="V9870" s="4"/>
      <c r="X9870" s="4"/>
      <c r="Y9870" s="4"/>
    </row>
    <row r="9871" spans="20:25" x14ac:dyDescent="0.3">
      <c r="T9871" s="12"/>
      <c r="U9871" s="4"/>
      <c r="V9871" s="4"/>
      <c r="X9871" s="4"/>
      <c r="Y9871" s="4"/>
    </row>
    <row r="9872" spans="20:25" x14ac:dyDescent="0.3">
      <c r="T9872" s="12"/>
      <c r="U9872" s="4"/>
      <c r="V9872" s="4"/>
      <c r="X9872" s="4"/>
      <c r="Y9872" s="4"/>
    </row>
    <row r="9873" spans="20:25" x14ac:dyDescent="0.3">
      <c r="T9873" s="12"/>
      <c r="U9873" s="4"/>
      <c r="V9873" s="4"/>
      <c r="X9873" s="4"/>
      <c r="Y9873" s="4"/>
    </row>
    <row r="9874" spans="20:25" x14ac:dyDescent="0.3">
      <c r="T9874" s="12"/>
      <c r="U9874" s="4"/>
      <c r="V9874" s="4"/>
      <c r="X9874" s="4"/>
      <c r="Y9874" s="4"/>
    </row>
    <row r="9875" spans="20:25" x14ac:dyDescent="0.3">
      <c r="T9875" s="12"/>
      <c r="U9875" s="4"/>
      <c r="V9875" s="4"/>
      <c r="X9875" s="4"/>
      <c r="Y9875" s="4"/>
    </row>
    <row r="9876" spans="20:25" x14ac:dyDescent="0.3">
      <c r="T9876" s="12"/>
      <c r="U9876" s="4"/>
      <c r="V9876" s="4"/>
      <c r="X9876" s="4"/>
      <c r="Y9876" s="4"/>
    </row>
    <row r="9877" spans="20:25" x14ac:dyDescent="0.3">
      <c r="T9877" s="12"/>
      <c r="U9877" s="4"/>
      <c r="V9877" s="4"/>
      <c r="X9877" s="4"/>
      <c r="Y9877" s="4"/>
    </row>
    <row r="9878" spans="20:25" x14ac:dyDescent="0.3">
      <c r="T9878" s="12"/>
      <c r="U9878" s="4"/>
      <c r="V9878" s="4"/>
      <c r="X9878" s="4"/>
      <c r="Y9878" s="4"/>
    </row>
    <row r="9879" spans="20:25" x14ac:dyDescent="0.3">
      <c r="T9879" s="12"/>
      <c r="U9879" s="4"/>
      <c r="V9879" s="4"/>
      <c r="X9879" s="4"/>
      <c r="Y9879" s="4"/>
    </row>
    <row r="9880" spans="20:25" x14ac:dyDescent="0.3">
      <c r="T9880" s="12"/>
      <c r="U9880" s="4"/>
      <c r="V9880" s="4"/>
      <c r="X9880" s="4"/>
      <c r="Y9880" s="4"/>
    </row>
    <row r="9881" spans="20:25" x14ac:dyDescent="0.3">
      <c r="T9881" s="12"/>
      <c r="U9881" s="4"/>
      <c r="V9881" s="4"/>
      <c r="X9881" s="4"/>
      <c r="Y9881" s="4"/>
    </row>
    <row r="9882" spans="20:25" x14ac:dyDescent="0.3">
      <c r="T9882" s="12"/>
      <c r="U9882" s="4"/>
      <c r="V9882" s="4"/>
      <c r="X9882" s="4"/>
      <c r="Y9882" s="4"/>
    </row>
    <row r="9883" spans="20:25" x14ac:dyDescent="0.3">
      <c r="T9883" s="12"/>
      <c r="U9883" s="4"/>
      <c r="V9883" s="4"/>
      <c r="X9883" s="4"/>
      <c r="Y9883" s="4"/>
    </row>
    <row r="9884" spans="20:25" x14ac:dyDescent="0.3">
      <c r="T9884" s="12"/>
      <c r="U9884" s="4"/>
      <c r="V9884" s="4"/>
      <c r="X9884" s="4"/>
      <c r="Y9884" s="4"/>
    </row>
    <row r="9885" spans="20:25" x14ac:dyDescent="0.3">
      <c r="T9885" s="12"/>
      <c r="U9885" s="4"/>
      <c r="V9885" s="4"/>
      <c r="X9885" s="4"/>
      <c r="Y9885" s="4"/>
    </row>
    <row r="9886" spans="20:25" x14ac:dyDescent="0.3">
      <c r="T9886" s="12"/>
      <c r="U9886" s="4"/>
      <c r="V9886" s="4"/>
      <c r="X9886" s="4"/>
      <c r="Y9886" s="4"/>
    </row>
    <row r="9887" spans="20:25" x14ac:dyDescent="0.3">
      <c r="T9887" s="12"/>
      <c r="U9887" s="4"/>
      <c r="V9887" s="4"/>
      <c r="X9887" s="4"/>
      <c r="Y9887" s="4"/>
    </row>
    <row r="9888" spans="20:25" x14ac:dyDescent="0.3">
      <c r="T9888" s="12"/>
      <c r="U9888" s="4"/>
      <c r="V9888" s="4"/>
      <c r="X9888" s="4"/>
      <c r="Y9888" s="4"/>
    </row>
    <row r="9889" spans="20:25" x14ac:dyDescent="0.3">
      <c r="T9889" s="12"/>
      <c r="U9889" s="4"/>
      <c r="V9889" s="4"/>
      <c r="X9889" s="4"/>
      <c r="Y9889" s="4"/>
    </row>
    <row r="9890" spans="20:25" x14ac:dyDescent="0.3">
      <c r="T9890" s="12"/>
      <c r="U9890" s="4"/>
      <c r="V9890" s="4"/>
      <c r="X9890" s="4"/>
      <c r="Y9890" s="4"/>
    </row>
    <row r="9891" spans="20:25" x14ac:dyDescent="0.3">
      <c r="T9891" s="12"/>
      <c r="U9891" s="4"/>
      <c r="V9891" s="4"/>
      <c r="X9891" s="4"/>
      <c r="Y9891" s="4"/>
    </row>
    <row r="9892" spans="20:25" x14ac:dyDescent="0.3">
      <c r="T9892" s="12"/>
      <c r="U9892" s="4"/>
      <c r="V9892" s="4"/>
      <c r="X9892" s="4"/>
      <c r="Y9892" s="4"/>
    </row>
    <row r="9893" spans="20:25" x14ac:dyDescent="0.3">
      <c r="T9893" s="12"/>
      <c r="U9893" s="4"/>
      <c r="V9893" s="4"/>
      <c r="X9893" s="4"/>
      <c r="Y9893" s="4"/>
    </row>
    <row r="9894" spans="20:25" x14ac:dyDescent="0.3">
      <c r="T9894" s="12"/>
      <c r="U9894" s="4"/>
      <c r="V9894" s="4"/>
      <c r="X9894" s="4"/>
      <c r="Y9894" s="4"/>
    </row>
    <row r="9895" spans="20:25" x14ac:dyDescent="0.3">
      <c r="T9895" s="12"/>
      <c r="U9895" s="4"/>
      <c r="V9895" s="4"/>
      <c r="X9895" s="4"/>
      <c r="Y9895" s="4"/>
    </row>
    <row r="9896" spans="20:25" x14ac:dyDescent="0.3">
      <c r="T9896" s="12"/>
      <c r="U9896" s="4"/>
      <c r="V9896" s="4"/>
      <c r="X9896" s="4"/>
      <c r="Y9896" s="4"/>
    </row>
    <row r="9897" spans="20:25" x14ac:dyDescent="0.3">
      <c r="T9897" s="12"/>
      <c r="U9897" s="4"/>
      <c r="V9897" s="4"/>
      <c r="X9897" s="4"/>
      <c r="Y9897" s="4"/>
    </row>
    <row r="9898" spans="20:25" x14ac:dyDescent="0.3">
      <c r="T9898" s="12"/>
      <c r="U9898" s="4"/>
      <c r="V9898" s="4"/>
      <c r="X9898" s="4"/>
      <c r="Y9898" s="4"/>
    </row>
    <row r="9899" spans="20:25" x14ac:dyDescent="0.3">
      <c r="T9899" s="12"/>
      <c r="U9899" s="4"/>
      <c r="V9899" s="4"/>
      <c r="X9899" s="4"/>
      <c r="Y9899" s="4"/>
    </row>
    <row r="9900" spans="20:25" x14ac:dyDescent="0.3">
      <c r="T9900" s="12"/>
      <c r="U9900" s="4"/>
      <c r="V9900" s="4"/>
      <c r="X9900" s="4"/>
      <c r="Y9900" s="4"/>
    </row>
    <row r="9901" spans="20:25" x14ac:dyDescent="0.3">
      <c r="T9901" s="12"/>
      <c r="U9901" s="4"/>
      <c r="V9901" s="4"/>
      <c r="X9901" s="4"/>
      <c r="Y9901" s="4"/>
    </row>
    <row r="9902" spans="20:25" x14ac:dyDescent="0.3">
      <c r="T9902" s="12"/>
      <c r="U9902" s="4"/>
      <c r="V9902" s="4"/>
      <c r="X9902" s="4"/>
      <c r="Y9902" s="4"/>
    </row>
    <row r="9903" spans="20:25" x14ac:dyDescent="0.3">
      <c r="T9903" s="12"/>
      <c r="U9903" s="4"/>
      <c r="V9903" s="4"/>
      <c r="X9903" s="4"/>
      <c r="Y9903" s="4"/>
    </row>
    <row r="9904" spans="20:25" x14ac:dyDescent="0.3">
      <c r="T9904" s="12"/>
      <c r="U9904" s="4"/>
      <c r="V9904" s="4"/>
      <c r="X9904" s="4"/>
      <c r="Y9904" s="4"/>
    </row>
    <row r="9905" spans="20:25" x14ac:dyDescent="0.3">
      <c r="T9905" s="12"/>
      <c r="U9905" s="4"/>
      <c r="V9905" s="4"/>
      <c r="X9905" s="4"/>
      <c r="Y9905" s="4"/>
    </row>
    <row r="9906" spans="20:25" x14ac:dyDescent="0.3">
      <c r="T9906" s="12"/>
      <c r="U9906" s="4"/>
      <c r="V9906" s="4"/>
      <c r="X9906" s="4"/>
      <c r="Y9906" s="4"/>
    </row>
    <row r="9907" spans="20:25" x14ac:dyDescent="0.3">
      <c r="T9907" s="12"/>
      <c r="U9907" s="4"/>
      <c r="V9907" s="4"/>
      <c r="X9907" s="4"/>
      <c r="Y9907" s="4"/>
    </row>
    <row r="9908" spans="20:25" x14ac:dyDescent="0.3">
      <c r="T9908" s="12"/>
      <c r="U9908" s="4"/>
      <c r="V9908" s="4"/>
      <c r="X9908" s="4"/>
      <c r="Y9908" s="4"/>
    </row>
    <row r="9909" spans="20:25" x14ac:dyDescent="0.3">
      <c r="T9909" s="12"/>
      <c r="U9909" s="4"/>
      <c r="V9909" s="4"/>
      <c r="X9909" s="4"/>
      <c r="Y9909" s="4"/>
    </row>
    <row r="9910" spans="20:25" x14ac:dyDescent="0.3">
      <c r="T9910" s="12"/>
      <c r="U9910" s="4"/>
      <c r="V9910" s="4"/>
      <c r="X9910" s="4"/>
      <c r="Y9910" s="4"/>
    </row>
    <row r="9911" spans="20:25" x14ac:dyDescent="0.3">
      <c r="T9911" s="12"/>
      <c r="U9911" s="4"/>
      <c r="V9911" s="4"/>
      <c r="X9911" s="4"/>
      <c r="Y9911" s="4"/>
    </row>
    <row r="9912" spans="20:25" x14ac:dyDescent="0.3">
      <c r="T9912" s="12"/>
      <c r="U9912" s="4"/>
      <c r="V9912" s="4"/>
      <c r="X9912" s="4"/>
      <c r="Y9912" s="4"/>
    </row>
    <row r="9913" spans="20:25" x14ac:dyDescent="0.3">
      <c r="T9913" s="12"/>
      <c r="U9913" s="4"/>
      <c r="V9913" s="4"/>
      <c r="X9913" s="4"/>
      <c r="Y9913" s="4"/>
    </row>
    <row r="9914" spans="20:25" x14ac:dyDescent="0.3">
      <c r="T9914" s="12"/>
      <c r="U9914" s="4"/>
      <c r="V9914" s="4"/>
      <c r="X9914" s="4"/>
      <c r="Y9914" s="4"/>
    </row>
    <row r="9915" spans="20:25" x14ac:dyDescent="0.3">
      <c r="T9915" s="12"/>
      <c r="U9915" s="4"/>
      <c r="V9915" s="4"/>
      <c r="X9915" s="4"/>
      <c r="Y9915" s="4"/>
    </row>
    <row r="9916" spans="20:25" x14ac:dyDescent="0.3">
      <c r="T9916" s="12"/>
      <c r="U9916" s="4"/>
      <c r="V9916" s="4"/>
      <c r="X9916" s="4"/>
      <c r="Y9916" s="4"/>
    </row>
    <row r="9917" spans="20:25" x14ac:dyDescent="0.3">
      <c r="T9917" s="12"/>
      <c r="U9917" s="4"/>
      <c r="V9917" s="4"/>
      <c r="X9917" s="4"/>
      <c r="Y9917" s="4"/>
    </row>
    <row r="9918" spans="20:25" x14ac:dyDescent="0.3">
      <c r="T9918" s="12"/>
      <c r="U9918" s="4"/>
      <c r="V9918" s="4"/>
      <c r="X9918" s="4"/>
      <c r="Y9918" s="4"/>
    </row>
    <row r="9919" spans="20:25" x14ac:dyDescent="0.3">
      <c r="T9919" s="12"/>
      <c r="U9919" s="4"/>
      <c r="V9919" s="4"/>
      <c r="X9919" s="4"/>
      <c r="Y9919" s="4"/>
    </row>
    <row r="9920" spans="20:25" x14ac:dyDescent="0.3">
      <c r="T9920" s="12"/>
      <c r="U9920" s="4"/>
      <c r="V9920" s="4"/>
      <c r="X9920" s="4"/>
      <c r="Y9920" s="4"/>
    </row>
    <row r="9921" spans="20:25" x14ac:dyDescent="0.3">
      <c r="T9921" s="12"/>
      <c r="U9921" s="4"/>
      <c r="V9921" s="4"/>
      <c r="X9921" s="4"/>
      <c r="Y9921" s="4"/>
    </row>
    <row r="9922" spans="20:25" x14ac:dyDescent="0.3">
      <c r="T9922" s="12"/>
      <c r="U9922" s="4"/>
      <c r="V9922" s="4"/>
      <c r="X9922" s="4"/>
      <c r="Y9922" s="4"/>
    </row>
    <row r="9923" spans="20:25" x14ac:dyDescent="0.3">
      <c r="T9923" s="12"/>
      <c r="U9923" s="4"/>
      <c r="V9923" s="4"/>
      <c r="X9923" s="4"/>
      <c r="Y9923" s="4"/>
    </row>
    <row r="9924" spans="20:25" x14ac:dyDescent="0.3">
      <c r="T9924" s="12"/>
      <c r="U9924" s="4"/>
      <c r="V9924" s="4"/>
      <c r="X9924" s="4"/>
      <c r="Y9924" s="4"/>
    </row>
    <row r="9925" spans="20:25" x14ac:dyDescent="0.3">
      <c r="T9925" s="12"/>
      <c r="U9925" s="4"/>
      <c r="V9925" s="4"/>
      <c r="X9925" s="4"/>
      <c r="Y9925" s="4"/>
    </row>
    <row r="9926" spans="20:25" x14ac:dyDescent="0.3">
      <c r="T9926" s="12"/>
      <c r="U9926" s="4"/>
      <c r="V9926" s="4"/>
      <c r="X9926" s="4"/>
      <c r="Y9926" s="4"/>
    </row>
    <row r="9927" spans="20:25" x14ac:dyDescent="0.3">
      <c r="T9927" s="12"/>
      <c r="U9927" s="4"/>
      <c r="V9927" s="4"/>
      <c r="X9927" s="4"/>
      <c r="Y9927" s="4"/>
    </row>
    <row r="9928" spans="20:25" x14ac:dyDescent="0.3">
      <c r="T9928" s="12"/>
      <c r="U9928" s="4"/>
      <c r="V9928" s="4"/>
      <c r="X9928" s="4"/>
      <c r="Y9928" s="4"/>
    </row>
    <row r="9929" spans="20:25" x14ac:dyDescent="0.3">
      <c r="T9929" s="12"/>
      <c r="U9929" s="4"/>
      <c r="V9929" s="4"/>
      <c r="X9929" s="4"/>
      <c r="Y9929" s="4"/>
    </row>
    <row r="9930" spans="20:25" x14ac:dyDescent="0.3">
      <c r="T9930" s="12"/>
      <c r="U9930" s="4"/>
      <c r="V9930" s="4"/>
      <c r="X9930" s="4"/>
      <c r="Y9930" s="4"/>
    </row>
    <row r="9931" spans="20:25" x14ac:dyDescent="0.3">
      <c r="T9931" s="12"/>
      <c r="U9931" s="4"/>
      <c r="V9931" s="4"/>
      <c r="X9931" s="4"/>
      <c r="Y9931" s="4"/>
    </row>
    <row r="9932" spans="20:25" x14ac:dyDescent="0.3">
      <c r="T9932" s="12"/>
      <c r="U9932" s="4"/>
      <c r="V9932" s="4"/>
      <c r="X9932" s="4"/>
      <c r="Y9932" s="4"/>
    </row>
    <row r="9933" spans="20:25" x14ac:dyDescent="0.3">
      <c r="T9933" s="12"/>
      <c r="U9933" s="4"/>
      <c r="V9933" s="4"/>
      <c r="X9933" s="4"/>
      <c r="Y9933" s="4"/>
    </row>
    <row r="9934" spans="20:25" x14ac:dyDescent="0.3">
      <c r="T9934" s="12"/>
      <c r="U9934" s="4"/>
      <c r="V9934" s="4"/>
      <c r="X9934" s="4"/>
      <c r="Y9934" s="4"/>
    </row>
    <row r="9935" spans="20:25" x14ac:dyDescent="0.3">
      <c r="T9935" s="12"/>
      <c r="U9935" s="4"/>
      <c r="V9935" s="4"/>
      <c r="X9935" s="4"/>
      <c r="Y9935" s="4"/>
    </row>
    <row r="9936" spans="20:25" x14ac:dyDescent="0.3">
      <c r="T9936" s="12"/>
      <c r="U9936" s="4"/>
      <c r="V9936" s="4"/>
      <c r="X9936" s="4"/>
      <c r="Y9936" s="4"/>
    </row>
    <row r="9937" spans="20:25" x14ac:dyDescent="0.3">
      <c r="T9937" s="12"/>
      <c r="U9937" s="4"/>
      <c r="V9937" s="4"/>
      <c r="X9937" s="4"/>
      <c r="Y9937" s="4"/>
    </row>
    <row r="9938" spans="20:25" x14ac:dyDescent="0.3">
      <c r="T9938" s="12"/>
      <c r="U9938" s="4"/>
      <c r="V9938" s="4"/>
      <c r="X9938" s="4"/>
      <c r="Y9938" s="4"/>
    </row>
    <row r="9939" spans="20:25" x14ac:dyDescent="0.3">
      <c r="T9939" s="12"/>
      <c r="U9939" s="4"/>
      <c r="V9939" s="4"/>
      <c r="X9939" s="4"/>
      <c r="Y9939" s="4"/>
    </row>
    <row r="9940" spans="20:25" x14ac:dyDescent="0.3">
      <c r="T9940" s="12"/>
      <c r="U9940" s="4"/>
      <c r="V9940" s="4"/>
      <c r="X9940" s="4"/>
      <c r="Y9940" s="4"/>
    </row>
    <row r="9941" spans="20:25" x14ac:dyDescent="0.3">
      <c r="T9941" s="12"/>
      <c r="U9941" s="4"/>
      <c r="V9941" s="4"/>
      <c r="X9941" s="4"/>
      <c r="Y9941" s="4"/>
    </row>
    <row r="9942" spans="20:25" x14ac:dyDescent="0.3">
      <c r="T9942" s="12"/>
      <c r="U9942" s="4"/>
      <c r="V9942" s="4"/>
      <c r="X9942" s="4"/>
      <c r="Y9942" s="4"/>
    </row>
    <row r="9943" spans="20:25" x14ac:dyDescent="0.3">
      <c r="T9943" s="12"/>
      <c r="U9943" s="4"/>
      <c r="V9943" s="4"/>
      <c r="X9943" s="4"/>
      <c r="Y9943" s="4"/>
    </row>
    <row r="9944" spans="20:25" x14ac:dyDescent="0.3">
      <c r="T9944" s="12"/>
      <c r="U9944" s="4"/>
      <c r="V9944" s="4"/>
      <c r="X9944" s="4"/>
      <c r="Y9944" s="4"/>
    </row>
    <row r="9945" spans="20:25" x14ac:dyDescent="0.3">
      <c r="T9945" s="12"/>
      <c r="U9945" s="4"/>
      <c r="V9945" s="4"/>
      <c r="X9945" s="4"/>
      <c r="Y9945" s="4"/>
    </row>
    <row r="9946" spans="20:25" x14ac:dyDescent="0.3">
      <c r="T9946" s="12"/>
      <c r="U9946" s="4"/>
      <c r="V9946" s="4"/>
      <c r="X9946" s="4"/>
      <c r="Y9946" s="4"/>
    </row>
    <row r="9947" spans="20:25" x14ac:dyDescent="0.3">
      <c r="T9947" s="12"/>
      <c r="U9947" s="4"/>
      <c r="V9947" s="4"/>
      <c r="X9947" s="4"/>
      <c r="Y9947" s="4"/>
    </row>
    <row r="9948" spans="20:25" x14ac:dyDescent="0.3">
      <c r="T9948" s="12"/>
      <c r="U9948" s="4"/>
      <c r="V9948" s="4"/>
      <c r="X9948" s="4"/>
      <c r="Y9948" s="4"/>
    </row>
    <row r="9949" spans="20:25" x14ac:dyDescent="0.3">
      <c r="T9949" s="12"/>
      <c r="U9949" s="4"/>
      <c r="V9949" s="4"/>
      <c r="X9949" s="4"/>
      <c r="Y9949" s="4"/>
    </row>
    <row r="9950" spans="20:25" x14ac:dyDescent="0.3">
      <c r="T9950" s="12"/>
      <c r="U9950" s="4"/>
      <c r="V9950" s="4"/>
      <c r="X9950" s="4"/>
      <c r="Y9950" s="4"/>
    </row>
    <row r="9951" spans="20:25" x14ac:dyDescent="0.3">
      <c r="T9951" s="12"/>
      <c r="U9951" s="4"/>
      <c r="V9951" s="4"/>
      <c r="X9951" s="4"/>
      <c r="Y9951" s="4"/>
    </row>
    <row r="9952" spans="20:25" x14ac:dyDescent="0.3">
      <c r="T9952" s="12"/>
      <c r="U9952" s="4"/>
      <c r="V9952" s="4"/>
      <c r="X9952" s="4"/>
      <c r="Y9952" s="4"/>
    </row>
    <row r="9953" spans="20:25" x14ac:dyDescent="0.3">
      <c r="T9953" s="12"/>
      <c r="U9953" s="4"/>
      <c r="V9953" s="4"/>
      <c r="X9953" s="4"/>
      <c r="Y9953" s="4"/>
    </row>
    <row r="9954" spans="20:25" x14ac:dyDescent="0.3">
      <c r="T9954" s="12"/>
      <c r="U9954" s="4"/>
      <c r="V9954" s="4"/>
      <c r="X9954" s="4"/>
      <c r="Y9954" s="4"/>
    </row>
    <row r="9955" spans="20:25" x14ac:dyDescent="0.3">
      <c r="T9955" s="12"/>
      <c r="U9955" s="4"/>
      <c r="V9955" s="4"/>
      <c r="X9955" s="4"/>
      <c r="Y9955" s="4"/>
    </row>
    <row r="9956" spans="20:25" x14ac:dyDescent="0.3">
      <c r="T9956" s="12"/>
      <c r="U9956" s="4"/>
      <c r="V9956" s="4"/>
      <c r="X9956" s="4"/>
      <c r="Y9956" s="4"/>
    </row>
    <row r="9957" spans="20:25" x14ac:dyDescent="0.3">
      <c r="T9957" s="12"/>
      <c r="U9957" s="4"/>
      <c r="V9957" s="4"/>
      <c r="X9957" s="4"/>
      <c r="Y9957" s="4"/>
    </row>
    <row r="9958" spans="20:25" x14ac:dyDescent="0.3">
      <c r="T9958" s="12"/>
      <c r="U9958" s="4"/>
      <c r="V9958" s="4"/>
      <c r="X9958" s="4"/>
      <c r="Y9958" s="4"/>
    </row>
    <row r="9959" spans="20:25" x14ac:dyDescent="0.3">
      <c r="T9959" s="12"/>
      <c r="U9959" s="4"/>
      <c r="V9959" s="4"/>
      <c r="X9959" s="4"/>
      <c r="Y9959" s="4"/>
    </row>
    <row r="9960" spans="20:25" x14ac:dyDescent="0.3">
      <c r="T9960" s="12"/>
      <c r="U9960" s="4"/>
      <c r="V9960" s="4"/>
      <c r="X9960" s="4"/>
      <c r="Y9960" s="4"/>
    </row>
    <row r="9961" spans="20:25" x14ac:dyDescent="0.3">
      <c r="T9961" s="12"/>
      <c r="U9961" s="4"/>
      <c r="V9961" s="4"/>
      <c r="X9961" s="4"/>
      <c r="Y9961" s="4"/>
    </row>
    <row r="9962" spans="20:25" x14ac:dyDescent="0.3">
      <c r="T9962" s="12"/>
      <c r="U9962" s="4"/>
      <c r="V9962" s="4"/>
      <c r="X9962" s="4"/>
      <c r="Y9962" s="4"/>
    </row>
    <row r="9963" spans="20:25" x14ac:dyDescent="0.3">
      <c r="T9963" s="12"/>
      <c r="U9963" s="4"/>
      <c r="V9963" s="4"/>
      <c r="X9963" s="4"/>
      <c r="Y9963" s="4"/>
    </row>
    <row r="9964" spans="20:25" x14ac:dyDescent="0.3">
      <c r="T9964" s="12"/>
      <c r="U9964" s="4"/>
      <c r="V9964" s="4"/>
      <c r="X9964" s="4"/>
      <c r="Y9964" s="4"/>
    </row>
    <row r="9965" spans="20:25" x14ac:dyDescent="0.3">
      <c r="T9965" s="12"/>
      <c r="U9965" s="4"/>
      <c r="V9965" s="4"/>
      <c r="X9965" s="4"/>
      <c r="Y9965" s="4"/>
    </row>
    <row r="9966" spans="20:25" x14ac:dyDescent="0.3">
      <c r="T9966" s="12"/>
      <c r="U9966" s="4"/>
      <c r="V9966" s="4"/>
      <c r="X9966" s="4"/>
      <c r="Y9966" s="4"/>
    </row>
    <row r="9967" spans="20:25" x14ac:dyDescent="0.3">
      <c r="T9967" s="12"/>
      <c r="U9967" s="4"/>
      <c r="V9967" s="4"/>
      <c r="X9967" s="4"/>
      <c r="Y9967" s="4"/>
    </row>
    <row r="9968" spans="20:25" x14ac:dyDescent="0.3">
      <c r="T9968" s="12"/>
      <c r="U9968" s="4"/>
      <c r="V9968" s="4"/>
      <c r="X9968" s="4"/>
      <c r="Y9968" s="4"/>
    </row>
    <row r="9969" spans="20:25" x14ac:dyDescent="0.3">
      <c r="T9969" s="12"/>
      <c r="U9969" s="4"/>
      <c r="V9969" s="4"/>
      <c r="X9969" s="4"/>
      <c r="Y9969" s="4"/>
    </row>
    <row r="9970" spans="20:25" x14ac:dyDescent="0.3">
      <c r="T9970" s="12"/>
      <c r="U9970" s="4"/>
      <c r="V9970" s="4"/>
      <c r="X9970" s="4"/>
      <c r="Y9970" s="4"/>
    </row>
    <row r="9971" spans="20:25" x14ac:dyDescent="0.3">
      <c r="T9971" s="12"/>
      <c r="U9971" s="4"/>
      <c r="V9971" s="4"/>
      <c r="X9971" s="4"/>
      <c r="Y9971" s="4"/>
    </row>
    <row r="9972" spans="20:25" x14ac:dyDescent="0.3">
      <c r="T9972" s="12"/>
      <c r="U9972" s="4"/>
      <c r="V9972" s="4"/>
      <c r="X9972" s="4"/>
      <c r="Y9972" s="4"/>
    </row>
    <row r="9973" spans="20:25" x14ac:dyDescent="0.3">
      <c r="T9973" s="12"/>
      <c r="U9973" s="4"/>
      <c r="V9973" s="4"/>
      <c r="X9973" s="4"/>
      <c r="Y9973" s="4"/>
    </row>
    <row r="9974" spans="20:25" x14ac:dyDescent="0.3">
      <c r="T9974" s="12"/>
      <c r="U9974" s="4"/>
      <c r="V9974" s="4"/>
      <c r="X9974" s="4"/>
      <c r="Y9974" s="4"/>
    </row>
    <row r="9975" spans="20:25" x14ac:dyDescent="0.3">
      <c r="T9975" s="12"/>
      <c r="U9975" s="4"/>
      <c r="V9975" s="4"/>
      <c r="X9975" s="4"/>
      <c r="Y9975" s="4"/>
    </row>
    <row r="9976" spans="20:25" x14ac:dyDescent="0.3">
      <c r="T9976" s="12"/>
      <c r="U9976" s="4"/>
      <c r="V9976" s="4"/>
      <c r="X9976" s="4"/>
      <c r="Y9976" s="4"/>
    </row>
    <row r="9977" spans="20:25" x14ac:dyDescent="0.3">
      <c r="T9977" s="12"/>
      <c r="U9977" s="4"/>
      <c r="V9977" s="4"/>
      <c r="X9977" s="4"/>
      <c r="Y9977" s="4"/>
    </row>
    <row r="9978" spans="20:25" x14ac:dyDescent="0.3">
      <c r="T9978" s="12"/>
      <c r="U9978" s="4"/>
      <c r="V9978" s="4"/>
      <c r="X9978" s="4"/>
      <c r="Y9978" s="4"/>
    </row>
    <row r="9979" spans="20:25" x14ac:dyDescent="0.3">
      <c r="T9979" s="12"/>
      <c r="U9979" s="4"/>
      <c r="V9979" s="4"/>
      <c r="X9979" s="4"/>
      <c r="Y9979" s="4"/>
    </row>
    <row r="9980" spans="20:25" x14ac:dyDescent="0.3">
      <c r="T9980" s="12"/>
      <c r="U9980" s="4"/>
      <c r="V9980" s="4"/>
      <c r="X9980" s="4"/>
      <c r="Y9980" s="4"/>
    </row>
    <row r="9981" spans="20:25" x14ac:dyDescent="0.3">
      <c r="T9981" s="12"/>
      <c r="U9981" s="4"/>
      <c r="V9981" s="4"/>
      <c r="X9981" s="4"/>
      <c r="Y9981" s="4"/>
    </row>
    <row r="9982" spans="20:25" x14ac:dyDescent="0.3">
      <c r="T9982" s="12"/>
      <c r="U9982" s="4"/>
      <c r="V9982" s="4"/>
      <c r="X9982" s="4"/>
      <c r="Y9982" s="4"/>
    </row>
    <row r="9983" spans="20:25" x14ac:dyDescent="0.3">
      <c r="T9983" s="12"/>
      <c r="U9983" s="4"/>
      <c r="V9983" s="4"/>
      <c r="X9983" s="4"/>
      <c r="Y9983" s="4"/>
    </row>
    <row r="9984" spans="20:25" x14ac:dyDescent="0.3">
      <c r="T9984" s="12"/>
      <c r="U9984" s="4"/>
      <c r="V9984" s="4"/>
      <c r="X9984" s="4"/>
      <c r="Y9984" s="4"/>
    </row>
    <row r="9985" spans="20:25" x14ac:dyDescent="0.3">
      <c r="T9985" s="12"/>
      <c r="U9985" s="4"/>
      <c r="V9985" s="4"/>
      <c r="X9985" s="4"/>
      <c r="Y9985" s="4"/>
    </row>
    <row r="9986" spans="20:25" x14ac:dyDescent="0.3">
      <c r="T9986" s="12"/>
      <c r="U9986" s="4"/>
      <c r="V9986" s="4"/>
      <c r="X9986" s="4"/>
      <c r="Y9986" s="4"/>
    </row>
    <row r="9987" spans="20:25" x14ac:dyDescent="0.3">
      <c r="T9987" s="12"/>
      <c r="U9987" s="4"/>
      <c r="V9987" s="4"/>
      <c r="X9987" s="4"/>
      <c r="Y9987" s="4"/>
    </row>
    <row r="9988" spans="20:25" x14ac:dyDescent="0.3">
      <c r="T9988" s="12"/>
      <c r="U9988" s="4"/>
      <c r="V9988" s="4"/>
      <c r="X9988" s="4"/>
      <c r="Y9988" s="4"/>
    </row>
    <row r="9989" spans="20:25" x14ac:dyDescent="0.3">
      <c r="T9989" s="12"/>
      <c r="U9989" s="4"/>
      <c r="V9989" s="4"/>
      <c r="X9989" s="4"/>
      <c r="Y9989" s="4"/>
    </row>
    <row r="9990" spans="20:25" x14ac:dyDescent="0.3">
      <c r="T9990" s="12"/>
      <c r="U9990" s="4"/>
      <c r="V9990" s="4"/>
      <c r="X9990" s="4"/>
      <c r="Y9990" s="4"/>
    </row>
    <row r="9991" spans="20:25" x14ac:dyDescent="0.3">
      <c r="T9991" s="12"/>
      <c r="U9991" s="4"/>
      <c r="V9991" s="4"/>
      <c r="X9991" s="4"/>
      <c r="Y9991" s="4"/>
    </row>
    <row r="9992" spans="20:25" x14ac:dyDescent="0.3">
      <c r="T9992" s="12"/>
      <c r="U9992" s="4"/>
      <c r="V9992" s="4"/>
      <c r="X9992" s="4"/>
      <c r="Y9992" s="4"/>
    </row>
    <row r="9993" spans="20:25" x14ac:dyDescent="0.3">
      <c r="T9993" s="12"/>
      <c r="U9993" s="4"/>
      <c r="V9993" s="4"/>
      <c r="X9993" s="4"/>
      <c r="Y9993" s="4"/>
    </row>
    <row r="9994" spans="20:25" x14ac:dyDescent="0.3">
      <c r="T9994" s="12"/>
      <c r="U9994" s="4"/>
      <c r="V9994" s="4"/>
      <c r="X9994" s="4"/>
      <c r="Y9994" s="4"/>
    </row>
    <row r="9995" spans="20:25" x14ac:dyDescent="0.3">
      <c r="T9995" s="12"/>
      <c r="U9995" s="4"/>
      <c r="V9995" s="4"/>
      <c r="X9995" s="4"/>
      <c r="Y9995" s="4"/>
    </row>
    <row r="9996" spans="20:25" x14ac:dyDescent="0.3">
      <c r="T9996" s="12"/>
      <c r="U9996" s="4"/>
      <c r="V9996" s="4"/>
      <c r="X9996" s="4"/>
      <c r="Y9996" s="4"/>
    </row>
    <row r="9997" spans="20:25" x14ac:dyDescent="0.3">
      <c r="T9997" s="12"/>
      <c r="U9997" s="4"/>
      <c r="V9997" s="4"/>
      <c r="X9997" s="4"/>
      <c r="Y9997" s="4"/>
    </row>
    <row r="9998" spans="20:25" x14ac:dyDescent="0.3">
      <c r="T9998" s="12"/>
      <c r="U9998" s="4"/>
      <c r="V9998" s="4"/>
      <c r="X9998" s="4"/>
      <c r="Y9998" s="4"/>
    </row>
    <row r="9999" spans="20:25" x14ac:dyDescent="0.3">
      <c r="T9999" s="12"/>
      <c r="U9999" s="4"/>
      <c r="V9999" s="4"/>
      <c r="X9999" s="4"/>
      <c r="Y9999" s="4"/>
    </row>
    <row r="10000" spans="20:25" x14ac:dyDescent="0.3">
      <c r="T10000" s="12"/>
      <c r="U10000" s="4"/>
      <c r="V10000" s="4"/>
      <c r="X10000" s="4"/>
      <c r="Y10000" s="4"/>
    </row>
    <row r="10001" spans="20:25" x14ac:dyDescent="0.3">
      <c r="T10001" s="12"/>
      <c r="U10001" s="4"/>
      <c r="V10001" s="4"/>
      <c r="X10001" s="4"/>
      <c r="Y10001" s="4"/>
    </row>
    <row r="10002" spans="20:25" x14ac:dyDescent="0.3">
      <c r="T10002" s="12"/>
      <c r="U10002" s="4"/>
      <c r="V10002" s="4"/>
      <c r="X10002" s="4"/>
      <c r="Y10002" s="4"/>
    </row>
    <row r="10003" spans="20:25" x14ac:dyDescent="0.3">
      <c r="T10003" s="12"/>
      <c r="U10003" s="4"/>
      <c r="V10003" s="4"/>
      <c r="X10003" s="4"/>
      <c r="Y10003" s="4"/>
    </row>
    <row r="10004" spans="20:25" x14ac:dyDescent="0.3">
      <c r="T10004" s="12"/>
      <c r="U10004" s="4"/>
      <c r="V10004" s="4"/>
      <c r="X10004" s="4"/>
      <c r="Y10004" s="4"/>
    </row>
    <row r="10005" spans="20:25" x14ac:dyDescent="0.3">
      <c r="T10005" s="12"/>
      <c r="U10005" s="4"/>
      <c r="V10005" s="4"/>
      <c r="X10005" s="4"/>
      <c r="Y10005" s="4"/>
    </row>
    <row r="10006" spans="20:25" x14ac:dyDescent="0.3">
      <c r="T10006" s="12"/>
      <c r="U10006" s="4"/>
      <c r="V10006" s="4"/>
      <c r="X10006" s="4"/>
      <c r="Y10006" s="4"/>
    </row>
    <row r="10007" spans="20:25" x14ac:dyDescent="0.3">
      <c r="T10007" s="12"/>
      <c r="U10007" s="4"/>
      <c r="V10007" s="4"/>
      <c r="X10007" s="4"/>
      <c r="Y10007" s="4"/>
    </row>
    <row r="10008" spans="20:25" x14ac:dyDescent="0.3">
      <c r="T10008" s="12"/>
      <c r="U10008" s="4"/>
      <c r="V10008" s="4"/>
      <c r="X10008" s="4"/>
      <c r="Y10008" s="4"/>
    </row>
    <row r="10009" spans="20:25" x14ac:dyDescent="0.3">
      <c r="T10009" s="12"/>
      <c r="U10009" s="4"/>
      <c r="V10009" s="4"/>
      <c r="X10009" s="4"/>
      <c r="Y10009" s="4"/>
    </row>
    <row r="10010" spans="20:25" x14ac:dyDescent="0.3">
      <c r="T10010" s="12"/>
      <c r="U10010" s="4"/>
      <c r="V10010" s="4"/>
      <c r="X10010" s="4"/>
      <c r="Y10010" s="4"/>
    </row>
    <row r="10011" spans="20:25" x14ac:dyDescent="0.3">
      <c r="T10011" s="12"/>
      <c r="U10011" s="4"/>
      <c r="V10011" s="4"/>
      <c r="X10011" s="4"/>
      <c r="Y10011" s="4"/>
    </row>
    <row r="10012" spans="20:25" x14ac:dyDescent="0.3">
      <c r="T10012" s="12"/>
      <c r="U10012" s="4"/>
      <c r="V10012" s="4"/>
      <c r="X10012" s="4"/>
      <c r="Y10012" s="4"/>
    </row>
    <row r="10013" spans="20:25" x14ac:dyDescent="0.3">
      <c r="T10013" s="12"/>
      <c r="U10013" s="4"/>
      <c r="V10013" s="4"/>
      <c r="X10013" s="4"/>
      <c r="Y10013" s="4"/>
    </row>
    <row r="10014" spans="20:25" x14ac:dyDescent="0.3">
      <c r="T10014" s="12"/>
      <c r="U10014" s="4"/>
      <c r="V10014" s="4"/>
      <c r="X10014" s="4"/>
      <c r="Y10014" s="4"/>
    </row>
    <row r="10015" spans="20:25" x14ac:dyDescent="0.3">
      <c r="T10015" s="12"/>
      <c r="U10015" s="4"/>
      <c r="V10015" s="4"/>
      <c r="X10015" s="4"/>
      <c r="Y10015" s="4"/>
    </row>
    <row r="10016" spans="20:25" x14ac:dyDescent="0.3">
      <c r="T10016" s="12"/>
      <c r="U10016" s="4"/>
      <c r="V10016" s="4"/>
      <c r="X10016" s="4"/>
      <c r="Y10016" s="4"/>
    </row>
    <row r="10017" spans="20:25" x14ac:dyDescent="0.3">
      <c r="T10017" s="12"/>
      <c r="U10017" s="4"/>
      <c r="V10017" s="4"/>
      <c r="X10017" s="4"/>
      <c r="Y10017" s="4"/>
    </row>
    <row r="10018" spans="20:25" x14ac:dyDescent="0.3">
      <c r="T10018" s="12"/>
      <c r="U10018" s="4"/>
      <c r="V10018" s="4"/>
      <c r="X10018" s="4"/>
      <c r="Y10018" s="4"/>
    </row>
    <row r="10019" spans="20:25" x14ac:dyDescent="0.3">
      <c r="T10019" s="12"/>
      <c r="U10019" s="4"/>
      <c r="V10019" s="4"/>
      <c r="X10019" s="4"/>
      <c r="Y10019" s="4"/>
    </row>
    <row r="10020" spans="20:25" x14ac:dyDescent="0.3">
      <c r="T10020" s="12"/>
      <c r="U10020" s="4"/>
      <c r="V10020" s="4"/>
      <c r="X10020" s="4"/>
      <c r="Y10020" s="4"/>
    </row>
    <row r="10021" spans="20:25" x14ac:dyDescent="0.3">
      <c r="T10021" s="12"/>
      <c r="U10021" s="4"/>
      <c r="V10021" s="4"/>
      <c r="X10021" s="4"/>
      <c r="Y10021" s="4"/>
    </row>
    <row r="10022" spans="20:25" x14ac:dyDescent="0.3">
      <c r="T10022" s="12"/>
      <c r="U10022" s="4"/>
      <c r="V10022" s="4"/>
      <c r="X10022" s="4"/>
      <c r="Y10022" s="4"/>
    </row>
    <row r="10023" spans="20:25" x14ac:dyDescent="0.3">
      <c r="T10023" s="12"/>
      <c r="U10023" s="4"/>
      <c r="V10023" s="4"/>
      <c r="X10023" s="4"/>
      <c r="Y10023" s="4"/>
    </row>
    <row r="10024" spans="20:25" x14ac:dyDescent="0.3">
      <c r="T10024" s="12"/>
      <c r="U10024" s="4"/>
      <c r="V10024" s="4"/>
      <c r="X10024" s="4"/>
      <c r="Y10024" s="4"/>
    </row>
    <row r="10025" spans="20:25" x14ac:dyDescent="0.3">
      <c r="T10025" s="12"/>
      <c r="U10025" s="4"/>
      <c r="V10025" s="4"/>
      <c r="X10025" s="4"/>
      <c r="Y10025" s="4"/>
    </row>
    <row r="10026" spans="20:25" x14ac:dyDescent="0.3">
      <c r="T10026" s="12"/>
      <c r="U10026" s="4"/>
      <c r="V10026" s="4"/>
      <c r="X10026" s="4"/>
      <c r="Y10026" s="4"/>
    </row>
    <row r="10027" spans="20:25" x14ac:dyDescent="0.3">
      <c r="T10027" s="12"/>
      <c r="U10027" s="4"/>
      <c r="V10027" s="4"/>
      <c r="X10027" s="4"/>
      <c r="Y10027" s="4"/>
    </row>
    <row r="10028" spans="20:25" x14ac:dyDescent="0.3">
      <c r="T10028" s="12"/>
      <c r="U10028" s="4"/>
      <c r="V10028" s="4"/>
      <c r="X10028" s="4"/>
      <c r="Y10028" s="4"/>
    </row>
    <row r="10029" spans="20:25" x14ac:dyDescent="0.3">
      <c r="T10029" s="12"/>
      <c r="U10029" s="4"/>
      <c r="V10029" s="4"/>
      <c r="X10029" s="4"/>
      <c r="Y10029" s="4"/>
    </row>
    <row r="10030" spans="20:25" x14ac:dyDescent="0.3">
      <c r="T10030" s="12"/>
      <c r="U10030" s="4"/>
      <c r="V10030" s="4"/>
      <c r="X10030" s="4"/>
      <c r="Y10030" s="4"/>
    </row>
    <row r="10031" spans="20:25" x14ac:dyDescent="0.3">
      <c r="T10031" s="12"/>
      <c r="U10031" s="4"/>
      <c r="V10031" s="4"/>
      <c r="X10031" s="4"/>
      <c r="Y10031" s="4"/>
    </row>
    <row r="10032" spans="20:25" x14ac:dyDescent="0.3">
      <c r="T10032" s="12"/>
      <c r="U10032" s="4"/>
      <c r="V10032" s="4"/>
      <c r="X10032" s="4"/>
      <c r="Y10032" s="4"/>
    </row>
    <row r="10033" spans="20:25" x14ac:dyDescent="0.3">
      <c r="T10033" s="12"/>
      <c r="U10033" s="4"/>
      <c r="V10033" s="4"/>
      <c r="X10033" s="4"/>
      <c r="Y10033" s="4"/>
    </row>
    <row r="10034" spans="20:25" x14ac:dyDescent="0.3">
      <c r="T10034" s="12"/>
      <c r="U10034" s="4"/>
      <c r="V10034" s="4"/>
      <c r="X10034" s="4"/>
      <c r="Y10034" s="4"/>
    </row>
    <row r="10035" spans="20:25" x14ac:dyDescent="0.3">
      <c r="T10035" s="12"/>
      <c r="U10035" s="4"/>
      <c r="V10035" s="4"/>
      <c r="X10035" s="4"/>
      <c r="Y10035" s="4"/>
    </row>
    <row r="10036" spans="20:25" x14ac:dyDescent="0.3">
      <c r="T10036" s="12"/>
      <c r="U10036" s="4"/>
      <c r="V10036" s="4"/>
      <c r="X10036" s="4"/>
      <c r="Y10036" s="4"/>
    </row>
    <row r="10037" spans="20:25" x14ac:dyDescent="0.3">
      <c r="T10037" s="12"/>
      <c r="U10037" s="4"/>
      <c r="V10037" s="4"/>
      <c r="X10037" s="4"/>
      <c r="Y10037" s="4"/>
    </row>
    <row r="10038" spans="20:25" x14ac:dyDescent="0.3">
      <c r="T10038" s="12"/>
      <c r="U10038" s="4"/>
      <c r="V10038" s="4"/>
      <c r="X10038" s="4"/>
      <c r="Y10038" s="4"/>
    </row>
    <row r="10039" spans="20:25" x14ac:dyDescent="0.3">
      <c r="T10039" s="12"/>
      <c r="U10039" s="4"/>
      <c r="V10039" s="4"/>
      <c r="X10039" s="4"/>
      <c r="Y10039" s="4"/>
    </row>
    <row r="10040" spans="20:25" x14ac:dyDescent="0.3">
      <c r="T10040" s="12"/>
      <c r="U10040" s="4"/>
      <c r="V10040" s="4"/>
      <c r="X10040" s="4"/>
      <c r="Y10040" s="4"/>
    </row>
    <row r="10041" spans="20:25" x14ac:dyDescent="0.3">
      <c r="T10041" s="12"/>
      <c r="U10041" s="4"/>
      <c r="V10041" s="4"/>
      <c r="X10041" s="4"/>
      <c r="Y10041" s="4"/>
    </row>
    <row r="10042" spans="20:25" x14ac:dyDescent="0.3">
      <c r="T10042" s="12"/>
      <c r="U10042" s="4"/>
      <c r="V10042" s="4"/>
      <c r="X10042" s="4"/>
      <c r="Y10042" s="4"/>
    </row>
    <row r="10043" spans="20:25" x14ac:dyDescent="0.3">
      <c r="T10043" s="12"/>
      <c r="U10043" s="4"/>
      <c r="V10043" s="4"/>
      <c r="X10043" s="4"/>
      <c r="Y10043" s="4"/>
    </row>
    <row r="10044" spans="20:25" x14ac:dyDescent="0.3">
      <c r="T10044" s="12"/>
      <c r="U10044" s="4"/>
      <c r="V10044" s="4"/>
      <c r="X10044" s="4"/>
      <c r="Y10044" s="4"/>
    </row>
    <row r="10045" spans="20:25" x14ac:dyDescent="0.3">
      <c r="T10045" s="12"/>
      <c r="U10045" s="4"/>
      <c r="V10045" s="4"/>
      <c r="X10045" s="4"/>
      <c r="Y10045" s="4"/>
    </row>
    <row r="10046" spans="20:25" x14ac:dyDescent="0.3">
      <c r="T10046" s="12"/>
      <c r="U10046" s="4"/>
      <c r="V10046" s="4"/>
      <c r="X10046" s="4"/>
      <c r="Y10046" s="4"/>
    </row>
    <row r="10047" spans="20:25" x14ac:dyDescent="0.3">
      <c r="T10047" s="12"/>
      <c r="U10047" s="4"/>
      <c r="V10047" s="4"/>
      <c r="X10047" s="4"/>
      <c r="Y10047" s="4"/>
    </row>
    <row r="10048" spans="20:25" x14ac:dyDescent="0.3">
      <c r="T10048" s="12"/>
      <c r="U10048" s="4"/>
      <c r="V10048" s="4"/>
      <c r="X10048" s="4"/>
      <c r="Y10048" s="4"/>
    </row>
    <row r="10049" spans="20:25" x14ac:dyDescent="0.3">
      <c r="T10049" s="12"/>
      <c r="U10049" s="4"/>
      <c r="V10049" s="4"/>
      <c r="X10049" s="4"/>
      <c r="Y10049" s="4"/>
    </row>
    <row r="10050" spans="20:25" x14ac:dyDescent="0.3">
      <c r="T10050" s="12"/>
      <c r="U10050" s="4"/>
      <c r="V10050" s="4"/>
      <c r="X10050" s="4"/>
      <c r="Y10050" s="4"/>
    </row>
    <row r="10051" spans="20:25" x14ac:dyDescent="0.3">
      <c r="T10051" s="12"/>
      <c r="U10051" s="4"/>
      <c r="V10051" s="4"/>
      <c r="X10051" s="4"/>
      <c r="Y10051" s="4"/>
    </row>
    <row r="10052" spans="20:25" x14ac:dyDescent="0.3">
      <c r="T10052" s="12"/>
      <c r="U10052" s="4"/>
      <c r="V10052" s="4"/>
      <c r="X10052" s="4"/>
      <c r="Y10052" s="4"/>
    </row>
    <row r="10053" spans="20:25" x14ac:dyDescent="0.3">
      <c r="T10053" s="12"/>
      <c r="U10053" s="4"/>
      <c r="V10053" s="4"/>
      <c r="X10053" s="4"/>
      <c r="Y10053" s="4"/>
    </row>
    <row r="10054" spans="20:25" x14ac:dyDescent="0.3">
      <c r="T10054" s="12"/>
      <c r="U10054" s="4"/>
      <c r="V10054" s="4"/>
      <c r="X10054" s="4"/>
      <c r="Y10054" s="4"/>
    </row>
    <row r="10055" spans="20:25" x14ac:dyDescent="0.3">
      <c r="T10055" s="12"/>
      <c r="U10055" s="4"/>
      <c r="V10055" s="4"/>
      <c r="X10055" s="4"/>
      <c r="Y10055" s="4"/>
    </row>
    <row r="10056" spans="20:25" x14ac:dyDescent="0.3">
      <c r="T10056" s="12"/>
      <c r="U10056" s="4"/>
      <c r="V10056" s="4"/>
      <c r="X10056" s="4"/>
      <c r="Y10056" s="4"/>
    </row>
    <row r="10057" spans="20:25" x14ac:dyDescent="0.3">
      <c r="T10057" s="12"/>
      <c r="U10057" s="4"/>
      <c r="V10057" s="4"/>
      <c r="X10057" s="4"/>
      <c r="Y10057" s="4"/>
    </row>
    <row r="10058" spans="20:25" x14ac:dyDescent="0.3">
      <c r="T10058" s="12"/>
      <c r="U10058" s="4"/>
      <c r="V10058" s="4"/>
      <c r="X10058" s="4"/>
      <c r="Y10058" s="4"/>
    </row>
    <row r="10059" spans="20:25" x14ac:dyDescent="0.3">
      <c r="T10059" s="12"/>
      <c r="U10059" s="4"/>
      <c r="V10059" s="4"/>
      <c r="X10059" s="4"/>
      <c r="Y10059" s="4"/>
    </row>
    <row r="10060" spans="20:25" x14ac:dyDescent="0.3">
      <c r="T10060" s="12"/>
      <c r="U10060" s="4"/>
      <c r="V10060" s="4"/>
      <c r="X10060" s="4"/>
      <c r="Y10060" s="4"/>
    </row>
    <row r="10061" spans="20:25" x14ac:dyDescent="0.3">
      <c r="T10061" s="12"/>
      <c r="U10061" s="4"/>
      <c r="V10061" s="4"/>
      <c r="X10061" s="4"/>
      <c r="Y10061" s="4"/>
    </row>
    <row r="10062" spans="20:25" x14ac:dyDescent="0.3">
      <c r="T10062" s="12"/>
      <c r="U10062" s="4"/>
      <c r="V10062" s="4"/>
      <c r="X10062" s="4"/>
      <c r="Y10062" s="4"/>
    </row>
    <row r="10063" spans="20:25" x14ac:dyDescent="0.3">
      <c r="T10063" s="12"/>
      <c r="U10063" s="4"/>
      <c r="V10063" s="4"/>
      <c r="X10063" s="4"/>
      <c r="Y10063" s="4"/>
    </row>
    <row r="10064" spans="20:25" x14ac:dyDescent="0.3">
      <c r="T10064" s="12"/>
      <c r="U10064" s="4"/>
      <c r="V10064" s="4"/>
      <c r="X10064" s="4"/>
      <c r="Y10064" s="4"/>
    </row>
    <row r="10065" spans="20:25" x14ac:dyDescent="0.3">
      <c r="T10065" s="12"/>
      <c r="U10065" s="4"/>
      <c r="V10065" s="4"/>
      <c r="X10065" s="4"/>
      <c r="Y10065" s="4"/>
    </row>
    <row r="10066" spans="20:25" x14ac:dyDescent="0.3">
      <c r="T10066" s="12"/>
      <c r="U10066" s="4"/>
      <c r="V10066" s="4"/>
      <c r="X10066" s="4"/>
      <c r="Y10066" s="4"/>
    </row>
    <row r="10067" spans="20:25" x14ac:dyDescent="0.3">
      <c r="T10067" s="12"/>
      <c r="U10067" s="4"/>
      <c r="V10067" s="4"/>
      <c r="X10067" s="4"/>
      <c r="Y10067" s="4"/>
    </row>
    <row r="10068" spans="20:25" x14ac:dyDescent="0.3">
      <c r="T10068" s="12"/>
      <c r="U10068" s="4"/>
      <c r="V10068" s="4"/>
      <c r="X10068" s="4"/>
      <c r="Y10068" s="4"/>
    </row>
    <row r="10069" spans="20:25" x14ac:dyDescent="0.3">
      <c r="T10069" s="12"/>
      <c r="U10069" s="4"/>
      <c r="V10069" s="4"/>
      <c r="X10069" s="4"/>
      <c r="Y10069" s="4"/>
    </row>
    <row r="10070" spans="20:25" x14ac:dyDescent="0.3">
      <c r="T10070" s="12"/>
      <c r="U10070" s="4"/>
      <c r="V10070" s="4"/>
      <c r="X10070" s="4"/>
      <c r="Y10070" s="4"/>
    </row>
    <row r="10071" spans="20:25" x14ac:dyDescent="0.3">
      <c r="T10071" s="12"/>
      <c r="U10071" s="4"/>
      <c r="V10071" s="4"/>
      <c r="X10071" s="4"/>
      <c r="Y10071" s="4"/>
    </row>
    <row r="10072" spans="20:25" x14ac:dyDescent="0.3">
      <c r="T10072" s="12"/>
      <c r="U10072" s="4"/>
      <c r="V10072" s="4"/>
      <c r="X10072" s="4"/>
      <c r="Y10072" s="4"/>
    </row>
    <row r="10073" spans="20:25" x14ac:dyDescent="0.3">
      <c r="T10073" s="12"/>
      <c r="U10073" s="4"/>
      <c r="V10073" s="4"/>
      <c r="X10073" s="4"/>
      <c r="Y10073" s="4"/>
    </row>
    <row r="10074" spans="20:25" x14ac:dyDescent="0.3">
      <c r="T10074" s="12"/>
      <c r="U10074" s="4"/>
      <c r="V10074" s="4"/>
      <c r="X10074" s="4"/>
      <c r="Y10074" s="4"/>
    </row>
    <row r="10075" spans="20:25" x14ac:dyDescent="0.3">
      <c r="T10075" s="12"/>
      <c r="U10075" s="4"/>
      <c r="V10075" s="4"/>
      <c r="X10075" s="4"/>
      <c r="Y10075" s="4"/>
    </row>
    <row r="10076" spans="20:25" x14ac:dyDescent="0.3">
      <c r="T10076" s="12"/>
      <c r="U10076" s="4"/>
      <c r="V10076" s="4"/>
      <c r="X10076" s="4"/>
      <c r="Y10076" s="4"/>
    </row>
    <row r="10077" spans="20:25" x14ac:dyDescent="0.3">
      <c r="T10077" s="12"/>
      <c r="U10077" s="4"/>
      <c r="V10077" s="4"/>
      <c r="X10077" s="4"/>
      <c r="Y10077" s="4"/>
    </row>
    <row r="10078" spans="20:25" x14ac:dyDescent="0.3">
      <c r="T10078" s="12"/>
      <c r="U10078" s="4"/>
      <c r="V10078" s="4"/>
      <c r="X10078" s="4"/>
      <c r="Y10078" s="4"/>
    </row>
    <row r="10079" spans="20:25" x14ac:dyDescent="0.3">
      <c r="T10079" s="12"/>
      <c r="U10079" s="4"/>
      <c r="V10079" s="4"/>
      <c r="X10079" s="4"/>
      <c r="Y10079" s="4"/>
    </row>
    <row r="10080" spans="20:25" x14ac:dyDescent="0.3">
      <c r="T10080" s="12"/>
      <c r="U10080" s="4"/>
      <c r="V10080" s="4"/>
      <c r="X10080" s="4"/>
      <c r="Y10080" s="4"/>
    </row>
    <row r="10081" spans="20:25" x14ac:dyDescent="0.3">
      <c r="T10081" s="12"/>
      <c r="U10081" s="4"/>
      <c r="V10081" s="4"/>
      <c r="X10081" s="4"/>
      <c r="Y10081" s="4"/>
    </row>
    <row r="10082" spans="20:25" x14ac:dyDescent="0.3">
      <c r="T10082" s="12"/>
      <c r="U10082" s="4"/>
      <c r="V10082" s="4"/>
      <c r="X10082" s="4"/>
      <c r="Y10082" s="4"/>
    </row>
    <row r="10083" spans="20:25" x14ac:dyDescent="0.3">
      <c r="T10083" s="12"/>
      <c r="U10083" s="4"/>
      <c r="V10083" s="4"/>
      <c r="X10083" s="4"/>
      <c r="Y10083" s="4"/>
    </row>
    <row r="10084" spans="20:25" x14ac:dyDescent="0.3">
      <c r="T10084" s="12"/>
      <c r="U10084" s="4"/>
      <c r="V10084" s="4"/>
      <c r="X10084" s="4"/>
      <c r="Y10084" s="4"/>
    </row>
    <row r="10085" spans="20:25" x14ac:dyDescent="0.3">
      <c r="T10085" s="12"/>
      <c r="U10085" s="4"/>
      <c r="V10085" s="4"/>
      <c r="X10085" s="4"/>
      <c r="Y10085" s="4"/>
    </row>
    <row r="10086" spans="20:25" x14ac:dyDescent="0.3">
      <c r="T10086" s="12"/>
      <c r="U10086" s="4"/>
      <c r="V10086" s="4"/>
      <c r="X10086" s="4"/>
      <c r="Y10086" s="4"/>
    </row>
    <row r="10087" spans="20:25" x14ac:dyDescent="0.3">
      <c r="T10087" s="12"/>
      <c r="U10087" s="4"/>
      <c r="V10087" s="4"/>
      <c r="X10087" s="4"/>
      <c r="Y10087" s="4"/>
    </row>
    <row r="10088" spans="20:25" x14ac:dyDescent="0.3">
      <c r="T10088" s="12"/>
      <c r="U10088" s="4"/>
      <c r="V10088" s="4"/>
      <c r="X10088" s="4"/>
      <c r="Y10088" s="4"/>
    </row>
    <row r="10089" spans="20:25" x14ac:dyDescent="0.3">
      <c r="T10089" s="12"/>
      <c r="U10089" s="4"/>
      <c r="V10089" s="4"/>
      <c r="X10089" s="4"/>
      <c r="Y10089" s="4"/>
    </row>
    <row r="10090" spans="20:25" x14ac:dyDescent="0.3">
      <c r="T10090" s="12"/>
      <c r="U10090" s="4"/>
      <c r="V10090" s="4"/>
      <c r="X10090" s="4"/>
      <c r="Y10090" s="4"/>
    </row>
    <row r="10091" spans="20:25" x14ac:dyDescent="0.3">
      <c r="T10091" s="12"/>
      <c r="U10091" s="4"/>
      <c r="V10091" s="4"/>
      <c r="X10091" s="4"/>
      <c r="Y10091" s="4"/>
    </row>
    <row r="10092" spans="20:25" x14ac:dyDescent="0.3">
      <c r="T10092" s="12"/>
      <c r="U10092" s="4"/>
      <c r="V10092" s="4"/>
      <c r="X10092" s="4"/>
      <c r="Y10092" s="4"/>
    </row>
    <row r="10093" spans="20:25" x14ac:dyDescent="0.3">
      <c r="T10093" s="12"/>
      <c r="U10093" s="4"/>
      <c r="V10093" s="4"/>
      <c r="X10093" s="4"/>
      <c r="Y10093" s="4"/>
    </row>
    <row r="10094" spans="20:25" x14ac:dyDescent="0.3">
      <c r="T10094" s="12"/>
      <c r="U10094" s="4"/>
      <c r="V10094" s="4"/>
      <c r="X10094" s="4"/>
      <c r="Y10094" s="4"/>
    </row>
    <row r="10095" spans="20:25" x14ac:dyDescent="0.3">
      <c r="T10095" s="12"/>
      <c r="U10095" s="4"/>
      <c r="V10095" s="4"/>
      <c r="X10095" s="4"/>
      <c r="Y10095" s="4"/>
    </row>
    <row r="10096" spans="20:25" x14ac:dyDescent="0.3">
      <c r="T10096" s="12"/>
      <c r="U10096" s="4"/>
      <c r="V10096" s="4"/>
      <c r="X10096" s="4"/>
      <c r="Y10096" s="4"/>
    </row>
    <row r="10097" spans="20:25" x14ac:dyDescent="0.3">
      <c r="T10097" s="12"/>
      <c r="U10097" s="4"/>
      <c r="V10097" s="4"/>
      <c r="X10097" s="4"/>
      <c r="Y10097" s="4"/>
    </row>
    <row r="10098" spans="20:25" x14ac:dyDescent="0.3">
      <c r="T10098" s="12"/>
      <c r="U10098" s="4"/>
      <c r="V10098" s="4"/>
      <c r="X10098" s="4"/>
      <c r="Y10098" s="4"/>
    </row>
    <row r="10099" spans="20:25" x14ac:dyDescent="0.3">
      <c r="T10099" s="12"/>
      <c r="U10099" s="4"/>
      <c r="V10099" s="4"/>
      <c r="X10099" s="4"/>
      <c r="Y10099" s="4"/>
    </row>
    <row r="10100" spans="20:25" x14ac:dyDescent="0.3">
      <c r="T10100" s="12"/>
      <c r="U10100" s="4"/>
      <c r="V10100" s="4"/>
      <c r="X10100" s="4"/>
      <c r="Y10100" s="4"/>
    </row>
    <row r="10101" spans="20:25" x14ac:dyDescent="0.3">
      <c r="T10101" s="12"/>
      <c r="U10101" s="4"/>
      <c r="V10101" s="4"/>
      <c r="X10101" s="4"/>
      <c r="Y10101" s="4"/>
    </row>
    <row r="10102" spans="20:25" x14ac:dyDescent="0.3">
      <c r="T10102" s="12"/>
      <c r="U10102" s="4"/>
      <c r="V10102" s="4"/>
      <c r="X10102" s="4"/>
      <c r="Y10102" s="4"/>
    </row>
    <row r="10103" spans="20:25" x14ac:dyDescent="0.3">
      <c r="T10103" s="12"/>
      <c r="U10103" s="4"/>
      <c r="V10103" s="4"/>
      <c r="X10103" s="4"/>
      <c r="Y10103" s="4"/>
    </row>
    <row r="10104" spans="20:25" x14ac:dyDescent="0.3">
      <c r="T10104" s="12"/>
      <c r="U10104" s="4"/>
      <c r="V10104" s="4"/>
      <c r="X10104" s="4"/>
      <c r="Y10104" s="4"/>
    </row>
    <row r="10105" spans="20:25" x14ac:dyDescent="0.3">
      <c r="T10105" s="12"/>
      <c r="U10105" s="4"/>
      <c r="V10105" s="4"/>
      <c r="X10105" s="4"/>
      <c r="Y10105" s="4"/>
    </row>
    <row r="10106" spans="20:25" x14ac:dyDescent="0.3">
      <c r="T10106" s="12"/>
      <c r="U10106" s="4"/>
      <c r="V10106" s="4"/>
      <c r="X10106" s="4"/>
      <c r="Y10106" s="4"/>
    </row>
    <row r="10107" spans="20:25" x14ac:dyDescent="0.3">
      <c r="T10107" s="12"/>
      <c r="U10107" s="4"/>
      <c r="V10107" s="4"/>
      <c r="X10107" s="4"/>
      <c r="Y10107" s="4"/>
    </row>
    <row r="10108" spans="20:25" x14ac:dyDescent="0.3">
      <c r="T10108" s="12"/>
      <c r="U10108" s="4"/>
      <c r="V10108" s="4"/>
      <c r="X10108" s="4"/>
      <c r="Y10108" s="4"/>
    </row>
    <row r="10109" spans="20:25" x14ac:dyDescent="0.3">
      <c r="T10109" s="12"/>
      <c r="U10109" s="4"/>
      <c r="V10109" s="4"/>
      <c r="X10109" s="4"/>
      <c r="Y10109" s="4"/>
    </row>
    <row r="10110" spans="20:25" x14ac:dyDescent="0.3">
      <c r="T10110" s="12"/>
      <c r="U10110" s="4"/>
      <c r="V10110" s="4"/>
      <c r="X10110" s="4"/>
      <c r="Y10110" s="4"/>
    </row>
    <row r="10111" spans="20:25" x14ac:dyDescent="0.3">
      <c r="T10111" s="12"/>
      <c r="U10111" s="4"/>
      <c r="V10111" s="4"/>
      <c r="X10111" s="4"/>
      <c r="Y10111" s="4"/>
    </row>
    <row r="10112" spans="20:25" x14ac:dyDescent="0.3">
      <c r="T10112" s="12"/>
      <c r="U10112" s="4"/>
      <c r="V10112" s="4"/>
      <c r="X10112" s="4"/>
      <c r="Y10112" s="4"/>
    </row>
    <row r="10113" spans="20:25" x14ac:dyDescent="0.3">
      <c r="T10113" s="12"/>
      <c r="U10113" s="4"/>
      <c r="V10113" s="4"/>
      <c r="X10113" s="4"/>
      <c r="Y10113" s="4"/>
    </row>
    <row r="10114" spans="20:25" x14ac:dyDescent="0.3">
      <c r="T10114" s="12"/>
      <c r="U10114" s="4"/>
      <c r="V10114" s="4"/>
      <c r="X10114" s="4"/>
      <c r="Y10114" s="4"/>
    </row>
    <row r="10115" spans="20:25" x14ac:dyDescent="0.3">
      <c r="T10115" s="12"/>
      <c r="U10115" s="4"/>
      <c r="V10115" s="4"/>
      <c r="X10115" s="4"/>
      <c r="Y10115" s="4"/>
    </row>
    <row r="10116" spans="20:25" x14ac:dyDescent="0.3">
      <c r="T10116" s="12"/>
      <c r="U10116" s="4"/>
      <c r="V10116" s="4"/>
      <c r="X10116" s="4"/>
      <c r="Y10116" s="4"/>
    </row>
    <row r="10117" spans="20:25" x14ac:dyDescent="0.3">
      <c r="T10117" s="12"/>
      <c r="U10117" s="4"/>
      <c r="V10117" s="4"/>
      <c r="X10117" s="4"/>
      <c r="Y10117" s="4"/>
    </row>
    <row r="10118" spans="20:25" x14ac:dyDescent="0.3">
      <c r="T10118" s="12"/>
      <c r="U10118" s="4"/>
      <c r="V10118" s="4"/>
      <c r="X10118" s="4"/>
      <c r="Y10118" s="4"/>
    </row>
    <row r="10119" spans="20:25" x14ac:dyDescent="0.3">
      <c r="T10119" s="12"/>
      <c r="U10119" s="4"/>
      <c r="V10119" s="4"/>
      <c r="X10119" s="4"/>
      <c r="Y10119" s="4"/>
    </row>
    <row r="10120" spans="20:25" x14ac:dyDescent="0.3">
      <c r="T10120" s="12"/>
      <c r="U10120" s="4"/>
      <c r="V10120" s="4"/>
      <c r="X10120" s="4"/>
      <c r="Y10120" s="4"/>
    </row>
    <row r="10121" spans="20:25" x14ac:dyDescent="0.3">
      <c r="T10121" s="12"/>
      <c r="U10121" s="4"/>
      <c r="V10121" s="4"/>
      <c r="X10121" s="4"/>
      <c r="Y10121" s="4"/>
    </row>
    <row r="10122" spans="20:25" x14ac:dyDescent="0.3">
      <c r="T10122" s="12"/>
      <c r="U10122" s="4"/>
      <c r="V10122" s="4"/>
      <c r="X10122" s="4"/>
      <c r="Y10122" s="4"/>
    </row>
    <row r="10123" spans="20:25" x14ac:dyDescent="0.3">
      <c r="T10123" s="12"/>
      <c r="U10123" s="4"/>
      <c r="V10123" s="4"/>
      <c r="X10123" s="4"/>
      <c r="Y10123" s="4"/>
    </row>
    <row r="10124" spans="20:25" x14ac:dyDescent="0.3">
      <c r="T10124" s="12"/>
      <c r="U10124" s="4"/>
      <c r="V10124" s="4"/>
      <c r="X10124" s="4"/>
      <c r="Y10124" s="4"/>
    </row>
    <row r="10125" spans="20:25" x14ac:dyDescent="0.3">
      <c r="T10125" s="12"/>
      <c r="U10125" s="4"/>
      <c r="V10125" s="4"/>
      <c r="X10125" s="4"/>
      <c r="Y10125" s="4"/>
    </row>
    <row r="10126" spans="20:25" x14ac:dyDescent="0.3">
      <c r="T10126" s="12"/>
      <c r="U10126" s="4"/>
      <c r="V10126" s="4"/>
      <c r="X10126" s="4"/>
      <c r="Y10126" s="4"/>
    </row>
    <row r="10127" spans="20:25" x14ac:dyDescent="0.3">
      <c r="T10127" s="12"/>
      <c r="U10127" s="4"/>
      <c r="V10127" s="4"/>
      <c r="X10127" s="4"/>
      <c r="Y10127" s="4"/>
    </row>
    <row r="10128" spans="20:25" x14ac:dyDescent="0.3">
      <c r="T10128" s="12"/>
      <c r="U10128" s="4"/>
      <c r="V10128" s="4"/>
      <c r="X10128" s="4"/>
      <c r="Y10128" s="4"/>
    </row>
    <row r="10129" spans="20:25" x14ac:dyDescent="0.3">
      <c r="T10129" s="12"/>
      <c r="U10129" s="4"/>
      <c r="V10129" s="4"/>
      <c r="X10129" s="4"/>
      <c r="Y10129" s="4"/>
    </row>
    <row r="10130" spans="20:25" x14ac:dyDescent="0.3">
      <c r="T10130" s="12"/>
      <c r="U10130" s="4"/>
      <c r="V10130" s="4"/>
      <c r="X10130" s="4"/>
      <c r="Y10130" s="4"/>
    </row>
    <row r="10131" spans="20:25" x14ac:dyDescent="0.3">
      <c r="T10131" s="12"/>
      <c r="U10131" s="4"/>
      <c r="V10131" s="4"/>
      <c r="X10131" s="4"/>
      <c r="Y10131" s="4"/>
    </row>
    <row r="10132" spans="20:25" x14ac:dyDescent="0.3">
      <c r="T10132" s="12"/>
      <c r="U10132" s="4"/>
      <c r="V10132" s="4"/>
      <c r="X10132" s="4"/>
      <c r="Y10132" s="4"/>
    </row>
    <row r="10133" spans="20:25" x14ac:dyDescent="0.3">
      <c r="T10133" s="12"/>
      <c r="U10133" s="4"/>
      <c r="V10133" s="4"/>
      <c r="X10133" s="4"/>
      <c r="Y10133" s="4"/>
    </row>
    <row r="10134" spans="20:25" x14ac:dyDescent="0.3">
      <c r="T10134" s="12"/>
      <c r="U10134" s="4"/>
      <c r="V10134" s="4"/>
      <c r="X10134" s="4"/>
      <c r="Y10134" s="4"/>
    </row>
    <row r="10135" spans="20:25" x14ac:dyDescent="0.3">
      <c r="T10135" s="12"/>
      <c r="U10135" s="4"/>
      <c r="V10135" s="4"/>
      <c r="X10135" s="4"/>
      <c r="Y10135" s="4"/>
    </row>
    <row r="10136" spans="20:25" x14ac:dyDescent="0.3">
      <c r="T10136" s="12"/>
      <c r="U10136" s="4"/>
      <c r="V10136" s="4"/>
      <c r="X10136" s="4"/>
      <c r="Y10136" s="4"/>
    </row>
    <row r="10137" spans="20:25" x14ac:dyDescent="0.3">
      <c r="T10137" s="12"/>
      <c r="U10137" s="4"/>
      <c r="V10137" s="4"/>
      <c r="X10137" s="4"/>
      <c r="Y10137" s="4"/>
    </row>
    <row r="10138" spans="20:25" x14ac:dyDescent="0.3">
      <c r="T10138" s="12"/>
      <c r="U10138" s="4"/>
      <c r="V10138" s="4"/>
      <c r="X10138" s="4"/>
      <c r="Y10138" s="4"/>
    </row>
    <row r="10139" spans="20:25" x14ac:dyDescent="0.3">
      <c r="T10139" s="12"/>
      <c r="U10139" s="4"/>
      <c r="V10139" s="4"/>
      <c r="X10139" s="4"/>
      <c r="Y10139" s="4"/>
    </row>
    <row r="10140" spans="20:25" x14ac:dyDescent="0.3">
      <c r="T10140" s="12"/>
      <c r="U10140" s="4"/>
      <c r="V10140" s="4"/>
      <c r="X10140" s="4"/>
      <c r="Y10140" s="4"/>
    </row>
    <row r="10141" spans="20:25" x14ac:dyDescent="0.3">
      <c r="T10141" s="12"/>
      <c r="U10141" s="4"/>
      <c r="V10141" s="4"/>
      <c r="X10141" s="4"/>
      <c r="Y10141" s="4"/>
    </row>
    <row r="10142" spans="20:25" x14ac:dyDescent="0.3">
      <c r="T10142" s="12"/>
      <c r="U10142" s="4"/>
      <c r="V10142" s="4"/>
      <c r="X10142" s="4"/>
      <c r="Y10142" s="4"/>
    </row>
    <row r="10143" spans="20:25" x14ac:dyDescent="0.3">
      <c r="T10143" s="12"/>
      <c r="U10143" s="4"/>
      <c r="V10143" s="4"/>
      <c r="X10143" s="4"/>
      <c r="Y10143" s="4"/>
    </row>
    <row r="10144" spans="20:25" x14ac:dyDescent="0.3">
      <c r="T10144" s="12"/>
      <c r="U10144" s="4"/>
      <c r="V10144" s="4"/>
      <c r="X10144" s="4"/>
      <c r="Y10144" s="4"/>
    </row>
    <row r="10145" spans="20:25" x14ac:dyDescent="0.3">
      <c r="T10145" s="12"/>
      <c r="U10145" s="4"/>
      <c r="V10145" s="4"/>
      <c r="X10145" s="4"/>
      <c r="Y10145" s="4"/>
    </row>
    <row r="10146" spans="20:25" x14ac:dyDescent="0.3">
      <c r="T10146" s="12"/>
      <c r="U10146" s="4"/>
      <c r="V10146" s="4"/>
      <c r="X10146" s="4"/>
      <c r="Y10146" s="4"/>
    </row>
    <row r="10147" spans="20:25" x14ac:dyDescent="0.3">
      <c r="T10147" s="12"/>
      <c r="U10147" s="4"/>
      <c r="V10147" s="4"/>
      <c r="X10147" s="4"/>
      <c r="Y10147" s="4"/>
    </row>
    <row r="10148" spans="20:25" x14ac:dyDescent="0.3">
      <c r="T10148" s="12"/>
      <c r="U10148" s="4"/>
      <c r="V10148" s="4"/>
      <c r="X10148" s="4"/>
      <c r="Y10148" s="4"/>
    </row>
    <row r="10149" spans="20:25" x14ac:dyDescent="0.3">
      <c r="T10149" s="12"/>
      <c r="U10149" s="4"/>
      <c r="V10149" s="4"/>
      <c r="X10149" s="4"/>
      <c r="Y10149" s="4"/>
    </row>
    <row r="10150" spans="20:25" x14ac:dyDescent="0.3">
      <c r="T10150" s="12"/>
      <c r="U10150" s="4"/>
      <c r="V10150" s="4"/>
      <c r="X10150" s="4"/>
      <c r="Y10150" s="4"/>
    </row>
    <row r="10151" spans="20:25" x14ac:dyDescent="0.3">
      <c r="T10151" s="12"/>
      <c r="U10151" s="4"/>
      <c r="V10151" s="4"/>
      <c r="X10151" s="4"/>
      <c r="Y10151" s="4"/>
    </row>
    <row r="10152" spans="20:25" x14ac:dyDescent="0.3">
      <c r="T10152" s="12"/>
      <c r="U10152" s="4"/>
      <c r="V10152" s="4"/>
      <c r="X10152" s="4"/>
      <c r="Y10152" s="4"/>
    </row>
    <row r="10153" spans="20:25" x14ac:dyDescent="0.3">
      <c r="T10153" s="12"/>
      <c r="U10153" s="4"/>
      <c r="V10153" s="4"/>
      <c r="X10153" s="4"/>
      <c r="Y10153" s="4"/>
    </row>
    <row r="10154" spans="20:25" x14ac:dyDescent="0.3">
      <c r="T10154" s="12"/>
      <c r="U10154" s="4"/>
      <c r="V10154" s="4"/>
      <c r="X10154" s="4"/>
      <c r="Y10154" s="4"/>
    </row>
    <row r="10155" spans="20:25" x14ac:dyDescent="0.3">
      <c r="T10155" s="12"/>
      <c r="U10155" s="4"/>
      <c r="V10155" s="4"/>
      <c r="X10155" s="4"/>
      <c r="Y10155" s="4"/>
    </row>
    <row r="10156" spans="20:25" x14ac:dyDescent="0.3">
      <c r="T10156" s="12"/>
      <c r="U10156" s="4"/>
      <c r="V10156" s="4"/>
      <c r="X10156" s="4"/>
      <c r="Y10156" s="4"/>
    </row>
    <row r="10157" spans="20:25" x14ac:dyDescent="0.3">
      <c r="T10157" s="12"/>
      <c r="U10157" s="4"/>
      <c r="V10157" s="4"/>
      <c r="X10157" s="4"/>
      <c r="Y10157" s="4"/>
    </row>
    <row r="10158" spans="20:25" x14ac:dyDescent="0.3">
      <c r="T10158" s="12"/>
      <c r="U10158" s="4"/>
      <c r="V10158" s="4"/>
      <c r="X10158" s="4"/>
      <c r="Y10158" s="4"/>
    </row>
    <row r="10159" spans="20:25" x14ac:dyDescent="0.3">
      <c r="T10159" s="12"/>
      <c r="U10159" s="4"/>
      <c r="V10159" s="4"/>
      <c r="X10159" s="4"/>
      <c r="Y10159" s="4"/>
    </row>
    <row r="10160" spans="20:25" x14ac:dyDescent="0.3">
      <c r="T10160" s="12"/>
      <c r="U10160" s="4"/>
      <c r="V10160" s="4"/>
      <c r="X10160" s="4"/>
      <c r="Y10160" s="4"/>
    </row>
    <row r="10161" spans="20:25" x14ac:dyDescent="0.3">
      <c r="T10161" s="12"/>
      <c r="U10161" s="4"/>
      <c r="V10161" s="4"/>
      <c r="X10161" s="4"/>
      <c r="Y10161" s="4"/>
    </row>
    <row r="10162" spans="20:25" x14ac:dyDescent="0.3">
      <c r="T10162" s="12"/>
      <c r="U10162" s="4"/>
      <c r="V10162" s="4"/>
      <c r="X10162" s="4"/>
      <c r="Y10162" s="4"/>
    </row>
    <row r="10163" spans="20:25" x14ac:dyDescent="0.3">
      <c r="T10163" s="12"/>
      <c r="U10163" s="4"/>
      <c r="V10163" s="4"/>
      <c r="X10163" s="4"/>
      <c r="Y10163" s="4"/>
    </row>
    <row r="10164" spans="20:25" x14ac:dyDescent="0.3">
      <c r="T10164" s="12"/>
      <c r="U10164" s="4"/>
      <c r="V10164" s="4"/>
      <c r="X10164" s="4"/>
      <c r="Y10164" s="4"/>
    </row>
    <row r="10165" spans="20:25" x14ac:dyDescent="0.3">
      <c r="T10165" s="12"/>
      <c r="U10165" s="4"/>
      <c r="V10165" s="4"/>
      <c r="X10165" s="4"/>
      <c r="Y10165" s="4"/>
    </row>
    <row r="10166" spans="20:25" x14ac:dyDescent="0.3">
      <c r="T10166" s="12"/>
      <c r="U10166" s="4"/>
      <c r="V10166" s="4"/>
      <c r="X10166" s="4"/>
      <c r="Y10166" s="4"/>
    </row>
    <row r="10167" spans="20:25" x14ac:dyDescent="0.3">
      <c r="T10167" s="12"/>
      <c r="U10167" s="4"/>
      <c r="V10167" s="4"/>
      <c r="X10167" s="4"/>
      <c r="Y10167" s="4"/>
    </row>
    <row r="10168" spans="20:25" x14ac:dyDescent="0.3">
      <c r="T10168" s="12"/>
      <c r="U10168" s="4"/>
      <c r="V10168" s="4"/>
      <c r="X10168" s="4"/>
      <c r="Y10168" s="4"/>
    </row>
    <row r="10169" spans="20:25" x14ac:dyDescent="0.3">
      <c r="T10169" s="12"/>
      <c r="U10169" s="4"/>
      <c r="V10169" s="4"/>
      <c r="X10169" s="4"/>
      <c r="Y10169" s="4"/>
    </row>
    <row r="10170" spans="20:25" x14ac:dyDescent="0.3">
      <c r="T10170" s="12"/>
      <c r="U10170" s="4"/>
      <c r="V10170" s="4"/>
      <c r="X10170" s="4"/>
      <c r="Y10170" s="4"/>
    </row>
    <row r="10171" spans="20:25" x14ac:dyDescent="0.3">
      <c r="T10171" s="12"/>
      <c r="U10171" s="4"/>
      <c r="V10171" s="4"/>
      <c r="X10171" s="4"/>
      <c r="Y10171" s="4"/>
    </row>
    <row r="10172" spans="20:25" x14ac:dyDescent="0.3">
      <c r="T10172" s="12"/>
      <c r="U10172" s="4"/>
      <c r="V10172" s="4"/>
      <c r="X10172" s="4"/>
      <c r="Y10172" s="4"/>
    </row>
    <row r="10173" spans="20:25" x14ac:dyDescent="0.3">
      <c r="T10173" s="12"/>
      <c r="U10173" s="4"/>
      <c r="V10173" s="4"/>
      <c r="X10173" s="4"/>
      <c r="Y10173" s="4"/>
    </row>
    <row r="10174" spans="20:25" x14ac:dyDescent="0.3">
      <c r="T10174" s="12"/>
      <c r="U10174" s="4"/>
      <c r="V10174" s="4"/>
      <c r="X10174" s="4"/>
      <c r="Y10174" s="4"/>
    </row>
    <row r="10175" spans="20:25" x14ac:dyDescent="0.3">
      <c r="T10175" s="12"/>
      <c r="U10175" s="4"/>
      <c r="V10175" s="4"/>
      <c r="X10175" s="4"/>
      <c r="Y10175" s="4"/>
    </row>
    <row r="10176" spans="20:25" x14ac:dyDescent="0.3">
      <c r="T10176" s="12"/>
      <c r="U10176" s="4"/>
      <c r="V10176" s="4"/>
      <c r="X10176" s="4"/>
      <c r="Y10176" s="4"/>
    </row>
    <row r="10177" spans="20:25" x14ac:dyDescent="0.3">
      <c r="T10177" s="12"/>
      <c r="U10177" s="4"/>
      <c r="V10177" s="4"/>
      <c r="X10177" s="4"/>
      <c r="Y10177" s="4"/>
    </row>
    <row r="10178" spans="20:25" x14ac:dyDescent="0.3">
      <c r="T10178" s="12"/>
      <c r="U10178" s="4"/>
      <c r="V10178" s="4"/>
      <c r="X10178" s="4"/>
      <c r="Y10178" s="4"/>
    </row>
    <row r="10179" spans="20:25" x14ac:dyDescent="0.3">
      <c r="T10179" s="12"/>
      <c r="U10179" s="4"/>
      <c r="V10179" s="4"/>
      <c r="X10179" s="4"/>
      <c r="Y10179" s="4"/>
    </row>
    <row r="10180" spans="20:25" x14ac:dyDescent="0.3">
      <c r="T10180" s="12"/>
      <c r="U10180" s="4"/>
      <c r="V10180" s="4"/>
      <c r="X10180" s="4"/>
      <c r="Y10180" s="4"/>
    </row>
    <row r="10181" spans="20:25" x14ac:dyDescent="0.3">
      <c r="T10181" s="12"/>
      <c r="U10181" s="4"/>
      <c r="V10181" s="4"/>
      <c r="X10181" s="4"/>
      <c r="Y10181" s="4"/>
    </row>
    <row r="10182" spans="20:25" x14ac:dyDescent="0.3">
      <c r="T10182" s="12"/>
      <c r="U10182" s="4"/>
      <c r="V10182" s="4"/>
      <c r="X10182" s="4"/>
      <c r="Y10182" s="4"/>
    </row>
    <row r="10183" spans="20:25" x14ac:dyDescent="0.3">
      <c r="T10183" s="12"/>
      <c r="U10183" s="4"/>
      <c r="V10183" s="4"/>
      <c r="X10183" s="4"/>
      <c r="Y10183" s="4"/>
    </row>
    <row r="10184" spans="20:25" x14ac:dyDescent="0.3">
      <c r="T10184" s="12"/>
      <c r="U10184" s="4"/>
      <c r="V10184" s="4"/>
      <c r="X10184" s="4"/>
      <c r="Y10184" s="4"/>
    </row>
    <row r="10185" spans="20:25" x14ac:dyDescent="0.3">
      <c r="T10185" s="12"/>
      <c r="U10185" s="4"/>
      <c r="V10185" s="4"/>
      <c r="X10185" s="4"/>
      <c r="Y10185" s="4"/>
    </row>
    <row r="10186" spans="20:25" x14ac:dyDescent="0.3">
      <c r="T10186" s="12"/>
      <c r="U10186" s="4"/>
      <c r="V10186" s="4"/>
      <c r="X10186" s="4"/>
      <c r="Y10186" s="4"/>
    </row>
    <row r="10187" spans="20:25" x14ac:dyDescent="0.3">
      <c r="T10187" s="12"/>
      <c r="U10187" s="4"/>
      <c r="V10187" s="4"/>
      <c r="X10187" s="4"/>
      <c r="Y10187" s="4"/>
    </row>
    <row r="10188" spans="20:25" x14ac:dyDescent="0.3">
      <c r="T10188" s="12"/>
      <c r="U10188" s="4"/>
      <c r="V10188" s="4"/>
      <c r="X10188" s="4"/>
      <c r="Y10188" s="4"/>
    </row>
    <row r="10189" spans="20:25" x14ac:dyDescent="0.3">
      <c r="T10189" s="12"/>
      <c r="U10189" s="4"/>
      <c r="V10189" s="4"/>
      <c r="X10189" s="4"/>
      <c r="Y10189" s="4"/>
    </row>
    <row r="10190" spans="20:25" x14ac:dyDescent="0.3">
      <c r="T10190" s="12"/>
      <c r="U10190" s="4"/>
      <c r="V10190" s="4"/>
      <c r="X10190" s="4"/>
      <c r="Y10190" s="4"/>
    </row>
    <row r="10191" spans="20:25" x14ac:dyDescent="0.3">
      <c r="T10191" s="12"/>
      <c r="U10191" s="4"/>
      <c r="V10191" s="4"/>
      <c r="X10191" s="4"/>
      <c r="Y10191" s="4"/>
    </row>
    <row r="10192" spans="20:25" x14ac:dyDescent="0.3">
      <c r="T10192" s="12"/>
      <c r="U10192" s="4"/>
      <c r="V10192" s="4"/>
      <c r="X10192" s="4"/>
      <c r="Y10192" s="4"/>
    </row>
    <row r="10193" spans="20:25" x14ac:dyDescent="0.3">
      <c r="T10193" s="12"/>
      <c r="U10193" s="4"/>
      <c r="V10193" s="4"/>
      <c r="X10193" s="4"/>
      <c r="Y10193" s="4"/>
    </row>
    <row r="10194" spans="20:25" x14ac:dyDescent="0.3">
      <c r="T10194" s="12"/>
      <c r="U10194" s="4"/>
      <c r="V10194" s="4"/>
      <c r="X10194" s="4"/>
      <c r="Y10194" s="4"/>
    </row>
    <row r="10195" spans="20:25" x14ac:dyDescent="0.3">
      <c r="T10195" s="12"/>
      <c r="U10195" s="4"/>
      <c r="V10195" s="4"/>
      <c r="X10195" s="4"/>
      <c r="Y10195" s="4"/>
    </row>
    <row r="10196" spans="20:25" x14ac:dyDescent="0.3">
      <c r="T10196" s="12"/>
      <c r="U10196" s="4"/>
      <c r="V10196" s="4"/>
      <c r="X10196" s="4"/>
      <c r="Y10196" s="4"/>
    </row>
    <row r="10197" spans="20:25" x14ac:dyDescent="0.3">
      <c r="T10197" s="12"/>
      <c r="U10197" s="4"/>
      <c r="V10197" s="4"/>
      <c r="X10197" s="4"/>
      <c r="Y10197" s="4"/>
    </row>
    <row r="10198" spans="20:25" x14ac:dyDescent="0.3">
      <c r="T10198" s="12"/>
      <c r="U10198" s="4"/>
      <c r="V10198" s="4"/>
      <c r="X10198" s="4"/>
      <c r="Y10198" s="4"/>
    </row>
    <row r="10199" spans="20:25" x14ac:dyDescent="0.3">
      <c r="T10199" s="12"/>
      <c r="U10199" s="4"/>
      <c r="V10199" s="4"/>
      <c r="X10199" s="4"/>
      <c r="Y10199" s="4"/>
    </row>
    <row r="10200" spans="20:25" x14ac:dyDescent="0.3">
      <c r="T10200" s="12"/>
      <c r="U10200" s="4"/>
      <c r="V10200" s="4"/>
      <c r="X10200" s="4"/>
      <c r="Y10200" s="4"/>
    </row>
    <row r="10201" spans="20:25" x14ac:dyDescent="0.3">
      <c r="T10201" s="12"/>
      <c r="U10201" s="4"/>
      <c r="V10201" s="4"/>
      <c r="X10201" s="4"/>
      <c r="Y10201" s="4"/>
    </row>
    <row r="10202" spans="20:25" x14ac:dyDescent="0.3">
      <c r="T10202" s="12"/>
      <c r="U10202" s="4"/>
      <c r="V10202" s="4"/>
      <c r="X10202" s="4"/>
      <c r="Y10202" s="4"/>
    </row>
    <row r="10203" spans="20:25" x14ac:dyDescent="0.3">
      <c r="T10203" s="12"/>
      <c r="U10203" s="4"/>
      <c r="V10203" s="4"/>
      <c r="X10203" s="4"/>
      <c r="Y10203" s="4"/>
    </row>
    <row r="10204" spans="20:25" x14ac:dyDescent="0.3">
      <c r="T10204" s="12"/>
      <c r="U10204" s="4"/>
      <c r="V10204" s="4"/>
      <c r="X10204" s="4"/>
      <c r="Y10204" s="4"/>
    </row>
    <row r="10205" spans="20:25" x14ac:dyDescent="0.3">
      <c r="T10205" s="12"/>
      <c r="U10205" s="4"/>
      <c r="V10205" s="4"/>
      <c r="X10205" s="4"/>
      <c r="Y10205" s="4"/>
    </row>
    <row r="10206" spans="20:25" x14ac:dyDescent="0.3">
      <c r="T10206" s="12"/>
      <c r="U10206" s="4"/>
      <c r="V10206" s="4"/>
      <c r="X10206" s="4"/>
      <c r="Y10206" s="4"/>
    </row>
    <row r="10207" spans="20:25" x14ac:dyDescent="0.3">
      <c r="T10207" s="12"/>
      <c r="U10207" s="4"/>
      <c r="V10207" s="4"/>
      <c r="X10207" s="4"/>
      <c r="Y10207" s="4"/>
    </row>
    <row r="10208" spans="20:25" x14ac:dyDescent="0.3">
      <c r="T10208" s="12"/>
      <c r="U10208" s="4"/>
      <c r="V10208" s="4"/>
      <c r="X10208" s="4"/>
      <c r="Y10208" s="4"/>
    </row>
    <row r="10209" spans="20:25" x14ac:dyDescent="0.3">
      <c r="T10209" s="12"/>
      <c r="U10209" s="4"/>
      <c r="V10209" s="4"/>
      <c r="X10209" s="4"/>
      <c r="Y10209" s="4"/>
    </row>
    <row r="10210" spans="20:25" x14ac:dyDescent="0.3">
      <c r="T10210" s="12"/>
      <c r="U10210" s="4"/>
      <c r="V10210" s="4"/>
      <c r="X10210" s="4"/>
      <c r="Y10210" s="4"/>
    </row>
    <row r="10211" spans="20:25" x14ac:dyDescent="0.3">
      <c r="T10211" s="12"/>
      <c r="U10211" s="4"/>
      <c r="V10211" s="4"/>
      <c r="X10211" s="4"/>
      <c r="Y10211" s="4"/>
    </row>
    <row r="10212" spans="20:25" x14ac:dyDescent="0.3">
      <c r="T10212" s="12"/>
      <c r="U10212" s="4"/>
      <c r="V10212" s="4"/>
      <c r="X10212" s="4"/>
      <c r="Y10212" s="4"/>
    </row>
    <row r="10213" spans="20:25" x14ac:dyDescent="0.3">
      <c r="T10213" s="12"/>
      <c r="U10213" s="4"/>
      <c r="V10213" s="4"/>
      <c r="X10213" s="4"/>
      <c r="Y10213" s="4"/>
    </row>
    <row r="10214" spans="20:25" x14ac:dyDescent="0.3">
      <c r="T10214" s="12"/>
      <c r="U10214" s="4"/>
      <c r="V10214" s="4"/>
      <c r="X10214" s="4"/>
      <c r="Y10214" s="4"/>
    </row>
    <row r="10215" spans="20:25" x14ac:dyDescent="0.3">
      <c r="T10215" s="12"/>
      <c r="U10215" s="4"/>
      <c r="V10215" s="4"/>
      <c r="X10215" s="4"/>
      <c r="Y10215" s="4"/>
    </row>
    <row r="10216" spans="20:25" x14ac:dyDescent="0.3">
      <c r="T10216" s="12"/>
      <c r="U10216" s="4"/>
      <c r="V10216" s="4"/>
      <c r="X10216" s="4"/>
      <c r="Y10216" s="4"/>
    </row>
    <row r="10217" spans="20:25" x14ac:dyDescent="0.3">
      <c r="T10217" s="12"/>
      <c r="U10217" s="4"/>
      <c r="V10217" s="4"/>
      <c r="X10217" s="4"/>
      <c r="Y10217" s="4"/>
    </row>
    <row r="10218" spans="20:25" x14ac:dyDescent="0.3">
      <c r="T10218" s="12"/>
      <c r="U10218" s="4"/>
      <c r="V10218" s="4"/>
      <c r="X10218" s="4"/>
      <c r="Y10218" s="4"/>
    </row>
    <row r="10219" spans="20:25" x14ac:dyDescent="0.3">
      <c r="T10219" s="12"/>
      <c r="U10219" s="4"/>
      <c r="V10219" s="4"/>
      <c r="X10219" s="4"/>
      <c r="Y10219" s="4"/>
    </row>
    <row r="10220" spans="20:25" x14ac:dyDescent="0.3">
      <c r="T10220" s="12"/>
      <c r="U10220" s="4"/>
      <c r="V10220" s="4"/>
      <c r="X10220" s="4"/>
      <c r="Y10220" s="4"/>
    </row>
    <row r="10221" spans="20:25" x14ac:dyDescent="0.3">
      <c r="T10221" s="12"/>
      <c r="U10221" s="4"/>
      <c r="V10221" s="4"/>
      <c r="X10221" s="4"/>
      <c r="Y10221" s="4"/>
    </row>
    <row r="10222" spans="20:25" x14ac:dyDescent="0.3">
      <c r="T10222" s="12"/>
      <c r="U10222" s="4"/>
      <c r="V10222" s="4"/>
      <c r="X10222" s="4"/>
      <c r="Y10222" s="4"/>
    </row>
    <row r="10223" spans="20:25" x14ac:dyDescent="0.3">
      <c r="T10223" s="12"/>
      <c r="U10223" s="4"/>
      <c r="V10223" s="4"/>
      <c r="X10223" s="4"/>
      <c r="Y10223" s="4"/>
    </row>
    <row r="10224" spans="20:25" x14ac:dyDescent="0.3">
      <c r="T10224" s="12"/>
      <c r="U10224" s="4"/>
      <c r="V10224" s="4"/>
      <c r="X10224" s="4"/>
      <c r="Y10224" s="4"/>
    </row>
    <row r="10225" spans="20:25" x14ac:dyDescent="0.3">
      <c r="T10225" s="12"/>
      <c r="U10225" s="4"/>
      <c r="V10225" s="4"/>
      <c r="X10225" s="4"/>
      <c r="Y10225" s="4"/>
    </row>
    <row r="10226" spans="20:25" x14ac:dyDescent="0.3">
      <c r="T10226" s="12"/>
      <c r="U10226" s="4"/>
      <c r="V10226" s="4"/>
      <c r="X10226" s="4"/>
      <c r="Y10226" s="4"/>
    </row>
    <row r="10227" spans="20:25" x14ac:dyDescent="0.3">
      <c r="T10227" s="12"/>
      <c r="U10227" s="4"/>
      <c r="V10227" s="4"/>
      <c r="X10227" s="4"/>
      <c r="Y10227" s="4"/>
    </row>
    <row r="10228" spans="20:25" x14ac:dyDescent="0.3">
      <c r="T10228" s="12"/>
      <c r="U10228" s="4"/>
      <c r="V10228" s="4"/>
      <c r="X10228" s="4"/>
      <c r="Y10228" s="4"/>
    </row>
    <row r="10229" spans="20:25" x14ac:dyDescent="0.3">
      <c r="T10229" s="12"/>
      <c r="U10229" s="4"/>
      <c r="V10229" s="4"/>
      <c r="X10229" s="4"/>
      <c r="Y10229" s="4"/>
    </row>
    <row r="10230" spans="20:25" x14ac:dyDescent="0.3">
      <c r="T10230" s="12"/>
      <c r="U10230" s="4"/>
      <c r="V10230" s="4"/>
      <c r="X10230" s="4"/>
      <c r="Y10230" s="4"/>
    </row>
    <row r="10231" spans="20:25" x14ac:dyDescent="0.3">
      <c r="T10231" s="12"/>
      <c r="U10231" s="4"/>
      <c r="V10231" s="4"/>
      <c r="X10231" s="4"/>
      <c r="Y10231" s="4"/>
    </row>
    <row r="10232" spans="20:25" x14ac:dyDescent="0.3">
      <c r="T10232" s="12"/>
      <c r="U10232" s="4"/>
      <c r="V10232" s="4"/>
      <c r="X10232" s="4"/>
      <c r="Y10232" s="4"/>
    </row>
    <row r="10233" spans="20:25" x14ac:dyDescent="0.3">
      <c r="T10233" s="12"/>
      <c r="U10233" s="4"/>
      <c r="V10233" s="4"/>
      <c r="X10233" s="4"/>
      <c r="Y10233" s="4"/>
    </row>
    <row r="10234" spans="20:25" x14ac:dyDescent="0.3">
      <c r="T10234" s="12"/>
      <c r="U10234" s="4"/>
      <c r="V10234" s="4"/>
      <c r="X10234" s="4"/>
      <c r="Y10234" s="4"/>
    </row>
    <row r="10235" spans="20:25" x14ac:dyDescent="0.3">
      <c r="T10235" s="12"/>
      <c r="U10235" s="4"/>
      <c r="V10235" s="4"/>
      <c r="X10235" s="4"/>
      <c r="Y10235" s="4"/>
    </row>
    <row r="10236" spans="20:25" x14ac:dyDescent="0.3">
      <c r="T10236" s="12"/>
      <c r="U10236" s="4"/>
      <c r="V10236" s="4"/>
      <c r="X10236" s="4"/>
      <c r="Y10236" s="4"/>
    </row>
    <row r="10237" spans="20:25" x14ac:dyDescent="0.3">
      <c r="T10237" s="12"/>
      <c r="U10237" s="4"/>
      <c r="V10237" s="4"/>
      <c r="X10237" s="4"/>
      <c r="Y10237" s="4"/>
    </row>
    <row r="10238" spans="20:25" x14ac:dyDescent="0.3">
      <c r="T10238" s="12"/>
      <c r="U10238" s="4"/>
      <c r="V10238" s="4"/>
      <c r="X10238" s="4"/>
      <c r="Y10238" s="4"/>
    </row>
    <row r="10239" spans="20:25" x14ac:dyDescent="0.3">
      <c r="T10239" s="12"/>
      <c r="U10239" s="4"/>
      <c r="V10239" s="4"/>
      <c r="X10239" s="4"/>
      <c r="Y10239" s="4"/>
    </row>
    <row r="10240" spans="20:25" x14ac:dyDescent="0.3">
      <c r="T10240" s="12"/>
      <c r="U10240" s="4"/>
      <c r="V10240" s="4"/>
      <c r="X10240" s="4"/>
      <c r="Y10240" s="4"/>
    </row>
    <row r="10241" spans="20:25" x14ac:dyDescent="0.3">
      <c r="T10241" s="12"/>
      <c r="U10241" s="4"/>
      <c r="V10241" s="4"/>
      <c r="X10241" s="4"/>
      <c r="Y10241" s="4"/>
    </row>
    <row r="10242" spans="20:25" x14ac:dyDescent="0.3">
      <c r="T10242" s="12"/>
      <c r="U10242" s="4"/>
      <c r="V10242" s="4"/>
      <c r="X10242" s="4"/>
      <c r="Y10242" s="4"/>
    </row>
    <row r="10243" spans="20:25" x14ac:dyDescent="0.3">
      <c r="T10243" s="12"/>
      <c r="U10243" s="4"/>
      <c r="V10243" s="4"/>
      <c r="X10243" s="4"/>
      <c r="Y10243" s="4"/>
    </row>
    <row r="10244" spans="20:25" x14ac:dyDescent="0.3">
      <c r="T10244" s="12"/>
      <c r="U10244" s="4"/>
      <c r="V10244" s="4"/>
      <c r="X10244" s="4"/>
      <c r="Y10244" s="4"/>
    </row>
    <row r="10245" spans="20:25" x14ac:dyDescent="0.3">
      <c r="T10245" s="12"/>
      <c r="U10245" s="4"/>
      <c r="V10245" s="4"/>
      <c r="X10245" s="4"/>
      <c r="Y10245" s="4"/>
    </row>
    <row r="10246" spans="20:25" x14ac:dyDescent="0.3">
      <c r="T10246" s="12"/>
      <c r="U10246" s="4"/>
      <c r="V10246" s="4"/>
      <c r="X10246" s="4"/>
      <c r="Y10246" s="4"/>
    </row>
    <row r="10247" spans="20:25" x14ac:dyDescent="0.3">
      <c r="T10247" s="12"/>
      <c r="U10247" s="4"/>
      <c r="V10247" s="4"/>
      <c r="X10247" s="4"/>
      <c r="Y10247" s="4"/>
    </row>
    <row r="10248" spans="20:25" x14ac:dyDescent="0.3">
      <c r="T10248" s="12"/>
      <c r="U10248" s="4"/>
      <c r="V10248" s="4"/>
      <c r="X10248" s="4"/>
      <c r="Y10248" s="4"/>
    </row>
    <row r="10249" spans="20:25" x14ac:dyDescent="0.3">
      <c r="T10249" s="12"/>
      <c r="U10249" s="4"/>
      <c r="V10249" s="4"/>
      <c r="X10249" s="4"/>
      <c r="Y10249" s="4"/>
    </row>
    <row r="10250" spans="20:25" x14ac:dyDescent="0.3">
      <c r="T10250" s="12"/>
      <c r="U10250" s="4"/>
      <c r="V10250" s="4"/>
      <c r="X10250" s="4"/>
      <c r="Y10250" s="4"/>
    </row>
    <row r="10251" spans="20:25" x14ac:dyDescent="0.3">
      <c r="T10251" s="12"/>
      <c r="U10251" s="4"/>
      <c r="V10251" s="4"/>
      <c r="X10251" s="4"/>
      <c r="Y10251" s="4"/>
    </row>
    <row r="10252" spans="20:25" x14ac:dyDescent="0.3">
      <c r="T10252" s="12"/>
      <c r="U10252" s="4"/>
      <c r="V10252" s="4"/>
      <c r="X10252" s="4"/>
      <c r="Y10252" s="4"/>
    </row>
    <row r="10253" spans="20:25" x14ac:dyDescent="0.3">
      <c r="T10253" s="12"/>
      <c r="U10253" s="4"/>
      <c r="V10253" s="4"/>
      <c r="X10253" s="4"/>
      <c r="Y10253" s="4"/>
    </row>
    <row r="10254" spans="20:25" x14ac:dyDescent="0.3">
      <c r="T10254" s="12"/>
      <c r="U10254" s="4"/>
      <c r="V10254" s="4"/>
      <c r="X10254" s="4"/>
      <c r="Y10254" s="4"/>
    </row>
    <row r="10255" spans="20:25" x14ac:dyDescent="0.3">
      <c r="T10255" s="12"/>
      <c r="U10255" s="4"/>
      <c r="V10255" s="4"/>
      <c r="X10255" s="4"/>
      <c r="Y10255" s="4"/>
    </row>
    <row r="10256" spans="20:25" x14ac:dyDescent="0.3">
      <c r="T10256" s="12"/>
      <c r="U10256" s="4"/>
      <c r="V10256" s="4"/>
      <c r="X10256" s="4"/>
      <c r="Y10256" s="4"/>
    </row>
    <row r="10257" spans="20:25" x14ac:dyDescent="0.3">
      <c r="T10257" s="12"/>
      <c r="U10257" s="4"/>
      <c r="V10257" s="4"/>
      <c r="X10257" s="4"/>
      <c r="Y10257" s="4"/>
    </row>
    <row r="10258" spans="20:25" x14ac:dyDescent="0.3">
      <c r="T10258" s="12"/>
      <c r="U10258" s="4"/>
      <c r="V10258" s="4"/>
      <c r="X10258" s="4"/>
      <c r="Y10258" s="4"/>
    </row>
    <row r="10259" spans="20:25" x14ac:dyDescent="0.3">
      <c r="T10259" s="12"/>
      <c r="U10259" s="4"/>
      <c r="V10259" s="4"/>
      <c r="X10259" s="4"/>
      <c r="Y10259" s="4"/>
    </row>
    <row r="10260" spans="20:25" x14ac:dyDescent="0.3">
      <c r="T10260" s="12"/>
      <c r="U10260" s="4"/>
      <c r="V10260" s="4"/>
      <c r="X10260" s="4"/>
      <c r="Y10260" s="4"/>
    </row>
    <row r="10261" spans="20:25" x14ac:dyDescent="0.3">
      <c r="T10261" s="12"/>
      <c r="U10261" s="4"/>
      <c r="V10261" s="4"/>
      <c r="X10261" s="4"/>
      <c r="Y10261" s="4"/>
    </row>
    <row r="10262" spans="20:25" x14ac:dyDescent="0.3">
      <c r="T10262" s="12"/>
      <c r="U10262" s="4"/>
      <c r="V10262" s="4"/>
      <c r="X10262" s="4"/>
      <c r="Y10262" s="4"/>
    </row>
    <row r="10263" spans="20:25" x14ac:dyDescent="0.3">
      <c r="T10263" s="12"/>
      <c r="U10263" s="4"/>
      <c r="V10263" s="4"/>
      <c r="X10263" s="4"/>
      <c r="Y10263" s="4"/>
    </row>
    <row r="10264" spans="20:25" x14ac:dyDescent="0.3">
      <c r="T10264" s="12"/>
      <c r="U10264" s="4"/>
      <c r="V10264" s="4"/>
      <c r="X10264" s="4"/>
      <c r="Y10264" s="4"/>
    </row>
    <row r="10265" spans="20:25" x14ac:dyDescent="0.3">
      <c r="T10265" s="12"/>
      <c r="U10265" s="4"/>
      <c r="V10265" s="4"/>
      <c r="X10265" s="4"/>
      <c r="Y10265" s="4"/>
    </row>
    <row r="10266" spans="20:25" x14ac:dyDescent="0.3">
      <c r="T10266" s="12"/>
      <c r="U10266" s="4"/>
      <c r="V10266" s="4"/>
      <c r="X10266" s="4"/>
      <c r="Y10266" s="4"/>
    </row>
    <row r="10267" spans="20:25" x14ac:dyDescent="0.3">
      <c r="T10267" s="12"/>
      <c r="U10267" s="4"/>
      <c r="V10267" s="4"/>
      <c r="X10267" s="4"/>
      <c r="Y10267" s="4"/>
    </row>
    <row r="10268" spans="20:25" x14ac:dyDescent="0.3">
      <c r="T10268" s="12"/>
      <c r="U10268" s="4"/>
      <c r="V10268" s="4"/>
      <c r="X10268" s="4"/>
      <c r="Y10268" s="4"/>
    </row>
    <row r="10269" spans="20:25" x14ac:dyDescent="0.3">
      <c r="T10269" s="12"/>
      <c r="U10269" s="4"/>
      <c r="V10269" s="4"/>
      <c r="X10269" s="4"/>
      <c r="Y10269" s="4"/>
    </row>
    <row r="10270" spans="20:25" x14ac:dyDescent="0.3">
      <c r="T10270" s="12"/>
      <c r="U10270" s="4"/>
      <c r="V10270" s="4"/>
      <c r="X10270" s="4"/>
      <c r="Y10270" s="4"/>
    </row>
    <row r="10271" spans="20:25" x14ac:dyDescent="0.3">
      <c r="T10271" s="12"/>
      <c r="U10271" s="4"/>
      <c r="V10271" s="4"/>
      <c r="X10271" s="4"/>
      <c r="Y10271" s="4"/>
    </row>
    <row r="10272" spans="20:25" x14ac:dyDescent="0.3">
      <c r="T10272" s="12"/>
      <c r="U10272" s="4"/>
      <c r="V10272" s="4"/>
      <c r="X10272" s="4"/>
      <c r="Y10272" s="4"/>
    </row>
    <row r="10273" spans="20:25" x14ac:dyDescent="0.3">
      <c r="T10273" s="12"/>
      <c r="U10273" s="4"/>
      <c r="V10273" s="4"/>
      <c r="X10273" s="4"/>
      <c r="Y10273" s="4"/>
    </row>
    <row r="10274" spans="20:25" x14ac:dyDescent="0.3">
      <c r="T10274" s="12"/>
      <c r="U10274" s="4"/>
      <c r="V10274" s="4"/>
      <c r="X10274" s="4"/>
      <c r="Y10274" s="4"/>
    </row>
    <row r="10275" spans="20:25" x14ac:dyDescent="0.3">
      <c r="T10275" s="12"/>
      <c r="U10275" s="4"/>
      <c r="V10275" s="4"/>
      <c r="X10275" s="4"/>
      <c r="Y10275" s="4"/>
    </row>
    <row r="10276" spans="20:25" x14ac:dyDescent="0.3">
      <c r="T10276" s="12"/>
      <c r="U10276" s="4"/>
      <c r="V10276" s="4"/>
      <c r="X10276" s="4"/>
      <c r="Y10276" s="4"/>
    </row>
    <row r="10277" spans="20:25" x14ac:dyDescent="0.3">
      <c r="T10277" s="12"/>
      <c r="U10277" s="4"/>
      <c r="V10277" s="4"/>
      <c r="X10277" s="4"/>
      <c r="Y10277" s="4"/>
    </row>
    <row r="10278" spans="20:25" x14ac:dyDescent="0.3">
      <c r="T10278" s="12"/>
      <c r="U10278" s="4"/>
      <c r="V10278" s="4"/>
      <c r="X10278" s="4"/>
      <c r="Y10278" s="4"/>
    </row>
    <row r="10279" spans="20:25" x14ac:dyDescent="0.3">
      <c r="T10279" s="12"/>
      <c r="U10279" s="4"/>
      <c r="V10279" s="4"/>
      <c r="X10279" s="4"/>
      <c r="Y10279" s="4"/>
    </row>
    <row r="10280" spans="20:25" x14ac:dyDescent="0.3">
      <c r="T10280" s="12"/>
      <c r="U10280" s="4"/>
      <c r="V10280" s="4"/>
      <c r="X10280" s="4"/>
      <c r="Y10280" s="4"/>
    </row>
    <row r="10281" spans="20:25" x14ac:dyDescent="0.3">
      <c r="T10281" s="12"/>
      <c r="U10281" s="4"/>
      <c r="V10281" s="4"/>
      <c r="X10281" s="4"/>
      <c r="Y10281" s="4"/>
    </row>
    <row r="10282" spans="20:25" x14ac:dyDescent="0.3">
      <c r="T10282" s="12"/>
      <c r="U10282" s="4"/>
      <c r="V10282" s="4"/>
      <c r="X10282" s="4"/>
      <c r="Y10282" s="4"/>
    </row>
    <row r="10283" spans="20:25" x14ac:dyDescent="0.3">
      <c r="T10283" s="12"/>
      <c r="U10283" s="4"/>
      <c r="V10283" s="4"/>
      <c r="X10283" s="4"/>
      <c r="Y10283" s="4"/>
    </row>
    <row r="10284" spans="20:25" x14ac:dyDescent="0.3">
      <c r="T10284" s="12"/>
      <c r="U10284" s="4"/>
      <c r="V10284" s="4"/>
      <c r="X10284" s="4"/>
      <c r="Y10284" s="4"/>
    </row>
    <row r="10285" spans="20:25" x14ac:dyDescent="0.3">
      <c r="T10285" s="12"/>
      <c r="U10285" s="4"/>
      <c r="V10285" s="4"/>
      <c r="X10285" s="4"/>
      <c r="Y10285" s="4"/>
    </row>
    <row r="10286" spans="20:25" x14ac:dyDescent="0.3">
      <c r="T10286" s="12"/>
      <c r="U10286" s="4"/>
      <c r="V10286" s="4"/>
      <c r="X10286" s="4"/>
      <c r="Y10286" s="4"/>
    </row>
    <row r="10287" spans="20:25" x14ac:dyDescent="0.3">
      <c r="T10287" s="12"/>
      <c r="U10287" s="4"/>
      <c r="V10287" s="4"/>
      <c r="X10287" s="4"/>
      <c r="Y10287" s="4"/>
    </row>
    <row r="10288" spans="20:25" x14ac:dyDescent="0.3">
      <c r="T10288" s="12"/>
      <c r="U10288" s="4"/>
      <c r="V10288" s="4"/>
      <c r="X10288" s="4"/>
      <c r="Y10288" s="4"/>
    </row>
    <row r="10289" spans="20:25" x14ac:dyDescent="0.3">
      <c r="T10289" s="12"/>
      <c r="U10289" s="4"/>
      <c r="V10289" s="4"/>
      <c r="X10289" s="4"/>
      <c r="Y10289" s="4"/>
    </row>
    <row r="10290" spans="20:25" x14ac:dyDescent="0.3">
      <c r="T10290" s="12"/>
      <c r="U10290" s="4"/>
      <c r="V10290" s="4"/>
      <c r="X10290" s="4"/>
      <c r="Y10290" s="4"/>
    </row>
    <row r="10291" spans="20:25" x14ac:dyDescent="0.3">
      <c r="T10291" s="12"/>
      <c r="U10291" s="4"/>
      <c r="V10291" s="4"/>
      <c r="X10291" s="4"/>
      <c r="Y10291" s="4"/>
    </row>
    <row r="10292" spans="20:25" x14ac:dyDescent="0.3">
      <c r="T10292" s="12"/>
      <c r="U10292" s="4"/>
      <c r="V10292" s="4"/>
      <c r="X10292" s="4"/>
      <c r="Y10292" s="4"/>
    </row>
    <row r="10293" spans="20:25" x14ac:dyDescent="0.3">
      <c r="T10293" s="12"/>
      <c r="U10293" s="4"/>
      <c r="V10293" s="4"/>
      <c r="X10293" s="4"/>
      <c r="Y10293" s="4"/>
    </row>
    <row r="10294" spans="20:25" x14ac:dyDescent="0.3">
      <c r="T10294" s="12"/>
      <c r="U10294" s="4"/>
      <c r="V10294" s="4"/>
      <c r="X10294" s="4"/>
      <c r="Y10294" s="4"/>
    </row>
    <row r="10295" spans="20:25" x14ac:dyDescent="0.3">
      <c r="T10295" s="12"/>
      <c r="U10295" s="4"/>
      <c r="V10295" s="4"/>
      <c r="X10295" s="4"/>
      <c r="Y10295" s="4"/>
    </row>
    <row r="10296" spans="20:25" x14ac:dyDescent="0.3">
      <c r="T10296" s="12"/>
      <c r="U10296" s="4"/>
      <c r="V10296" s="4"/>
      <c r="X10296" s="4"/>
      <c r="Y10296" s="4"/>
    </row>
    <row r="10297" spans="20:25" x14ac:dyDescent="0.3">
      <c r="T10297" s="12"/>
      <c r="U10297" s="4"/>
      <c r="V10297" s="4"/>
      <c r="X10297" s="4"/>
      <c r="Y10297" s="4"/>
    </row>
    <row r="10298" spans="20:25" x14ac:dyDescent="0.3">
      <c r="T10298" s="12"/>
      <c r="U10298" s="4"/>
      <c r="V10298" s="4"/>
      <c r="X10298" s="4"/>
      <c r="Y10298" s="4"/>
    </row>
    <row r="10299" spans="20:25" x14ac:dyDescent="0.3">
      <c r="T10299" s="12"/>
      <c r="U10299" s="4"/>
      <c r="V10299" s="4"/>
      <c r="X10299" s="4"/>
      <c r="Y10299" s="4"/>
    </row>
    <row r="10300" spans="20:25" x14ac:dyDescent="0.3">
      <c r="T10300" s="12"/>
      <c r="U10300" s="4"/>
      <c r="V10300" s="4"/>
      <c r="X10300" s="4"/>
      <c r="Y10300" s="4"/>
    </row>
    <row r="10301" spans="20:25" x14ac:dyDescent="0.3">
      <c r="T10301" s="12"/>
      <c r="U10301" s="4"/>
      <c r="V10301" s="4"/>
      <c r="X10301" s="4"/>
      <c r="Y10301" s="4"/>
    </row>
    <row r="10302" spans="20:25" x14ac:dyDescent="0.3">
      <c r="T10302" s="12"/>
      <c r="U10302" s="4"/>
      <c r="V10302" s="4"/>
      <c r="X10302" s="4"/>
      <c r="Y10302" s="4"/>
    </row>
    <row r="10303" spans="20:25" x14ac:dyDescent="0.3">
      <c r="T10303" s="12"/>
      <c r="U10303" s="4"/>
      <c r="V10303" s="4"/>
      <c r="X10303" s="4"/>
      <c r="Y10303" s="4"/>
    </row>
    <row r="10304" spans="20:25" x14ac:dyDescent="0.3">
      <c r="T10304" s="12"/>
      <c r="U10304" s="4"/>
      <c r="V10304" s="4"/>
      <c r="X10304" s="4"/>
      <c r="Y10304" s="4"/>
    </row>
    <row r="10305" spans="20:25" x14ac:dyDescent="0.3">
      <c r="T10305" s="12"/>
      <c r="U10305" s="4"/>
      <c r="V10305" s="4"/>
      <c r="X10305" s="4"/>
      <c r="Y10305" s="4"/>
    </row>
    <row r="10306" spans="20:25" x14ac:dyDescent="0.3">
      <c r="T10306" s="12"/>
      <c r="U10306" s="4"/>
      <c r="V10306" s="4"/>
      <c r="X10306" s="4"/>
      <c r="Y10306" s="4"/>
    </row>
    <row r="10307" spans="20:25" x14ac:dyDescent="0.3">
      <c r="T10307" s="12"/>
      <c r="U10307" s="4"/>
      <c r="V10307" s="4"/>
      <c r="X10307" s="4"/>
      <c r="Y10307" s="4"/>
    </row>
    <row r="10308" spans="20:25" x14ac:dyDescent="0.3">
      <c r="T10308" s="12"/>
      <c r="U10308" s="4"/>
      <c r="V10308" s="4"/>
      <c r="X10308" s="4"/>
      <c r="Y10308" s="4"/>
    </row>
    <row r="10309" spans="20:25" x14ac:dyDescent="0.3">
      <c r="T10309" s="12"/>
      <c r="U10309" s="4"/>
      <c r="V10309" s="4"/>
      <c r="X10309" s="4"/>
      <c r="Y10309" s="4"/>
    </row>
    <row r="10310" spans="20:25" x14ac:dyDescent="0.3">
      <c r="T10310" s="12"/>
      <c r="U10310" s="4"/>
      <c r="V10310" s="4"/>
      <c r="X10310" s="4"/>
      <c r="Y10310" s="4"/>
    </row>
    <row r="10311" spans="20:25" x14ac:dyDescent="0.3">
      <c r="T10311" s="12"/>
      <c r="U10311" s="4"/>
      <c r="V10311" s="4"/>
      <c r="X10311" s="4"/>
      <c r="Y10311" s="4"/>
    </row>
    <row r="10312" spans="20:25" x14ac:dyDescent="0.3">
      <c r="T10312" s="12"/>
      <c r="U10312" s="4"/>
      <c r="V10312" s="4"/>
      <c r="X10312" s="4"/>
      <c r="Y10312" s="4"/>
    </row>
    <row r="10313" spans="20:25" x14ac:dyDescent="0.3">
      <c r="T10313" s="12"/>
      <c r="U10313" s="4"/>
      <c r="V10313" s="4"/>
      <c r="X10313" s="4"/>
      <c r="Y10313" s="4"/>
    </row>
    <row r="10314" spans="20:25" x14ac:dyDescent="0.3">
      <c r="T10314" s="12"/>
      <c r="U10314" s="4"/>
      <c r="V10314" s="4"/>
      <c r="X10314" s="4"/>
      <c r="Y10314" s="4"/>
    </row>
    <row r="10315" spans="20:25" x14ac:dyDescent="0.3">
      <c r="T10315" s="12"/>
      <c r="U10315" s="4"/>
      <c r="V10315" s="4"/>
      <c r="X10315" s="4"/>
      <c r="Y10315" s="4"/>
    </row>
    <row r="10316" spans="20:25" x14ac:dyDescent="0.3">
      <c r="T10316" s="12"/>
      <c r="U10316" s="4"/>
      <c r="V10316" s="4"/>
      <c r="X10316" s="4"/>
      <c r="Y10316" s="4"/>
    </row>
    <row r="10317" spans="20:25" x14ac:dyDescent="0.3">
      <c r="T10317" s="12"/>
      <c r="U10317" s="4"/>
      <c r="V10317" s="4"/>
      <c r="X10317" s="4"/>
      <c r="Y10317" s="4"/>
    </row>
    <row r="10318" spans="20:25" x14ac:dyDescent="0.3">
      <c r="T10318" s="12"/>
      <c r="U10318" s="4"/>
      <c r="V10318" s="4"/>
      <c r="X10318" s="4"/>
      <c r="Y10318" s="4"/>
    </row>
    <row r="10319" spans="20:25" x14ac:dyDescent="0.3">
      <c r="T10319" s="12"/>
      <c r="U10319" s="4"/>
      <c r="V10319" s="4"/>
      <c r="X10319" s="4"/>
      <c r="Y10319" s="4"/>
    </row>
    <row r="10320" spans="20:25" x14ac:dyDescent="0.3">
      <c r="T10320" s="12"/>
      <c r="U10320" s="4"/>
      <c r="V10320" s="4"/>
      <c r="X10320" s="4"/>
      <c r="Y10320" s="4"/>
    </row>
    <row r="10321" spans="20:25" x14ac:dyDescent="0.3">
      <c r="T10321" s="12"/>
      <c r="U10321" s="4"/>
      <c r="V10321" s="4"/>
      <c r="X10321" s="4"/>
      <c r="Y10321" s="4"/>
    </row>
    <row r="10322" spans="20:25" x14ac:dyDescent="0.3">
      <c r="T10322" s="12"/>
      <c r="U10322" s="4"/>
      <c r="V10322" s="4"/>
      <c r="X10322" s="4"/>
      <c r="Y10322" s="4"/>
    </row>
    <row r="10323" spans="20:25" x14ac:dyDescent="0.3">
      <c r="T10323" s="12"/>
      <c r="U10323" s="4"/>
      <c r="V10323" s="4"/>
      <c r="X10323" s="4"/>
      <c r="Y10323" s="4"/>
    </row>
    <row r="10324" spans="20:25" x14ac:dyDescent="0.3">
      <c r="T10324" s="12"/>
      <c r="U10324" s="4"/>
      <c r="V10324" s="4"/>
      <c r="X10324" s="4"/>
      <c r="Y10324" s="4"/>
    </row>
    <row r="10325" spans="20:25" x14ac:dyDescent="0.3">
      <c r="T10325" s="12"/>
      <c r="U10325" s="4"/>
      <c r="V10325" s="4"/>
      <c r="X10325" s="4"/>
      <c r="Y10325" s="4"/>
    </row>
    <row r="10326" spans="20:25" x14ac:dyDescent="0.3">
      <c r="T10326" s="12"/>
      <c r="U10326" s="4"/>
      <c r="V10326" s="4"/>
      <c r="X10326" s="4"/>
      <c r="Y10326" s="4"/>
    </row>
    <row r="10327" spans="20:25" x14ac:dyDescent="0.3">
      <c r="T10327" s="12"/>
      <c r="U10327" s="4"/>
      <c r="V10327" s="4"/>
      <c r="X10327" s="4"/>
      <c r="Y10327" s="4"/>
    </row>
    <row r="10328" spans="20:25" x14ac:dyDescent="0.3">
      <c r="T10328" s="12"/>
      <c r="U10328" s="4"/>
      <c r="V10328" s="4"/>
      <c r="X10328" s="4"/>
      <c r="Y10328" s="4"/>
    </row>
    <row r="10329" spans="20:25" x14ac:dyDescent="0.3">
      <c r="T10329" s="12"/>
      <c r="U10329" s="4"/>
      <c r="V10329" s="4"/>
      <c r="X10329" s="4"/>
      <c r="Y10329" s="4"/>
    </row>
    <row r="10330" spans="20:25" x14ac:dyDescent="0.3">
      <c r="T10330" s="12"/>
      <c r="U10330" s="4"/>
      <c r="V10330" s="4"/>
      <c r="X10330" s="4"/>
      <c r="Y10330" s="4"/>
    </row>
    <row r="10331" spans="20:25" x14ac:dyDescent="0.3">
      <c r="T10331" s="12"/>
      <c r="U10331" s="4"/>
      <c r="V10331" s="4"/>
      <c r="X10331" s="4"/>
      <c r="Y10331" s="4"/>
    </row>
    <row r="10332" spans="20:25" x14ac:dyDescent="0.3">
      <c r="T10332" s="12"/>
      <c r="U10332" s="4"/>
      <c r="V10332" s="4"/>
      <c r="X10332" s="4"/>
      <c r="Y10332" s="4"/>
    </row>
    <row r="10333" spans="20:25" x14ac:dyDescent="0.3">
      <c r="T10333" s="12"/>
      <c r="U10333" s="4"/>
      <c r="V10333" s="4"/>
      <c r="X10333" s="4"/>
      <c r="Y10333" s="4"/>
    </row>
    <row r="10334" spans="20:25" x14ac:dyDescent="0.3">
      <c r="T10334" s="12"/>
      <c r="U10334" s="4"/>
      <c r="V10334" s="4"/>
      <c r="X10334" s="4"/>
      <c r="Y10334" s="4"/>
    </row>
    <row r="10335" spans="20:25" x14ac:dyDescent="0.3">
      <c r="T10335" s="12"/>
      <c r="U10335" s="4"/>
      <c r="V10335" s="4"/>
      <c r="X10335" s="4"/>
      <c r="Y10335" s="4"/>
    </row>
    <row r="10336" spans="20:25" x14ac:dyDescent="0.3">
      <c r="T10336" s="12"/>
      <c r="U10336" s="4"/>
      <c r="V10336" s="4"/>
      <c r="X10336" s="4"/>
      <c r="Y10336" s="4"/>
    </row>
    <row r="10337" spans="20:25" x14ac:dyDescent="0.3">
      <c r="T10337" s="12"/>
      <c r="U10337" s="4"/>
      <c r="V10337" s="4"/>
      <c r="X10337" s="4"/>
      <c r="Y10337" s="4"/>
    </row>
    <row r="10338" spans="20:25" x14ac:dyDescent="0.3">
      <c r="T10338" s="12"/>
      <c r="U10338" s="4"/>
      <c r="V10338" s="4"/>
      <c r="X10338" s="4"/>
      <c r="Y10338" s="4"/>
    </row>
    <row r="10339" spans="20:25" x14ac:dyDescent="0.3">
      <c r="T10339" s="12"/>
      <c r="U10339" s="4"/>
      <c r="V10339" s="4"/>
      <c r="X10339" s="4"/>
      <c r="Y10339" s="4"/>
    </row>
    <row r="10340" spans="20:25" x14ac:dyDescent="0.3">
      <c r="T10340" s="12"/>
      <c r="U10340" s="4"/>
      <c r="V10340" s="4"/>
      <c r="X10340" s="4"/>
      <c r="Y10340" s="4"/>
    </row>
    <row r="10341" spans="20:25" x14ac:dyDescent="0.3">
      <c r="T10341" s="12"/>
      <c r="U10341" s="4"/>
      <c r="V10341" s="4"/>
      <c r="X10341" s="4"/>
      <c r="Y10341" s="4"/>
    </row>
    <row r="10342" spans="20:25" x14ac:dyDescent="0.3">
      <c r="T10342" s="12"/>
      <c r="U10342" s="4"/>
      <c r="V10342" s="4"/>
      <c r="X10342" s="4"/>
      <c r="Y10342" s="4"/>
    </row>
    <row r="10343" spans="20:25" x14ac:dyDescent="0.3">
      <c r="T10343" s="12"/>
      <c r="U10343" s="4"/>
      <c r="V10343" s="4"/>
      <c r="X10343" s="4"/>
      <c r="Y10343" s="4"/>
    </row>
    <row r="10344" spans="20:25" x14ac:dyDescent="0.3">
      <c r="T10344" s="12"/>
      <c r="U10344" s="4"/>
      <c r="V10344" s="4"/>
      <c r="X10344" s="4"/>
      <c r="Y10344" s="4"/>
    </row>
    <row r="10345" spans="20:25" x14ac:dyDescent="0.3">
      <c r="T10345" s="12"/>
      <c r="U10345" s="4"/>
      <c r="V10345" s="4"/>
      <c r="X10345" s="4"/>
      <c r="Y10345" s="4"/>
    </row>
    <row r="10346" spans="20:25" x14ac:dyDescent="0.3">
      <c r="T10346" s="12"/>
      <c r="U10346" s="4"/>
      <c r="V10346" s="4"/>
      <c r="X10346" s="4"/>
      <c r="Y10346" s="4"/>
    </row>
    <row r="10347" spans="20:25" x14ac:dyDescent="0.3">
      <c r="T10347" s="12"/>
      <c r="U10347" s="4"/>
      <c r="V10347" s="4"/>
      <c r="X10347" s="4"/>
      <c r="Y10347" s="4"/>
    </row>
    <row r="10348" spans="20:25" x14ac:dyDescent="0.3">
      <c r="T10348" s="12"/>
      <c r="U10348" s="4"/>
      <c r="V10348" s="4"/>
      <c r="X10348" s="4"/>
      <c r="Y10348" s="4"/>
    </row>
    <row r="10349" spans="20:25" x14ac:dyDescent="0.3">
      <c r="T10349" s="12"/>
      <c r="U10349" s="4"/>
      <c r="V10349" s="4"/>
      <c r="X10349" s="4"/>
      <c r="Y10349" s="4"/>
    </row>
    <row r="10350" spans="20:25" x14ac:dyDescent="0.3">
      <c r="T10350" s="12"/>
      <c r="U10350" s="4"/>
      <c r="V10350" s="4"/>
      <c r="X10350" s="4"/>
      <c r="Y10350" s="4"/>
    </row>
    <row r="10351" spans="20:25" x14ac:dyDescent="0.3">
      <c r="T10351" s="12"/>
      <c r="U10351" s="4"/>
      <c r="V10351" s="4"/>
      <c r="X10351" s="4"/>
      <c r="Y10351" s="4"/>
    </row>
    <row r="10352" spans="20:25" x14ac:dyDescent="0.3">
      <c r="T10352" s="12"/>
      <c r="U10352" s="4"/>
      <c r="V10352" s="4"/>
      <c r="X10352" s="4"/>
      <c r="Y10352" s="4"/>
    </row>
    <row r="10353" spans="20:25" x14ac:dyDescent="0.3">
      <c r="T10353" s="12"/>
      <c r="U10353" s="4"/>
      <c r="V10353" s="4"/>
      <c r="X10353" s="4"/>
      <c r="Y10353" s="4"/>
    </row>
    <row r="10354" spans="20:25" x14ac:dyDescent="0.3">
      <c r="T10354" s="12"/>
      <c r="U10354" s="4"/>
      <c r="V10354" s="4"/>
      <c r="X10354" s="4"/>
      <c r="Y10354" s="4"/>
    </row>
    <row r="10355" spans="20:25" x14ac:dyDescent="0.3">
      <c r="T10355" s="12"/>
      <c r="U10355" s="4"/>
      <c r="V10355" s="4"/>
      <c r="X10355" s="4"/>
      <c r="Y10355" s="4"/>
    </row>
    <row r="10356" spans="20:25" x14ac:dyDescent="0.3">
      <c r="T10356" s="12"/>
      <c r="U10356" s="4"/>
      <c r="V10356" s="4"/>
      <c r="X10356" s="4"/>
      <c r="Y10356" s="4"/>
    </row>
    <row r="10357" spans="20:25" x14ac:dyDescent="0.3">
      <c r="T10357" s="12"/>
      <c r="U10357" s="4"/>
      <c r="V10357" s="4"/>
      <c r="X10357" s="4"/>
      <c r="Y10357" s="4"/>
    </row>
    <row r="10358" spans="20:25" x14ac:dyDescent="0.3">
      <c r="T10358" s="12"/>
      <c r="U10358" s="4"/>
      <c r="V10358" s="4"/>
      <c r="X10358" s="4"/>
      <c r="Y10358" s="4"/>
    </row>
    <row r="10359" spans="20:25" x14ac:dyDescent="0.3">
      <c r="T10359" s="12"/>
      <c r="U10359" s="4"/>
      <c r="V10359" s="4"/>
      <c r="X10359" s="4"/>
      <c r="Y10359" s="4"/>
    </row>
    <row r="10360" spans="20:25" x14ac:dyDescent="0.3">
      <c r="T10360" s="12"/>
      <c r="U10360" s="4"/>
      <c r="V10360" s="4"/>
      <c r="X10360" s="4"/>
      <c r="Y10360" s="4"/>
    </row>
    <row r="10361" spans="20:25" x14ac:dyDescent="0.3">
      <c r="T10361" s="12"/>
      <c r="U10361" s="4"/>
      <c r="V10361" s="4"/>
      <c r="X10361" s="4"/>
      <c r="Y10361" s="4"/>
    </row>
    <row r="10362" spans="20:25" x14ac:dyDescent="0.3">
      <c r="T10362" s="12"/>
      <c r="U10362" s="4"/>
      <c r="V10362" s="4"/>
      <c r="X10362" s="4"/>
      <c r="Y10362" s="4"/>
    </row>
    <row r="10363" spans="20:25" x14ac:dyDescent="0.3">
      <c r="T10363" s="12"/>
      <c r="U10363" s="4"/>
      <c r="V10363" s="4"/>
      <c r="X10363" s="4"/>
      <c r="Y10363" s="4"/>
    </row>
    <row r="10364" spans="20:25" x14ac:dyDescent="0.3">
      <c r="T10364" s="12"/>
      <c r="U10364" s="4"/>
      <c r="V10364" s="4"/>
      <c r="X10364" s="4"/>
      <c r="Y10364" s="4"/>
    </row>
    <row r="10365" spans="20:25" x14ac:dyDescent="0.3">
      <c r="T10365" s="12"/>
      <c r="U10365" s="4"/>
      <c r="V10365" s="4"/>
      <c r="X10365" s="4"/>
      <c r="Y10365" s="4"/>
    </row>
    <row r="10366" spans="20:25" x14ac:dyDescent="0.3">
      <c r="T10366" s="12"/>
      <c r="U10366" s="4"/>
      <c r="V10366" s="4"/>
      <c r="X10366" s="4"/>
      <c r="Y10366" s="4"/>
    </row>
    <row r="10367" spans="20:25" x14ac:dyDescent="0.3">
      <c r="T10367" s="12"/>
      <c r="U10367" s="4"/>
      <c r="V10367" s="4"/>
      <c r="X10367" s="4"/>
      <c r="Y10367" s="4"/>
    </row>
    <row r="10368" spans="20:25" x14ac:dyDescent="0.3">
      <c r="T10368" s="12"/>
      <c r="U10368" s="4"/>
      <c r="V10368" s="4"/>
      <c r="X10368" s="4"/>
      <c r="Y10368" s="4"/>
    </row>
    <row r="10369" spans="20:25" x14ac:dyDescent="0.3">
      <c r="T10369" s="12"/>
      <c r="U10369" s="4"/>
      <c r="V10369" s="4"/>
      <c r="X10369" s="4"/>
      <c r="Y10369" s="4"/>
    </row>
    <row r="10370" spans="20:25" x14ac:dyDescent="0.3">
      <c r="T10370" s="12"/>
      <c r="U10370" s="4"/>
      <c r="V10370" s="4"/>
      <c r="X10370" s="4"/>
      <c r="Y10370" s="4"/>
    </row>
    <row r="10371" spans="20:25" x14ac:dyDescent="0.3">
      <c r="T10371" s="12"/>
      <c r="U10371" s="4"/>
      <c r="V10371" s="4"/>
      <c r="X10371" s="4"/>
      <c r="Y10371" s="4"/>
    </row>
    <row r="10372" spans="20:25" x14ac:dyDescent="0.3">
      <c r="T10372" s="12"/>
      <c r="U10372" s="4"/>
      <c r="V10372" s="4"/>
      <c r="X10372" s="4"/>
      <c r="Y10372" s="4"/>
    </row>
    <row r="10373" spans="20:25" x14ac:dyDescent="0.3">
      <c r="T10373" s="12"/>
      <c r="U10373" s="4"/>
      <c r="V10373" s="4"/>
      <c r="X10373" s="4"/>
      <c r="Y10373" s="4"/>
    </row>
    <row r="10374" spans="20:25" x14ac:dyDescent="0.3">
      <c r="T10374" s="12"/>
      <c r="U10374" s="4"/>
      <c r="V10374" s="4"/>
      <c r="X10374" s="4"/>
      <c r="Y10374" s="4"/>
    </row>
    <row r="10375" spans="20:25" x14ac:dyDescent="0.3">
      <c r="T10375" s="12"/>
      <c r="U10375" s="4"/>
      <c r="V10375" s="4"/>
      <c r="X10375" s="4"/>
      <c r="Y10375" s="4"/>
    </row>
    <row r="10376" spans="20:25" x14ac:dyDescent="0.3">
      <c r="T10376" s="12"/>
      <c r="U10376" s="4"/>
      <c r="V10376" s="4"/>
      <c r="X10376" s="4"/>
      <c r="Y10376" s="4"/>
    </row>
    <row r="10377" spans="20:25" x14ac:dyDescent="0.3">
      <c r="T10377" s="12"/>
      <c r="U10377" s="4"/>
      <c r="V10377" s="4"/>
      <c r="X10377" s="4"/>
      <c r="Y10377" s="4"/>
    </row>
    <row r="10378" spans="20:25" x14ac:dyDescent="0.3">
      <c r="T10378" s="12"/>
      <c r="U10378" s="4"/>
      <c r="V10378" s="4"/>
      <c r="X10378" s="4"/>
      <c r="Y10378" s="4"/>
    </row>
    <row r="10379" spans="20:25" x14ac:dyDescent="0.3">
      <c r="T10379" s="12"/>
      <c r="U10379" s="4"/>
      <c r="V10379" s="4"/>
      <c r="X10379" s="4"/>
      <c r="Y10379" s="4"/>
    </row>
    <row r="10380" spans="20:25" x14ac:dyDescent="0.3">
      <c r="T10380" s="12"/>
      <c r="U10380" s="4"/>
      <c r="V10380" s="4"/>
      <c r="X10380" s="4"/>
      <c r="Y10380" s="4"/>
    </row>
    <row r="10381" spans="20:25" x14ac:dyDescent="0.3">
      <c r="T10381" s="12"/>
      <c r="U10381" s="4"/>
      <c r="V10381" s="4"/>
      <c r="X10381" s="4"/>
      <c r="Y10381" s="4"/>
    </row>
    <row r="10382" spans="20:25" x14ac:dyDescent="0.3">
      <c r="T10382" s="12"/>
      <c r="U10382" s="4"/>
      <c r="V10382" s="4"/>
      <c r="X10382" s="4"/>
      <c r="Y10382" s="4"/>
    </row>
    <row r="10383" spans="20:25" x14ac:dyDescent="0.3">
      <c r="T10383" s="12"/>
      <c r="U10383" s="4"/>
      <c r="V10383" s="4"/>
      <c r="X10383" s="4"/>
      <c r="Y10383" s="4"/>
    </row>
    <row r="10384" spans="20:25" x14ac:dyDescent="0.3">
      <c r="T10384" s="12"/>
      <c r="U10384" s="4"/>
      <c r="V10384" s="4"/>
      <c r="X10384" s="4"/>
      <c r="Y10384" s="4"/>
    </row>
    <row r="10385" spans="20:25" x14ac:dyDescent="0.3">
      <c r="T10385" s="12"/>
      <c r="U10385" s="4"/>
      <c r="V10385" s="4"/>
      <c r="X10385" s="4"/>
      <c r="Y10385" s="4"/>
    </row>
    <row r="10386" spans="20:25" x14ac:dyDescent="0.3">
      <c r="T10386" s="12"/>
      <c r="U10386" s="4"/>
      <c r="V10386" s="4"/>
      <c r="X10386" s="4"/>
      <c r="Y10386" s="4"/>
    </row>
    <row r="10387" spans="20:25" x14ac:dyDescent="0.3">
      <c r="T10387" s="12"/>
      <c r="U10387" s="4"/>
      <c r="V10387" s="4"/>
      <c r="X10387" s="4"/>
      <c r="Y10387" s="4"/>
    </row>
    <row r="10388" spans="20:25" x14ac:dyDescent="0.3">
      <c r="T10388" s="12"/>
      <c r="U10388" s="4"/>
      <c r="V10388" s="4"/>
      <c r="X10388" s="4"/>
      <c r="Y10388" s="4"/>
    </row>
    <row r="10389" spans="20:25" x14ac:dyDescent="0.3">
      <c r="T10389" s="12"/>
      <c r="U10389" s="4"/>
      <c r="V10389" s="4"/>
      <c r="X10389" s="4"/>
      <c r="Y10389" s="4"/>
    </row>
    <row r="10390" spans="20:25" x14ac:dyDescent="0.3">
      <c r="T10390" s="12"/>
      <c r="U10390" s="4"/>
      <c r="V10390" s="4"/>
      <c r="X10390" s="4"/>
      <c r="Y10390" s="4"/>
    </row>
    <row r="10391" spans="20:25" x14ac:dyDescent="0.3">
      <c r="T10391" s="12"/>
      <c r="U10391" s="4"/>
      <c r="V10391" s="4"/>
      <c r="X10391" s="4"/>
      <c r="Y10391" s="4"/>
    </row>
    <row r="10392" spans="20:25" x14ac:dyDescent="0.3">
      <c r="T10392" s="12"/>
      <c r="U10392" s="4"/>
      <c r="V10392" s="4"/>
      <c r="X10392" s="4"/>
      <c r="Y10392" s="4"/>
    </row>
    <row r="10393" spans="20:25" x14ac:dyDescent="0.3">
      <c r="T10393" s="12"/>
      <c r="U10393" s="4"/>
      <c r="V10393" s="4"/>
      <c r="X10393" s="4"/>
      <c r="Y10393" s="4"/>
    </row>
    <row r="10394" spans="20:25" x14ac:dyDescent="0.3">
      <c r="T10394" s="12"/>
      <c r="U10394" s="4"/>
      <c r="V10394" s="4"/>
      <c r="X10394" s="4"/>
      <c r="Y10394" s="4"/>
    </row>
    <row r="10395" spans="20:25" x14ac:dyDescent="0.3">
      <c r="T10395" s="12"/>
      <c r="U10395" s="4"/>
      <c r="V10395" s="4"/>
      <c r="X10395" s="4"/>
      <c r="Y10395" s="4"/>
    </row>
    <row r="10396" spans="20:25" x14ac:dyDescent="0.3">
      <c r="T10396" s="12"/>
      <c r="U10396" s="4"/>
      <c r="V10396" s="4"/>
      <c r="X10396" s="4"/>
      <c r="Y10396" s="4"/>
    </row>
    <row r="10397" spans="20:25" x14ac:dyDescent="0.3">
      <c r="T10397" s="12"/>
      <c r="U10397" s="4"/>
      <c r="V10397" s="4"/>
      <c r="X10397" s="4"/>
      <c r="Y10397" s="4"/>
    </row>
    <row r="10398" spans="20:25" x14ac:dyDescent="0.3">
      <c r="T10398" s="12"/>
      <c r="U10398" s="4"/>
      <c r="V10398" s="4"/>
      <c r="X10398" s="4"/>
      <c r="Y10398" s="4"/>
    </row>
    <row r="10399" spans="20:25" x14ac:dyDescent="0.3">
      <c r="T10399" s="12"/>
      <c r="U10399" s="4"/>
      <c r="V10399" s="4"/>
      <c r="X10399" s="4"/>
      <c r="Y10399" s="4"/>
    </row>
    <row r="10400" spans="20:25" x14ac:dyDescent="0.3">
      <c r="T10400" s="12"/>
      <c r="U10400" s="4"/>
      <c r="V10400" s="4"/>
      <c r="X10400" s="4"/>
      <c r="Y10400" s="4"/>
    </row>
    <row r="10401" spans="20:25" x14ac:dyDescent="0.3">
      <c r="T10401" s="12"/>
      <c r="U10401" s="4"/>
      <c r="V10401" s="4"/>
      <c r="X10401" s="4"/>
      <c r="Y10401" s="4"/>
    </row>
    <row r="10402" spans="20:25" x14ac:dyDescent="0.3">
      <c r="T10402" s="12"/>
      <c r="U10402" s="4"/>
      <c r="V10402" s="4"/>
      <c r="X10402" s="4"/>
      <c r="Y10402" s="4"/>
    </row>
    <row r="10403" spans="20:25" x14ac:dyDescent="0.3">
      <c r="T10403" s="12"/>
      <c r="U10403" s="4"/>
      <c r="V10403" s="4"/>
      <c r="X10403" s="4"/>
      <c r="Y10403" s="4"/>
    </row>
    <row r="10404" spans="20:25" x14ac:dyDescent="0.3">
      <c r="T10404" s="12"/>
      <c r="U10404" s="4"/>
      <c r="V10404" s="4"/>
      <c r="X10404" s="4"/>
      <c r="Y10404" s="4"/>
    </row>
    <row r="10405" spans="20:25" x14ac:dyDescent="0.3">
      <c r="T10405" s="12"/>
      <c r="U10405" s="4"/>
      <c r="V10405" s="4"/>
      <c r="X10405" s="4"/>
      <c r="Y10405" s="4"/>
    </row>
    <row r="10406" spans="20:25" x14ac:dyDescent="0.3">
      <c r="T10406" s="12"/>
      <c r="U10406" s="4"/>
      <c r="V10406" s="4"/>
      <c r="X10406" s="4"/>
      <c r="Y10406" s="4"/>
    </row>
    <row r="10407" spans="20:25" x14ac:dyDescent="0.3">
      <c r="T10407" s="12"/>
      <c r="U10407" s="4"/>
      <c r="V10407" s="4"/>
      <c r="X10407" s="4"/>
      <c r="Y10407" s="4"/>
    </row>
    <row r="10408" spans="20:25" x14ac:dyDescent="0.3">
      <c r="T10408" s="12"/>
      <c r="U10408" s="4"/>
      <c r="V10408" s="4"/>
      <c r="X10408" s="4"/>
      <c r="Y10408" s="4"/>
    </row>
    <row r="10409" spans="20:25" x14ac:dyDescent="0.3">
      <c r="T10409" s="12"/>
      <c r="U10409" s="4"/>
      <c r="V10409" s="4"/>
      <c r="X10409" s="4"/>
      <c r="Y10409" s="4"/>
    </row>
    <row r="10410" spans="20:25" x14ac:dyDescent="0.3">
      <c r="T10410" s="12"/>
      <c r="U10410" s="4"/>
      <c r="V10410" s="4"/>
      <c r="X10410" s="4"/>
      <c r="Y10410" s="4"/>
    </row>
    <row r="10411" spans="20:25" x14ac:dyDescent="0.3">
      <c r="T10411" s="12"/>
      <c r="U10411" s="4"/>
      <c r="V10411" s="4"/>
      <c r="X10411" s="4"/>
      <c r="Y10411" s="4"/>
    </row>
    <row r="10412" spans="20:25" x14ac:dyDescent="0.3">
      <c r="T10412" s="12"/>
      <c r="U10412" s="4"/>
      <c r="V10412" s="4"/>
      <c r="X10412" s="4"/>
      <c r="Y10412" s="4"/>
    </row>
    <row r="10413" spans="20:25" x14ac:dyDescent="0.3">
      <c r="T10413" s="12"/>
      <c r="U10413" s="4"/>
      <c r="V10413" s="4"/>
      <c r="X10413" s="4"/>
      <c r="Y10413" s="4"/>
    </row>
    <row r="10414" spans="20:25" x14ac:dyDescent="0.3">
      <c r="T10414" s="12"/>
      <c r="U10414" s="4"/>
      <c r="V10414" s="4"/>
      <c r="X10414" s="4"/>
      <c r="Y10414" s="4"/>
    </row>
    <row r="10415" spans="20:25" x14ac:dyDescent="0.3">
      <c r="T10415" s="12"/>
      <c r="U10415" s="4"/>
      <c r="V10415" s="4"/>
      <c r="X10415" s="4"/>
      <c r="Y10415" s="4"/>
    </row>
    <row r="10416" spans="20:25" x14ac:dyDescent="0.3">
      <c r="T10416" s="12"/>
      <c r="U10416" s="4"/>
      <c r="V10416" s="4"/>
      <c r="X10416" s="4"/>
      <c r="Y10416" s="4"/>
    </row>
    <row r="10417" spans="20:25" x14ac:dyDescent="0.3">
      <c r="T10417" s="12"/>
      <c r="U10417" s="4"/>
      <c r="V10417" s="4"/>
      <c r="X10417" s="4"/>
      <c r="Y10417" s="4"/>
    </row>
    <row r="10418" spans="20:25" x14ac:dyDescent="0.3">
      <c r="T10418" s="12"/>
      <c r="U10418" s="4"/>
      <c r="V10418" s="4"/>
      <c r="X10418" s="4"/>
      <c r="Y10418" s="4"/>
    </row>
    <row r="10419" spans="20:25" x14ac:dyDescent="0.3">
      <c r="T10419" s="12"/>
      <c r="U10419" s="4"/>
      <c r="V10419" s="4"/>
      <c r="X10419" s="4"/>
      <c r="Y10419" s="4"/>
    </row>
    <row r="10420" spans="20:25" x14ac:dyDescent="0.3">
      <c r="T10420" s="12"/>
      <c r="U10420" s="4"/>
      <c r="V10420" s="4"/>
      <c r="X10420" s="4"/>
      <c r="Y10420" s="4"/>
    </row>
    <row r="10421" spans="20:25" x14ac:dyDescent="0.3">
      <c r="T10421" s="12"/>
      <c r="U10421" s="4"/>
      <c r="V10421" s="4"/>
      <c r="X10421" s="4"/>
      <c r="Y10421" s="4"/>
    </row>
    <row r="10422" spans="20:25" x14ac:dyDescent="0.3">
      <c r="T10422" s="12"/>
      <c r="U10422" s="4"/>
      <c r="V10422" s="4"/>
      <c r="X10422" s="4"/>
      <c r="Y10422" s="4"/>
    </row>
    <row r="10423" spans="20:25" x14ac:dyDescent="0.3">
      <c r="T10423" s="12"/>
      <c r="U10423" s="4"/>
      <c r="V10423" s="4"/>
      <c r="X10423" s="4"/>
      <c r="Y10423" s="4"/>
    </row>
    <row r="10424" spans="20:25" x14ac:dyDescent="0.3">
      <c r="T10424" s="12"/>
      <c r="U10424" s="4"/>
      <c r="V10424" s="4"/>
      <c r="X10424" s="4"/>
      <c r="Y10424" s="4"/>
    </row>
    <row r="10425" spans="20:25" x14ac:dyDescent="0.3">
      <c r="T10425" s="12"/>
      <c r="U10425" s="4"/>
      <c r="V10425" s="4"/>
      <c r="X10425" s="4"/>
      <c r="Y10425" s="4"/>
    </row>
    <row r="10426" spans="20:25" x14ac:dyDescent="0.3">
      <c r="T10426" s="12"/>
      <c r="U10426" s="4"/>
      <c r="V10426" s="4"/>
      <c r="X10426" s="4"/>
      <c r="Y10426" s="4"/>
    </row>
    <row r="10427" spans="20:25" x14ac:dyDescent="0.3">
      <c r="T10427" s="12"/>
      <c r="U10427" s="4"/>
      <c r="V10427" s="4"/>
      <c r="X10427" s="4"/>
      <c r="Y10427" s="4"/>
    </row>
    <row r="10428" spans="20:25" x14ac:dyDescent="0.3">
      <c r="T10428" s="12"/>
      <c r="U10428" s="4"/>
      <c r="V10428" s="4"/>
      <c r="X10428" s="4"/>
      <c r="Y10428" s="4"/>
    </row>
    <row r="10429" spans="20:25" x14ac:dyDescent="0.3">
      <c r="T10429" s="12"/>
      <c r="U10429" s="4"/>
      <c r="V10429" s="4"/>
      <c r="X10429" s="4"/>
      <c r="Y10429" s="4"/>
    </row>
    <row r="10430" spans="20:25" x14ac:dyDescent="0.3">
      <c r="T10430" s="12"/>
      <c r="U10430" s="4"/>
      <c r="V10430" s="4"/>
      <c r="X10430" s="4"/>
      <c r="Y10430" s="4"/>
    </row>
    <row r="10431" spans="20:25" x14ac:dyDescent="0.3">
      <c r="T10431" s="12"/>
      <c r="U10431" s="4"/>
      <c r="V10431" s="4"/>
      <c r="X10431" s="4"/>
      <c r="Y10431" s="4"/>
    </row>
    <row r="10432" spans="20:25" x14ac:dyDescent="0.3">
      <c r="T10432" s="12"/>
      <c r="U10432" s="4"/>
      <c r="V10432" s="4"/>
      <c r="X10432" s="4"/>
      <c r="Y10432" s="4"/>
    </row>
    <row r="10433" spans="20:25" x14ac:dyDescent="0.3">
      <c r="T10433" s="12"/>
      <c r="U10433" s="4"/>
      <c r="V10433" s="4"/>
      <c r="X10433" s="4"/>
      <c r="Y10433" s="4"/>
    </row>
    <row r="10434" spans="20:25" x14ac:dyDescent="0.3">
      <c r="T10434" s="12"/>
      <c r="U10434" s="4"/>
      <c r="V10434" s="4"/>
      <c r="X10434" s="4"/>
      <c r="Y10434" s="4"/>
    </row>
    <row r="10435" spans="20:25" x14ac:dyDescent="0.3">
      <c r="T10435" s="12"/>
      <c r="U10435" s="4"/>
      <c r="V10435" s="4"/>
      <c r="X10435" s="4"/>
      <c r="Y10435" s="4"/>
    </row>
    <row r="10436" spans="20:25" x14ac:dyDescent="0.3">
      <c r="T10436" s="12"/>
      <c r="U10436" s="4"/>
      <c r="V10436" s="4"/>
      <c r="X10436" s="4"/>
      <c r="Y10436" s="4"/>
    </row>
    <row r="10437" spans="20:25" x14ac:dyDescent="0.3">
      <c r="T10437" s="12"/>
      <c r="U10437" s="4"/>
      <c r="V10437" s="4"/>
      <c r="X10437" s="4"/>
      <c r="Y10437" s="4"/>
    </row>
    <row r="10438" spans="20:25" x14ac:dyDescent="0.3">
      <c r="T10438" s="12"/>
      <c r="U10438" s="4"/>
      <c r="V10438" s="4"/>
      <c r="X10438" s="4"/>
      <c r="Y10438" s="4"/>
    </row>
    <row r="10439" spans="20:25" x14ac:dyDescent="0.3">
      <c r="T10439" s="12"/>
      <c r="U10439" s="4"/>
      <c r="V10439" s="4"/>
      <c r="X10439" s="4"/>
      <c r="Y10439" s="4"/>
    </row>
    <row r="10440" spans="20:25" x14ac:dyDescent="0.3">
      <c r="T10440" s="12"/>
      <c r="U10440" s="4"/>
      <c r="V10440" s="4"/>
      <c r="X10440" s="4"/>
      <c r="Y10440" s="4"/>
    </row>
    <row r="10441" spans="20:25" x14ac:dyDescent="0.3">
      <c r="T10441" s="12"/>
      <c r="U10441" s="4"/>
      <c r="V10441" s="4"/>
      <c r="X10441" s="4"/>
      <c r="Y10441" s="4"/>
    </row>
    <row r="10442" spans="20:25" x14ac:dyDescent="0.3">
      <c r="T10442" s="12"/>
      <c r="U10442" s="4"/>
      <c r="V10442" s="4"/>
      <c r="X10442" s="4"/>
      <c r="Y10442" s="4"/>
    </row>
    <row r="10443" spans="20:25" x14ac:dyDescent="0.3">
      <c r="T10443" s="12"/>
      <c r="U10443" s="4"/>
      <c r="V10443" s="4"/>
      <c r="X10443" s="4"/>
      <c r="Y10443" s="4"/>
    </row>
    <row r="10444" spans="20:25" x14ac:dyDescent="0.3">
      <c r="T10444" s="12"/>
      <c r="U10444" s="4"/>
      <c r="V10444" s="4"/>
      <c r="X10444" s="4"/>
      <c r="Y10444" s="4"/>
    </row>
    <row r="10445" spans="20:25" x14ac:dyDescent="0.3">
      <c r="T10445" s="12"/>
      <c r="U10445" s="4"/>
      <c r="V10445" s="4"/>
      <c r="X10445" s="4"/>
      <c r="Y10445" s="4"/>
    </row>
    <row r="10446" spans="20:25" x14ac:dyDescent="0.3">
      <c r="T10446" s="12"/>
      <c r="U10446" s="4"/>
      <c r="V10446" s="4"/>
      <c r="X10446" s="4"/>
      <c r="Y10446" s="4"/>
    </row>
    <row r="10447" spans="20:25" x14ac:dyDescent="0.3">
      <c r="T10447" s="12"/>
      <c r="U10447" s="4"/>
      <c r="V10447" s="4"/>
      <c r="X10447" s="4"/>
      <c r="Y10447" s="4"/>
    </row>
    <row r="10448" spans="20:25" x14ac:dyDescent="0.3">
      <c r="T10448" s="12"/>
      <c r="U10448" s="4"/>
      <c r="V10448" s="4"/>
      <c r="X10448" s="4"/>
      <c r="Y10448" s="4"/>
    </row>
    <row r="10449" spans="20:25" x14ac:dyDescent="0.3">
      <c r="T10449" s="12"/>
      <c r="U10449" s="4"/>
      <c r="V10449" s="4"/>
      <c r="X10449" s="4"/>
      <c r="Y10449" s="4"/>
    </row>
    <row r="10450" spans="20:25" x14ac:dyDescent="0.3">
      <c r="T10450" s="12"/>
      <c r="U10450" s="4"/>
      <c r="V10450" s="4"/>
      <c r="X10450" s="4"/>
      <c r="Y10450" s="4"/>
    </row>
    <row r="10451" spans="20:25" x14ac:dyDescent="0.3">
      <c r="T10451" s="12"/>
      <c r="U10451" s="4"/>
      <c r="V10451" s="4"/>
      <c r="X10451" s="4"/>
      <c r="Y10451" s="4"/>
    </row>
    <row r="10452" spans="20:25" x14ac:dyDescent="0.3">
      <c r="T10452" s="12"/>
      <c r="U10452" s="4"/>
      <c r="V10452" s="4"/>
      <c r="X10452" s="4"/>
      <c r="Y10452" s="4"/>
    </row>
    <row r="10453" spans="20:25" x14ac:dyDescent="0.3">
      <c r="T10453" s="12"/>
      <c r="U10453" s="4"/>
      <c r="V10453" s="4"/>
      <c r="X10453" s="4"/>
      <c r="Y10453" s="4"/>
    </row>
    <row r="10454" spans="20:25" x14ac:dyDescent="0.3">
      <c r="T10454" s="12"/>
      <c r="U10454" s="4"/>
      <c r="V10454" s="4"/>
      <c r="X10454" s="4"/>
      <c r="Y10454" s="4"/>
    </row>
    <row r="10455" spans="20:25" x14ac:dyDescent="0.3">
      <c r="T10455" s="12"/>
      <c r="U10455" s="4"/>
      <c r="V10455" s="4"/>
      <c r="X10455" s="4"/>
      <c r="Y10455" s="4"/>
    </row>
    <row r="10456" spans="20:25" x14ac:dyDescent="0.3">
      <c r="T10456" s="12"/>
      <c r="U10456" s="4"/>
      <c r="V10456" s="4"/>
      <c r="X10456" s="4"/>
      <c r="Y10456" s="4"/>
    </row>
    <row r="10457" spans="20:25" x14ac:dyDescent="0.3">
      <c r="T10457" s="12"/>
      <c r="U10457" s="4"/>
      <c r="V10457" s="4"/>
      <c r="X10457" s="4"/>
      <c r="Y10457" s="4"/>
    </row>
    <row r="10458" spans="20:25" x14ac:dyDescent="0.3">
      <c r="T10458" s="12"/>
      <c r="U10458" s="4"/>
      <c r="V10458" s="4"/>
      <c r="X10458" s="4"/>
      <c r="Y10458" s="4"/>
    </row>
    <row r="10459" spans="20:25" x14ac:dyDescent="0.3">
      <c r="T10459" s="12"/>
      <c r="U10459" s="4"/>
      <c r="V10459" s="4"/>
      <c r="X10459" s="4"/>
      <c r="Y10459" s="4"/>
    </row>
    <row r="10460" spans="20:25" x14ac:dyDescent="0.3">
      <c r="T10460" s="12"/>
      <c r="U10460" s="4"/>
      <c r="V10460" s="4"/>
      <c r="X10460" s="4"/>
      <c r="Y10460" s="4"/>
    </row>
    <row r="10461" spans="20:25" x14ac:dyDescent="0.3">
      <c r="T10461" s="12"/>
      <c r="U10461" s="4"/>
      <c r="V10461" s="4"/>
      <c r="X10461" s="4"/>
      <c r="Y10461" s="4"/>
    </row>
    <row r="10462" spans="20:25" x14ac:dyDescent="0.3">
      <c r="T10462" s="12"/>
      <c r="U10462" s="4"/>
      <c r="V10462" s="4"/>
      <c r="X10462" s="4"/>
      <c r="Y10462" s="4"/>
    </row>
    <row r="10463" spans="20:25" x14ac:dyDescent="0.3">
      <c r="T10463" s="12"/>
      <c r="U10463" s="4"/>
      <c r="V10463" s="4"/>
      <c r="X10463" s="4"/>
      <c r="Y10463" s="4"/>
    </row>
    <row r="10464" spans="20:25" x14ac:dyDescent="0.3">
      <c r="T10464" s="12"/>
      <c r="U10464" s="4"/>
      <c r="V10464" s="4"/>
      <c r="X10464" s="4"/>
      <c r="Y10464" s="4"/>
    </row>
    <row r="10465" spans="20:25" x14ac:dyDescent="0.3">
      <c r="T10465" s="12"/>
      <c r="U10465" s="4"/>
      <c r="V10465" s="4"/>
      <c r="X10465" s="4"/>
      <c r="Y10465" s="4"/>
    </row>
    <row r="10466" spans="20:25" x14ac:dyDescent="0.3">
      <c r="T10466" s="12"/>
      <c r="U10466" s="4"/>
      <c r="V10466" s="4"/>
      <c r="X10466" s="4"/>
      <c r="Y10466" s="4"/>
    </row>
    <row r="10467" spans="20:25" x14ac:dyDescent="0.3">
      <c r="T10467" s="12"/>
      <c r="U10467" s="4"/>
      <c r="V10467" s="4"/>
      <c r="X10467" s="4"/>
      <c r="Y10467" s="4"/>
    </row>
    <row r="10468" spans="20:25" x14ac:dyDescent="0.3">
      <c r="T10468" s="12"/>
      <c r="U10468" s="4"/>
      <c r="V10468" s="4"/>
      <c r="X10468" s="4"/>
      <c r="Y10468" s="4"/>
    </row>
    <row r="10469" spans="20:25" x14ac:dyDescent="0.3">
      <c r="T10469" s="12"/>
      <c r="U10469" s="4"/>
      <c r="V10469" s="4"/>
      <c r="X10469" s="4"/>
      <c r="Y10469" s="4"/>
    </row>
    <row r="10470" spans="20:25" x14ac:dyDescent="0.3">
      <c r="T10470" s="12"/>
      <c r="U10470" s="4"/>
      <c r="V10470" s="4"/>
      <c r="X10470" s="4"/>
      <c r="Y10470" s="4"/>
    </row>
    <row r="10471" spans="20:25" x14ac:dyDescent="0.3">
      <c r="T10471" s="12"/>
      <c r="U10471" s="4"/>
      <c r="V10471" s="4"/>
      <c r="X10471" s="4"/>
      <c r="Y10471" s="4"/>
    </row>
    <row r="10472" spans="20:25" x14ac:dyDescent="0.3">
      <c r="T10472" s="12"/>
      <c r="U10472" s="4"/>
      <c r="V10472" s="4"/>
      <c r="X10472" s="4"/>
      <c r="Y10472" s="4"/>
    </row>
    <row r="10473" spans="20:25" x14ac:dyDescent="0.3">
      <c r="T10473" s="12"/>
      <c r="U10473" s="4"/>
      <c r="V10473" s="4"/>
      <c r="X10473" s="4"/>
      <c r="Y10473" s="4"/>
    </row>
    <row r="10474" spans="20:25" x14ac:dyDescent="0.3">
      <c r="T10474" s="12"/>
      <c r="U10474" s="4"/>
      <c r="V10474" s="4"/>
      <c r="X10474" s="4"/>
      <c r="Y10474" s="4"/>
    </row>
    <row r="10475" spans="20:25" x14ac:dyDescent="0.3">
      <c r="T10475" s="12"/>
      <c r="U10475" s="4"/>
      <c r="V10475" s="4"/>
      <c r="X10475" s="4"/>
      <c r="Y10475" s="4"/>
    </row>
    <row r="10476" spans="20:25" x14ac:dyDescent="0.3">
      <c r="T10476" s="12"/>
      <c r="U10476" s="4"/>
      <c r="V10476" s="4"/>
      <c r="X10476" s="4"/>
      <c r="Y10476" s="4"/>
    </row>
    <row r="10477" spans="20:25" x14ac:dyDescent="0.3">
      <c r="T10477" s="12"/>
      <c r="U10477" s="4"/>
      <c r="V10477" s="4"/>
      <c r="X10477" s="4"/>
      <c r="Y10477" s="4"/>
    </row>
    <row r="10478" spans="20:25" x14ac:dyDescent="0.3">
      <c r="T10478" s="12"/>
      <c r="U10478" s="4"/>
      <c r="V10478" s="4"/>
      <c r="X10478" s="4"/>
      <c r="Y10478" s="4"/>
    </row>
    <row r="10479" spans="20:25" x14ac:dyDescent="0.3">
      <c r="T10479" s="12"/>
      <c r="U10479" s="4"/>
      <c r="V10479" s="4"/>
      <c r="X10479" s="4"/>
      <c r="Y10479" s="4"/>
    </row>
    <row r="10480" spans="20:25" x14ac:dyDescent="0.3">
      <c r="T10480" s="12"/>
      <c r="U10480" s="4"/>
      <c r="V10480" s="4"/>
      <c r="X10480" s="4"/>
      <c r="Y10480" s="4"/>
    </row>
    <row r="10481" spans="20:25" x14ac:dyDescent="0.3">
      <c r="T10481" s="12"/>
      <c r="U10481" s="4"/>
      <c r="V10481" s="4"/>
      <c r="X10481" s="4"/>
      <c r="Y10481" s="4"/>
    </row>
    <row r="10482" spans="20:25" x14ac:dyDescent="0.3">
      <c r="T10482" s="12"/>
      <c r="U10482" s="4"/>
      <c r="V10482" s="4"/>
      <c r="X10482" s="4"/>
      <c r="Y10482" s="4"/>
    </row>
    <row r="10483" spans="20:25" x14ac:dyDescent="0.3">
      <c r="T10483" s="12"/>
      <c r="U10483" s="4"/>
      <c r="V10483" s="4"/>
      <c r="X10483" s="4"/>
      <c r="Y10483" s="4"/>
    </row>
    <row r="10484" spans="20:25" x14ac:dyDescent="0.3">
      <c r="T10484" s="12"/>
      <c r="U10484" s="4"/>
      <c r="V10484" s="4"/>
      <c r="X10484" s="4"/>
      <c r="Y10484" s="4"/>
    </row>
    <row r="10485" spans="20:25" x14ac:dyDescent="0.3">
      <c r="T10485" s="12"/>
      <c r="U10485" s="4"/>
      <c r="V10485" s="4"/>
      <c r="X10485" s="4"/>
      <c r="Y10485" s="4"/>
    </row>
    <row r="10486" spans="20:25" x14ac:dyDescent="0.3">
      <c r="T10486" s="12"/>
      <c r="U10486" s="4"/>
      <c r="V10486" s="4"/>
      <c r="X10486" s="4"/>
      <c r="Y10486" s="4"/>
    </row>
    <row r="10487" spans="20:25" x14ac:dyDescent="0.3">
      <c r="T10487" s="12"/>
      <c r="U10487" s="4"/>
      <c r="V10487" s="4"/>
      <c r="X10487" s="4"/>
      <c r="Y10487" s="4"/>
    </row>
    <row r="10488" spans="20:25" x14ac:dyDescent="0.3">
      <c r="T10488" s="12"/>
      <c r="U10488" s="4"/>
      <c r="V10488" s="4"/>
      <c r="X10488" s="4"/>
      <c r="Y10488" s="4"/>
    </row>
    <row r="10489" spans="20:25" x14ac:dyDescent="0.3">
      <c r="T10489" s="12"/>
      <c r="U10489" s="4"/>
      <c r="V10489" s="4"/>
      <c r="X10489" s="4"/>
      <c r="Y10489" s="4"/>
    </row>
    <row r="10490" spans="20:25" x14ac:dyDescent="0.3">
      <c r="T10490" s="12"/>
      <c r="U10490" s="4"/>
      <c r="V10490" s="4"/>
      <c r="X10490" s="4"/>
      <c r="Y10490" s="4"/>
    </row>
    <row r="10491" spans="20:25" x14ac:dyDescent="0.3">
      <c r="T10491" s="12"/>
      <c r="U10491" s="4"/>
      <c r="V10491" s="4"/>
      <c r="X10491" s="4"/>
      <c r="Y10491" s="4"/>
    </row>
    <row r="10492" spans="20:25" x14ac:dyDescent="0.3">
      <c r="T10492" s="12"/>
      <c r="U10492" s="4"/>
      <c r="V10492" s="4"/>
      <c r="X10492" s="4"/>
      <c r="Y10492" s="4"/>
    </row>
    <row r="10493" spans="20:25" x14ac:dyDescent="0.3">
      <c r="T10493" s="12"/>
      <c r="U10493" s="4"/>
      <c r="V10493" s="4"/>
      <c r="X10493" s="4"/>
      <c r="Y10493" s="4"/>
    </row>
    <row r="10494" spans="20:25" x14ac:dyDescent="0.3">
      <c r="T10494" s="12"/>
      <c r="U10494" s="4"/>
      <c r="V10494" s="4"/>
      <c r="X10494" s="4"/>
      <c r="Y10494" s="4"/>
    </row>
    <row r="10495" spans="20:25" x14ac:dyDescent="0.3">
      <c r="T10495" s="12"/>
      <c r="U10495" s="4"/>
      <c r="V10495" s="4"/>
      <c r="X10495" s="4"/>
      <c r="Y10495" s="4"/>
    </row>
    <row r="10496" spans="20:25" x14ac:dyDescent="0.3">
      <c r="T10496" s="12"/>
      <c r="U10496" s="4"/>
      <c r="V10496" s="4"/>
      <c r="X10496" s="4"/>
      <c r="Y10496" s="4"/>
    </row>
    <row r="10497" spans="20:25" x14ac:dyDescent="0.3">
      <c r="T10497" s="12"/>
      <c r="U10497" s="4"/>
      <c r="V10497" s="4"/>
      <c r="X10497" s="4"/>
      <c r="Y10497" s="4"/>
    </row>
    <row r="10498" spans="20:25" x14ac:dyDescent="0.3">
      <c r="T10498" s="12"/>
      <c r="U10498" s="4"/>
      <c r="V10498" s="4"/>
      <c r="X10498" s="4"/>
      <c r="Y10498" s="4"/>
    </row>
    <row r="10499" spans="20:25" x14ac:dyDescent="0.3">
      <c r="T10499" s="12"/>
      <c r="U10499" s="4"/>
      <c r="V10499" s="4"/>
      <c r="X10499" s="4"/>
      <c r="Y10499" s="4"/>
    </row>
    <row r="10500" spans="20:25" x14ac:dyDescent="0.3">
      <c r="T10500" s="12"/>
      <c r="U10500" s="4"/>
      <c r="V10500" s="4"/>
      <c r="X10500" s="4"/>
      <c r="Y10500" s="4"/>
    </row>
    <row r="10501" spans="20:25" x14ac:dyDescent="0.3">
      <c r="T10501" s="12"/>
      <c r="U10501" s="4"/>
      <c r="V10501" s="4"/>
      <c r="X10501" s="4"/>
      <c r="Y10501" s="4"/>
    </row>
    <row r="10502" spans="20:25" x14ac:dyDescent="0.3">
      <c r="T10502" s="12"/>
      <c r="U10502" s="4"/>
      <c r="V10502" s="4"/>
      <c r="X10502" s="4"/>
      <c r="Y10502" s="4"/>
    </row>
    <row r="10503" spans="20:25" x14ac:dyDescent="0.3">
      <c r="T10503" s="12"/>
      <c r="U10503" s="4"/>
      <c r="V10503" s="4"/>
      <c r="X10503" s="4"/>
      <c r="Y10503" s="4"/>
    </row>
    <row r="10504" spans="20:25" x14ac:dyDescent="0.3">
      <c r="T10504" s="12"/>
      <c r="U10504" s="4"/>
      <c r="V10504" s="4"/>
      <c r="X10504" s="4"/>
      <c r="Y10504" s="4"/>
    </row>
    <row r="10505" spans="20:25" x14ac:dyDescent="0.3">
      <c r="T10505" s="12"/>
      <c r="U10505" s="4"/>
      <c r="V10505" s="4"/>
      <c r="X10505" s="4"/>
      <c r="Y10505" s="4"/>
    </row>
    <row r="10506" spans="20:25" x14ac:dyDescent="0.3">
      <c r="T10506" s="12"/>
      <c r="U10506" s="4"/>
      <c r="V10506" s="4"/>
      <c r="X10506" s="4"/>
      <c r="Y10506" s="4"/>
    </row>
    <row r="10507" spans="20:25" x14ac:dyDescent="0.3">
      <c r="T10507" s="12"/>
      <c r="U10507" s="4"/>
      <c r="V10507" s="4"/>
      <c r="X10507" s="4"/>
      <c r="Y10507" s="4"/>
    </row>
    <row r="10508" spans="20:25" x14ac:dyDescent="0.3">
      <c r="T10508" s="12"/>
      <c r="U10508" s="4"/>
      <c r="V10508" s="4"/>
      <c r="X10508" s="4"/>
      <c r="Y10508" s="4"/>
    </row>
    <row r="10509" spans="20:25" x14ac:dyDescent="0.3">
      <c r="T10509" s="12"/>
      <c r="U10509" s="4"/>
      <c r="V10509" s="4"/>
      <c r="X10509" s="4"/>
      <c r="Y10509" s="4"/>
    </row>
    <row r="10510" spans="20:25" x14ac:dyDescent="0.3">
      <c r="T10510" s="12"/>
      <c r="U10510" s="4"/>
      <c r="V10510" s="4"/>
      <c r="X10510" s="4"/>
      <c r="Y10510" s="4"/>
    </row>
    <row r="10511" spans="20:25" x14ac:dyDescent="0.3">
      <c r="T10511" s="12"/>
      <c r="U10511" s="4"/>
      <c r="V10511" s="4"/>
      <c r="X10511" s="4"/>
      <c r="Y10511" s="4"/>
    </row>
    <row r="10512" spans="20:25" x14ac:dyDescent="0.3">
      <c r="T10512" s="12"/>
      <c r="U10512" s="4"/>
      <c r="V10512" s="4"/>
      <c r="X10512" s="4"/>
      <c r="Y10512" s="4"/>
    </row>
    <row r="10513" spans="20:25" x14ac:dyDescent="0.3">
      <c r="T10513" s="12"/>
      <c r="U10513" s="4"/>
      <c r="V10513" s="4"/>
      <c r="X10513" s="4"/>
      <c r="Y10513" s="4"/>
    </row>
    <row r="10514" spans="20:25" x14ac:dyDescent="0.3">
      <c r="T10514" s="12"/>
      <c r="U10514" s="4"/>
      <c r="V10514" s="4"/>
      <c r="X10514" s="4"/>
      <c r="Y10514" s="4"/>
    </row>
    <row r="10515" spans="20:25" x14ac:dyDescent="0.3">
      <c r="T10515" s="12"/>
      <c r="U10515" s="4"/>
      <c r="V10515" s="4"/>
      <c r="X10515" s="4"/>
      <c r="Y10515" s="4"/>
    </row>
    <row r="10516" spans="20:25" x14ac:dyDescent="0.3">
      <c r="T10516" s="12"/>
      <c r="U10516" s="4"/>
      <c r="V10516" s="4"/>
      <c r="X10516" s="4"/>
      <c r="Y10516" s="4"/>
    </row>
    <row r="10517" spans="20:25" x14ac:dyDescent="0.3">
      <c r="T10517" s="12"/>
      <c r="U10517" s="4"/>
      <c r="V10517" s="4"/>
      <c r="X10517" s="4"/>
      <c r="Y10517" s="4"/>
    </row>
    <row r="10518" spans="20:25" x14ac:dyDescent="0.3">
      <c r="T10518" s="12"/>
      <c r="U10518" s="4"/>
      <c r="V10518" s="4"/>
      <c r="X10518" s="4"/>
      <c r="Y10518" s="4"/>
    </row>
    <row r="10519" spans="20:25" x14ac:dyDescent="0.3">
      <c r="T10519" s="12"/>
      <c r="U10519" s="4"/>
      <c r="V10519" s="4"/>
      <c r="X10519" s="4"/>
      <c r="Y10519" s="4"/>
    </row>
    <row r="10520" spans="20:25" x14ac:dyDescent="0.3">
      <c r="T10520" s="12"/>
      <c r="U10520" s="4"/>
      <c r="V10520" s="4"/>
      <c r="X10520" s="4"/>
      <c r="Y10520" s="4"/>
    </row>
    <row r="10521" spans="20:25" x14ac:dyDescent="0.3">
      <c r="T10521" s="12"/>
      <c r="U10521" s="4"/>
      <c r="V10521" s="4"/>
      <c r="X10521" s="4"/>
      <c r="Y10521" s="4"/>
    </row>
    <row r="10522" spans="20:25" x14ac:dyDescent="0.3">
      <c r="T10522" s="12"/>
      <c r="U10522" s="4"/>
      <c r="V10522" s="4"/>
      <c r="X10522" s="4"/>
      <c r="Y10522" s="4"/>
    </row>
    <row r="10523" spans="20:25" x14ac:dyDescent="0.3">
      <c r="T10523" s="12"/>
      <c r="U10523" s="4"/>
      <c r="V10523" s="4"/>
      <c r="X10523" s="4"/>
      <c r="Y10523" s="4"/>
    </row>
    <row r="10524" spans="20:25" x14ac:dyDescent="0.3">
      <c r="T10524" s="12"/>
      <c r="U10524" s="4"/>
      <c r="V10524" s="4"/>
      <c r="X10524" s="4"/>
      <c r="Y10524" s="4"/>
    </row>
    <row r="10525" spans="20:25" x14ac:dyDescent="0.3">
      <c r="T10525" s="12"/>
      <c r="U10525" s="4"/>
      <c r="V10525" s="4"/>
      <c r="X10525" s="4"/>
      <c r="Y10525" s="4"/>
    </row>
    <row r="10526" spans="20:25" x14ac:dyDescent="0.3">
      <c r="T10526" s="12"/>
      <c r="U10526" s="4"/>
      <c r="V10526" s="4"/>
      <c r="X10526" s="4"/>
      <c r="Y10526" s="4"/>
    </row>
    <row r="10527" spans="20:25" x14ac:dyDescent="0.3">
      <c r="T10527" s="12"/>
      <c r="U10527" s="4"/>
      <c r="V10527" s="4"/>
      <c r="X10527" s="4"/>
      <c r="Y10527" s="4"/>
    </row>
    <row r="10528" spans="20:25" x14ac:dyDescent="0.3">
      <c r="T10528" s="12"/>
      <c r="U10528" s="4"/>
      <c r="V10528" s="4"/>
      <c r="X10528" s="4"/>
      <c r="Y10528" s="4"/>
    </row>
    <row r="10529" spans="20:25" x14ac:dyDescent="0.3">
      <c r="T10529" s="12"/>
      <c r="U10529" s="4"/>
      <c r="V10529" s="4"/>
      <c r="X10529" s="4"/>
      <c r="Y10529" s="4"/>
    </row>
    <row r="10530" spans="20:25" x14ac:dyDescent="0.3">
      <c r="T10530" s="12"/>
      <c r="U10530" s="4"/>
      <c r="V10530" s="4"/>
      <c r="X10530" s="4"/>
      <c r="Y10530" s="4"/>
    </row>
    <row r="10531" spans="20:25" x14ac:dyDescent="0.3">
      <c r="T10531" s="12"/>
      <c r="U10531" s="4"/>
      <c r="V10531" s="4"/>
      <c r="X10531" s="4"/>
      <c r="Y10531" s="4"/>
    </row>
    <row r="10532" spans="20:25" x14ac:dyDescent="0.3">
      <c r="T10532" s="12"/>
      <c r="U10532" s="4"/>
      <c r="V10532" s="4"/>
      <c r="X10532" s="4"/>
      <c r="Y10532" s="4"/>
    </row>
    <row r="10533" spans="20:25" x14ac:dyDescent="0.3">
      <c r="T10533" s="12"/>
      <c r="U10533" s="4"/>
      <c r="V10533" s="4"/>
      <c r="X10533" s="4"/>
      <c r="Y10533" s="4"/>
    </row>
    <row r="10534" spans="20:25" x14ac:dyDescent="0.3">
      <c r="T10534" s="12"/>
      <c r="U10534" s="4"/>
      <c r="V10534" s="4"/>
      <c r="X10534" s="4"/>
      <c r="Y10534" s="4"/>
    </row>
    <row r="10535" spans="20:25" x14ac:dyDescent="0.3">
      <c r="T10535" s="12"/>
      <c r="U10535" s="4"/>
      <c r="V10535" s="4"/>
      <c r="X10535" s="4"/>
      <c r="Y10535" s="4"/>
    </row>
    <row r="10536" spans="20:25" x14ac:dyDescent="0.3">
      <c r="T10536" s="12"/>
      <c r="U10536" s="4"/>
      <c r="V10536" s="4"/>
      <c r="X10536" s="4"/>
      <c r="Y10536" s="4"/>
    </row>
    <row r="10537" spans="20:25" x14ac:dyDescent="0.3">
      <c r="T10537" s="12"/>
      <c r="U10537" s="4"/>
      <c r="V10537" s="4"/>
      <c r="X10537" s="4"/>
      <c r="Y10537" s="4"/>
    </row>
    <row r="10538" spans="20:25" x14ac:dyDescent="0.3">
      <c r="T10538" s="12"/>
      <c r="U10538" s="4"/>
      <c r="V10538" s="4"/>
      <c r="X10538" s="4"/>
      <c r="Y10538" s="4"/>
    </row>
    <row r="10539" spans="20:25" x14ac:dyDescent="0.3">
      <c r="T10539" s="12"/>
      <c r="U10539" s="4"/>
      <c r="V10539" s="4"/>
      <c r="X10539" s="4"/>
      <c r="Y10539" s="4"/>
    </row>
    <row r="10540" spans="20:25" x14ac:dyDescent="0.3">
      <c r="T10540" s="12"/>
      <c r="U10540" s="4"/>
      <c r="V10540" s="4"/>
      <c r="X10540" s="4"/>
      <c r="Y10540" s="4"/>
    </row>
    <row r="10541" spans="20:25" x14ac:dyDescent="0.3">
      <c r="T10541" s="12"/>
      <c r="U10541" s="4"/>
      <c r="V10541" s="4"/>
      <c r="X10541" s="4"/>
      <c r="Y10541" s="4"/>
    </row>
    <row r="10542" spans="20:25" x14ac:dyDescent="0.3">
      <c r="T10542" s="12"/>
      <c r="U10542" s="4"/>
      <c r="V10542" s="4"/>
      <c r="X10542" s="4"/>
      <c r="Y10542" s="4"/>
    </row>
    <row r="10543" spans="20:25" x14ac:dyDescent="0.3">
      <c r="T10543" s="12"/>
      <c r="U10543" s="4"/>
      <c r="V10543" s="4"/>
      <c r="X10543" s="4"/>
      <c r="Y10543" s="4"/>
    </row>
    <row r="10544" spans="20:25" x14ac:dyDescent="0.3">
      <c r="T10544" s="12"/>
      <c r="U10544" s="4"/>
      <c r="V10544" s="4"/>
      <c r="X10544" s="4"/>
      <c r="Y10544" s="4"/>
    </row>
    <row r="10545" spans="20:25" x14ac:dyDescent="0.3">
      <c r="T10545" s="12"/>
      <c r="U10545" s="4"/>
      <c r="V10545" s="4"/>
      <c r="X10545" s="4"/>
      <c r="Y10545" s="4"/>
    </row>
    <row r="10546" spans="20:25" x14ac:dyDescent="0.3">
      <c r="T10546" s="12"/>
      <c r="U10546" s="4"/>
      <c r="V10546" s="4"/>
      <c r="X10546" s="4"/>
      <c r="Y10546" s="4"/>
    </row>
    <row r="10547" spans="20:25" x14ac:dyDescent="0.3">
      <c r="T10547" s="12"/>
      <c r="U10547" s="4"/>
      <c r="V10547" s="4"/>
      <c r="X10547" s="4"/>
      <c r="Y10547" s="4"/>
    </row>
    <row r="10548" spans="20:25" x14ac:dyDescent="0.3">
      <c r="T10548" s="12"/>
      <c r="U10548" s="4"/>
      <c r="V10548" s="4"/>
      <c r="X10548" s="4"/>
      <c r="Y10548" s="4"/>
    </row>
    <row r="10549" spans="20:25" x14ac:dyDescent="0.3">
      <c r="T10549" s="12"/>
      <c r="U10549" s="4"/>
      <c r="V10549" s="4"/>
      <c r="X10549" s="4"/>
      <c r="Y10549" s="4"/>
    </row>
    <row r="10550" spans="20:25" x14ac:dyDescent="0.3">
      <c r="T10550" s="12"/>
      <c r="U10550" s="4"/>
      <c r="V10550" s="4"/>
      <c r="X10550" s="4"/>
      <c r="Y10550" s="4"/>
    </row>
    <row r="10551" spans="20:25" x14ac:dyDescent="0.3">
      <c r="T10551" s="12"/>
      <c r="U10551" s="4"/>
      <c r="V10551" s="4"/>
      <c r="X10551" s="4"/>
      <c r="Y10551" s="4"/>
    </row>
    <row r="10552" spans="20:25" x14ac:dyDescent="0.3">
      <c r="T10552" s="12"/>
      <c r="U10552" s="4"/>
      <c r="V10552" s="4"/>
      <c r="X10552" s="4"/>
      <c r="Y10552" s="4"/>
    </row>
    <row r="10553" spans="20:25" x14ac:dyDescent="0.3">
      <c r="T10553" s="12"/>
      <c r="U10553" s="4"/>
      <c r="V10553" s="4"/>
      <c r="X10553" s="4"/>
      <c r="Y10553" s="4"/>
    </row>
    <row r="10554" spans="20:25" x14ac:dyDescent="0.3">
      <c r="T10554" s="12"/>
      <c r="U10554" s="4"/>
      <c r="V10554" s="4"/>
      <c r="X10554" s="4"/>
      <c r="Y10554" s="4"/>
    </row>
    <row r="10555" spans="20:25" x14ac:dyDescent="0.3">
      <c r="T10555" s="12"/>
      <c r="U10555" s="4"/>
      <c r="V10555" s="4"/>
      <c r="X10555" s="4"/>
      <c r="Y10555" s="4"/>
    </row>
    <row r="10556" spans="20:25" x14ac:dyDescent="0.3">
      <c r="T10556" s="12"/>
      <c r="U10556" s="4"/>
      <c r="V10556" s="4"/>
      <c r="X10556" s="4"/>
      <c r="Y10556" s="4"/>
    </row>
    <row r="10557" spans="20:25" x14ac:dyDescent="0.3">
      <c r="T10557" s="12"/>
      <c r="U10557" s="4"/>
      <c r="V10557" s="4"/>
      <c r="X10557" s="4"/>
      <c r="Y10557" s="4"/>
    </row>
    <row r="10558" spans="20:25" x14ac:dyDescent="0.3">
      <c r="T10558" s="12"/>
      <c r="U10558" s="4"/>
      <c r="V10558" s="4"/>
      <c r="X10558" s="4"/>
      <c r="Y10558" s="4"/>
    </row>
    <row r="10559" spans="20:25" x14ac:dyDescent="0.3">
      <c r="T10559" s="12"/>
      <c r="U10559" s="4"/>
      <c r="V10559" s="4"/>
      <c r="X10559" s="4"/>
      <c r="Y10559" s="4"/>
    </row>
    <row r="10560" spans="20:25" x14ac:dyDescent="0.3">
      <c r="T10560" s="12"/>
      <c r="U10560" s="4"/>
      <c r="V10560" s="4"/>
      <c r="X10560" s="4"/>
      <c r="Y10560" s="4"/>
    </row>
    <row r="10561" spans="20:25" x14ac:dyDescent="0.3">
      <c r="T10561" s="12"/>
      <c r="U10561" s="4"/>
      <c r="V10561" s="4"/>
      <c r="X10561" s="4"/>
      <c r="Y10561" s="4"/>
    </row>
    <row r="10562" spans="20:25" x14ac:dyDescent="0.3">
      <c r="T10562" s="12"/>
      <c r="U10562" s="4"/>
      <c r="V10562" s="4"/>
      <c r="X10562" s="4"/>
      <c r="Y10562" s="4"/>
    </row>
    <row r="10563" spans="20:25" x14ac:dyDescent="0.3">
      <c r="T10563" s="12"/>
      <c r="U10563" s="4"/>
      <c r="V10563" s="4"/>
      <c r="X10563" s="4"/>
      <c r="Y10563" s="4"/>
    </row>
    <row r="10564" spans="20:25" x14ac:dyDescent="0.3">
      <c r="T10564" s="12"/>
      <c r="U10564" s="4"/>
      <c r="V10564" s="4"/>
      <c r="X10564" s="4"/>
      <c r="Y10564" s="4"/>
    </row>
    <row r="10565" spans="20:25" x14ac:dyDescent="0.3">
      <c r="T10565" s="12"/>
      <c r="U10565" s="4"/>
      <c r="V10565" s="4"/>
      <c r="X10565" s="4"/>
      <c r="Y10565" s="4"/>
    </row>
    <row r="10566" spans="20:25" x14ac:dyDescent="0.3">
      <c r="T10566" s="12"/>
      <c r="U10566" s="4"/>
      <c r="V10566" s="4"/>
      <c r="X10566" s="4"/>
      <c r="Y10566" s="4"/>
    </row>
    <row r="10567" spans="20:25" x14ac:dyDescent="0.3">
      <c r="T10567" s="12"/>
      <c r="U10567" s="4"/>
      <c r="V10567" s="4"/>
      <c r="X10567" s="4"/>
      <c r="Y10567" s="4"/>
    </row>
    <row r="10568" spans="20:25" x14ac:dyDescent="0.3">
      <c r="T10568" s="12"/>
      <c r="U10568" s="4"/>
      <c r="V10568" s="4"/>
      <c r="X10568" s="4"/>
      <c r="Y10568" s="4"/>
    </row>
    <row r="10569" spans="20:25" x14ac:dyDescent="0.3">
      <c r="T10569" s="12"/>
      <c r="U10569" s="4"/>
      <c r="V10569" s="4"/>
      <c r="X10569" s="4"/>
      <c r="Y10569" s="4"/>
    </row>
    <row r="10570" spans="20:25" x14ac:dyDescent="0.3">
      <c r="T10570" s="12"/>
      <c r="U10570" s="4"/>
      <c r="V10570" s="4"/>
      <c r="X10570" s="4"/>
      <c r="Y10570" s="4"/>
    </row>
    <row r="10571" spans="20:25" x14ac:dyDescent="0.3">
      <c r="T10571" s="12"/>
      <c r="U10571" s="4"/>
      <c r="V10571" s="4"/>
      <c r="X10571" s="4"/>
      <c r="Y10571" s="4"/>
    </row>
    <row r="10572" spans="20:25" x14ac:dyDescent="0.3">
      <c r="T10572" s="12"/>
      <c r="U10572" s="4"/>
      <c r="V10572" s="4"/>
      <c r="X10572" s="4"/>
      <c r="Y10572" s="4"/>
    </row>
    <row r="10573" spans="20:25" x14ac:dyDescent="0.3">
      <c r="T10573" s="12"/>
      <c r="U10573" s="4"/>
      <c r="V10573" s="4"/>
      <c r="X10573" s="4"/>
      <c r="Y10573" s="4"/>
    </row>
    <row r="10574" spans="20:25" x14ac:dyDescent="0.3">
      <c r="T10574" s="12"/>
      <c r="U10574" s="4"/>
      <c r="V10574" s="4"/>
      <c r="X10574" s="4"/>
      <c r="Y10574" s="4"/>
    </row>
    <row r="10575" spans="20:25" x14ac:dyDescent="0.3">
      <c r="T10575" s="12"/>
      <c r="U10575" s="4"/>
      <c r="V10575" s="4"/>
      <c r="X10575" s="4"/>
      <c r="Y10575" s="4"/>
    </row>
    <row r="10576" spans="20:25" x14ac:dyDescent="0.3">
      <c r="T10576" s="12"/>
      <c r="U10576" s="4"/>
      <c r="V10576" s="4"/>
      <c r="X10576" s="4"/>
      <c r="Y10576" s="4"/>
    </row>
    <row r="10577" spans="20:25" x14ac:dyDescent="0.3">
      <c r="T10577" s="12"/>
      <c r="U10577" s="4"/>
      <c r="V10577" s="4"/>
      <c r="X10577" s="4"/>
      <c r="Y10577" s="4"/>
    </row>
    <row r="10578" spans="20:25" x14ac:dyDescent="0.3">
      <c r="T10578" s="12"/>
      <c r="U10578" s="4"/>
      <c r="V10578" s="4"/>
      <c r="X10578" s="4"/>
      <c r="Y10578" s="4"/>
    </row>
    <row r="10579" spans="20:25" x14ac:dyDescent="0.3">
      <c r="T10579" s="12"/>
      <c r="U10579" s="4"/>
      <c r="V10579" s="4"/>
      <c r="X10579" s="4"/>
      <c r="Y10579" s="4"/>
    </row>
    <row r="10580" spans="20:25" x14ac:dyDescent="0.3">
      <c r="T10580" s="12"/>
      <c r="U10580" s="4"/>
      <c r="V10580" s="4"/>
      <c r="X10580" s="4"/>
      <c r="Y10580" s="4"/>
    </row>
    <row r="10581" spans="20:25" x14ac:dyDescent="0.3">
      <c r="T10581" s="12"/>
      <c r="U10581" s="4"/>
      <c r="V10581" s="4"/>
      <c r="X10581" s="4"/>
      <c r="Y10581" s="4"/>
    </row>
    <row r="10582" spans="20:25" x14ac:dyDescent="0.3">
      <c r="T10582" s="12"/>
      <c r="U10582" s="4"/>
      <c r="V10582" s="4"/>
      <c r="X10582" s="4"/>
      <c r="Y10582" s="4"/>
    </row>
    <row r="10583" spans="20:25" x14ac:dyDescent="0.3">
      <c r="T10583" s="12"/>
      <c r="U10583" s="4"/>
      <c r="V10583" s="4"/>
      <c r="X10583" s="4"/>
      <c r="Y10583" s="4"/>
    </row>
    <row r="10584" spans="20:25" x14ac:dyDescent="0.3">
      <c r="T10584" s="12"/>
      <c r="U10584" s="4"/>
      <c r="V10584" s="4"/>
      <c r="X10584" s="4"/>
      <c r="Y10584" s="4"/>
    </row>
    <row r="10585" spans="20:25" x14ac:dyDescent="0.3">
      <c r="T10585" s="12"/>
      <c r="U10585" s="4"/>
      <c r="V10585" s="4"/>
      <c r="X10585" s="4"/>
      <c r="Y10585" s="4"/>
    </row>
    <row r="10586" spans="20:25" x14ac:dyDescent="0.3">
      <c r="T10586" s="12"/>
      <c r="U10586" s="4"/>
      <c r="V10586" s="4"/>
      <c r="X10586" s="4"/>
      <c r="Y10586" s="4"/>
    </row>
    <row r="10587" spans="20:25" x14ac:dyDescent="0.3">
      <c r="T10587" s="12"/>
      <c r="U10587" s="4"/>
      <c r="V10587" s="4"/>
      <c r="X10587" s="4"/>
      <c r="Y10587" s="4"/>
    </row>
    <row r="10588" spans="20:25" x14ac:dyDescent="0.3">
      <c r="T10588" s="12"/>
      <c r="U10588" s="4"/>
      <c r="V10588" s="4"/>
      <c r="X10588" s="4"/>
      <c r="Y10588" s="4"/>
    </row>
    <row r="10589" spans="20:25" x14ac:dyDescent="0.3">
      <c r="T10589" s="12"/>
      <c r="U10589" s="4"/>
      <c r="V10589" s="4"/>
      <c r="X10589" s="4"/>
      <c r="Y10589" s="4"/>
    </row>
    <row r="10590" spans="20:25" x14ac:dyDescent="0.3">
      <c r="T10590" s="12"/>
      <c r="U10590" s="4"/>
      <c r="V10590" s="4"/>
      <c r="X10590" s="4"/>
      <c r="Y10590" s="4"/>
    </row>
    <row r="10591" spans="20:25" x14ac:dyDescent="0.3">
      <c r="T10591" s="12"/>
      <c r="U10591" s="4"/>
      <c r="V10591" s="4"/>
      <c r="X10591" s="4"/>
      <c r="Y10591" s="4"/>
    </row>
    <row r="10592" spans="20:25" x14ac:dyDescent="0.3">
      <c r="T10592" s="12"/>
      <c r="U10592" s="4"/>
      <c r="V10592" s="4"/>
      <c r="X10592" s="4"/>
      <c r="Y10592" s="4"/>
    </row>
    <row r="10593" spans="20:25" x14ac:dyDescent="0.3">
      <c r="T10593" s="12"/>
      <c r="U10593" s="4"/>
      <c r="V10593" s="4"/>
      <c r="X10593" s="4"/>
      <c r="Y10593" s="4"/>
    </row>
    <row r="10594" spans="20:25" x14ac:dyDescent="0.3">
      <c r="T10594" s="12"/>
      <c r="U10594" s="4"/>
      <c r="V10594" s="4"/>
      <c r="X10594" s="4"/>
      <c r="Y10594" s="4"/>
    </row>
    <row r="10595" spans="20:25" x14ac:dyDescent="0.3">
      <c r="T10595" s="12"/>
      <c r="U10595" s="4"/>
      <c r="V10595" s="4"/>
      <c r="X10595" s="4"/>
      <c r="Y10595" s="4"/>
    </row>
    <row r="10596" spans="20:25" x14ac:dyDescent="0.3">
      <c r="T10596" s="12"/>
      <c r="U10596" s="4"/>
      <c r="V10596" s="4"/>
      <c r="X10596" s="4"/>
      <c r="Y10596" s="4"/>
    </row>
    <row r="10597" spans="20:25" x14ac:dyDescent="0.3">
      <c r="T10597" s="12"/>
      <c r="U10597" s="4"/>
      <c r="V10597" s="4"/>
      <c r="X10597" s="4"/>
      <c r="Y10597" s="4"/>
    </row>
    <row r="10598" spans="20:25" x14ac:dyDescent="0.3">
      <c r="T10598" s="12"/>
      <c r="U10598" s="4"/>
      <c r="V10598" s="4"/>
      <c r="X10598" s="4"/>
      <c r="Y10598" s="4"/>
    </row>
    <row r="10599" spans="20:25" x14ac:dyDescent="0.3">
      <c r="T10599" s="12"/>
      <c r="U10599" s="4"/>
      <c r="V10599" s="4"/>
      <c r="X10599" s="4"/>
      <c r="Y10599" s="4"/>
    </row>
    <row r="10600" spans="20:25" x14ac:dyDescent="0.3">
      <c r="T10600" s="12"/>
      <c r="U10600" s="4"/>
      <c r="V10600" s="4"/>
      <c r="X10600" s="4"/>
      <c r="Y10600" s="4"/>
    </row>
    <row r="10601" spans="20:25" x14ac:dyDescent="0.3">
      <c r="T10601" s="12"/>
      <c r="U10601" s="4"/>
      <c r="V10601" s="4"/>
      <c r="X10601" s="4"/>
      <c r="Y10601" s="4"/>
    </row>
    <row r="10602" spans="20:25" x14ac:dyDescent="0.3">
      <c r="T10602" s="12"/>
      <c r="U10602" s="4"/>
      <c r="V10602" s="4"/>
      <c r="X10602" s="4"/>
      <c r="Y10602" s="4"/>
    </row>
    <row r="10603" spans="20:25" x14ac:dyDescent="0.3">
      <c r="T10603" s="12"/>
      <c r="U10603" s="4"/>
      <c r="V10603" s="4"/>
      <c r="X10603" s="4"/>
      <c r="Y10603" s="4"/>
    </row>
    <row r="10604" spans="20:25" x14ac:dyDescent="0.3">
      <c r="T10604" s="12"/>
      <c r="U10604" s="4"/>
      <c r="V10604" s="4"/>
      <c r="X10604" s="4"/>
      <c r="Y10604" s="4"/>
    </row>
    <row r="10605" spans="20:25" x14ac:dyDescent="0.3">
      <c r="T10605" s="12"/>
      <c r="U10605" s="4"/>
      <c r="V10605" s="4"/>
      <c r="X10605" s="4"/>
      <c r="Y10605" s="4"/>
    </row>
    <row r="10606" spans="20:25" x14ac:dyDescent="0.3">
      <c r="T10606" s="12"/>
      <c r="U10606" s="4"/>
      <c r="V10606" s="4"/>
      <c r="X10606" s="4"/>
      <c r="Y10606" s="4"/>
    </row>
    <row r="10607" spans="20:25" x14ac:dyDescent="0.3">
      <c r="T10607" s="12"/>
      <c r="U10607" s="4"/>
      <c r="V10607" s="4"/>
      <c r="X10607" s="4"/>
      <c r="Y10607" s="4"/>
    </row>
    <row r="10608" spans="20:25" x14ac:dyDescent="0.3">
      <c r="T10608" s="12"/>
      <c r="U10608" s="4"/>
      <c r="V10608" s="4"/>
      <c r="X10608" s="4"/>
      <c r="Y10608" s="4"/>
    </row>
    <row r="10609" spans="20:25" x14ac:dyDescent="0.3">
      <c r="T10609" s="12"/>
      <c r="U10609" s="4"/>
      <c r="V10609" s="4"/>
      <c r="X10609" s="4"/>
      <c r="Y10609" s="4"/>
    </row>
    <row r="10610" spans="20:25" x14ac:dyDescent="0.3">
      <c r="T10610" s="12"/>
      <c r="U10610" s="4"/>
      <c r="V10610" s="4"/>
      <c r="X10610" s="4"/>
      <c r="Y10610" s="4"/>
    </row>
    <row r="10611" spans="20:25" x14ac:dyDescent="0.3">
      <c r="T10611" s="12"/>
      <c r="U10611" s="4"/>
      <c r="V10611" s="4"/>
      <c r="X10611" s="4"/>
      <c r="Y10611" s="4"/>
    </row>
    <row r="10612" spans="20:25" x14ac:dyDescent="0.3">
      <c r="T10612" s="12"/>
      <c r="U10612" s="4"/>
      <c r="V10612" s="4"/>
      <c r="X10612" s="4"/>
      <c r="Y10612" s="4"/>
    </row>
    <row r="10613" spans="20:25" x14ac:dyDescent="0.3">
      <c r="T10613" s="12"/>
      <c r="U10613" s="4"/>
      <c r="V10613" s="4"/>
      <c r="X10613" s="4"/>
      <c r="Y10613" s="4"/>
    </row>
    <row r="10614" spans="20:25" x14ac:dyDescent="0.3">
      <c r="T10614" s="12"/>
      <c r="U10614" s="4"/>
      <c r="V10614" s="4"/>
      <c r="X10614" s="4"/>
      <c r="Y10614" s="4"/>
    </row>
    <row r="10615" spans="20:25" x14ac:dyDescent="0.3">
      <c r="T10615" s="12"/>
      <c r="U10615" s="4"/>
      <c r="V10615" s="4"/>
      <c r="X10615" s="4"/>
      <c r="Y10615" s="4"/>
    </row>
    <row r="10616" spans="20:25" x14ac:dyDescent="0.3">
      <c r="T10616" s="12"/>
      <c r="U10616" s="4"/>
      <c r="V10616" s="4"/>
      <c r="X10616" s="4"/>
      <c r="Y10616" s="4"/>
    </row>
    <row r="10617" spans="20:25" x14ac:dyDescent="0.3">
      <c r="T10617" s="12"/>
      <c r="U10617" s="4"/>
      <c r="V10617" s="4"/>
      <c r="X10617" s="4"/>
      <c r="Y10617" s="4"/>
    </row>
    <row r="10618" spans="20:25" x14ac:dyDescent="0.3">
      <c r="T10618" s="12"/>
      <c r="U10618" s="4"/>
      <c r="V10618" s="4"/>
      <c r="X10618" s="4"/>
      <c r="Y10618" s="4"/>
    </row>
    <row r="10619" spans="20:25" x14ac:dyDescent="0.3">
      <c r="T10619" s="12"/>
      <c r="U10619" s="4"/>
      <c r="V10619" s="4"/>
      <c r="X10619" s="4"/>
      <c r="Y10619" s="4"/>
    </row>
    <row r="10620" spans="20:25" x14ac:dyDescent="0.3">
      <c r="T10620" s="12"/>
      <c r="U10620" s="4"/>
      <c r="V10620" s="4"/>
      <c r="X10620" s="4"/>
      <c r="Y10620" s="4"/>
    </row>
    <row r="10621" spans="20:25" x14ac:dyDescent="0.3">
      <c r="T10621" s="12"/>
      <c r="U10621" s="4"/>
      <c r="V10621" s="4"/>
      <c r="X10621" s="4"/>
      <c r="Y10621" s="4"/>
    </row>
    <row r="10622" spans="20:25" x14ac:dyDescent="0.3">
      <c r="T10622" s="12"/>
      <c r="U10622" s="4"/>
      <c r="V10622" s="4"/>
      <c r="X10622" s="4"/>
      <c r="Y10622" s="4"/>
    </row>
    <row r="10623" spans="20:25" x14ac:dyDescent="0.3">
      <c r="T10623" s="12"/>
      <c r="U10623" s="4"/>
      <c r="V10623" s="4"/>
      <c r="X10623" s="4"/>
      <c r="Y10623" s="4"/>
    </row>
    <row r="10624" spans="20:25" x14ac:dyDescent="0.3">
      <c r="T10624" s="12"/>
      <c r="U10624" s="4"/>
      <c r="V10624" s="4"/>
      <c r="X10624" s="4"/>
      <c r="Y10624" s="4"/>
    </row>
    <row r="10625" spans="20:25" x14ac:dyDescent="0.3">
      <c r="T10625" s="12"/>
      <c r="U10625" s="4"/>
      <c r="V10625" s="4"/>
      <c r="X10625" s="4"/>
      <c r="Y10625" s="4"/>
    </row>
    <row r="10626" spans="20:25" x14ac:dyDescent="0.3">
      <c r="T10626" s="12"/>
      <c r="U10626" s="4"/>
      <c r="V10626" s="4"/>
      <c r="X10626" s="4"/>
      <c r="Y10626" s="4"/>
    </row>
    <row r="10627" spans="20:25" x14ac:dyDescent="0.3">
      <c r="T10627" s="12"/>
      <c r="U10627" s="4"/>
      <c r="V10627" s="4"/>
      <c r="X10627" s="4"/>
      <c r="Y10627" s="4"/>
    </row>
    <row r="10628" spans="20:25" x14ac:dyDescent="0.3">
      <c r="T10628" s="12"/>
      <c r="U10628" s="4"/>
      <c r="V10628" s="4"/>
      <c r="X10628" s="4"/>
      <c r="Y10628" s="4"/>
    </row>
    <row r="10629" spans="20:25" x14ac:dyDescent="0.3">
      <c r="T10629" s="12"/>
      <c r="U10629" s="4"/>
      <c r="V10629" s="4"/>
      <c r="X10629" s="4"/>
      <c r="Y10629" s="4"/>
    </row>
    <row r="10630" spans="20:25" x14ac:dyDescent="0.3">
      <c r="T10630" s="12"/>
      <c r="U10630" s="4"/>
      <c r="V10630" s="4"/>
      <c r="X10630" s="4"/>
      <c r="Y10630" s="4"/>
    </row>
    <row r="10631" spans="20:25" x14ac:dyDescent="0.3">
      <c r="T10631" s="12"/>
      <c r="U10631" s="4"/>
      <c r="V10631" s="4"/>
      <c r="X10631" s="4"/>
      <c r="Y10631" s="4"/>
    </row>
    <row r="10632" spans="20:25" x14ac:dyDescent="0.3">
      <c r="T10632" s="12"/>
      <c r="U10632" s="4"/>
      <c r="V10632" s="4"/>
      <c r="X10632" s="4"/>
      <c r="Y10632" s="4"/>
    </row>
    <row r="10633" spans="20:25" x14ac:dyDescent="0.3">
      <c r="T10633" s="12"/>
      <c r="U10633" s="4"/>
      <c r="V10633" s="4"/>
      <c r="X10633" s="4"/>
      <c r="Y10633" s="4"/>
    </row>
    <row r="10634" spans="20:25" x14ac:dyDescent="0.3">
      <c r="T10634" s="12"/>
      <c r="U10634" s="4"/>
      <c r="V10634" s="4"/>
      <c r="X10634" s="4"/>
      <c r="Y10634" s="4"/>
    </row>
    <row r="10635" spans="20:25" x14ac:dyDescent="0.3">
      <c r="T10635" s="12"/>
      <c r="U10635" s="4"/>
      <c r="V10635" s="4"/>
      <c r="X10635" s="4"/>
      <c r="Y10635" s="4"/>
    </row>
    <row r="10636" spans="20:25" x14ac:dyDescent="0.3">
      <c r="T10636" s="12"/>
      <c r="U10636" s="4"/>
      <c r="V10636" s="4"/>
      <c r="X10636" s="4"/>
      <c r="Y10636" s="4"/>
    </row>
    <row r="10637" spans="20:25" x14ac:dyDescent="0.3">
      <c r="T10637" s="12"/>
      <c r="U10637" s="4"/>
      <c r="V10637" s="4"/>
      <c r="X10637" s="4"/>
      <c r="Y10637" s="4"/>
    </row>
    <row r="10638" spans="20:25" x14ac:dyDescent="0.3">
      <c r="T10638" s="12"/>
      <c r="U10638" s="4"/>
      <c r="V10638" s="4"/>
      <c r="X10638" s="4"/>
      <c r="Y10638" s="4"/>
    </row>
    <row r="10639" spans="20:25" x14ac:dyDescent="0.3">
      <c r="T10639" s="12"/>
      <c r="U10639" s="4"/>
      <c r="V10639" s="4"/>
      <c r="X10639" s="4"/>
      <c r="Y10639" s="4"/>
    </row>
    <row r="10640" spans="20:25" x14ac:dyDescent="0.3">
      <c r="T10640" s="12"/>
      <c r="U10640" s="4"/>
      <c r="V10640" s="4"/>
      <c r="X10640" s="4"/>
      <c r="Y10640" s="4"/>
    </row>
    <row r="10641" spans="20:25" x14ac:dyDescent="0.3">
      <c r="T10641" s="12"/>
      <c r="U10641" s="4"/>
      <c r="V10641" s="4"/>
      <c r="X10641" s="4"/>
      <c r="Y10641" s="4"/>
    </row>
    <row r="10642" spans="20:25" x14ac:dyDescent="0.3">
      <c r="T10642" s="12"/>
      <c r="U10642" s="4"/>
      <c r="V10642" s="4"/>
      <c r="X10642" s="4"/>
      <c r="Y10642" s="4"/>
    </row>
    <row r="10643" spans="20:25" x14ac:dyDescent="0.3">
      <c r="T10643" s="12"/>
      <c r="U10643" s="4"/>
      <c r="V10643" s="4"/>
      <c r="X10643" s="4"/>
      <c r="Y10643" s="4"/>
    </row>
    <row r="10644" spans="20:25" x14ac:dyDescent="0.3">
      <c r="T10644" s="12"/>
      <c r="U10644" s="4"/>
      <c r="V10644" s="4"/>
      <c r="X10644" s="4"/>
      <c r="Y10644" s="4"/>
    </row>
    <row r="10645" spans="20:25" x14ac:dyDescent="0.3">
      <c r="T10645" s="12"/>
      <c r="U10645" s="4"/>
      <c r="V10645" s="4"/>
      <c r="X10645" s="4"/>
      <c r="Y10645" s="4"/>
    </row>
    <row r="10646" spans="20:25" x14ac:dyDescent="0.3">
      <c r="T10646" s="12"/>
      <c r="U10646" s="4"/>
      <c r="V10646" s="4"/>
      <c r="X10646" s="4"/>
      <c r="Y10646" s="4"/>
    </row>
    <row r="10647" spans="20:25" x14ac:dyDescent="0.3">
      <c r="T10647" s="12"/>
      <c r="U10647" s="4"/>
      <c r="V10647" s="4"/>
      <c r="X10647" s="4"/>
      <c r="Y10647" s="4"/>
    </row>
    <row r="10648" spans="20:25" x14ac:dyDescent="0.3">
      <c r="T10648" s="12"/>
      <c r="U10648" s="4"/>
      <c r="V10648" s="4"/>
      <c r="X10648" s="4"/>
      <c r="Y10648" s="4"/>
    </row>
    <row r="10649" spans="20:25" x14ac:dyDescent="0.3">
      <c r="T10649" s="12"/>
      <c r="U10649" s="4"/>
      <c r="V10649" s="4"/>
      <c r="X10649" s="4"/>
      <c r="Y10649" s="4"/>
    </row>
    <row r="10650" spans="20:25" x14ac:dyDescent="0.3">
      <c r="T10650" s="12"/>
      <c r="U10650" s="4"/>
      <c r="V10650" s="4"/>
      <c r="X10650" s="4"/>
      <c r="Y10650" s="4"/>
    </row>
    <row r="10651" spans="20:25" x14ac:dyDescent="0.3">
      <c r="T10651" s="12"/>
      <c r="U10651" s="4"/>
      <c r="V10651" s="4"/>
      <c r="X10651" s="4"/>
      <c r="Y10651" s="4"/>
    </row>
    <row r="10652" spans="20:25" x14ac:dyDescent="0.3">
      <c r="T10652" s="12"/>
      <c r="U10652" s="4"/>
      <c r="V10652" s="4"/>
      <c r="X10652" s="4"/>
      <c r="Y10652" s="4"/>
    </row>
    <row r="10653" spans="20:25" x14ac:dyDescent="0.3">
      <c r="T10653" s="12"/>
      <c r="U10653" s="4"/>
      <c r="V10653" s="4"/>
      <c r="X10653" s="4"/>
      <c r="Y10653" s="4"/>
    </row>
    <row r="10654" spans="20:25" x14ac:dyDescent="0.3">
      <c r="T10654" s="12"/>
      <c r="U10654" s="4"/>
      <c r="V10654" s="4"/>
      <c r="X10654" s="4"/>
      <c r="Y10654" s="4"/>
    </row>
    <row r="10655" spans="20:25" x14ac:dyDescent="0.3">
      <c r="T10655" s="12"/>
      <c r="U10655" s="4"/>
      <c r="V10655" s="4"/>
      <c r="X10655" s="4"/>
      <c r="Y10655" s="4"/>
    </row>
    <row r="10656" spans="20:25" x14ac:dyDescent="0.3">
      <c r="T10656" s="12"/>
      <c r="U10656" s="4"/>
      <c r="V10656" s="4"/>
      <c r="X10656" s="4"/>
      <c r="Y10656" s="4"/>
    </row>
    <row r="10657" spans="20:25" x14ac:dyDescent="0.3">
      <c r="T10657" s="12"/>
      <c r="U10657" s="4"/>
      <c r="V10657" s="4"/>
      <c r="X10657" s="4"/>
      <c r="Y10657" s="4"/>
    </row>
    <row r="10658" spans="20:25" x14ac:dyDescent="0.3">
      <c r="T10658" s="12"/>
      <c r="U10658" s="4"/>
      <c r="V10658" s="4"/>
      <c r="X10658" s="4"/>
      <c r="Y10658" s="4"/>
    </row>
    <row r="10659" spans="20:25" x14ac:dyDescent="0.3">
      <c r="T10659" s="12"/>
      <c r="U10659" s="4"/>
      <c r="V10659" s="4"/>
      <c r="X10659" s="4"/>
      <c r="Y10659" s="4"/>
    </row>
    <row r="10660" spans="20:25" x14ac:dyDescent="0.3">
      <c r="T10660" s="12"/>
      <c r="U10660" s="4"/>
      <c r="V10660" s="4"/>
      <c r="X10660" s="4"/>
      <c r="Y10660" s="4"/>
    </row>
    <row r="10661" spans="20:25" x14ac:dyDescent="0.3">
      <c r="T10661" s="12"/>
      <c r="U10661" s="4"/>
      <c r="V10661" s="4"/>
      <c r="X10661" s="4"/>
      <c r="Y10661" s="4"/>
    </row>
    <row r="10662" spans="20:25" x14ac:dyDescent="0.3">
      <c r="T10662" s="12"/>
      <c r="U10662" s="4"/>
      <c r="V10662" s="4"/>
      <c r="X10662" s="4"/>
      <c r="Y10662" s="4"/>
    </row>
    <row r="10663" spans="20:25" x14ac:dyDescent="0.3">
      <c r="T10663" s="12"/>
      <c r="U10663" s="4"/>
      <c r="V10663" s="4"/>
      <c r="X10663" s="4"/>
      <c r="Y10663" s="4"/>
    </row>
    <row r="10664" spans="20:25" x14ac:dyDescent="0.3">
      <c r="T10664" s="12"/>
      <c r="U10664" s="4"/>
      <c r="V10664" s="4"/>
      <c r="X10664" s="4"/>
      <c r="Y10664" s="4"/>
    </row>
    <row r="10665" spans="20:25" x14ac:dyDescent="0.3">
      <c r="T10665" s="12"/>
      <c r="U10665" s="4"/>
      <c r="V10665" s="4"/>
      <c r="X10665" s="4"/>
      <c r="Y10665" s="4"/>
    </row>
    <row r="10666" spans="20:25" x14ac:dyDescent="0.3">
      <c r="T10666" s="12"/>
      <c r="U10666" s="4"/>
      <c r="V10666" s="4"/>
      <c r="X10666" s="4"/>
      <c r="Y10666" s="4"/>
    </row>
    <row r="10667" spans="20:25" x14ac:dyDescent="0.3">
      <c r="T10667" s="12"/>
      <c r="U10667" s="4"/>
      <c r="V10667" s="4"/>
      <c r="X10667" s="4"/>
      <c r="Y10667" s="4"/>
    </row>
    <row r="10668" spans="20:25" x14ac:dyDescent="0.3">
      <c r="T10668" s="12"/>
      <c r="U10668" s="4"/>
      <c r="V10668" s="4"/>
      <c r="X10668" s="4"/>
      <c r="Y10668" s="4"/>
    </row>
    <row r="10669" spans="20:25" x14ac:dyDescent="0.3">
      <c r="T10669" s="12"/>
      <c r="U10669" s="4"/>
      <c r="V10669" s="4"/>
      <c r="X10669" s="4"/>
      <c r="Y10669" s="4"/>
    </row>
    <row r="10670" spans="20:25" x14ac:dyDescent="0.3">
      <c r="T10670" s="12"/>
      <c r="U10670" s="4"/>
      <c r="V10670" s="4"/>
      <c r="X10670" s="4"/>
      <c r="Y10670" s="4"/>
    </row>
    <row r="10671" spans="20:25" x14ac:dyDescent="0.3">
      <c r="T10671" s="12"/>
      <c r="U10671" s="4"/>
      <c r="V10671" s="4"/>
      <c r="X10671" s="4"/>
      <c r="Y10671" s="4"/>
    </row>
    <row r="10672" spans="20:25" x14ac:dyDescent="0.3">
      <c r="T10672" s="12"/>
      <c r="U10672" s="4"/>
      <c r="V10672" s="4"/>
      <c r="X10672" s="4"/>
      <c r="Y10672" s="4"/>
    </row>
    <row r="10673" spans="20:25" x14ac:dyDescent="0.3">
      <c r="T10673" s="12"/>
      <c r="U10673" s="4"/>
      <c r="V10673" s="4"/>
      <c r="X10673" s="4"/>
      <c r="Y10673" s="4"/>
    </row>
    <row r="10674" spans="20:25" x14ac:dyDescent="0.3">
      <c r="T10674" s="12"/>
      <c r="U10674" s="4"/>
      <c r="V10674" s="4"/>
      <c r="X10674" s="4"/>
      <c r="Y10674" s="4"/>
    </row>
    <row r="10675" spans="20:25" x14ac:dyDescent="0.3">
      <c r="T10675" s="12"/>
      <c r="U10675" s="4"/>
      <c r="V10675" s="4"/>
      <c r="X10675" s="4"/>
      <c r="Y10675" s="4"/>
    </row>
    <row r="10676" spans="20:25" x14ac:dyDescent="0.3">
      <c r="T10676" s="12"/>
      <c r="U10676" s="4"/>
      <c r="V10676" s="4"/>
      <c r="X10676" s="4"/>
      <c r="Y10676" s="4"/>
    </row>
    <row r="10677" spans="20:25" x14ac:dyDescent="0.3">
      <c r="T10677" s="12"/>
      <c r="U10677" s="4"/>
      <c r="V10677" s="4"/>
      <c r="X10677" s="4"/>
      <c r="Y10677" s="4"/>
    </row>
    <row r="10678" spans="20:25" x14ac:dyDescent="0.3">
      <c r="T10678" s="12"/>
      <c r="U10678" s="4"/>
      <c r="V10678" s="4"/>
      <c r="X10678" s="4"/>
      <c r="Y10678" s="4"/>
    </row>
    <row r="10679" spans="20:25" x14ac:dyDescent="0.3">
      <c r="T10679" s="12"/>
      <c r="U10679" s="4"/>
      <c r="V10679" s="4"/>
      <c r="X10679" s="4"/>
      <c r="Y10679" s="4"/>
    </row>
    <row r="10680" spans="20:25" x14ac:dyDescent="0.3">
      <c r="T10680" s="12"/>
      <c r="U10680" s="4"/>
      <c r="V10680" s="4"/>
      <c r="X10680" s="4"/>
      <c r="Y10680" s="4"/>
    </row>
    <row r="10681" spans="20:25" x14ac:dyDescent="0.3">
      <c r="T10681" s="12"/>
      <c r="U10681" s="4"/>
      <c r="V10681" s="4"/>
      <c r="X10681" s="4"/>
      <c r="Y10681" s="4"/>
    </row>
    <row r="10682" spans="20:25" x14ac:dyDescent="0.3">
      <c r="T10682" s="12"/>
      <c r="U10682" s="4"/>
      <c r="V10682" s="4"/>
      <c r="X10682" s="4"/>
      <c r="Y10682" s="4"/>
    </row>
    <row r="10683" spans="20:25" x14ac:dyDescent="0.3">
      <c r="T10683" s="12"/>
      <c r="U10683" s="4"/>
      <c r="V10683" s="4"/>
      <c r="X10683" s="4"/>
      <c r="Y10683" s="4"/>
    </row>
    <row r="10684" spans="20:25" x14ac:dyDescent="0.3">
      <c r="T10684" s="12"/>
      <c r="U10684" s="4"/>
      <c r="V10684" s="4"/>
      <c r="X10684" s="4"/>
      <c r="Y10684" s="4"/>
    </row>
    <row r="10685" spans="20:25" x14ac:dyDescent="0.3">
      <c r="T10685" s="12"/>
      <c r="U10685" s="4"/>
      <c r="V10685" s="4"/>
      <c r="X10685" s="4"/>
      <c r="Y10685" s="4"/>
    </row>
    <row r="10686" spans="20:25" x14ac:dyDescent="0.3">
      <c r="T10686" s="12"/>
      <c r="U10686" s="4"/>
      <c r="V10686" s="4"/>
      <c r="X10686" s="4"/>
      <c r="Y10686" s="4"/>
    </row>
    <row r="10687" spans="20:25" x14ac:dyDescent="0.3">
      <c r="T10687" s="12"/>
      <c r="U10687" s="4"/>
      <c r="V10687" s="4"/>
      <c r="X10687" s="4"/>
      <c r="Y10687" s="4"/>
    </row>
    <row r="10688" spans="20:25" x14ac:dyDescent="0.3">
      <c r="T10688" s="12"/>
      <c r="U10688" s="4"/>
      <c r="V10688" s="4"/>
      <c r="X10688" s="4"/>
      <c r="Y10688" s="4"/>
    </row>
    <row r="10689" spans="20:25" x14ac:dyDescent="0.3">
      <c r="T10689" s="12"/>
      <c r="U10689" s="4"/>
      <c r="V10689" s="4"/>
      <c r="X10689" s="4"/>
      <c r="Y10689" s="4"/>
    </row>
    <row r="10690" spans="20:25" x14ac:dyDescent="0.3">
      <c r="T10690" s="12"/>
      <c r="U10690" s="4"/>
      <c r="V10690" s="4"/>
      <c r="X10690" s="4"/>
      <c r="Y10690" s="4"/>
    </row>
    <row r="10691" spans="20:25" x14ac:dyDescent="0.3">
      <c r="T10691" s="12"/>
      <c r="U10691" s="4"/>
      <c r="V10691" s="4"/>
      <c r="X10691" s="4"/>
      <c r="Y10691" s="4"/>
    </row>
    <row r="10692" spans="20:25" x14ac:dyDescent="0.3">
      <c r="T10692" s="12"/>
      <c r="U10692" s="4"/>
      <c r="V10692" s="4"/>
      <c r="X10692" s="4"/>
      <c r="Y10692" s="4"/>
    </row>
    <row r="10693" spans="20:25" x14ac:dyDescent="0.3">
      <c r="T10693" s="12"/>
      <c r="U10693" s="4"/>
      <c r="V10693" s="4"/>
      <c r="X10693" s="4"/>
      <c r="Y10693" s="4"/>
    </row>
    <row r="10694" spans="20:25" x14ac:dyDescent="0.3">
      <c r="T10694" s="12"/>
      <c r="U10694" s="4"/>
      <c r="V10694" s="4"/>
      <c r="X10694" s="4"/>
      <c r="Y10694" s="4"/>
    </row>
    <row r="10695" spans="20:25" x14ac:dyDescent="0.3">
      <c r="T10695" s="12"/>
      <c r="U10695" s="4"/>
      <c r="V10695" s="4"/>
      <c r="X10695" s="4"/>
      <c r="Y10695" s="4"/>
    </row>
    <row r="10696" spans="20:25" x14ac:dyDescent="0.3">
      <c r="T10696" s="12"/>
      <c r="U10696" s="4"/>
      <c r="V10696" s="4"/>
      <c r="X10696" s="4"/>
      <c r="Y10696" s="4"/>
    </row>
    <row r="10697" spans="20:25" x14ac:dyDescent="0.3">
      <c r="T10697" s="12"/>
      <c r="U10697" s="4"/>
      <c r="V10697" s="4"/>
      <c r="X10697" s="4"/>
      <c r="Y10697" s="4"/>
    </row>
    <row r="10698" spans="20:25" x14ac:dyDescent="0.3">
      <c r="T10698" s="12"/>
      <c r="U10698" s="4"/>
      <c r="V10698" s="4"/>
      <c r="X10698" s="4"/>
      <c r="Y10698" s="4"/>
    </row>
    <row r="10699" spans="20:25" x14ac:dyDescent="0.3">
      <c r="T10699" s="12"/>
      <c r="U10699" s="4"/>
      <c r="V10699" s="4"/>
      <c r="X10699" s="4"/>
      <c r="Y10699" s="4"/>
    </row>
    <row r="10700" spans="20:25" x14ac:dyDescent="0.3">
      <c r="T10700" s="12"/>
      <c r="U10700" s="4"/>
      <c r="V10700" s="4"/>
      <c r="X10700" s="4"/>
      <c r="Y10700" s="4"/>
    </row>
    <row r="10701" spans="20:25" x14ac:dyDescent="0.3">
      <c r="T10701" s="12"/>
      <c r="U10701" s="4"/>
      <c r="V10701" s="4"/>
      <c r="X10701" s="4"/>
      <c r="Y10701" s="4"/>
    </row>
    <row r="10702" spans="20:25" x14ac:dyDescent="0.3">
      <c r="T10702" s="12"/>
      <c r="U10702" s="4"/>
      <c r="V10702" s="4"/>
      <c r="X10702" s="4"/>
      <c r="Y10702" s="4"/>
    </row>
    <row r="10703" spans="20:25" x14ac:dyDescent="0.3">
      <c r="T10703" s="12"/>
      <c r="U10703" s="4"/>
      <c r="V10703" s="4"/>
      <c r="X10703" s="4"/>
      <c r="Y10703" s="4"/>
    </row>
    <row r="10704" spans="20:25" x14ac:dyDescent="0.3">
      <c r="T10704" s="12"/>
      <c r="U10704" s="4"/>
      <c r="V10704" s="4"/>
      <c r="X10704" s="4"/>
      <c r="Y10704" s="4"/>
    </row>
    <row r="10705" spans="20:25" x14ac:dyDescent="0.3">
      <c r="T10705" s="12"/>
      <c r="U10705" s="4"/>
      <c r="V10705" s="4"/>
      <c r="X10705" s="4"/>
      <c r="Y10705" s="4"/>
    </row>
    <row r="10706" spans="20:25" x14ac:dyDescent="0.3">
      <c r="T10706" s="12"/>
      <c r="U10706" s="4"/>
      <c r="V10706" s="4"/>
      <c r="X10706" s="4"/>
      <c r="Y10706" s="4"/>
    </row>
    <row r="10707" spans="20:25" x14ac:dyDescent="0.3">
      <c r="T10707" s="12"/>
      <c r="U10707" s="4"/>
      <c r="V10707" s="4"/>
      <c r="X10707" s="4"/>
      <c r="Y10707" s="4"/>
    </row>
    <row r="10708" spans="20:25" x14ac:dyDescent="0.3">
      <c r="T10708" s="12"/>
      <c r="U10708" s="4"/>
      <c r="V10708" s="4"/>
      <c r="X10708" s="4"/>
      <c r="Y10708" s="4"/>
    </row>
    <row r="10709" spans="20:25" x14ac:dyDescent="0.3">
      <c r="T10709" s="12"/>
      <c r="U10709" s="4"/>
      <c r="V10709" s="4"/>
      <c r="X10709" s="4"/>
      <c r="Y10709" s="4"/>
    </row>
    <row r="10710" spans="20:25" x14ac:dyDescent="0.3">
      <c r="T10710" s="12"/>
      <c r="U10710" s="4"/>
      <c r="V10710" s="4"/>
      <c r="X10710" s="4"/>
      <c r="Y10710" s="4"/>
    </row>
    <row r="10711" spans="20:25" x14ac:dyDescent="0.3">
      <c r="T10711" s="12"/>
      <c r="U10711" s="4"/>
      <c r="V10711" s="4"/>
      <c r="X10711" s="4"/>
      <c r="Y10711" s="4"/>
    </row>
    <row r="10712" spans="20:25" x14ac:dyDescent="0.3">
      <c r="T10712" s="12"/>
      <c r="U10712" s="4"/>
      <c r="V10712" s="4"/>
      <c r="X10712" s="4"/>
      <c r="Y10712" s="4"/>
    </row>
    <row r="10713" spans="20:25" x14ac:dyDescent="0.3">
      <c r="T10713" s="12"/>
      <c r="U10713" s="4"/>
      <c r="V10713" s="4"/>
      <c r="X10713" s="4"/>
      <c r="Y10713" s="4"/>
    </row>
    <row r="10714" spans="20:25" x14ac:dyDescent="0.3">
      <c r="T10714" s="12"/>
      <c r="U10714" s="4"/>
      <c r="V10714" s="4"/>
      <c r="X10714" s="4"/>
      <c r="Y10714" s="4"/>
    </row>
    <row r="10715" spans="20:25" x14ac:dyDescent="0.3">
      <c r="T10715" s="12"/>
      <c r="U10715" s="4"/>
      <c r="V10715" s="4"/>
      <c r="X10715" s="4"/>
      <c r="Y10715" s="4"/>
    </row>
    <row r="10716" spans="20:25" x14ac:dyDescent="0.3">
      <c r="T10716" s="12"/>
      <c r="U10716" s="4"/>
      <c r="V10716" s="4"/>
      <c r="X10716" s="4"/>
      <c r="Y10716" s="4"/>
    </row>
    <row r="10717" spans="20:25" x14ac:dyDescent="0.3">
      <c r="T10717" s="12"/>
      <c r="U10717" s="4"/>
      <c r="V10717" s="4"/>
      <c r="X10717" s="4"/>
      <c r="Y10717" s="4"/>
    </row>
    <row r="10718" spans="20:25" x14ac:dyDescent="0.3">
      <c r="T10718" s="12"/>
      <c r="U10718" s="4"/>
      <c r="V10718" s="4"/>
      <c r="X10718" s="4"/>
      <c r="Y10718" s="4"/>
    </row>
    <row r="10719" spans="20:25" x14ac:dyDescent="0.3">
      <c r="T10719" s="12"/>
      <c r="U10719" s="4"/>
      <c r="V10719" s="4"/>
      <c r="X10719" s="4"/>
      <c r="Y10719" s="4"/>
    </row>
    <row r="10720" spans="20:25" x14ac:dyDescent="0.3">
      <c r="T10720" s="12"/>
      <c r="U10720" s="4"/>
      <c r="V10720" s="4"/>
      <c r="X10720" s="4"/>
      <c r="Y10720" s="4"/>
    </row>
    <row r="10721" spans="20:25" x14ac:dyDescent="0.3">
      <c r="T10721" s="12"/>
      <c r="U10721" s="4"/>
      <c r="V10721" s="4"/>
      <c r="X10721" s="4"/>
      <c r="Y10721" s="4"/>
    </row>
    <row r="10722" spans="20:25" x14ac:dyDescent="0.3">
      <c r="T10722" s="12"/>
      <c r="U10722" s="4"/>
      <c r="V10722" s="4"/>
      <c r="X10722" s="4"/>
      <c r="Y10722" s="4"/>
    </row>
    <row r="10723" spans="20:25" x14ac:dyDescent="0.3">
      <c r="T10723" s="12"/>
      <c r="U10723" s="4"/>
      <c r="V10723" s="4"/>
      <c r="X10723" s="4"/>
      <c r="Y10723" s="4"/>
    </row>
    <row r="10724" spans="20:25" x14ac:dyDescent="0.3">
      <c r="T10724" s="12"/>
      <c r="U10724" s="4"/>
      <c r="V10724" s="4"/>
      <c r="X10724" s="4"/>
      <c r="Y10724" s="4"/>
    </row>
    <row r="10725" spans="20:25" x14ac:dyDescent="0.3">
      <c r="T10725" s="12"/>
      <c r="U10725" s="4"/>
      <c r="V10725" s="4"/>
      <c r="X10725" s="4"/>
      <c r="Y10725" s="4"/>
    </row>
    <row r="10726" spans="20:25" x14ac:dyDescent="0.3">
      <c r="T10726" s="12"/>
      <c r="U10726" s="4"/>
      <c r="V10726" s="4"/>
      <c r="X10726" s="4"/>
      <c r="Y10726" s="4"/>
    </row>
    <row r="10727" spans="20:25" x14ac:dyDescent="0.3">
      <c r="T10727" s="12"/>
      <c r="U10727" s="4"/>
      <c r="V10727" s="4"/>
      <c r="X10727" s="4"/>
      <c r="Y10727" s="4"/>
    </row>
    <row r="10728" spans="20:25" x14ac:dyDescent="0.3">
      <c r="T10728" s="12"/>
      <c r="U10728" s="4"/>
      <c r="V10728" s="4"/>
      <c r="X10728" s="4"/>
      <c r="Y10728" s="4"/>
    </row>
    <row r="10729" spans="20:25" x14ac:dyDescent="0.3">
      <c r="T10729" s="12"/>
      <c r="U10729" s="4"/>
      <c r="V10729" s="4"/>
      <c r="X10729" s="4"/>
      <c r="Y10729" s="4"/>
    </row>
    <row r="10730" spans="20:25" x14ac:dyDescent="0.3">
      <c r="T10730" s="12"/>
      <c r="U10730" s="4"/>
      <c r="V10730" s="4"/>
      <c r="X10730" s="4"/>
      <c r="Y10730" s="4"/>
    </row>
    <row r="10731" spans="20:25" x14ac:dyDescent="0.3">
      <c r="T10731" s="12"/>
      <c r="U10731" s="4"/>
      <c r="V10731" s="4"/>
      <c r="X10731" s="4"/>
      <c r="Y10731" s="4"/>
    </row>
    <row r="10732" spans="20:25" x14ac:dyDescent="0.3">
      <c r="T10732" s="12"/>
      <c r="U10732" s="4"/>
      <c r="V10732" s="4"/>
      <c r="X10732" s="4"/>
      <c r="Y10732" s="4"/>
    </row>
    <row r="10733" spans="20:25" x14ac:dyDescent="0.3">
      <c r="T10733" s="12"/>
      <c r="U10733" s="4"/>
      <c r="V10733" s="4"/>
      <c r="X10733" s="4"/>
      <c r="Y10733" s="4"/>
    </row>
    <row r="10734" spans="20:25" x14ac:dyDescent="0.3">
      <c r="T10734" s="12"/>
      <c r="U10734" s="4"/>
      <c r="V10734" s="4"/>
      <c r="X10734" s="4"/>
      <c r="Y10734" s="4"/>
    </row>
    <row r="10735" spans="20:25" x14ac:dyDescent="0.3">
      <c r="T10735" s="12"/>
      <c r="U10735" s="4"/>
      <c r="V10735" s="4"/>
      <c r="X10735" s="4"/>
      <c r="Y10735" s="4"/>
    </row>
    <row r="10736" spans="20:25" x14ac:dyDescent="0.3">
      <c r="T10736" s="12"/>
      <c r="U10736" s="4"/>
      <c r="V10736" s="4"/>
      <c r="X10736" s="4"/>
      <c r="Y10736" s="4"/>
    </row>
    <row r="10737" spans="20:25" x14ac:dyDescent="0.3">
      <c r="T10737" s="12"/>
      <c r="U10737" s="4"/>
      <c r="V10737" s="4"/>
      <c r="X10737" s="4"/>
      <c r="Y10737" s="4"/>
    </row>
    <row r="10738" spans="20:25" x14ac:dyDescent="0.3">
      <c r="T10738" s="12"/>
      <c r="U10738" s="4"/>
      <c r="V10738" s="4"/>
      <c r="X10738" s="4"/>
      <c r="Y10738" s="4"/>
    </row>
    <row r="10739" spans="20:25" x14ac:dyDescent="0.3">
      <c r="T10739" s="12"/>
      <c r="U10739" s="4"/>
      <c r="V10739" s="4"/>
      <c r="X10739" s="4"/>
      <c r="Y10739" s="4"/>
    </row>
    <row r="10740" spans="20:25" x14ac:dyDescent="0.3">
      <c r="T10740" s="12"/>
      <c r="U10740" s="4"/>
      <c r="V10740" s="4"/>
      <c r="X10740" s="4"/>
      <c r="Y10740" s="4"/>
    </row>
    <row r="10741" spans="20:25" x14ac:dyDescent="0.3">
      <c r="T10741" s="12"/>
      <c r="U10741" s="4"/>
      <c r="V10741" s="4"/>
      <c r="X10741" s="4"/>
      <c r="Y10741" s="4"/>
    </row>
    <row r="10742" spans="20:25" x14ac:dyDescent="0.3">
      <c r="T10742" s="12"/>
      <c r="U10742" s="4"/>
      <c r="V10742" s="4"/>
      <c r="X10742" s="4"/>
      <c r="Y10742" s="4"/>
    </row>
    <row r="10743" spans="20:25" x14ac:dyDescent="0.3">
      <c r="T10743" s="12"/>
      <c r="U10743" s="4"/>
      <c r="V10743" s="4"/>
      <c r="X10743" s="4"/>
      <c r="Y10743" s="4"/>
    </row>
    <row r="10744" spans="20:25" x14ac:dyDescent="0.3">
      <c r="T10744" s="12"/>
      <c r="U10744" s="4"/>
      <c r="V10744" s="4"/>
      <c r="X10744" s="4"/>
      <c r="Y10744" s="4"/>
    </row>
    <row r="10745" spans="20:25" x14ac:dyDescent="0.3">
      <c r="T10745" s="12"/>
      <c r="U10745" s="4"/>
      <c r="V10745" s="4"/>
      <c r="X10745" s="4"/>
      <c r="Y10745" s="4"/>
    </row>
    <row r="10746" spans="20:25" x14ac:dyDescent="0.3">
      <c r="T10746" s="12"/>
      <c r="U10746" s="4"/>
      <c r="V10746" s="4"/>
      <c r="X10746" s="4"/>
      <c r="Y10746" s="4"/>
    </row>
    <row r="10747" spans="20:25" x14ac:dyDescent="0.3">
      <c r="T10747" s="12"/>
      <c r="U10747" s="4"/>
      <c r="V10747" s="4"/>
      <c r="X10747" s="4"/>
      <c r="Y10747" s="4"/>
    </row>
    <row r="10748" spans="20:25" x14ac:dyDescent="0.3">
      <c r="T10748" s="12"/>
      <c r="U10748" s="4"/>
      <c r="V10748" s="4"/>
      <c r="X10748" s="4"/>
      <c r="Y10748" s="4"/>
    </row>
    <row r="10749" spans="20:25" x14ac:dyDescent="0.3">
      <c r="T10749" s="12"/>
      <c r="U10749" s="4"/>
      <c r="V10749" s="4"/>
      <c r="X10749" s="4"/>
      <c r="Y10749" s="4"/>
    </row>
    <row r="10750" spans="20:25" x14ac:dyDescent="0.3">
      <c r="T10750" s="12"/>
      <c r="U10750" s="4"/>
      <c r="V10750" s="4"/>
      <c r="X10750" s="4"/>
      <c r="Y10750" s="4"/>
    </row>
    <row r="10751" spans="20:25" x14ac:dyDescent="0.3">
      <c r="T10751" s="12"/>
      <c r="U10751" s="4"/>
      <c r="V10751" s="4"/>
      <c r="X10751" s="4"/>
      <c r="Y10751" s="4"/>
    </row>
    <row r="10752" spans="20:25" x14ac:dyDescent="0.3">
      <c r="T10752" s="12"/>
      <c r="U10752" s="4"/>
      <c r="V10752" s="4"/>
      <c r="X10752" s="4"/>
      <c r="Y10752" s="4"/>
    </row>
    <row r="10753" spans="20:25" x14ac:dyDescent="0.3">
      <c r="T10753" s="12"/>
      <c r="U10753" s="4"/>
      <c r="V10753" s="4"/>
      <c r="X10753" s="4"/>
      <c r="Y10753" s="4"/>
    </row>
    <row r="10754" spans="20:25" x14ac:dyDescent="0.3">
      <c r="T10754" s="12"/>
      <c r="U10754" s="4"/>
      <c r="V10754" s="4"/>
      <c r="X10754" s="4"/>
      <c r="Y10754" s="4"/>
    </row>
    <row r="10755" spans="20:25" x14ac:dyDescent="0.3">
      <c r="T10755" s="12"/>
      <c r="U10755" s="4"/>
      <c r="V10755" s="4"/>
      <c r="X10755" s="4"/>
      <c r="Y10755" s="4"/>
    </row>
    <row r="10756" spans="20:25" x14ac:dyDescent="0.3">
      <c r="T10756" s="12"/>
      <c r="U10756" s="4"/>
      <c r="V10756" s="4"/>
      <c r="X10756" s="4"/>
      <c r="Y10756" s="4"/>
    </row>
    <row r="10757" spans="20:25" x14ac:dyDescent="0.3">
      <c r="T10757" s="12"/>
      <c r="U10757" s="4"/>
      <c r="V10757" s="4"/>
      <c r="X10757" s="4"/>
      <c r="Y10757" s="4"/>
    </row>
    <row r="10758" spans="20:25" x14ac:dyDescent="0.3">
      <c r="T10758" s="12"/>
      <c r="U10758" s="4"/>
      <c r="V10758" s="4"/>
      <c r="X10758" s="4"/>
      <c r="Y10758" s="4"/>
    </row>
    <row r="10759" spans="20:25" x14ac:dyDescent="0.3">
      <c r="T10759" s="12"/>
      <c r="U10759" s="4"/>
      <c r="V10759" s="4"/>
      <c r="X10759" s="4"/>
      <c r="Y10759" s="4"/>
    </row>
    <row r="10760" spans="20:25" x14ac:dyDescent="0.3">
      <c r="T10760" s="12"/>
      <c r="U10760" s="4"/>
      <c r="V10760" s="4"/>
      <c r="X10760" s="4"/>
      <c r="Y10760" s="4"/>
    </row>
    <row r="10761" spans="20:25" x14ac:dyDescent="0.3">
      <c r="T10761" s="12"/>
      <c r="U10761" s="4"/>
      <c r="V10761" s="4"/>
      <c r="X10761" s="4"/>
      <c r="Y10761" s="4"/>
    </row>
    <row r="10762" spans="20:25" x14ac:dyDescent="0.3">
      <c r="T10762" s="12"/>
      <c r="U10762" s="4"/>
      <c r="V10762" s="4"/>
      <c r="X10762" s="4"/>
      <c r="Y10762" s="4"/>
    </row>
    <row r="10763" spans="20:25" x14ac:dyDescent="0.3">
      <c r="T10763" s="12"/>
      <c r="U10763" s="4"/>
      <c r="V10763" s="4"/>
      <c r="X10763" s="4"/>
      <c r="Y10763" s="4"/>
    </row>
    <row r="10764" spans="20:25" x14ac:dyDescent="0.3">
      <c r="T10764" s="12"/>
      <c r="U10764" s="4"/>
      <c r="V10764" s="4"/>
      <c r="X10764" s="4"/>
      <c r="Y10764" s="4"/>
    </row>
    <row r="10765" spans="20:25" x14ac:dyDescent="0.3">
      <c r="T10765" s="12"/>
      <c r="U10765" s="4"/>
      <c r="V10765" s="4"/>
      <c r="X10765" s="4"/>
      <c r="Y10765" s="4"/>
    </row>
    <row r="10766" spans="20:25" x14ac:dyDescent="0.3">
      <c r="T10766" s="12"/>
      <c r="U10766" s="4"/>
      <c r="V10766" s="4"/>
      <c r="X10766" s="4"/>
      <c r="Y10766" s="4"/>
    </row>
    <row r="10767" spans="20:25" x14ac:dyDescent="0.3">
      <c r="T10767" s="12"/>
      <c r="U10767" s="4"/>
      <c r="V10767" s="4"/>
      <c r="X10767" s="4"/>
      <c r="Y10767" s="4"/>
    </row>
    <row r="10768" spans="20:25" x14ac:dyDescent="0.3">
      <c r="T10768" s="12"/>
      <c r="U10768" s="4"/>
      <c r="V10768" s="4"/>
      <c r="X10768" s="4"/>
      <c r="Y10768" s="4"/>
    </row>
    <row r="10769" spans="20:25" x14ac:dyDescent="0.3">
      <c r="T10769" s="12"/>
      <c r="U10769" s="4"/>
      <c r="V10769" s="4"/>
      <c r="X10769" s="4"/>
      <c r="Y10769" s="4"/>
    </row>
    <row r="10770" spans="20:25" x14ac:dyDescent="0.3">
      <c r="T10770" s="12"/>
      <c r="U10770" s="4"/>
      <c r="V10770" s="4"/>
      <c r="X10770" s="4"/>
      <c r="Y10770" s="4"/>
    </row>
    <row r="10771" spans="20:25" x14ac:dyDescent="0.3">
      <c r="T10771" s="12"/>
      <c r="U10771" s="4"/>
      <c r="V10771" s="4"/>
      <c r="X10771" s="4"/>
      <c r="Y10771" s="4"/>
    </row>
    <row r="10772" spans="20:25" x14ac:dyDescent="0.3">
      <c r="T10772" s="12"/>
      <c r="U10772" s="4"/>
      <c r="V10772" s="4"/>
      <c r="X10772" s="4"/>
      <c r="Y10772" s="4"/>
    </row>
    <row r="10773" spans="20:25" x14ac:dyDescent="0.3">
      <c r="T10773" s="12"/>
      <c r="U10773" s="4"/>
      <c r="V10773" s="4"/>
      <c r="X10773" s="4"/>
      <c r="Y10773" s="4"/>
    </row>
    <row r="10774" spans="20:25" x14ac:dyDescent="0.3">
      <c r="T10774" s="12"/>
      <c r="U10774" s="4"/>
      <c r="V10774" s="4"/>
      <c r="X10774" s="4"/>
      <c r="Y10774" s="4"/>
    </row>
    <row r="10775" spans="20:25" x14ac:dyDescent="0.3">
      <c r="T10775" s="12"/>
      <c r="U10775" s="4"/>
      <c r="V10775" s="4"/>
      <c r="X10775" s="4"/>
      <c r="Y10775" s="4"/>
    </row>
    <row r="10776" spans="20:25" x14ac:dyDescent="0.3">
      <c r="T10776" s="12"/>
      <c r="U10776" s="4"/>
      <c r="V10776" s="4"/>
      <c r="X10776" s="4"/>
      <c r="Y10776" s="4"/>
    </row>
    <row r="10777" spans="20:25" x14ac:dyDescent="0.3">
      <c r="T10777" s="12"/>
      <c r="U10777" s="4"/>
      <c r="V10777" s="4"/>
      <c r="X10777" s="4"/>
      <c r="Y10777" s="4"/>
    </row>
    <row r="10778" spans="20:25" x14ac:dyDescent="0.3">
      <c r="T10778" s="12"/>
      <c r="U10778" s="4"/>
      <c r="V10778" s="4"/>
      <c r="X10778" s="4"/>
      <c r="Y10778" s="4"/>
    </row>
    <row r="10779" spans="20:25" x14ac:dyDescent="0.3">
      <c r="T10779" s="12"/>
      <c r="U10779" s="4"/>
      <c r="V10779" s="4"/>
      <c r="X10779" s="4"/>
      <c r="Y10779" s="4"/>
    </row>
    <row r="10780" spans="20:25" x14ac:dyDescent="0.3">
      <c r="T10780" s="12"/>
      <c r="U10780" s="4"/>
      <c r="V10780" s="4"/>
      <c r="X10780" s="4"/>
      <c r="Y10780" s="4"/>
    </row>
    <row r="10781" spans="20:25" x14ac:dyDescent="0.3">
      <c r="T10781" s="12"/>
      <c r="U10781" s="4"/>
      <c r="V10781" s="4"/>
      <c r="X10781" s="4"/>
      <c r="Y10781" s="4"/>
    </row>
    <row r="10782" spans="20:25" x14ac:dyDescent="0.3">
      <c r="T10782" s="12"/>
      <c r="U10782" s="4"/>
      <c r="V10782" s="4"/>
      <c r="X10782" s="4"/>
      <c r="Y10782" s="4"/>
    </row>
    <row r="10783" spans="20:25" x14ac:dyDescent="0.3">
      <c r="T10783" s="12"/>
      <c r="U10783" s="4"/>
      <c r="V10783" s="4"/>
      <c r="X10783" s="4"/>
      <c r="Y10783" s="4"/>
    </row>
    <row r="10784" spans="20:25" x14ac:dyDescent="0.3">
      <c r="T10784" s="12"/>
      <c r="U10784" s="4"/>
      <c r="V10784" s="4"/>
      <c r="X10784" s="4"/>
      <c r="Y10784" s="4"/>
    </row>
    <row r="10785" spans="20:25" x14ac:dyDescent="0.3">
      <c r="T10785" s="12"/>
      <c r="U10785" s="4"/>
      <c r="V10785" s="4"/>
      <c r="X10785" s="4"/>
      <c r="Y10785" s="4"/>
    </row>
    <row r="10786" spans="20:25" x14ac:dyDescent="0.3">
      <c r="T10786" s="12"/>
      <c r="U10786" s="4"/>
      <c r="V10786" s="4"/>
      <c r="X10786" s="4"/>
      <c r="Y10786" s="4"/>
    </row>
    <row r="10787" spans="20:25" x14ac:dyDescent="0.3">
      <c r="T10787" s="12"/>
      <c r="U10787" s="4"/>
      <c r="V10787" s="4"/>
      <c r="X10787" s="4"/>
      <c r="Y10787" s="4"/>
    </row>
    <row r="10788" spans="20:25" x14ac:dyDescent="0.3">
      <c r="T10788" s="12"/>
      <c r="U10788" s="4"/>
      <c r="V10788" s="4"/>
      <c r="X10788" s="4"/>
      <c r="Y10788" s="4"/>
    </row>
    <row r="10789" spans="20:25" x14ac:dyDescent="0.3">
      <c r="T10789" s="12"/>
      <c r="U10789" s="4"/>
      <c r="V10789" s="4"/>
      <c r="X10789" s="4"/>
      <c r="Y10789" s="4"/>
    </row>
    <row r="10790" spans="20:25" x14ac:dyDescent="0.3">
      <c r="T10790" s="12"/>
      <c r="U10790" s="4"/>
      <c r="V10790" s="4"/>
      <c r="X10790" s="4"/>
      <c r="Y10790" s="4"/>
    </row>
    <row r="10791" spans="20:25" x14ac:dyDescent="0.3">
      <c r="T10791" s="12"/>
      <c r="U10791" s="4"/>
      <c r="V10791" s="4"/>
      <c r="X10791" s="4"/>
      <c r="Y10791" s="4"/>
    </row>
    <row r="10792" spans="20:25" x14ac:dyDescent="0.3">
      <c r="T10792" s="12"/>
      <c r="U10792" s="4"/>
      <c r="V10792" s="4"/>
      <c r="X10792" s="4"/>
      <c r="Y10792" s="4"/>
    </row>
    <row r="10793" spans="20:25" x14ac:dyDescent="0.3">
      <c r="T10793" s="12"/>
      <c r="U10793" s="4"/>
      <c r="V10793" s="4"/>
      <c r="X10793" s="4"/>
      <c r="Y10793" s="4"/>
    </row>
    <row r="10794" spans="20:25" x14ac:dyDescent="0.3">
      <c r="T10794" s="12"/>
      <c r="U10794" s="4"/>
      <c r="V10794" s="4"/>
      <c r="X10794" s="4"/>
      <c r="Y10794" s="4"/>
    </row>
    <row r="10795" spans="20:25" x14ac:dyDescent="0.3">
      <c r="T10795" s="12"/>
      <c r="U10795" s="4"/>
      <c r="V10795" s="4"/>
      <c r="X10795" s="4"/>
      <c r="Y10795" s="4"/>
    </row>
    <row r="10796" spans="20:25" x14ac:dyDescent="0.3">
      <c r="T10796" s="12"/>
      <c r="U10796" s="4"/>
      <c r="V10796" s="4"/>
      <c r="X10796" s="4"/>
      <c r="Y10796" s="4"/>
    </row>
    <row r="10797" spans="20:25" x14ac:dyDescent="0.3">
      <c r="T10797" s="12"/>
      <c r="U10797" s="4"/>
      <c r="V10797" s="4"/>
      <c r="X10797" s="4"/>
      <c r="Y10797" s="4"/>
    </row>
    <row r="10798" spans="20:25" x14ac:dyDescent="0.3">
      <c r="T10798" s="12"/>
      <c r="U10798" s="4"/>
      <c r="V10798" s="4"/>
      <c r="X10798" s="4"/>
      <c r="Y10798" s="4"/>
    </row>
    <row r="10799" spans="20:25" x14ac:dyDescent="0.3">
      <c r="T10799" s="12"/>
      <c r="U10799" s="4"/>
      <c r="V10799" s="4"/>
      <c r="X10799" s="4"/>
      <c r="Y10799" s="4"/>
    </row>
    <row r="10800" spans="20:25" x14ac:dyDescent="0.3">
      <c r="T10800" s="12"/>
      <c r="U10800" s="4"/>
      <c r="V10800" s="4"/>
      <c r="X10800" s="4"/>
      <c r="Y10800" s="4"/>
    </row>
    <row r="10801" spans="20:25" x14ac:dyDescent="0.3">
      <c r="T10801" s="12"/>
      <c r="U10801" s="4"/>
      <c r="V10801" s="4"/>
      <c r="X10801" s="4"/>
      <c r="Y10801" s="4"/>
    </row>
    <row r="10802" spans="20:25" x14ac:dyDescent="0.3">
      <c r="T10802" s="12"/>
      <c r="U10802" s="4"/>
      <c r="V10802" s="4"/>
      <c r="X10802" s="4"/>
      <c r="Y10802" s="4"/>
    </row>
    <row r="10803" spans="20:25" x14ac:dyDescent="0.3">
      <c r="T10803" s="12"/>
      <c r="U10803" s="4"/>
      <c r="V10803" s="4"/>
      <c r="X10803" s="4"/>
      <c r="Y10803" s="4"/>
    </row>
    <row r="10804" spans="20:25" x14ac:dyDescent="0.3">
      <c r="T10804" s="12"/>
      <c r="U10804" s="4"/>
      <c r="V10804" s="4"/>
      <c r="X10804" s="4"/>
      <c r="Y10804" s="4"/>
    </row>
    <row r="10805" spans="20:25" x14ac:dyDescent="0.3">
      <c r="T10805" s="12"/>
      <c r="U10805" s="4"/>
      <c r="V10805" s="4"/>
      <c r="X10805" s="4"/>
      <c r="Y10805" s="4"/>
    </row>
    <row r="10806" spans="20:25" x14ac:dyDescent="0.3">
      <c r="T10806" s="12"/>
      <c r="U10806" s="4"/>
      <c r="V10806" s="4"/>
      <c r="X10806" s="4"/>
      <c r="Y10806" s="4"/>
    </row>
    <row r="10807" spans="20:25" x14ac:dyDescent="0.3">
      <c r="T10807" s="12"/>
      <c r="U10807" s="4"/>
      <c r="V10807" s="4"/>
      <c r="X10807" s="4"/>
      <c r="Y10807" s="4"/>
    </row>
    <row r="10808" spans="20:25" x14ac:dyDescent="0.3">
      <c r="T10808" s="12"/>
      <c r="U10808" s="4"/>
      <c r="V10808" s="4"/>
      <c r="X10808" s="4"/>
      <c r="Y10808" s="4"/>
    </row>
    <row r="10809" spans="20:25" x14ac:dyDescent="0.3">
      <c r="T10809" s="12"/>
      <c r="U10809" s="4"/>
      <c r="V10809" s="4"/>
      <c r="X10809" s="4"/>
      <c r="Y10809" s="4"/>
    </row>
    <row r="10810" spans="20:25" x14ac:dyDescent="0.3">
      <c r="T10810" s="12"/>
      <c r="U10810" s="4"/>
      <c r="V10810" s="4"/>
      <c r="X10810" s="4"/>
      <c r="Y10810" s="4"/>
    </row>
    <row r="10811" spans="20:25" x14ac:dyDescent="0.3">
      <c r="T10811" s="12"/>
      <c r="U10811" s="4"/>
      <c r="V10811" s="4"/>
      <c r="X10811" s="4"/>
      <c r="Y10811" s="4"/>
    </row>
    <row r="10812" spans="20:25" x14ac:dyDescent="0.3">
      <c r="T10812" s="12"/>
      <c r="U10812" s="4"/>
      <c r="V10812" s="4"/>
      <c r="X10812" s="4"/>
      <c r="Y10812" s="4"/>
    </row>
    <row r="10813" spans="20:25" x14ac:dyDescent="0.3">
      <c r="T10813" s="12"/>
      <c r="U10813" s="4"/>
      <c r="V10813" s="4"/>
      <c r="X10813" s="4"/>
      <c r="Y10813" s="4"/>
    </row>
    <row r="10814" spans="20:25" x14ac:dyDescent="0.3">
      <c r="T10814" s="12"/>
      <c r="U10814" s="4"/>
      <c r="V10814" s="4"/>
      <c r="X10814" s="4"/>
      <c r="Y10814" s="4"/>
    </row>
    <row r="10815" spans="20:25" x14ac:dyDescent="0.3">
      <c r="T10815" s="12"/>
      <c r="U10815" s="4"/>
      <c r="V10815" s="4"/>
      <c r="X10815" s="4"/>
      <c r="Y10815" s="4"/>
    </row>
    <row r="10816" spans="20:25" x14ac:dyDescent="0.3">
      <c r="T10816" s="12"/>
      <c r="U10816" s="4"/>
      <c r="V10816" s="4"/>
      <c r="X10816" s="4"/>
      <c r="Y10816" s="4"/>
    </row>
    <row r="10817" spans="20:25" x14ac:dyDescent="0.3">
      <c r="T10817" s="12"/>
      <c r="U10817" s="4"/>
      <c r="V10817" s="4"/>
      <c r="X10817" s="4"/>
      <c r="Y10817" s="4"/>
    </row>
    <row r="10818" spans="20:25" x14ac:dyDescent="0.3">
      <c r="T10818" s="12"/>
      <c r="U10818" s="4"/>
      <c r="V10818" s="4"/>
      <c r="X10818" s="4"/>
      <c r="Y10818" s="4"/>
    </row>
    <row r="10819" spans="20:25" x14ac:dyDescent="0.3">
      <c r="T10819" s="12"/>
      <c r="U10819" s="4"/>
      <c r="V10819" s="4"/>
      <c r="X10819" s="4"/>
      <c r="Y10819" s="4"/>
    </row>
    <row r="10820" spans="20:25" x14ac:dyDescent="0.3">
      <c r="T10820" s="12"/>
      <c r="U10820" s="4"/>
      <c r="V10820" s="4"/>
      <c r="X10820" s="4"/>
      <c r="Y10820" s="4"/>
    </row>
    <row r="10821" spans="20:25" x14ac:dyDescent="0.3">
      <c r="T10821" s="12"/>
      <c r="U10821" s="4"/>
      <c r="V10821" s="4"/>
      <c r="X10821" s="4"/>
      <c r="Y10821" s="4"/>
    </row>
    <row r="10822" spans="20:25" x14ac:dyDescent="0.3">
      <c r="T10822" s="12"/>
      <c r="U10822" s="4"/>
      <c r="V10822" s="4"/>
      <c r="X10822" s="4"/>
      <c r="Y10822" s="4"/>
    </row>
    <row r="10823" spans="20:25" x14ac:dyDescent="0.3">
      <c r="T10823" s="12"/>
      <c r="U10823" s="4"/>
      <c r="V10823" s="4"/>
      <c r="X10823" s="4"/>
      <c r="Y10823" s="4"/>
    </row>
    <row r="10824" spans="20:25" x14ac:dyDescent="0.3">
      <c r="T10824" s="12"/>
      <c r="U10824" s="4"/>
      <c r="V10824" s="4"/>
      <c r="X10824" s="4"/>
      <c r="Y10824" s="4"/>
    </row>
    <row r="10825" spans="20:25" x14ac:dyDescent="0.3">
      <c r="T10825" s="12"/>
      <c r="U10825" s="4"/>
      <c r="V10825" s="4"/>
      <c r="X10825" s="4"/>
      <c r="Y10825" s="4"/>
    </row>
    <row r="10826" spans="20:25" x14ac:dyDescent="0.3">
      <c r="T10826" s="12"/>
      <c r="U10826" s="4"/>
      <c r="V10826" s="4"/>
      <c r="X10826" s="4"/>
      <c r="Y10826" s="4"/>
    </row>
    <row r="10827" spans="20:25" x14ac:dyDescent="0.3">
      <c r="T10827" s="12"/>
      <c r="U10827" s="4"/>
      <c r="V10827" s="4"/>
      <c r="X10827" s="4"/>
      <c r="Y10827" s="4"/>
    </row>
    <row r="10828" spans="20:25" x14ac:dyDescent="0.3">
      <c r="T10828" s="12"/>
      <c r="U10828" s="4"/>
      <c r="V10828" s="4"/>
      <c r="X10828" s="4"/>
      <c r="Y10828" s="4"/>
    </row>
    <row r="10829" spans="20:25" x14ac:dyDescent="0.3">
      <c r="T10829" s="12"/>
      <c r="U10829" s="4"/>
      <c r="V10829" s="4"/>
      <c r="X10829" s="4"/>
      <c r="Y10829" s="4"/>
    </row>
    <row r="10830" spans="20:25" x14ac:dyDescent="0.3">
      <c r="T10830" s="12"/>
      <c r="U10830" s="4"/>
      <c r="V10830" s="4"/>
      <c r="X10830" s="4"/>
      <c r="Y10830" s="4"/>
    </row>
    <row r="10831" spans="20:25" x14ac:dyDescent="0.3">
      <c r="T10831" s="12"/>
      <c r="U10831" s="4"/>
      <c r="V10831" s="4"/>
      <c r="X10831" s="4"/>
      <c r="Y10831" s="4"/>
    </row>
    <row r="10832" spans="20:25" x14ac:dyDescent="0.3">
      <c r="T10832" s="12"/>
      <c r="U10832" s="4"/>
      <c r="V10832" s="4"/>
      <c r="X10832" s="4"/>
      <c r="Y10832" s="4"/>
    </row>
    <row r="10833" spans="20:25" x14ac:dyDescent="0.3">
      <c r="T10833" s="12"/>
      <c r="U10833" s="4"/>
      <c r="V10833" s="4"/>
      <c r="X10833" s="4"/>
      <c r="Y10833" s="4"/>
    </row>
    <row r="10834" spans="20:25" x14ac:dyDescent="0.3">
      <c r="T10834" s="12"/>
      <c r="U10834" s="4"/>
      <c r="V10834" s="4"/>
      <c r="X10834" s="4"/>
      <c r="Y10834" s="4"/>
    </row>
    <row r="10835" spans="20:25" x14ac:dyDescent="0.3">
      <c r="T10835" s="12"/>
      <c r="U10835" s="4"/>
      <c r="V10835" s="4"/>
      <c r="X10835" s="4"/>
      <c r="Y10835" s="4"/>
    </row>
    <row r="10836" spans="20:25" x14ac:dyDescent="0.3">
      <c r="T10836" s="12"/>
      <c r="U10836" s="4"/>
      <c r="V10836" s="4"/>
      <c r="X10836" s="4"/>
      <c r="Y10836" s="4"/>
    </row>
    <row r="10837" spans="20:25" x14ac:dyDescent="0.3">
      <c r="T10837" s="12"/>
      <c r="U10837" s="4"/>
      <c r="V10837" s="4"/>
      <c r="X10837" s="4"/>
      <c r="Y10837" s="4"/>
    </row>
    <row r="10838" spans="20:25" x14ac:dyDescent="0.3">
      <c r="T10838" s="12"/>
      <c r="U10838" s="4"/>
      <c r="V10838" s="4"/>
      <c r="X10838" s="4"/>
      <c r="Y10838" s="4"/>
    </row>
    <row r="10839" spans="20:25" x14ac:dyDescent="0.3">
      <c r="T10839" s="12"/>
      <c r="U10839" s="4"/>
      <c r="V10839" s="4"/>
      <c r="X10839" s="4"/>
      <c r="Y10839" s="4"/>
    </row>
    <row r="10840" spans="20:25" x14ac:dyDescent="0.3">
      <c r="T10840" s="12"/>
      <c r="U10840" s="4"/>
      <c r="V10840" s="4"/>
      <c r="X10840" s="4"/>
      <c r="Y10840" s="4"/>
    </row>
    <row r="10841" spans="20:25" x14ac:dyDescent="0.3">
      <c r="T10841" s="12"/>
      <c r="U10841" s="4"/>
      <c r="V10841" s="4"/>
      <c r="X10841" s="4"/>
      <c r="Y10841" s="4"/>
    </row>
    <row r="10842" spans="20:25" x14ac:dyDescent="0.3">
      <c r="T10842" s="12"/>
      <c r="U10842" s="4"/>
      <c r="V10842" s="4"/>
      <c r="X10842" s="4"/>
      <c r="Y10842" s="4"/>
    </row>
    <row r="10843" spans="20:25" x14ac:dyDescent="0.3">
      <c r="T10843" s="12"/>
      <c r="U10843" s="4"/>
      <c r="V10843" s="4"/>
      <c r="X10843" s="4"/>
      <c r="Y10843" s="4"/>
    </row>
    <row r="10844" spans="20:25" x14ac:dyDescent="0.3">
      <c r="T10844" s="12"/>
      <c r="U10844" s="4"/>
      <c r="V10844" s="4"/>
      <c r="X10844" s="4"/>
      <c r="Y10844" s="4"/>
    </row>
    <row r="10845" spans="20:25" x14ac:dyDescent="0.3">
      <c r="T10845" s="12"/>
      <c r="U10845" s="4"/>
      <c r="V10845" s="4"/>
      <c r="X10845" s="4"/>
      <c r="Y10845" s="4"/>
    </row>
    <row r="10846" spans="20:25" x14ac:dyDescent="0.3">
      <c r="T10846" s="12"/>
      <c r="U10846" s="4"/>
      <c r="V10846" s="4"/>
      <c r="X10846" s="4"/>
      <c r="Y10846" s="4"/>
    </row>
    <row r="10847" spans="20:25" x14ac:dyDescent="0.3">
      <c r="T10847" s="12"/>
      <c r="U10847" s="4"/>
      <c r="V10847" s="4"/>
      <c r="X10847" s="4"/>
      <c r="Y10847" s="4"/>
    </row>
    <row r="10848" spans="20:25" x14ac:dyDescent="0.3">
      <c r="T10848" s="12"/>
      <c r="U10848" s="4"/>
      <c r="V10848" s="4"/>
      <c r="X10848" s="4"/>
      <c r="Y10848" s="4"/>
    </row>
    <row r="10849" spans="20:25" x14ac:dyDescent="0.3">
      <c r="T10849" s="12"/>
      <c r="U10849" s="4"/>
      <c r="V10849" s="4"/>
      <c r="X10849" s="4"/>
      <c r="Y10849" s="4"/>
    </row>
    <row r="10850" spans="20:25" x14ac:dyDescent="0.3">
      <c r="T10850" s="12"/>
      <c r="U10850" s="4"/>
      <c r="V10850" s="4"/>
      <c r="X10850" s="4"/>
      <c r="Y10850" s="4"/>
    </row>
    <row r="10851" spans="20:25" x14ac:dyDescent="0.3">
      <c r="T10851" s="12"/>
      <c r="U10851" s="4"/>
      <c r="V10851" s="4"/>
      <c r="X10851" s="4"/>
      <c r="Y10851" s="4"/>
    </row>
    <row r="10852" spans="20:25" x14ac:dyDescent="0.3">
      <c r="T10852" s="12"/>
      <c r="U10852" s="4"/>
      <c r="V10852" s="4"/>
      <c r="X10852" s="4"/>
      <c r="Y10852" s="4"/>
    </row>
    <row r="10853" spans="20:25" x14ac:dyDescent="0.3">
      <c r="T10853" s="12"/>
      <c r="U10853" s="4"/>
      <c r="V10853" s="4"/>
      <c r="X10853" s="4"/>
      <c r="Y10853" s="4"/>
    </row>
    <row r="10854" spans="20:25" x14ac:dyDescent="0.3">
      <c r="T10854" s="12"/>
      <c r="U10854" s="4"/>
      <c r="V10854" s="4"/>
      <c r="X10854" s="4"/>
      <c r="Y10854" s="4"/>
    </row>
    <row r="10855" spans="20:25" x14ac:dyDescent="0.3">
      <c r="T10855" s="12"/>
      <c r="U10855" s="4"/>
      <c r="V10855" s="4"/>
      <c r="X10855" s="4"/>
      <c r="Y10855" s="4"/>
    </row>
    <row r="10856" spans="20:25" x14ac:dyDescent="0.3">
      <c r="T10856" s="12"/>
      <c r="U10856" s="4"/>
      <c r="V10856" s="4"/>
      <c r="X10856" s="4"/>
      <c r="Y10856" s="4"/>
    </row>
    <row r="10857" spans="20:25" x14ac:dyDescent="0.3">
      <c r="T10857" s="12"/>
      <c r="U10857" s="4"/>
      <c r="V10857" s="4"/>
      <c r="X10857" s="4"/>
      <c r="Y10857" s="4"/>
    </row>
    <row r="10858" spans="20:25" x14ac:dyDescent="0.3">
      <c r="T10858" s="12"/>
      <c r="U10858" s="4"/>
      <c r="V10858" s="4"/>
      <c r="X10858" s="4"/>
      <c r="Y10858" s="4"/>
    </row>
    <row r="10859" spans="20:25" x14ac:dyDescent="0.3">
      <c r="T10859" s="12"/>
      <c r="U10859" s="4"/>
      <c r="V10859" s="4"/>
      <c r="X10859" s="4"/>
      <c r="Y10859" s="4"/>
    </row>
    <row r="10860" spans="20:25" x14ac:dyDescent="0.3">
      <c r="T10860" s="12"/>
      <c r="U10860" s="4"/>
      <c r="V10860" s="4"/>
      <c r="X10860" s="4"/>
      <c r="Y10860" s="4"/>
    </row>
    <row r="10861" spans="20:25" x14ac:dyDescent="0.3">
      <c r="T10861" s="12"/>
      <c r="U10861" s="4"/>
      <c r="V10861" s="4"/>
      <c r="X10861" s="4"/>
      <c r="Y10861" s="4"/>
    </row>
    <row r="10862" spans="20:25" x14ac:dyDescent="0.3">
      <c r="T10862" s="12"/>
      <c r="U10862" s="4"/>
      <c r="V10862" s="4"/>
      <c r="X10862" s="4"/>
      <c r="Y10862" s="4"/>
    </row>
    <row r="10863" spans="20:25" x14ac:dyDescent="0.3">
      <c r="T10863" s="12"/>
      <c r="U10863" s="4"/>
      <c r="V10863" s="4"/>
      <c r="X10863" s="4"/>
      <c r="Y10863" s="4"/>
    </row>
    <row r="10864" spans="20:25" x14ac:dyDescent="0.3">
      <c r="T10864" s="12"/>
      <c r="U10864" s="4"/>
      <c r="V10864" s="4"/>
      <c r="X10864" s="4"/>
      <c r="Y10864" s="4"/>
    </row>
    <row r="10865" spans="20:25" x14ac:dyDescent="0.3">
      <c r="T10865" s="12"/>
      <c r="U10865" s="4"/>
      <c r="V10865" s="4"/>
      <c r="X10865" s="4"/>
      <c r="Y10865" s="4"/>
    </row>
    <row r="10866" spans="20:25" x14ac:dyDescent="0.3">
      <c r="T10866" s="12"/>
      <c r="U10866" s="4"/>
      <c r="V10866" s="4"/>
      <c r="X10866" s="4"/>
      <c r="Y10866" s="4"/>
    </row>
    <row r="10867" spans="20:25" x14ac:dyDescent="0.3">
      <c r="T10867" s="12"/>
      <c r="U10867" s="4"/>
      <c r="V10867" s="4"/>
      <c r="X10867" s="4"/>
      <c r="Y10867" s="4"/>
    </row>
    <row r="10868" spans="20:25" x14ac:dyDescent="0.3">
      <c r="T10868" s="12"/>
      <c r="U10868" s="4"/>
      <c r="V10868" s="4"/>
      <c r="X10868" s="4"/>
      <c r="Y10868" s="4"/>
    </row>
    <row r="10869" spans="20:25" x14ac:dyDescent="0.3">
      <c r="T10869" s="12"/>
      <c r="U10869" s="4"/>
      <c r="V10869" s="4"/>
      <c r="X10869" s="4"/>
      <c r="Y10869" s="4"/>
    </row>
    <row r="10870" spans="20:25" x14ac:dyDescent="0.3">
      <c r="T10870" s="12"/>
      <c r="U10870" s="4"/>
      <c r="V10870" s="4"/>
      <c r="X10870" s="4"/>
      <c r="Y10870" s="4"/>
    </row>
    <row r="10871" spans="20:25" x14ac:dyDescent="0.3">
      <c r="T10871" s="12"/>
      <c r="U10871" s="4"/>
      <c r="V10871" s="4"/>
      <c r="X10871" s="4"/>
      <c r="Y10871" s="4"/>
    </row>
    <row r="10872" spans="20:25" x14ac:dyDescent="0.3">
      <c r="T10872" s="12"/>
      <c r="U10872" s="4"/>
      <c r="V10872" s="4"/>
      <c r="X10872" s="4"/>
      <c r="Y10872" s="4"/>
    </row>
    <row r="10873" spans="20:25" x14ac:dyDescent="0.3">
      <c r="T10873" s="12"/>
      <c r="U10873" s="4"/>
      <c r="V10873" s="4"/>
      <c r="X10873" s="4"/>
      <c r="Y10873" s="4"/>
    </row>
    <row r="10874" spans="20:25" x14ac:dyDescent="0.3">
      <c r="T10874" s="12"/>
      <c r="U10874" s="4"/>
      <c r="V10874" s="4"/>
      <c r="X10874" s="4"/>
      <c r="Y10874" s="4"/>
    </row>
    <row r="10875" spans="20:25" x14ac:dyDescent="0.3">
      <c r="T10875" s="12"/>
      <c r="U10875" s="4"/>
      <c r="V10875" s="4"/>
      <c r="X10875" s="4"/>
      <c r="Y10875" s="4"/>
    </row>
    <row r="10876" spans="20:25" x14ac:dyDescent="0.3">
      <c r="T10876" s="12"/>
      <c r="U10876" s="4"/>
      <c r="V10876" s="4"/>
      <c r="X10876" s="4"/>
      <c r="Y10876" s="4"/>
    </row>
    <row r="10877" spans="20:25" x14ac:dyDescent="0.3">
      <c r="T10877" s="12"/>
      <c r="U10877" s="4"/>
      <c r="V10877" s="4"/>
      <c r="X10877" s="4"/>
      <c r="Y10877" s="4"/>
    </row>
    <row r="10878" spans="20:25" x14ac:dyDescent="0.3">
      <c r="T10878" s="12"/>
      <c r="U10878" s="4"/>
      <c r="V10878" s="4"/>
      <c r="X10878" s="4"/>
      <c r="Y10878" s="4"/>
    </row>
    <row r="10879" spans="20:25" x14ac:dyDescent="0.3">
      <c r="T10879" s="12"/>
      <c r="U10879" s="4"/>
      <c r="V10879" s="4"/>
      <c r="X10879" s="4"/>
      <c r="Y10879" s="4"/>
    </row>
    <row r="10880" spans="20:25" x14ac:dyDescent="0.3">
      <c r="T10880" s="12"/>
      <c r="U10880" s="4"/>
      <c r="V10880" s="4"/>
      <c r="X10880" s="4"/>
      <c r="Y10880" s="4"/>
    </row>
    <row r="10881" spans="20:25" x14ac:dyDescent="0.3">
      <c r="T10881" s="12"/>
      <c r="U10881" s="4"/>
      <c r="V10881" s="4"/>
      <c r="X10881" s="4"/>
      <c r="Y10881" s="4"/>
    </row>
    <row r="10882" spans="20:25" x14ac:dyDescent="0.3">
      <c r="T10882" s="12"/>
      <c r="U10882" s="4"/>
      <c r="V10882" s="4"/>
      <c r="X10882" s="4"/>
      <c r="Y10882" s="4"/>
    </row>
    <row r="10883" spans="20:25" x14ac:dyDescent="0.3">
      <c r="T10883" s="12"/>
      <c r="U10883" s="4"/>
      <c r="V10883" s="4"/>
      <c r="X10883" s="4"/>
      <c r="Y10883" s="4"/>
    </row>
    <row r="10884" spans="20:25" x14ac:dyDescent="0.3">
      <c r="T10884" s="12"/>
      <c r="U10884" s="4"/>
      <c r="V10884" s="4"/>
      <c r="X10884" s="4"/>
      <c r="Y10884" s="4"/>
    </row>
    <row r="10885" spans="20:25" x14ac:dyDescent="0.3">
      <c r="T10885" s="12"/>
      <c r="U10885" s="4"/>
      <c r="V10885" s="4"/>
      <c r="X10885" s="4"/>
      <c r="Y10885" s="4"/>
    </row>
    <row r="10886" spans="20:25" x14ac:dyDescent="0.3">
      <c r="T10886" s="12"/>
      <c r="U10886" s="4"/>
      <c r="V10886" s="4"/>
      <c r="X10886" s="4"/>
      <c r="Y10886" s="4"/>
    </row>
    <row r="10887" spans="20:25" x14ac:dyDescent="0.3">
      <c r="T10887" s="12"/>
      <c r="U10887" s="4"/>
      <c r="V10887" s="4"/>
      <c r="X10887" s="4"/>
      <c r="Y10887" s="4"/>
    </row>
    <row r="10888" spans="20:25" x14ac:dyDescent="0.3">
      <c r="T10888" s="12"/>
      <c r="U10888" s="4"/>
      <c r="V10888" s="4"/>
      <c r="X10888" s="4"/>
      <c r="Y10888" s="4"/>
    </row>
    <row r="10889" spans="20:25" x14ac:dyDescent="0.3">
      <c r="T10889" s="12"/>
      <c r="U10889" s="4"/>
      <c r="V10889" s="4"/>
      <c r="X10889" s="4"/>
      <c r="Y10889" s="4"/>
    </row>
    <row r="10890" spans="20:25" x14ac:dyDescent="0.3">
      <c r="T10890" s="12"/>
      <c r="U10890" s="4"/>
      <c r="V10890" s="4"/>
      <c r="X10890" s="4"/>
      <c r="Y10890" s="4"/>
    </row>
    <row r="10891" spans="20:25" x14ac:dyDescent="0.3">
      <c r="T10891" s="12"/>
      <c r="U10891" s="4"/>
      <c r="V10891" s="4"/>
      <c r="X10891" s="4"/>
      <c r="Y10891" s="4"/>
    </row>
    <row r="10892" spans="20:25" x14ac:dyDescent="0.3">
      <c r="T10892" s="12"/>
      <c r="U10892" s="4"/>
      <c r="V10892" s="4"/>
      <c r="X10892" s="4"/>
      <c r="Y10892" s="4"/>
    </row>
    <row r="10893" spans="20:25" x14ac:dyDescent="0.3">
      <c r="T10893" s="12"/>
      <c r="U10893" s="4"/>
      <c r="V10893" s="4"/>
      <c r="X10893" s="4"/>
      <c r="Y10893" s="4"/>
    </row>
    <row r="10894" spans="20:25" x14ac:dyDescent="0.3">
      <c r="T10894" s="12"/>
      <c r="U10894" s="4"/>
      <c r="V10894" s="4"/>
      <c r="X10894" s="4"/>
      <c r="Y10894" s="4"/>
    </row>
    <row r="10895" spans="20:25" x14ac:dyDescent="0.3">
      <c r="T10895" s="12"/>
      <c r="U10895" s="4"/>
      <c r="V10895" s="4"/>
      <c r="X10895" s="4"/>
      <c r="Y10895" s="4"/>
    </row>
    <row r="10896" spans="20:25" x14ac:dyDescent="0.3">
      <c r="T10896" s="12"/>
      <c r="U10896" s="4"/>
      <c r="V10896" s="4"/>
      <c r="X10896" s="4"/>
      <c r="Y10896" s="4"/>
    </row>
    <row r="10897" spans="20:25" x14ac:dyDescent="0.3">
      <c r="T10897" s="12"/>
      <c r="U10897" s="4"/>
      <c r="V10897" s="4"/>
      <c r="X10897" s="4"/>
      <c r="Y10897" s="4"/>
    </row>
    <row r="10898" spans="20:25" x14ac:dyDescent="0.3">
      <c r="T10898" s="12"/>
      <c r="U10898" s="4"/>
      <c r="V10898" s="4"/>
      <c r="X10898" s="4"/>
      <c r="Y10898" s="4"/>
    </row>
    <row r="10899" spans="20:25" x14ac:dyDescent="0.3">
      <c r="T10899" s="12"/>
      <c r="U10899" s="4"/>
      <c r="V10899" s="4"/>
      <c r="X10899" s="4"/>
      <c r="Y10899" s="4"/>
    </row>
    <row r="10900" spans="20:25" x14ac:dyDescent="0.3">
      <c r="T10900" s="12"/>
      <c r="U10900" s="4"/>
      <c r="V10900" s="4"/>
      <c r="X10900" s="4"/>
      <c r="Y10900" s="4"/>
    </row>
    <row r="10901" spans="20:25" x14ac:dyDescent="0.3">
      <c r="T10901" s="12"/>
      <c r="U10901" s="4"/>
      <c r="V10901" s="4"/>
      <c r="X10901" s="4"/>
      <c r="Y10901" s="4"/>
    </row>
    <row r="10902" spans="20:25" x14ac:dyDescent="0.3">
      <c r="T10902" s="12"/>
      <c r="U10902" s="4"/>
      <c r="V10902" s="4"/>
      <c r="X10902" s="4"/>
      <c r="Y10902" s="4"/>
    </row>
    <row r="10903" spans="20:25" x14ac:dyDescent="0.3">
      <c r="T10903" s="12"/>
      <c r="U10903" s="4"/>
      <c r="V10903" s="4"/>
      <c r="X10903" s="4"/>
      <c r="Y10903" s="4"/>
    </row>
    <row r="10904" spans="20:25" x14ac:dyDescent="0.3">
      <c r="T10904" s="12"/>
      <c r="U10904" s="4"/>
      <c r="V10904" s="4"/>
      <c r="X10904" s="4"/>
      <c r="Y10904" s="4"/>
    </row>
    <row r="10905" spans="20:25" x14ac:dyDescent="0.3">
      <c r="T10905" s="12"/>
      <c r="U10905" s="4"/>
      <c r="V10905" s="4"/>
      <c r="X10905" s="4"/>
      <c r="Y10905" s="4"/>
    </row>
    <row r="10906" spans="20:25" x14ac:dyDescent="0.3">
      <c r="T10906" s="12"/>
      <c r="U10906" s="4"/>
      <c r="V10906" s="4"/>
      <c r="X10906" s="4"/>
      <c r="Y10906" s="4"/>
    </row>
    <row r="10907" spans="20:25" x14ac:dyDescent="0.3">
      <c r="T10907" s="12"/>
      <c r="U10907" s="4"/>
      <c r="V10907" s="4"/>
      <c r="X10907" s="4"/>
      <c r="Y10907" s="4"/>
    </row>
    <row r="10908" spans="20:25" x14ac:dyDescent="0.3">
      <c r="T10908" s="12"/>
      <c r="U10908" s="4"/>
      <c r="V10908" s="4"/>
      <c r="X10908" s="4"/>
      <c r="Y10908" s="4"/>
    </row>
    <row r="10909" spans="20:25" x14ac:dyDescent="0.3">
      <c r="T10909" s="12"/>
      <c r="U10909" s="4"/>
      <c r="V10909" s="4"/>
      <c r="X10909" s="4"/>
      <c r="Y10909" s="4"/>
    </row>
    <row r="10910" spans="20:25" x14ac:dyDescent="0.3">
      <c r="T10910" s="12"/>
      <c r="U10910" s="4"/>
      <c r="V10910" s="4"/>
      <c r="X10910" s="4"/>
      <c r="Y10910" s="4"/>
    </row>
    <row r="10911" spans="20:25" x14ac:dyDescent="0.3">
      <c r="T10911" s="12"/>
      <c r="U10911" s="4"/>
      <c r="V10911" s="4"/>
      <c r="X10911" s="4"/>
      <c r="Y10911" s="4"/>
    </row>
    <row r="10912" spans="20:25" x14ac:dyDescent="0.3">
      <c r="T10912" s="12"/>
      <c r="U10912" s="4"/>
      <c r="V10912" s="4"/>
      <c r="X10912" s="4"/>
      <c r="Y10912" s="4"/>
    </row>
    <row r="10913" spans="20:25" x14ac:dyDescent="0.3">
      <c r="T10913" s="12"/>
      <c r="U10913" s="4"/>
      <c r="V10913" s="4"/>
      <c r="X10913" s="4"/>
      <c r="Y10913" s="4"/>
    </row>
    <row r="10914" spans="20:25" x14ac:dyDescent="0.3">
      <c r="T10914" s="12"/>
      <c r="U10914" s="4"/>
      <c r="V10914" s="4"/>
      <c r="X10914" s="4"/>
      <c r="Y10914" s="4"/>
    </row>
    <row r="10915" spans="20:25" x14ac:dyDescent="0.3">
      <c r="T10915" s="12"/>
      <c r="U10915" s="4"/>
      <c r="V10915" s="4"/>
      <c r="X10915" s="4"/>
      <c r="Y10915" s="4"/>
    </row>
    <row r="10916" spans="20:25" x14ac:dyDescent="0.3">
      <c r="T10916" s="12"/>
      <c r="U10916" s="4"/>
      <c r="V10916" s="4"/>
      <c r="X10916" s="4"/>
      <c r="Y10916" s="4"/>
    </row>
    <row r="10917" spans="20:25" x14ac:dyDescent="0.3">
      <c r="T10917" s="12"/>
      <c r="U10917" s="4"/>
      <c r="V10917" s="4"/>
      <c r="X10917" s="4"/>
      <c r="Y10917" s="4"/>
    </row>
    <row r="10918" spans="20:25" x14ac:dyDescent="0.3">
      <c r="T10918" s="12"/>
      <c r="U10918" s="4"/>
      <c r="V10918" s="4"/>
      <c r="X10918" s="4"/>
      <c r="Y10918" s="4"/>
    </row>
    <row r="10919" spans="20:25" x14ac:dyDescent="0.3">
      <c r="T10919" s="12"/>
      <c r="U10919" s="4"/>
      <c r="V10919" s="4"/>
      <c r="X10919" s="4"/>
      <c r="Y10919" s="4"/>
    </row>
    <row r="10920" spans="20:25" x14ac:dyDescent="0.3">
      <c r="T10920" s="12"/>
      <c r="U10920" s="4"/>
      <c r="V10920" s="4"/>
      <c r="X10920" s="4"/>
      <c r="Y10920" s="4"/>
    </row>
    <row r="10921" spans="20:25" x14ac:dyDescent="0.3">
      <c r="T10921" s="12"/>
      <c r="U10921" s="4"/>
      <c r="V10921" s="4"/>
      <c r="X10921" s="4"/>
      <c r="Y10921" s="4"/>
    </row>
    <row r="10922" spans="20:25" x14ac:dyDescent="0.3">
      <c r="T10922" s="12"/>
      <c r="U10922" s="4"/>
      <c r="V10922" s="4"/>
      <c r="X10922" s="4"/>
      <c r="Y10922" s="4"/>
    </row>
    <row r="10923" spans="20:25" x14ac:dyDescent="0.3">
      <c r="T10923" s="12"/>
      <c r="U10923" s="4"/>
      <c r="V10923" s="4"/>
      <c r="X10923" s="4"/>
      <c r="Y10923" s="4"/>
    </row>
    <row r="10924" spans="20:25" x14ac:dyDescent="0.3">
      <c r="T10924" s="12"/>
      <c r="U10924" s="4"/>
      <c r="V10924" s="4"/>
      <c r="X10924" s="4"/>
      <c r="Y10924" s="4"/>
    </row>
    <row r="10925" spans="20:25" x14ac:dyDescent="0.3">
      <c r="T10925" s="12"/>
      <c r="U10925" s="4"/>
      <c r="V10925" s="4"/>
      <c r="X10925" s="4"/>
      <c r="Y10925" s="4"/>
    </row>
    <row r="10926" spans="20:25" x14ac:dyDescent="0.3">
      <c r="T10926" s="12"/>
      <c r="U10926" s="4"/>
      <c r="V10926" s="4"/>
      <c r="X10926" s="4"/>
      <c r="Y10926" s="4"/>
    </row>
    <row r="10927" spans="20:25" x14ac:dyDescent="0.3">
      <c r="T10927" s="12"/>
      <c r="U10927" s="4"/>
      <c r="V10927" s="4"/>
      <c r="X10927" s="4"/>
      <c r="Y10927" s="4"/>
    </row>
    <row r="10928" spans="20:25" x14ac:dyDescent="0.3">
      <c r="T10928" s="12"/>
      <c r="U10928" s="4"/>
      <c r="V10928" s="4"/>
      <c r="X10928" s="4"/>
      <c r="Y10928" s="4"/>
    </row>
    <row r="10929" spans="20:25" x14ac:dyDescent="0.3">
      <c r="T10929" s="12"/>
      <c r="U10929" s="4"/>
      <c r="V10929" s="4"/>
      <c r="X10929" s="4"/>
      <c r="Y10929" s="4"/>
    </row>
    <row r="10930" spans="20:25" x14ac:dyDescent="0.3">
      <c r="T10930" s="12"/>
      <c r="U10930" s="4"/>
      <c r="V10930" s="4"/>
      <c r="X10930" s="4"/>
      <c r="Y10930" s="4"/>
    </row>
    <row r="10931" spans="20:25" x14ac:dyDescent="0.3">
      <c r="T10931" s="12"/>
      <c r="U10931" s="4"/>
      <c r="V10931" s="4"/>
      <c r="X10931" s="4"/>
      <c r="Y10931" s="4"/>
    </row>
    <row r="10932" spans="20:25" x14ac:dyDescent="0.3">
      <c r="T10932" s="12"/>
      <c r="U10932" s="4"/>
      <c r="V10932" s="4"/>
      <c r="X10932" s="4"/>
      <c r="Y10932" s="4"/>
    </row>
    <row r="10933" spans="20:25" x14ac:dyDescent="0.3">
      <c r="T10933" s="12"/>
      <c r="U10933" s="4"/>
      <c r="V10933" s="4"/>
      <c r="X10933" s="4"/>
      <c r="Y10933" s="4"/>
    </row>
    <row r="10934" spans="20:25" x14ac:dyDescent="0.3">
      <c r="T10934" s="12"/>
      <c r="U10934" s="4"/>
      <c r="V10934" s="4"/>
      <c r="X10934" s="4"/>
      <c r="Y10934" s="4"/>
    </row>
    <row r="10935" spans="20:25" x14ac:dyDescent="0.3">
      <c r="T10935" s="12"/>
      <c r="U10935" s="4"/>
      <c r="V10935" s="4"/>
      <c r="X10935" s="4"/>
      <c r="Y10935" s="4"/>
    </row>
    <row r="10936" spans="20:25" x14ac:dyDescent="0.3">
      <c r="T10936" s="12"/>
      <c r="U10936" s="4"/>
      <c r="V10936" s="4"/>
      <c r="X10936" s="4"/>
      <c r="Y10936" s="4"/>
    </row>
    <row r="10937" spans="20:25" x14ac:dyDescent="0.3">
      <c r="T10937" s="12"/>
      <c r="U10937" s="4"/>
      <c r="V10937" s="4"/>
      <c r="X10937" s="4"/>
      <c r="Y10937" s="4"/>
    </row>
    <row r="10938" spans="20:25" x14ac:dyDescent="0.3">
      <c r="T10938" s="12"/>
      <c r="U10938" s="4"/>
      <c r="V10938" s="4"/>
      <c r="X10938" s="4"/>
      <c r="Y10938" s="4"/>
    </row>
    <row r="10939" spans="20:25" x14ac:dyDescent="0.3">
      <c r="T10939" s="12"/>
      <c r="U10939" s="4"/>
      <c r="V10939" s="4"/>
      <c r="X10939" s="4"/>
      <c r="Y10939" s="4"/>
    </row>
    <row r="10940" spans="20:25" x14ac:dyDescent="0.3">
      <c r="T10940" s="12"/>
      <c r="U10940" s="4"/>
      <c r="V10940" s="4"/>
      <c r="X10940" s="4"/>
      <c r="Y10940" s="4"/>
    </row>
    <row r="10941" spans="20:25" x14ac:dyDescent="0.3">
      <c r="T10941" s="12"/>
      <c r="U10941" s="4"/>
      <c r="V10941" s="4"/>
      <c r="X10941" s="4"/>
      <c r="Y10941" s="4"/>
    </row>
    <row r="10942" spans="20:25" x14ac:dyDescent="0.3">
      <c r="T10942" s="12"/>
      <c r="U10942" s="4"/>
      <c r="V10942" s="4"/>
      <c r="X10942" s="4"/>
      <c r="Y10942" s="4"/>
    </row>
    <row r="10943" spans="20:25" x14ac:dyDescent="0.3">
      <c r="T10943" s="12"/>
      <c r="U10943" s="4"/>
      <c r="V10943" s="4"/>
      <c r="X10943" s="4"/>
      <c r="Y10943" s="4"/>
    </row>
    <row r="10944" spans="20:25" x14ac:dyDescent="0.3">
      <c r="T10944" s="12"/>
      <c r="U10944" s="4"/>
      <c r="V10944" s="4"/>
      <c r="X10944" s="4"/>
      <c r="Y10944" s="4"/>
    </row>
    <row r="10945" spans="20:25" x14ac:dyDescent="0.3">
      <c r="T10945" s="12"/>
      <c r="U10945" s="4"/>
      <c r="V10945" s="4"/>
      <c r="X10945" s="4"/>
      <c r="Y10945" s="4"/>
    </row>
    <row r="10946" spans="20:25" x14ac:dyDescent="0.3">
      <c r="T10946" s="12"/>
      <c r="U10946" s="4"/>
      <c r="V10946" s="4"/>
      <c r="X10946" s="4"/>
      <c r="Y10946" s="4"/>
    </row>
    <row r="10947" spans="20:25" x14ac:dyDescent="0.3">
      <c r="T10947" s="12"/>
      <c r="U10947" s="4"/>
      <c r="V10947" s="4"/>
      <c r="X10947" s="4"/>
      <c r="Y10947" s="4"/>
    </row>
    <row r="10948" spans="20:25" x14ac:dyDescent="0.3">
      <c r="T10948" s="12"/>
      <c r="U10948" s="4"/>
      <c r="V10948" s="4"/>
      <c r="X10948" s="4"/>
      <c r="Y10948" s="4"/>
    </row>
    <row r="10949" spans="20:25" x14ac:dyDescent="0.3">
      <c r="T10949" s="12"/>
      <c r="U10949" s="4"/>
      <c r="V10949" s="4"/>
      <c r="X10949" s="4"/>
      <c r="Y10949" s="4"/>
    </row>
    <row r="10950" spans="20:25" x14ac:dyDescent="0.3">
      <c r="T10950" s="12"/>
      <c r="U10950" s="4"/>
      <c r="V10950" s="4"/>
      <c r="X10950" s="4"/>
      <c r="Y10950" s="4"/>
    </row>
    <row r="10951" spans="20:25" x14ac:dyDescent="0.3">
      <c r="T10951" s="12"/>
      <c r="U10951" s="4"/>
      <c r="V10951" s="4"/>
      <c r="X10951" s="4"/>
      <c r="Y10951" s="4"/>
    </row>
    <row r="10952" spans="20:25" x14ac:dyDescent="0.3">
      <c r="T10952" s="12"/>
      <c r="U10952" s="4"/>
      <c r="V10952" s="4"/>
      <c r="X10952" s="4"/>
      <c r="Y10952" s="4"/>
    </row>
    <row r="10953" spans="20:25" x14ac:dyDescent="0.3">
      <c r="T10953" s="12"/>
      <c r="U10953" s="4"/>
      <c r="V10953" s="4"/>
      <c r="X10953" s="4"/>
      <c r="Y10953" s="4"/>
    </row>
    <row r="10954" spans="20:25" x14ac:dyDescent="0.3">
      <c r="T10954" s="12"/>
      <c r="U10954" s="4"/>
      <c r="V10954" s="4"/>
      <c r="X10954" s="4"/>
      <c r="Y10954" s="4"/>
    </row>
    <row r="10955" spans="20:25" x14ac:dyDescent="0.3">
      <c r="T10955" s="12"/>
      <c r="U10955" s="4"/>
      <c r="V10955" s="4"/>
      <c r="X10955" s="4"/>
      <c r="Y10955" s="4"/>
    </row>
    <row r="10956" spans="20:25" x14ac:dyDescent="0.3">
      <c r="T10956" s="12"/>
      <c r="U10956" s="4"/>
      <c r="V10956" s="4"/>
      <c r="X10956" s="4"/>
      <c r="Y10956" s="4"/>
    </row>
    <row r="10957" spans="20:25" x14ac:dyDescent="0.3">
      <c r="T10957" s="12"/>
      <c r="U10957" s="4"/>
      <c r="V10957" s="4"/>
      <c r="X10957" s="4"/>
      <c r="Y10957" s="4"/>
    </row>
    <row r="10958" spans="20:25" x14ac:dyDescent="0.3">
      <c r="T10958" s="12"/>
      <c r="U10958" s="4"/>
      <c r="V10958" s="4"/>
      <c r="X10958" s="4"/>
      <c r="Y10958" s="4"/>
    </row>
    <row r="10959" spans="20:25" x14ac:dyDescent="0.3">
      <c r="T10959" s="12"/>
      <c r="U10959" s="4"/>
      <c r="V10959" s="4"/>
      <c r="X10959" s="4"/>
      <c r="Y10959" s="4"/>
    </row>
    <row r="10960" spans="20:25" x14ac:dyDescent="0.3">
      <c r="T10960" s="12"/>
      <c r="U10960" s="4"/>
      <c r="V10960" s="4"/>
      <c r="X10960" s="4"/>
      <c r="Y10960" s="4"/>
    </row>
    <row r="10961" spans="20:25" x14ac:dyDescent="0.3">
      <c r="T10961" s="12"/>
      <c r="U10961" s="4"/>
      <c r="V10961" s="4"/>
      <c r="X10961" s="4"/>
      <c r="Y10961" s="4"/>
    </row>
    <row r="10962" spans="20:25" x14ac:dyDescent="0.3">
      <c r="T10962" s="12"/>
      <c r="U10962" s="4"/>
      <c r="V10962" s="4"/>
      <c r="X10962" s="4"/>
      <c r="Y10962" s="4"/>
    </row>
    <row r="10963" spans="20:25" x14ac:dyDescent="0.3">
      <c r="T10963" s="12"/>
      <c r="U10963" s="4"/>
      <c r="V10963" s="4"/>
      <c r="X10963" s="4"/>
      <c r="Y10963" s="4"/>
    </row>
    <row r="10964" spans="20:25" x14ac:dyDescent="0.3">
      <c r="T10964" s="12"/>
      <c r="U10964" s="4"/>
      <c r="V10964" s="4"/>
      <c r="X10964" s="4"/>
      <c r="Y10964" s="4"/>
    </row>
    <row r="10965" spans="20:25" x14ac:dyDescent="0.3">
      <c r="T10965" s="12"/>
      <c r="U10965" s="4"/>
      <c r="V10965" s="4"/>
      <c r="X10965" s="4"/>
      <c r="Y10965" s="4"/>
    </row>
    <row r="10966" spans="20:25" x14ac:dyDescent="0.3">
      <c r="T10966" s="12"/>
      <c r="U10966" s="4"/>
      <c r="V10966" s="4"/>
      <c r="X10966" s="4"/>
      <c r="Y10966" s="4"/>
    </row>
    <row r="10967" spans="20:25" x14ac:dyDescent="0.3">
      <c r="T10967" s="12"/>
      <c r="U10967" s="4"/>
      <c r="V10967" s="4"/>
      <c r="X10967" s="4"/>
      <c r="Y10967" s="4"/>
    </row>
    <row r="10968" spans="20:25" x14ac:dyDescent="0.3">
      <c r="T10968" s="12"/>
      <c r="U10968" s="4"/>
      <c r="V10968" s="4"/>
      <c r="X10968" s="4"/>
      <c r="Y10968" s="4"/>
    </row>
    <row r="10969" spans="20:25" x14ac:dyDescent="0.3">
      <c r="T10969" s="12"/>
      <c r="U10969" s="4"/>
      <c r="V10969" s="4"/>
      <c r="X10969" s="4"/>
      <c r="Y10969" s="4"/>
    </row>
    <row r="10970" spans="20:25" x14ac:dyDescent="0.3">
      <c r="T10970" s="12"/>
      <c r="U10970" s="4"/>
      <c r="V10970" s="4"/>
      <c r="X10970" s="4"/>
      <c r="Y10970" s="4"/>
    </row>
    <row r="10971" spans="20:25" x14ac:dyDescent="0.3">
      <c r="T10971" s="12"/>
      <c r="U10971" s="4"/>
      <c r="V10971" s="4"/>
      <c r="X10971" s="4"/>
      <c r="Y10971" s="4"/>
    </row>
    <row r="10972" spans="20:25" x14ac:dyDescent="0.3">
      <c r="T10972" s="12"/>
      <c r="U10972" s="4"/>
      <c r="V10972" s="4"/>
      <c r="X10972" s="4"/>
      <c r="Y10972" s="4"/>
    </row>
    <row r="10973" spans="20:25" x14ac:dyDescent="0.3">
      <c r="T10973" s="12"/>
      <c r="U10973" s="4"/>
      <c r="V10973" s="4"/>
      <c r="X10973" s="4"/>
      <c r="Y10973" s="4"/>
    </row>
    <row r="10974" spans="20:25" x14ac:dyDescent="0.3">
      <c r="T10974" s="12"/>
      <c r="U10974" s="4"/>
      <c r="V10974" s="4"/>
      <c r="X10974" s="4"/>
      <c r="Y10974" s="4"/>
    </row>
    <row r="10975" spans="20:25" x14ac:dyDescent="0.3">
      <c r="T10975" s="12"/>
      <c r="U10975" s="4"/>
      <c r="V10975" s="4"/>
      <c r="X10975" s="4"/>
      <c r="Y10975" s="4"/>
    </row>
    <row r="10976" spans="20:25" x14ac:dyDescent="0.3">
      <c r="T10976" s="12"/>
      <c r="U10976" s="4"/>
      <c r="V10976" s="4"/>
      <c r="X10976" s="4"/>
      <c r="Y10976" s="4"/>
    </row>
    <row r="10977" spans="20:25" x14ac:dyDescent="0.3">
      <c r="T10977" s="12"/>
      <c r="U10977" s="4"/>
      <c r="V10977" s="4"/>
      <c r="X10977" s="4"/>
      <c r="Y10977" s="4"/>
    </row>
    <row r="10978" spans="20:25" x14ac:dyDescent="0.3">
      <c r="T10978" s="12"/>
      <c r="U10978" s="4"/>
      <c r="V10978" s="4"/>
      <c r="X10978" s="4"/>
      <c r="Y10978" s="4"/>
    </row>
    <row r="10979" spans="20:25" x14ac:dyDescent="0.3">
      <c r="T10979" s="12"/>
      <c r="U10979" s="4"/>
      <c r="V10979" s="4"/>
      <c r="X10979" s="4"/>
      <c r="Y10979" s="4"/>
    </row>
    <row r="10980" spans="20:25" x14ac:dyDescent="0.3">
      <c r="T10980" s="12"/>
      <c r="U10980" s="4"/>
      <c r="V10980" s="4"/>
      <c r="X10980" s="4"/>
      <c r="Y10980" s="4"/>
    </row>
    <row r="10981" spans="20:25" x14ac:dyDescent="0.3">
      <c r="T10981" s="12"/>
      <c r="U10981" s="4"/>
      <c r="V10981" s="4"/>
      <c r="X10981" s="4"/>
      <c r="Y10981" s="4"/>
    </row>
    <row r="10982" spans="20:25" x14ac:dyDescent="0.3">
      <c r="T10982" s="12"/>
      <c r="U10982" s="4"/>
      <c r="V10982" s="4"/>
      <c r="X10982" s="4"/>
      <c r="Y10982" s="4"/>
    </row>
    <row r="10983" spans="20:25" x14ac:dyDescent="0.3">
      <c r="T10983" s="12"/>
      <c r="U10983" s="4"/>
      <c r="V10983" s="4"/>
      <c r="X10983" s="4"/>
      <c r="Y10983" s="4"/>
    </row>
    <row r="10984" spans="20:25" x14ac:dyDescent="0.3">
      <c r="T10984" s="12"/>
      <c r="U10984" s="4"/>
      <c r="V10984" s="4"/>
      <c r="X10984" s="4"/>
      <c r="Y10984" s="4"/>
    </row>
    <row r="10985" spans="20:25" x14ac:dyDescent="0.3">
      <c r="T10985" s="12"/>
      <c r="U10985" s="4"/>
      <c r="V10985" s="4"/>
      <c r="X10985" s="4"/>
      <c r="Y10985" s="4"/>
    </row>
    <row r="10986" spans="20:25" x14ac:dyDescent="0.3">
      <c r="T10986" s="12"/>
      <c r="U10986" s="4"/>
      <c r="V10986" s="4"/>
      <c r="X10986" s="4"/>
      <c r="Y10986" s="4"/>
    </row>
    <row r="10987" spans="20:25" x14ac:dyDescent="0.3">
      <c r="T10987" s="12"/>
      <c r="U10987" s="4"/>
      <c r="V10987" s="4"/>
      <c r="X10987" s="4"/>
      <c r="Y10987" s="4"/>
    </row>
    <row r="10988" spans="20:25" x14ac:dyDescent="0.3">
      <c r="T10988" s="12"/>
      <c r="U10988" s="4"/>
      <c r="V10988" s="4"/>
      <c r="X10988" s="4"/>
      <c r="Y10988" s="4"/>
    </row>
    <row r="10989" spans="20:25" x14ac:dyDescent="0.3">
      <c r="T10989" s="12"/>
      <c r="U10989" s="4"/>
      <c r="V10989" s="4"/>
      <c r="X10989" s="4"/>
      <c r="Y10989" s="4"/>
    </row>
    <row r="10990" spans="20:25" x14ac:dyDescent="0.3">
      <c r="T10990" s="12"/>
      <c r="U10990" s="4"/>
      <c r="V10990" s="4"/>
      <c r="X10990" s="4"/>
      <c r="Y10990" s="4"/>
    </row>
    <row r="10991" spans="20:25" x14ac:dyDescent="0.3">
      <c r="T10991" s="12"/>
      <c r="U10991" s="4"/>
      <c r="V10991" s="4"/>
      <c r="X10991" s="4"/>
      <c r="Y10991" s="4"/>
    </row>
    <row r="10992" spans="20:25" x14ac:dyDescent="0.3">
      <c r="T10992" s="12"/>
      <c r="U10992" s="4"/>
      <c r="V10992" s="4"/>
      <c r="X10992" s="4"/>
      <c r="Y10992" s="4"/>
    </row>
    <row r="10993" spans="20:25" x14ac:dyDescent="0.3">
      <c r="T10993" s="12"/>
      <c r="U10993" s="4"/>
      <c r="V10993" s="4"/>
      <c r="X10993" s="4"/>
      <c r="Y10993" s="4"/>
    </row>
    <row r="10994" spans="20:25" x14ac:dyDescent="0.3">
      <c r="T10994" s="12"/>
      <c r="U10994" s="4"/>
      <c r="V10994" s="4"/>
      <c r="X10994" s="4"/>
      <c r="Y10994" s="4"/>
    </row>
    <row r="10995" spans="20:25" x14ac:dyDescent="0.3">
      <c r="T10995" s="12"/>
      <c r="U10995" s="4"/>
      <c r="V10995" s="4"/>
      <c r="X10995" s="4"/>
      <c r="Y10995" s="4"/>
    </row>
    <row r="10996" spans="20:25" x14ac:dyDescent="0.3">
      <c r="T10996" s="12"/>
      <c r="U10996" s="4"/>
      <c r="V10996" s="4"/>
      <c r="X10996" s="4"/>
      <c r="Y10996" s="4"/>
    </row>
    <row r="10997" spans="20:25" x14ac:dyDescent="0.3">
      <c r="T10997" s="12"/>
      <c r="U10997" s="4"/>
      <c r="V10997" s="4"/>
      <c r="X10997" s="4"/>
      <c r="Y10997" s="4"/>
    </row>
    <row r="10998" spans="20:25" x14ac:dyDescent="0.3">
      <c r="T10998" s="12"/>
      <c r="U10998" s="4"/>
      <c r="V10998" s="4"/>
      <c r="X10998" s="4"/>
      <c r="Y10998" s="4"/>
    </row>
    <row r="10999" spans="20:25" x14ac:dyDescent="0.3">
      <c r="T10999" s="12"/>
      <c r="U10999" s="4"/>
      <c r="V10999" s="4"/>
      <c r="X10999" s="4"/>
      <c r="Y10999" s="4"/>
    </row>
    <row r="11000" spans="20:25" x14ac:dyDescent="0.3">
      <c r="T11000" s="12"/>
      <c r="U11000" s="4"/>
      <c r="V11000" s="4"/>
      <c r="X11000" s="4"/>
      <c r="Y11000" s="4"/>
    </row>
    <row r="11001" spans="20:25" x14ac:dyDescent="0.3">
      <c r="T11001" s="12"/>
      <c r="U11001" s="4"/>
      <c r="V11001" s="4"/>
      <c r="X11001" s="4"/>
      <c r="Y11001" s="4"/>
    </row>
    <row r="11002" spans="20:25" x14ac:dyDescent="0.3">
      <c r="T11002" s="12"/>
      <c r="U11002" s="4"/>
      <c r="V11002" s="4"/>
      <c r="X11002" s="4"/>
      <c r="Y11002" s="4"/>
    </row>
    <row r="11003" spans="20:25" x14ac:dyDescent="0.3">
      <c r="T11003" s="12"/>
      <c r="U11003" s="4"/>
      <c r="V11003" s="4"/>
      <c r="X11003" s="4"/>
      <c r="Y11003" s="4"/>
    </row>
    <row r="11004" spans="20:25" x14ac:dyDescent="0.3">
      <c r="T11004" s="12"/>
      <c r="U11004" s="4"/>
      <c r="V11004" s="4"/>
      <c r="X11004" s="4"/>
      <c r="Y11004" s="4"/>
    </row>
    <row r="11005" spans="20:25" x14ac:dyDescent="0.3">
      <c r="T11005" s="12"/>
      <c r="U11005" s="4"/>
      <c r="V11005" s="4"/>
      <c r="X11005" s="4"/>
      <c r="Y11005" s="4"/>
    </row>
    <row r="11006" spans="20:25" x14ac:dyDescent="0.3">
      <c r="T11006" s="12"/>
      <c r="U11006" s="4"/>
      <c r="V11006" s="4"/>
      <c r="X11006" s="4"/>
      <c r="Y11006" s="4"/>
    </row>
    <row r="11007" spans="20:25" x14ac:dyDescent="0.3">
      <c r="T11007" s="12"/>
      <c r="U11007" s="4"/>
      <c r="V11007" s="4"/>
      <c r="X11007" s="4"/>
      <c r="Y11007" s="4"/>
    </row>
    <row r="11008" spans="20:25" x14ac:dyDescent="0.3">
      <c r="T11008" s="12"/>
      <c r="U11008" s="4"/>
      <c r="V11008" s="4"/>
      <c r="X11008" s="4"/>
      <c r="Y11008" s="4"/>
    </row>
    <row r="11009" spans="20:25" x14ac:dyDescent="0.3">
      <c r="T11009" s="12"/>
      <c r="U11009" s="4"/>
      <c r="V11009" s="4"/>
      <c r="X11009" s="4"/>
      <c r="Y11009" s="4"/>
    </row>
    <row r="11010" spans="20:25" x14ac:dyDescent="0.3">
      <c r="T11010" s="12"/>
      <c r="U11010" s="4"/>
      <c r="V11010" s="4"/>
      <c r="X11010" s="4"/>
      <c r="Y11010" s="4"/>
    </row>
    <row r="11011" spans="20:25" x14ac:dyDescent="0.3">
      <c r="T11011" s="12"/>
      <c r="U11011" s="4"/>
      <c r="V11011" s="4"/>
      <c r="X11011" s="4"/>
      <c r="Y11011" s="4"/>
    </row>
    <row r="11012" spans="20:25" x14ac:dyDescent="0.3">
      <c r="T11012" s="12"/>
      <c r="U11012" s="4"/>
      <c r="V11012" s="4"/>
      <c r="X11012" s="4"/>
      <c r="Y11012" s="4"/>
    </row>
    <row r="11013" spans="20:25" x14ac:dyDescent="0.3">
      <c r="T11013" s="12"/>
      <c r="U11013" s="4"/>
      <c r="V11013" s="4"/>
      <c r="X11013" s="4"/>
      <c r="Y11013" s="4"/>
    </row>
    <row r="11014" spans="20:25" x14ac:dyDescent="0.3">
      <c r="T11014" s="12"/>
      <c r="U11014" s="4"/>
      <c r="V11014" s="4"/>
      <c r="X11014" s="4"/>
      <c r="Y11014" s="4"/>
    </row>
    <row r="11015" spans="20:25" x14ac:dyDescent="0.3">
      <c r="T11015" s="12"/>
      <c r="U11015" s="4"/>
      <c r="V11015" s="4"/>
      <c r="X11015" s="4"/>
      <c r="Y11015" s="4"/>
    </row>
    <row r="11016" spans="20:25" x14ac:dyDescent="0.3">
      <c r="T11016" s="12"/>
      <c r="U11016" s="4"/>
      <c r="V11016" s="4"/>
      <c r="X11016" s="4"/>
      <c r="Y11016" s="4"/>
    </row>
    <row r="11017" spans="20:25" x14ac:dyDescent="0.3">
      <c r="T11017" s="12"/>
      <c r="U11017" s="4"/>
      <c r="V11017" s="4"/>
      <c r="X11017" s="4"/>
      <c r="Y11017" s="4"/>
    </row>
    <row r="11018" spans="20:25" x14ac:dyDescent="0.3">
      <c r="T11018" s="12"/>
      <c r="U11018" s="4"/>
      <c r="V11018" s="4"/>
      <c r="X11018" s="4"/>
      <c r="Y11018" s="4"/>
    </row>
    <row r="11019" spans="20:25" x14ac:dyDescent="0.3">
      <c r="T11019" s="12"/>
      <c r="U11019" s="4"/>
      <c r="V11019" s="4"/>
      <c r="X11019" s="4"/>
      <c r="Y11019" s="4"/>
    </row>
    <row r="11020" spans="20:25" x14ac:dyDescent="0.3">
      <c r="T11020" s="12"/>
      <c r="U11020" s="4"/>
      <c r="V11020" s="4"/>
      <c r="X11020" s="4"/>
      <c r="Y11020" s="4"/>
    </row>
    <row r="11021" spans="20:25" x14ac:dyDescent="0.3">
      <c r="T11021" s="12"/>
      <c r="U11021" s="4"/>
      <c r="V11021" s="4"/>
      <c r="X11021" s="4"/>
      <c r="Y11021" s="4"/>
    </row>
    <row r="11022" spans="20:25" x14ac:dyDescent="0.3">
      <c r="T11022" s="12"/>
      <c r="U11022" s="4"/>
      <c r="V11022" s="4"/>
      <c r="X11022" s="4"/>
      <c r="Y11022" s="4"/>
    </row>
    <row r="11023" spans="20:25" x14ac:dyDescent="0.3">
      <c r="T11023" s="12"/>
      <c r="U11023" s="4"/>
      <c r="V11023" s="4"/>
      <c r="X11023" s="4"/>
      <c r="Y11023" s="4"/>
    </row>
    <row r="11024" spans="20:25" x14ac:dyDescent="0.3">
      <c r="T11024" s="12"/>
      <c r="U11024" s="4"/>
      <c r="V11024" s="4"/>
      <c r="X11024" s="4"/>
      <c r="Y11024" s="4"/>
    </row>
    <row r="11025" spans="20:25" x14ac:dyDescent="0.3">
      <c r="T11025" s="12"/>
      <c r="U11025" s="4"/>
      <c r="V11025" s="4"/>
      <c r="X11025" s="4"/>
      <c r="Y11025" s="4"/>
    </row>
    <row r="11026" spans="20:25" x14ac:dyDescent="0.3">
      <c r="T11026" s="12"/>
      <c r="U11026" s="4"/>
      <c r="V11026" s="4"/>
      <c r="X11026" s="4"/>
      <c r="Y11026" s="4"/>
    </row>
    <row r="11027" spans="20:25" x14ac:dyDescent="0.3">
      <c r="T11027" s="12"/>
      <c r="U11027" s="4"/>
      <c r="V11027" s="4"/>
      <c r="X11027" s="4"/>
      <c r="Y11027" s="4"/>
    </row>
    <row r="11028" spans="20:25" x14ac:dyDescent="0.3">
      <c r="T11028" s="12"/>
      <c r="U11028" s="4"/>
      <c r="V11028" s="4"/>
      <c r="X11028" s="4"/>
      <c r="Y11028" s="4"/>
    </row>
    <row r="11029" spans="20:25" x14ac:dyDescent="0.3">
      <c r="T11029" s="12"/>
      <c r="U11029" s="4"/>
      <c r="V11029" s="4"/>
      <c r="X11029" s="4"/>
      <c r="Y11029" s="4"/>
    </row>
    <row r="11030" spans="20:25" x14ac:dyDescent="0.3">
      <c r="T11030" s="12"/>
      <c r="U11030" s="4"/>
      <c r="V11030" s="4"/>
      <c r="X11030" s="4"/>
      <c r="Y11030" s="4"/>
    </row>
    <row r="11031" spans="20:25" x14ac:dyDescent="0.3">
      <c r="T11031" s="12"/>
      <c r="U11031" s="4"/>
      <c r="V11031" s="4"/>
      <c r="X11031" s="4"/>
      <c r="Y11031" s="4"/>
    </row>
    <row r="11032" spans="20:25" x14ac:dyDescent="0.3">
      <c r="T11032" s="12"/>
      <c r="U11032" s="4"/>
      <c r="V11032" s="4"/>
      <c r="X11032" s="4"/>
      <c r="Y11032" s="4"/>
    </row>
    <row r="11033" spans="20:25" x14ac:dyDescent="0.3">
      <c r="T11033" s="12"/>
      <c r="U11033" s="4"/>
      <c r="V11033" s="4"/>
      <c r="X11033" s="4"/>
      <c r="Y11033" s="4"/>
    </row>
    <row r="11034" spans="20:25" x14ac:dyDescent="0.3">
      <c r="T11034" s="12"/>
      <c r="U11034" s="4"/>
      <c r="V11034" s="4"/>
      <c r="X11034" s="4"/>
      <c r="Y11034" s="4"/>
    </row>
    <row r="11035" spans="20:25" x14ac:dyDescent="0.3">
      <c r="T11035" s="12"/>
      <c r="U11035" s="4"/>
      <c r="V11035" s="4"/>
      <c r="X11035" s="4"/>
      <c r="Y11035" s="4"/>
    </row>
    <row r="11036" spans="20:25" x14ac:dyDescent="0.3">
      <c r="T11036" s="12"/>
      <c r="U11036" s="4"/>
      <c r="V11036" s="4"/>
      <c r="X11036" s="4"/>
      <c r="Y11036" s="4"/>
    </row>
    <row r="11037" spans="20:25" x14ac:dyDescent="0.3">
      <c r="T11037" s="12"/>
      <c r="U11037" s="4"/>
      <c r="V11037" s="4"/>
      <c r="X11037" s="4"/>
      <c r="Y11037" s="4"/>
    </row>
    <row r="11038" spans="20:25" x14ac:dyDescent="0.3">
      <c r="T11038" s="12"/>
      <c r="U11038" s="4"/>
      <c r="V11038" s="4"/>
      <c r="X11038" s="4"/>
      <c r="Y11038" s="4"/>
    </row>
    <row r="11039" spans="20:25" x14ac:dyDescent="0.3">
      <c r="T11039" s="12"/>
      <c r="U11039" s="4"/>
      <c r="V11039" s="4"/>
      <c r="X11039" s="4"/>
      <c r="Y11039" s="4"/>
    </row>
    <row r="11040" spans="20:25" x14ac:dyDescent="0.3">
      <c r="T11040" s="12"/>
      <c r="U11040" s="4"/>
      <c r="V11040" s="4"/>
      <c r="X11040" s="4"/>
      <c r="Y11040" s="4"/>
    </row>
    <row r="11041" spans="20:25" x14ac:dyDescent="0.3">
      <c r="T11041" s="12"/>
      <c r="U11041" s="4"/>
      <c r="V11041" s="4"/>
      <c r="X11041" s="4"/>
      <c r="Y11041" s="4"/>
    </row>
    <row r="11042" spans="20:25" x14ac:dyDescent="0.3">
      <c r="T11042" s="12"/>
      <c r="U11042" s="4"/>
      <c r="V11042" s="4"/>
      <c r="X11042" s="4"/>
      <c r="Y11042" s="4"/>
    </row>
    <row r="11043" spans="20:25" x14ac:dyDescent="0.3">
      <c r="T11043" s="12"/>
      <c r="U11043" s="4"/>
      <c r="V11043" s="4"/>
      <c r="X11043" s="4"/>
      <c r="Y11043" s="4"/>
    </row>
    <row r="11044" spans="20:25" x14ac:dyDescent="0.3">
      <c r="T11044" s="12"/>
      <c r="U11044" s="4"/>
      <c r="V11044" s="4"/>
      <c r="X11044" s="4"/>
      <c r="Y11044" s="4"/>
    </row>
    <row r="11045" spans="20:25" x14ac:dyDescent="0.3">
      <c r="T11045" s="12"/>
      <c r="U11045" s="4"/>
      <c r="V11045" s="4"/>
      <c r="X11045" s="4"/>
      <c r="Y11045" s="4"/>
    </row>
    <row r="11046" spans="20:25" x14ac:dyDescent="0.3">
      <c r="T11046" s="12"/>
      <c r="U11046" s="4"/>
      <c r="V11046" s="4"/>
      <c r="X11046" s="4"/>
      <c r="Y11046" s="4"/>
    </row>
    <row r="11047" spans="20:25" x14ac:dyDescent="0.3">
      <c r="T11047" s="12"/>
      <c r="U11047" s="4"/>
      <c r="V11047" s="4"/>
      <c r="X11047" s="4"/>
      <c r="Y11047" s="4"/>
    </row>
    <row r="11048" spans="20:25" x14ac:dyDescent="0.3">
      <c r="T11048" s="12"/>
      <c r="U11048" s="4"/>
      <c r="V11048" s="4"/>
      <c r="X11048" s="4"/>
      <c r="Y11048" s="4"/>
    </row>
    <row r="11049" spans="20:25" x14ac:dyDescent="0.3">
      <c r="T11049" s="12"/>
      <c r="U11049" s="4"/>
      <c r="V11049" s="4"/>
      <c r="X11049" s="4"/>
      <c r="Y11049" s="4"/>
    </row>
    <row r="11050" spans="20:25" x14ac:dyDescent="0.3">
      <c r="T11050" s="12"/>
      <c r="U11050" s="4"/>
      <c r="V11050" s="4"/>
      <c r="X11050" s="4"/>
      <c r="Y11050" s="4"/>
    </row>
    <row r="11051" spans="20:25" x14ac:dyDescent="0.3">
      <c r="T11051" s="12"/>
      <c r="U11051" s="4"/>
      <c r="V11051" s="4"/>
      <c r="X11051" s="4"/>
      <c r="Y11051" s="4"/>
    </row>
    <row r="11052" spans="20:25" x14ac:dyDescent="0.3">
      <c r="T11052" s="12"/>
      <c r="U11052" s="4"/>
      <c r="V11052" s="4"/>
      <c r="X11052" s="4"/>
      <c r="Y11052" s="4"/>
    </row>
    <row r="11053" spans="20:25" x14ac:dyDescent="0.3">
      <c r="T11053" s="12"/>
      <c r="U11053" s="4"/>
      <c r="V11053" s="4"/>
      <c r="X11053" s="4"/>
      <c r="Y11053" s="4"/>
    </row>
    <row r="11054" spans="20:25" x14ac:dyDescent="0.3">
      <c r="T11054" s="12"/>
      <c r="U11054" s="4"/>
      <c r="V11054" s="4"/>
      <c r="X11054" s="4"/>
      <c r="Y11054" s="4"/>
    </row>
    <row r="11055" spans="20:25" x14ac:dyDescent="0.3">
      <c r="T11055" s="12"/>
      <c r="U11055" s="4"/>
      <c r="V11055" s="4"/>
      <c r="X11055" s="4"/>
      <c r="Y11055" s="4"/>
    </row>
    <row r="11056" spans="20:25" x14ac:dyDescent="0.3">
      <c r="T11056" s="12"/>
      <c r="U11056" s="4"/>
      <c r="V11056" s="4"/>
      <c r="X11056" s="4"/>
      <c r="Y11056" s="4"/>
    </row>
    <row r="11057" spans="20:25" x14ac:dyDescent="0.3">
      <c r="T11057" s="12"/>
      <c r="U11057" s="4"/>
      <c r="V11057" s="4"/>
      <c r="X11057" s="4"/>
      <c r="Y11057" s="4"/>
    </row>
    <row r="11058" spans="20:25" x14ac:dyDescent="0.3">
      <c r="T11058" s="12"/>
      <c r="U11058" s="4"/>
      <c r="V11058" s="4"/>
      <c r="X11058" s="4"/>
      <c r="Y11058" s="4"/>
    </row>
    <row r="11059" spans="20:25" x14ac:dyDescent="0.3">
      <c r="T11059" s="12"/>
      <c r="U11059" s="4"/>
      <c r="V11059" s="4"/>
      <c r="X11059" s="4"/>
      <c r="Y11059" s="4"/>
    </row>
    <row r="11060" spans="20:25" x14ac:dyDescent="0.3">
      <c r="T11060" s="12"/>
      <c r="U11060" s="4"/>
      <c r="V11060" s="4"/>
      <c r="X11060" s="4"/>
      <c r="Y11060" s="4"/>
    </row>
    <row r="11061" spans="20:25" x14ac:dyDescent="0.3">
      <c r="T11061" s="12"/>
      <c r="U11061" s="4"/>
      <c r="V11061" s="4"/>
      <c r="X11061" s="4"/>
      <c r="Y11061" s="4"/>
    </row>
    <row r="11062" spans="20:25" x14ac:dyDescent="0.3">
      <c r="T11062" s="12"/>
      <c r="U11062" s="4"/>
      <c r="V11062" s="4"/>
      <c r="X11062" s="4"/>
      <c r="Y11062" s="4"/>
    </row>
    <row r="11063" spans="20:25" x14ac:dyDescent="0.3">
      <c r="T11063" s="12"/>
      <c r="U11063" s="4"/>
      <c r="V11063" s="4"/>
      <c r="X11063" s="4"/>
      <c r="Y11063" s="4"/>
    </row>
    <row r="11064" spans="20:25" x14ac:dyDescent="0.3">
      <c r="T11064" s="12"/>
      <c r="U11064" s="4"/>
      <c r="V11064" s="4"/>
      <c r="X11064" s="4"/>
      <c r="Y11064" s="4"/>
    </row>
    <row r="11065" spans="20:25" x14ac:dyDescent="0.3">
      <c r="T11065" s="12"/>
      <c r="U11065" s="4"/>
      <c r="V11065" s="4"/>
      <c r="X11065" s="4"/>
      <c r="Y11065" s="4"/>
    </row>
    <row r="11066" spans="20:25" x14ac:dyDescent="0.3">
      <c r="T11066" s="12"/>
      <c r="U11066" s="4"/>
      <c r="V11066" s="4"/>
      <c r="X11066" s="4"/>
      <c r="Y11066" s="4"/>
    </row>
    <row r="11067" spans="20:25" x14ac:dyDescent="0.3">
      <c r="T11067" s="12"/>
      <c r="U11067" s="4"/>
      <c r="V11067" s="4"/>
      <c r="X11067" s="4"/>
      <c r="Y11067" s="4"/>
    </row>
    <row r="11068" spans="20:25" x14ac:dyDescent="0.3">
      <c r="T11068" s="12"/>
      <c r="U11068" s="4"/>
      <c r="V11068" s="4"/>
      <c r="X11068" s="4"/>
      <c r="Y11068" s="4"/>
    </row>
    <row r="11069" spans="20:25" x14ac:dyDescent="0.3">
      <c r="T11069" s="12"/>
      <c r="U11069" s="4"/>
      <c r="V11069" s="4"/>
      <c r="X11069" s="4"/>
      <c r="Y11069" s="4"/>
    </row>
    <row r="11070" spans="20:25" x14ac:dyDescent="0.3">
      <c r="T11070" s="12"/>
      <c r="U11070" s="4"/>
      <c r="V11070" s="4"/>
      <c r="X11070" s="4"/>
      <c r="Y11070" s="4"/>
    </row>
    <row r="11071" spans="20:25" x14ac:dyDescent="0.3">
      <c r="T11071" s="12"/>
      <c r="U11071" s="4"/>
      <c r="V11071" s="4"/>
      <c r="X11071" s="4"/>
      <c r="Y11071" s="4"/>
    </row>
    <row r="11072" spans="20:25" x14ac:dyDescent="0.3">
      <c r="T11072" s="12"/>
      <c r="U11072" s="4"/>
      <c r="V11072" s="4"/>
      <c r="X11072" s="4"/>
      <c r="Y11072" s="4"/>
    </row>
    <row r="11073" spans="20:25" x14ac:dyDescent="0.3">
      <c r="T11073" s="12"/>
      <c r="U11073" s="4"/>
      <c r="V11073" s="4"/>
      <c r="X11073" s="4"/>
      <c r="Y11073" s="4"/>
    </row>
    <row r="11074" spans="20:25" x14ac:dyDescent="0.3">
      <c r="T11074" s="12"/>
      <c r="U11074" s="4"/>
      <c r="V11074" s="4"/>
      <c r="X11074" s="4"/>
      <c r="Y11074" s="4"/>
    </row>
    <row r="11075" spans="20:25" x14ac:dyDescent="0.3">
      <c r="T11075" s="12"/>
      <c r="U11075" s="4"/>
      <c r="V11075" s="4"/>
      <c r="X11075" s="4"/>
      <c r="Y11075" s="4"/>
    </row>
    <row r="11076" spans="20:25" x14ac:dyDescent="0.3">
      <c r="T11076" s="12"/>
      <c r="U11076" s="4"/>
      <c r="V11076" s="4"/>
      <c r="X11076" s="4"/>
      <c r="Y11076" s="4"/>
    </row>
    <row r="11077" spans="20:25" x14ac:dyDescent="0.3">
      <c r="T11077" s="12"/>
      <c r="U11077" s="4"/>
      <c r="V11077" s="4"/>
      <c r="X11077" s="4"/>
      <c r="Y11077" s="4"/>
    </row>
    <row r="11078" spans="20:25" x14ac:dyDescent="0.3">
      <c r="T11078" s="12"/>
      <c r="U11078" s="4"/>
      <c r="V11078" s="4"/>
      <c r="X11078" s="4"/>
      <c r="Y11078" s="4"/>
    </row>
    <row r="11079" spans="20:25" x14ac:dyDescent="0.3">
      <c r="T11079" s="12"/>
      <c r="U11079" s="4"/>
      <c r="V11079" s="4"/>
      <c r="X11079" s="4"/>
      <c r="Y11079" s="4"/>
    </row>
    <row r="11080" spans="20:25" x14ac:dyDescent="0.3">
      <c r="T11080" s="12"/>
      <c r="U11080" s="4"/>
      <c r="V11080" s="4"/>
      <c r="X11080" s="4"/>
      <c r="Y11080" s="4"/>
    </row>
    <row r="11081" spans="20:25" x14ac:dyDescent="0.3">
      <c r="T11081" s="12"/>
      <c r="U11081" s="4"/>
      <c r="V11081" s="4"/>
      <c r="X11081" s="4"/>
      <c r="Y11081" s="4"/>
    </row>
    <row r="11082" spans="20:25" x14ac:dyDescent="0.3">
      <c r="T11082" s="12"/>
      <c r="U11082" s="4"/>
      <c r="V11082" s="4"/>
      <c r="X11082" s="4"/>
      <c r="Y11082" s="4"/>
    </row>
    <row r="11083" spans="20:25" x14ac:dyDescent="0.3">
      <c r="T11083" s="12"/>
      <c r="U11083" s="4"/>
      <c r="V11083" s="4"/>
      <c r="X11083" s="4"/>
      <c r="Y11083" s="4"/>
    </row>
    <row r="11084" spans="20:25" x14ac:dyDescent="0.3">
      <c r="T11084" s="12"/>
      <c r="U11084" s="4"/>
      <c r="V11084" s="4"/>
      <c r="X11084" s="4"/>
      <c r="Y11084" s="4"/>
    </row>
    <row r="11085" spans="20:25" x14ac:dyDescent="0.3">
      <c r="T11085" s="12"/>
      <c r="U11085" s="4"/>
      <c r="V11085" s="4"/>
      <c r="X11085" s="4"/>
      <c r="Y11085" s="4"/>
    </row>
    <row r="11086" spans="20:25" x14ac:dyDescent="0.3">
      <c r="T11086" s="12"/>
      <c r="U11086" s="4"/>
      <c r="V11086" s="4"/>
      <c r="X11086" s="4"/>
      <c r="Y11086" s="4"/>
    </row>
    <row r="11087" spans="20:25" x14ac:dyDescent="0.3">
      <c r="T11087" s="12"/>
      <c r="U11087" s="4"/>
      <c r="V11087" s="4"/>
      <c r="X11087" s="4"/>
      <c r="Y11087" s="4"/>
    </row>
    <row r="11088" spans="20:25" x14ac:dyDescent="0.3">
      <c r="T11088" s="12"/>
      <c r="U11088" s="4"/>
      <c r="V11088" s="4"/>
      <c r="X11088" s="4"/>
      <c r="Y11088" s="4"/>
    </row>
    <row r="11089" spans="20:25" x14ac:dyDescent="0.3">
      <c r="T11089" s="12"/>
      <c r="U11089" s="4"/>
      <c r="V11089" s="4"/>
      <c r="X11089" s="4"/>
      <c r="Y11089" s="4"/>
    </row>
    <row r="11090" spans="20:25" x14ac:dyDescent="0.3">
      <c r="T11090" s="12"/>
      <c r="U11090" s="4"/>
      <c r="V11090" s="4"/>
      <c r="X11090" s="4"/>
      <c r="Y11090" s="4"/>
    </row>
    <row r="11091" spans="20:25" x14ac:dyDescent="0.3">
      <c r="T11091" s="12"/>
      <c r="U11091" s="4"/>
      <c r="V11091" s="4"/>
      <c r="X11091" s="4"/>
      <c r="Y11091" s="4"/>
    </row>
    <row r="11092" spans="20:25" x14ac:dyDescent="0.3">
      <c r="T11092" s="12"/>
      <c r="U11092" s="4"/>
      <c r="V11092" s="4"/>
      <c r="X11092" s="4"/>
      <c r="Y11092" s="4"/>
    </row>
    <row r="11093" spans="20:25" x14ac:dyDescent="0.3">
      <c r="T11093" s="12"/>
      <c r="U11093" s="4"/>
      <c r="V11093" s="4"/>
      <c r="X11093" s="4"/>
      <c r="Y11093" s="4"/>
    </row>
    <row r="11094" spans="20:25" x14ac:dyDescent="0.3">
      <c r="T11094" s="12"/>
      <c r="U11094" s="4"/>
      <c r="V11094" s="4"/>
      <c r="X11094" s="4"/>
      <c r="Y11094" s="4"/>
    </row>
    <row r="11095" spans="20:25" x14ac:dyDescent="0.3">
      <c r="T11095" s="12"/>
      <c r="U11095" s="4"/>
      <c r="V11095" s="4"/>
      <c r="X11095" s="4"/>
      <c r="Y11095" s="4"/>
    </row>
    <row r="11096" spans="20:25" x14ac:dyDescent="0.3">
      <c r="T11096" s="12"/>
      <c r="U11096" s="4"/>
      <c r="V11096" s="4"/>
      <c r="X11096" s="4"/>
      <c r="Y11096" s="4"/>
    </row>
    <row r="11097" spans="20:25" x14ac:dyDescent="0.3">
      <c r="T11097" s="12"/>
      <c r="U11097" s="4"/>
      <c r="V11097" s="4"/>
      <c r="X11097" s="4"/>
      <c r="Y11097" s="4"/>
    </row>
    <row r="11098" spans="20:25" x14ac:dyDescent="0.3">
      <c r="T11098" s="12"/>
      <c r="U11098" s="4"/>
      <c r="V11098" s="4"/>
      <c r="X11098" s="4"/>
      <c r="Y11098" s="4"/>
    </row>
    <row r="11099" spans="20:25" x14ac:dyDescent="0.3">
      <c r="T11099" s="12"/>
      <c r="U11099" s="4"/>
      <c r="V11099" s="4"/>
      <c r="X11099" s="4"/>
      <c r="Y11099" s="4"/>
    </row>
    <row r="11100" spans="20:25" x14ac:dyDescent="0.3">
      <c r="T11100" s="12"/>
      <c r="U11100" s="4"/>
      <c r="V11100" s="4"/>
      <c r="X11100" s="4"/>
      <c r="Y11100" s="4"/>
    </row>
    <row r="11101" spans="20:25" x14ac:dyDescent="0.3">
      <c r="T11101" s="12"/>
      <c r="U11101" s="4"/>
      <c r="V11101" s="4"/>
      <c r="X11101" s="4"/>
      <c r="Y11101" s="4"/>
    </row>
    <row r="11102" spans="20:25" x14ac:dyDescent="0.3">
      <c r="T11102" s="12"/>
      <c r="U11102" s="4"/>
      <c r="V11102" s="4"/>
      <c r="X11102" s="4"/>
      <c r="Y11102" s="4"/>
    </row>
    <row r="11103" spans="20:25" x14ac:dyDescent="0.3">
      <c r="T11103" s="12"/>
      <c r="U11103" s="4"/>
      <c r="V11103" s="4"/>
      <c r="X11103" s="4"/>
      <c r="Y11103" s="4"/>
    </row>
    <row r="11104" spans="20:25" x14ac:dyDescent="0.3">
      <c r="T11104" s="12"/>
      <c r="U11104" s="4"/>
      <c r="V11104" s="4"/>
      <c r="X11104" s="4"/>
      <c r="Y11104" s="4"/>
    </row>
    <row r="11105" spans="20:25" x14ac:dyDescent="0.3">
      <c r="T11105" s="12"/>
      <c r="U11105" s="4"/>
      <c r="V11105" s="4"/>
      <c r="X11105" s="4"/>
      <c r="Y11105" s="4"/>
    </row>
    <row r="11106" spans="20:25" x14ac:dyDescent="0.3">
      <c r="T11106" s="12"/>
      <c r="U11106" s="4"/>
      <c r="V11106" s="4"/>
      <c r="X11106" s="4"/>
      <c r="Y11106" s="4"/>
    </row>
    <row r="11107" spans="20:25" x14ac:dyDescent="0.3">
      <c r="T11107" s="12"/>
      <c r="U11107" s="4"/>
      <c r="V11107" s="4"/>
      <c r="X11107" s="4"/>
      <c r="Y11107" s="4"/>
    </row>
    <row r="11108" spans="20:25" x14ac:dyDescent="0.3">
      <c r="T11108" s="12"/>
      <c r="U11108" s="4"/>
      <c r="V11108" s="4"/>
      <c r="X11108" s="4"/>
      <c r="Y11108" s="4"/>
    </row>
    <row r="11109" spans="20:25" x14ac:dyDescent="0.3">
      <c r="T11109" s="12"/>
      <c r="U11109" s="4"/>
      <c r="V11109" s="4"/>
      <c r="X11109" s="4"/>
      <c r="Y11109" s="4"/>
    </row>
    <row r="11110" spans="20:25" x14ac:dyDescent="0.3">
      <c r="T11110" s="12"/>
      <c r="U11110" s="4"/>
      <c r="V11110" s="4"/>
      <c r="X11110" s="4"/>
      <c r="Y11110" s="4"/>
    </row>
    <row r="11111" spans="20:25" x14ac:dyDescent="0.3">
      <c r="T11111" s="12"/>
      <c r="U11111" s="4"/>
      <c r="V11111" s="4"/>
      <c r="X11111" s="4"/>
      <c r="Y11111" s="4"/>
    </row>
    <row r="11112" spans="20:25" x14ac:dyDescent="0.3">
      <c r="T11112" s="12"/>
      <c r="U11112" s="4"/>
      <c r="V11112" s="4"/>
      <c r="X11112" s="4"/>
      <c r="Y11112" s="4"/>
    </row>
    <row r="11113" spans="20:25" x14ac:dyDescent="0.3">
      <c r="T11113" s="12"/>
      <c r="U11113" s="4"/>
      <c r="V11113" s="4"/>
      <c r="X11113" s="4"/>
      <c r="Y11113" s="4"/>
    </row>
    <row r="11114" spans="20:25" x14ac:dyDescent="0.3">
      <c r="T11114" s="12"/>
      <c r="U11114" s="4"/>
      <c r="V11114" s="4"/>
      <c r="X11114" s="4"/>
      <c r="Y11114" s="4"/>
    </row>
    <row r="11115" spans="20:25" x14ac:dyDescent="0.3">
      <c r="T11115" s="12"/>
      <c r="U11115" s="4"/>
      <c r="V11115" s="4"/>
      <c r="X11115" s="4"/>
      <c r="Y11115" s="4"/>
    </row>
    <row r="11116" spans="20:25" x14ac:dyDescent="0.3">
      <c r="T11116" s="12"/>
      <c r="U11116" s="4"/>
      <c r="V11116" s="4"/>
      <c r="X11116" s="4"/>
      <c r="Y11116" s="4"/>
    </row>
    <row r="11117" spans="20:25" x14ac:dyDescent="0.3">
      <c r="T11117" s="12"/>
      <c r="U11117" s="4"/>
      <c r="V11117" s="4"/>
      <c r="X11117" s="4"/>
      <c r="Y11117" s="4"/>
    </row>
    <row r="11118" spans="20:25" x14ac:dyDescent="0.3">
      <c r="T11118" s="12"/>
      <c r="U11118" s="4"/>
      <c r="V11118" s="4"/>
      <c r="X11118" s="4"/>
      <c r="Y11118" s="4"/>
    </row>
    <row r="11119" spans="20:25" x14ac:dyDescent="0.3">
      <c r="T11119" s="12"/>
      <c r="U11119" s="4"/>
      <c r="V11119" s="4"/>
      <c r="X11119" s="4"/>
      <c r="Y11119" s="4"/>
    </row>
    <row r="11120" spans="20:25" x14ac:dyDescent="0.3">
      <c r="T11120" s="12"/>
      <c r="U11120" s="4"/>
      <c r="V11120" s="4"/>
      <c r="X11120" s="4"/>
      <c r="Y11120" s="4"/>
    </row>
    <row r="11121" spans="20:25" x14ac:dyDescent="0.3">
      <c r="T11121" s="12"/>
      <c r="U11121" s="4"/>
      <c r="V11121" s="4"/>
      <c r="X11121" s="4"/>
      <c r="Y11121" s="4"/>
    </row>
    <row r="11122" spans="20:25" x14ac:dyDescent="0.3">
      <c r="T11122" s="12"/>
      <c r="U11122" s="4"/>
      <c r="V11122" s="4"/>
      <c r="X11122" s="4"/>
      <c r="Y11122" s="4"/>
    </row>
    <row r="11123" spans="20:25" x14ac:dyDescent="0.3">
      <c r="T11123" s="12"/>
      <c r="U11123" s="4"/>
      <c r="V11123" s="4"/>
      <c r="X11123" s="4"/>
      <c r="Y11123" s="4"/>
    </row>
    <row r="11124" spans="20:25" x14ac:dyDescent="0.3">
      <c r="T11124" s="12"/>
      <c r="U11124" s="4"/>
      <c r="V11124" s="4"/>
      <c r="X11124" s="4"/>
      <c r="Y11124" s="4"/>
    </row>
    <row r="11125" spans="20:25" x14ac:dyDescent="0.3">
      <c r="T11125" s="12"/>
      <c r="U11125" s="4"/>
      <c r="V11125" s="4"/>
      <c r="X11125" s="4"/>
      <c r="Y11125" s="4"/>
    </row>
    <row r="11126" spans="20:25" x14ac:dyDescent="0.3">
      <c r="T11126" s="12"/>
      <c r="U11126" s="4"/>
      <c r="V11126" s="4"/>
      <c r="X11126" s="4"/>
      <c r="Y11126" s="4"/>
    </row>
    <row r="11127" spans="20:25" x14ac:dyDescent="0.3">
      <c r="T11127" s="12"/>
      <c r="U11127" s="4"/>
      <c r="V11127" s="4"/>
      <c r="X11127" s="4"/>
      <c r="Y11127" s="4"/>
    </row>
    <row r="11128" spans="20:25" x14ac:dyDescent="0.3">
      <c r="T11128" s="12"/>
      <c r="U11128" s="4"/>
      <c r="V11128" s="4"/>
      <c r="X11128" s="4"/>
      <c r="Y11128" s="4"/>
    </row>
    <row r="11129" spans="20:25" x14ac:dyDescent="0.3">
      <c r="T11129" s="12"/>
      <c r="U11129" s="4"/>
      <c r="V11129" s="4"/>
      <c r="X11129" s="4"/>
      <c r="Y11129" s="4"/>
    </row>
    <row r="11130" spans="20:25" x14ac:dyDescent="0.3">
      <c r="T11130" s="12"/>
      <c r="U11130" s="4"/>
      <c r="V11130" s="4"/>
      <c r="X11130" s="4"/>
      <c r="Y11130" s="4"/>
    </row>
    <row r="11131" spans="20:25" x14ac:dyDescent="0.3">
      <c r="T11131" s="12"/>
      <c r="U11131" s="4"/>
      <c r="V11131" s="4"/>
      <c r="X11131" s="4"/>
      <c r="Y11131" s="4"/>
    </row>
    <row r="11132" spans="20:25" x14ac:dyDescent="0.3">
      <c r="T11132" s="12"/>
      <c r="U11132" s="4"/>
      <c r="V11132" s="4"/>
      <c r="X11132" s="4"/>
      <c r="Y11132" s="4"/>
    </row>
    <row r="11133" spans="20:25" x14ac:dyDescent="0.3">
      <c r="T11133" s="12"/>
      <c r="U11133" s="4"/>
      <c r="V11133" s="4"/>
      <c r="X11133" s="4"/>
      <c r="Y11133" s="4"/>
    </row>
    <row r="11134" spans="20:25" x14ac:dyDescent="0.3">
      <c r="T11134" s="12"/>
      <c r="U11134" s="4"/>
      <c r="V11134" s="4"/>
      <c r="X11134" s="4"/>
      <c r="Y11134" s="4"/>
    </row>
    <row r="11135" spans="20:25" x14ac:dyDescent="0.3">
      <c r="T11135" s="12"/>
      <c r="U11135" s="4"/>
      <c r="V11135" s="4"/>
      <c r="X11135" s="4"/>
      <c r="Y11135" s="4"/>
    </row>
    <row r="11136" spans="20:25" x14ac:dyDescent="0.3">
      <c r="T11136" s="12"/>
      <c r="U11136" s="4"/>
      <c r="V11136" s="4"/>
      <c r="X11136" s="4"/>
      <c r="Y11136" s="4"/>
    </row>
    <row r="11137" spans="20:25" x14ac:dyDescent="0.3">
      <c r="T11137" s="12"/>
      <c r="U11137" s="4"/>
      <c r="V11137" s="4"/>
      <c r="X11137" s="4"/>
      <c r="Y11137" s="4"/>
    </row>
    <row r="11138" spans="20:25" x14ac:dyDescent="0.3">
      <c r="T11138" s="12"/>
      <c r="U11138" s="4"/>
      <c r="V11138" s="4"/>
      <c r="X11138" s="4"/>
      <c r="Y11138" s="4"/>
    </row>
    <row r="11139" spans="20:25" x14ac:dyDescent="0.3">
      <c r="T11139" s="12"/>
      <c r="U11139" s="4"/>
      <c r="V11139" s="4"/>
      <c r="X11139" s="4"/>
      <c r="Y11139" s="4"/>
    </row>
    <row r="11140" spans="20:25" x14ac:dyDescent="0.3">
      <c r="T11140" s="12"/>
      <c r="U11140" s="4"/>
      <c r="V11140" s="4"/>
      <c r="X11140" s="4"/>
      <c r="Y11140" s="4"/>
    </row>
    <row r="11141" spans="20:25" x14ac:dyDescent="0.3">
      <c r="T11141" s="12"/>
      <c r="U11141" s="4"/>
      <c r="V11141" s="4"/>
      <c r="X11141" s="4"/>
      <c r="Y11141" s="4"/>
    </row>
    <row r="11142" spans="20:25" x14ac:dyDescent="0.3">
      <c r="T11142" s="12"/>
      <c r="U11142" s="4"/>
      <c r="V11142" s="4"/>
      <c r="X11142" s="4"/>
      <c r="Y11142" s="4"/>
    </row>
    <row r="11143" spans="20:25" x14ac:dyDescent="0.3">
      <c r="T11143" s="12"/>
      <c r="U11143" s="4"/>
      <c r="V11143" s="4"/>
      <c r="X11143" s="4"/>
      <c r="Y11143" s="4"/>
    </row>
    <row r="11144" spans="20:25" x14ac:dyDescent="0.3">
      <c r="T11144" s="12"/>
      <c r="U11144" s="4"/>
      <c r="V11144" s="4"/>
      <c r="X11144" s="4"/>
      <c r="Y11144" s="4"/>
    </row>
    <row r="11145" spans="20:25" x14ac:dyDescent="0.3">
      <c r="T11145" s="12"/>
      <c r="U11145" s="4"/>
      <c r="V11145" s="4"/>
      <c r="X11145" s="4"/>
      <c r="Y11145" s="4"/>
    </row>
    <row r="11146" spans="20:25" x14ac:dyDescent="0.3">
      <c r="T11146" s="12"/>
      <c r="U11146" s="4"/>
      <c r="V11146" s="4"/>
      <c r="X11146" s="4"/>
      <c r="Y11146" s="4"/>
    </row>
    <row r="11147" spans="20:25" x14ac:dyDescent="0.3">
      <c r="T11147" s="12"/>
      <c r="U11147" s="4"/>
      <c r="V11147" s="4"/>
      <c r="X11147" s="4"/>
      <c r="Y11147" s="4"/>
    </row>
    <row r="11148" spans="20:25" x14ac:dyDescent="0.3">
      <c r="T11148" s="12"/>
      <c r="U11148" s="4"/>
      <c r="V11148" s="4"/>
      <c r="X11148" s="4"/>
      <c r="Y11148" s="4"/>
    </row>
    <row r="11149" spans="20:25" x14ac:dyDescent="0.3">
      <c r="T11149" s="12"/>
      <c r="U11149" s="4"/>
      <c r="V11149" s="4"/>
      <c r="X11149" s="4"/>
      <c r="Y11149" s="4"/>
    </row>
    <row r="11150" spans="20:25" x14ac:dyDescent="0.3">
      <c r="T11150" s="12"/>
      <c r="U11150" s="4"/>
      <c r="V11150" s="4"/>
      <c r="X11150" s="4"/>
      <c r="Y11150" s="4"/>
    </row>
    <row r="11151" spans="20:25" x14ac:dyDescent="0.3">
      <c r="T11151" s="12"/>
      <c r="U11151" s="4"/>
      <c r="V11151" s="4"/>
      <c r="X11151" s="4"/>
      <c r="Y11151" s="4"/>
    </row>
    <row r="11152" spans="20:25" x14ac:dyDescent="0.3">
      <c r="T11152" s="12"/>
      <c r="U11152" s="4"/>
      <c r="V11152" s="4"/>
      <c r="X11152" s="4"/>
      <c r="Y11152" s="4"/>
    </row>
    <row r="11153" spans="20:25" x14ac:dyDescent="0.3">
      <c r="T11153" s="12"/>
      <c r="U11153" s="4"/>
      <c r="V11153" s="4"/>
      <c r="X11153" s="4"/>
      <c r="Y11153" s="4"/>
    </row>
    <row r="11154" spans="20:25" x14ac:dyDescent="0.3">
      <c r="T11154" s="12"/>
      <c r="U11154" s="4"/>
      <c r="V11154" s="4"/>
      <c r="X11154" s="4"/>
      <c r="Y11154" s="4"/>
    </row>
    <row r="11155" spans="20:25" x14ac:dyDescent="0.3">
      <c r="T11155" s="12"/>
      <c r="U11155" s="4"/>
      <c r="V11155" s="4"/>
      <c r="X11155" s="4"/>
      <c r="Y11155" s="4"/>
    </row>
    <row r="11156" spans="20:25" x14ac:dyDescent="0.3">
      <c r="T11156" s="12"/>
      <c r="U11156" s="4"/>
      <c r="V11156" s="4"/>
      <c r="X11156" s="4"/>
      <c r="Y11156" s="4"/>
    </row>
    <row r="11157" spans="20:25" x14ac:dyDescent="0.3">
      <c r="T11157" s="12"/>
      <c r="U11157" s="4"/>
      <c r="V11157" s="4"/>
      <c r="X11157" s="4"/>
      <c r="Y11157" s="4"/>
    </row>
    <row r="11158" spans="20:25" x14ac:dyDescent="0.3">
      <c r="T11158" s="12"/>
      <c r="U11158" s="4"/>
      <c r="V11158" s="4"/>
      <c r="X11158" s="4"/>
      <c r="Y11158" s="4"/>
    </row>
    <row r="11159" spans="20:25" x14ac:dyDescent="0.3">
      <c r="T11159" s="12"/>
      <c r="U11159" s="4"/>
      <c r="V11159" s="4"/>
      <c r="X11159" s="4"/>
      <c r="Y11159" s="4"/>
    </row>
    <row r="11160" spans="20:25" x14ac:dyDescent="0.3">
      <c r="T11160" s="12"/>
      <c r="U11160" s="4"/>
      <c r="V11160" s="4"/>
      <c r="X11160" s="4"/>
      <c r="Y11160" s="4"/>
    </row>
    <row r="11161" spans="20:25" x14ac:dyDescent="0.3">
      <c r="T11161" s="12"/>
      <c r="U11161" s="4"/>
      <c r="V11161" s="4"/>
      <c r="X11161" s="4"/>
      <c r="Y11161" s="4"/>
    </row>
    <row r="11162" spans="20:25" x14ac:dyDescent="0.3">
      <c r="T11162" s="12"/>
      <c r="U11162" s="4"/>
      <c r="V11162" s="4"/>
      <c r="X11162" s="4"/>
      <c r="Y11162" s="4"/>
    </row>
    <row r="11163" spans="20:25" x14ac:dyDescent="0.3">
      <c r="T11163" s="12"/>
      <c r="U11163" s="4"/>
      <c r="V11163" s="4"/>
      <c r="X11163" s="4"/>
      <c r="Y11163" s="4"/>
    </row>
    <row r="11164" spans="20:25" x14ac:dyDescent="0.3">
      <c r="T11164" s="12"/>
      <c r="U11164" s="4"/>
      <c r="V11164" s="4"/>
      <c r="X11164" s="4"/>
      <c r="Y11164" s="4"/>
    </row>
    <row r="11165" spans="20:25" x14ac:dyDescent="0.3">
      <c r="T11165" s="12"/>
      <c r="U11165" s="4"/>
      <c r="V11165" s="4"/>
      <c r="X11165" s="4"/>
      <c r="Y11165" s="4"/>
    </row>
    <row r="11166" spans="20:25" x14ac:dyDescent="0.3">
      <c r="T11166" s="12"/>
      <c r="U11166" s="4"/>
      <c r="V11166" s="4"/>
      <c r="X11166" s="4"/>
      <c r="Y11166" s="4"/>
    </row>
    <row r="11167" spans="20:25" x14ac:dyDescent="0.3">
      <c r="T11167" s="12"/>
      <c r="U11167" s="4"/>
      <c r="V11167" s="4"/>
      <c r="X11167" s="4"/>
      <c r="Y11167" s="4"/>
    </row>
    <row r="11168" spans="20:25" x14ac:dyDescent="0.3">
      <c r="T11168" s="12"/>
      <c r="U11168" s="4"/>
      <c r="V11168" s="4"/>
      <c r="X11168" s="4"/>
      <c r="Y11168" s="4"/>
    </row>
    <row r="11169" spans="20:25" x14ac:dyDescent="0.3">
      <c r="T11169" s="12"/>
      <c r="U11169" s="4"/>
      <c r="V11169" s="4"/>
      <c r="X11169" s="4"/>
      <c r="Y11169" s="4"/>
    </row>
    <row r="11170" spans="20:25" x14ac:dyDescent="0.3">
      <c r="T11170" s="12"/>
      <c r="U11170" s="4"/>
      <c r="V11170" s="4"/>
      <c r="X11170" s="4"/>
      <c r="Y11170" s="4"/>
    </row>
    <row r="11171" spans="20:25" x14ac:dyDescent="0.3">
      <c r="T11171" s="12"/>
      <c r="U11171" s="4"/>
      <c r="V11171" s="4"/>
      <c r="X11171" s="4"/>
      <c r="Y11171" s="4"/>
    </row>
    <row r="11172" spans="20:25" x14ac:dyDescent="0.3">
      <c r="T11172" s="12"/>
      <c r="U11172" s="4"/>
      <c r="V11172" s="4"/>
      <c r="X11172" s="4"/>
      <c r="Y11172" s="4"/>
    </row>
    <row r="11173" spans="20:25" x14ac:dyDescent="0.3">
      <c r="T11173" s="12"/>
      <c r="U11173" s="4"/>
      <c r="V11173" s="4"/>
      <c r="X11173" s="4"/>
      <c r="Y11173" s="4"/>
    </row>
    <row r="11174" spans="20:25" x14ac:dyDescent="0.3">
      <c r="T11174" s="12"/>
      <c r="U11174" s="4"/>
      <c r="V11174" s="4"/>
      <c r="X11174" s="4"/>
      <c r="Y11174" s="4"/>
    </row>
    <row r="11175" spans="20:25" x14ac:dyDescent="0.3">
      <c r="T11175" s="12"/>
      <c r="U11175" s="4"/>
      <c r="V11175" s="4"/>
      <c r="X11175" s="4"/>
      <c r="Y11175" s="4"/>
    </row>
    <row r="11176" spans="20:25" x14ac:dyDescent="0.3">
      <c r="T11176" s="12"/>
      <c r="U11176" s="4"/>
      <c r="V11176" s="4"/>
      <c r="X11176" s="4"/>
      <c r="Y11176" s="4"/>
    </row>
    <row r="11177" spans="20:25" x14ac:dyDescent="0.3">
      <c r="T11177" s="12"/>
      <c r="U11177" s="4"/>
      <c r="V11177" s="4"/>
      <c r="X11177" s="4"/>
      <c r="Y11177" s="4"/>
    </row>
    <row r="11178" spans="20:25" x14ac:dyDescent="0.3">
      <c r="T11178" s="12"/>
      <c r="U11178" s="4"/>
      <c r="V11178" s="4"/>
      <c r="X11178" s="4"/>
      <c r="Y11178" s="4"/>
    </row>
    <row r="11179" spans="20:25" x14ac:dyDescent="0.3">
      <c r="T11179" s="12"/>
      <c r="U11179" s="4"/>
      <c r="V11179" s="4"/>
      <c r="X11179" s="4"/>
      <c r="Y11179" s="4"/>
    </row>
    <row r="11180" spans="20:25" x14ac:dyDescent="0.3">
      <c r="T11180" s="12"/>
      <c r="U11180" s="4"/>
      <c r="V11180" s="4"/>
      <c r="X11180" s="4"/>
      <c r="Y11180" s="4"/>
    </row>
    <row r="11181" spans="20:25" x14ac:dyDescent="0.3">
      <c r="T11181" s="12"/>
      <c r="U11181" s="4"/>
      <c r="V11181" s="4"/>
      <c r="X11181" s="4"/>
      <c r="Y11181" s="4"/>
    </row>
    <row r="11182" spans="20:25" x14ac:dyDescent="0.3">
      <c r="T11182" s="12"/>
      <c r="U11182" s="4"/>
      <c r="V11182" s="4"/>
      <c r="X11182" s="4"/>
      <c r="Y11182" s="4"/>
    </row>
    <row r="11183" spans="20:25" x14ac:dyDescent="0.3">
      <c r="T11183" s="12"/>
      <c r="U11183" s="4"/>
      <c r="V11183" s="4"/>
      <c r="X11183" s="4"/>
      <c r="Y11183" s="4"/>
    </row>
    <row r="11184" spans="20:25" x14ac:dyDescent="0.3">
      <c r="T11184" s="12"/>
      <c r="U11184" s="4"/>
      <c r="V11184" s="4"/>
      <c r="X11184" s="4"/>
      <c r="Y11184" s="4"/>
    </row>
    <row r="11185" spans="20:25" x14ac:dyDescent="0.3">
      <c r="T11185" s="12"/>
      <c r="U11185" s="4"/>
      <c r="V11185" s="4"/>
      <c r="X11185" s="4"/>
      <c r="Y11185" s="4"/>
    </row>
    <row r="11186" spans="20:25" x14ac:dyDescent="0.3">
      <c r="T11186" s="12"/>
      <c r="U11186" s="4"/>
      <c r="V11186" s="4"/>
      <c r="X11186" s="4"/>
      <c r="Y11186" s="4"/>
    </row>
    <row r="11187" spans="20:25" x14ac:dyDescent="0.3">
      <c r="T11187" s="12"/>
      <c r="U11187" s="4"/>
      <c r="V11187" s="4"/>
      <c r="X11187" s="4"/>
      <c r="Y11187" s="4"/>
    </row>
    <row r="11188" spans="20:25" x14ac:dyDescent="0.3">
      <c r="T11188" s="12"/>
      <c r="U11188" s="4"/>
      <c r="V11188" s="4"/>
      <c r="X11188" s="4"/>
      <c r="Y11188" s="4"/>
    </row>
    <row r="11189" spans="20:25" x14ac:dyDescent="0.3">
      <c r="T11189" s="12"/>
      <c r="U11189" s="4"/>
      <c r="V11189" s="4"/>
      <c r="X11189" s="4"/>
      <c r="Y11189" s="4"/>
    </row>
    <row r="11190" spans="20:25" x14ac:dyDescent="0.3">
      <c r="T11190" s="12"/>
      <c r="U11190" s="4"/>
      <c r="V11190" s="4"/>
      <c r="X11190" s="4"/>
      <c r="Y11190" s="4"/>
    </row>
    <row r="11191" spans="20:25" x14ac:dyDescent="0.3">
      <c r="T11191" s="12"/>
      <c r="U11191" s="4"/>
      <c r="V11191" s="4"/>
      <c r="X11191" s="4"/>
      <c r="Y11191" s="4"/>
    </row>
    <row r="11192" spans="20:25" x14ac:dyDescent="0.3">
      <c r="T11192" s="12"/>
      <c r="U11192" s="4"/>
      <c r="V11192" s="4"/>
      <c r="X11192" s="4"/>
      <c r="Y11192" s="4"/>
    </row>
    <row r="11193" spans="20:25" x14ac:dyDescent="0.3">
      <c r="T11193" s="12"/>
      <c r="U11193" s="4"/>
      <c r="V11193" s="4"/>
      <c r="X11193" s="4"/>
      <c r="Y11193" s="4"/>
    </row>
    <row r="11194" spans="20:25" x14ac:dyDescent="0.3">
      <c r="T11194" s="12"/>
      <c r="U11194" s="4"/>
      <c r="V11194" s="4"/>
      <c r="X11194" s="4"/>
      <c r="Y11194" s="4"/>
    </row>
    <row r="11195" spans="20:25" x14ac:dyDescent="0.3">
      <c r="T11195" s="12"/>
      <c r="U11195" s="4"/>
      <c r="V11195" s="4"/>
      <c r="X11195" s="4"/>
      <c r="Y11195" s="4"/>
    </row>
    <row r="11196" spans="20:25" x14ac:dyDescent="0.3">
      <c r="T11196" s="12"/>
      <c r="U11196" s="4"/>
      <c r="V11196" s="4"/>
      <c r="X11196" s="4"/>
      <c r="Y11196" s="4"/>
    </row>
    <row r="11197" spans="20:25" x14ac:dyDescent="0.3">
      <c r="T11197" s="12"/>
      <c r="U11197" s="4"/>
      <c r="V11197" s="4"/>
      <c r="X11197" s="4"/>
      <c r="Y11197" s="4"/>
    </row>
    <row r="11198" spans="20:25" x14ac:dyDescent="0.3">
      <c r="T11198" s="12"/>
      <c r="U11198" s="4"/>
      <c r="V11198" s="4"/>
      <c r="X11198" s="4"/>
      <c r="Y11198" s="4"/>
    </row>
    <row r="11199" spans="20:25" x14ac:dyDescent="0.3">
      <c r="T11199" s="12"/>
      <c r="U11199" s="4"/>
      <c r="V11199" s="4"/>
      <c r="X11199" s="4"/>
      <c r="Y11199" s="4"/>
    </row>
    <row r="11200" spans="20:25" x14ac:dyDescent="0.3">
      <c r="T11200" s="12"/>
      <c r="U11200" s="4"/>
      <c r="V11200" s="4"/>
      <c r="X11200" s="4"/>
      <c r="Y11200" s="4"/>
    </row>
    <row r="11201" spans="20:25" x14ac:dyDescent="0.3">
      <c r="T11201" s="12"/>
      <c r="U11201" s="4"/>
      <c r="V11201" s="4"/>
      <c r="X11201" s="4"/>
      <c r="Y11201" s="4"/>
    </row>
    <row r="11202" spans="20:25" x14ac:dyDescent="0.3">
      <c r="T11202" s="12"/>
      <c r="U11202" s="4"/>
      <c r="V11202" s="4"/>
      <c r="X11202" s="4"/>
      <c r="Y11202" s="4"/>
    </row>
    <row r="11203" spans="20:25" x14ac:dyDescent="0.3">
      <c r="T11203" s="12"/>
      <c r="U11203" s="4"/>
      <c r="V11203" s="4"/>
      <c r="X11203" s="4"/>
      <c r="Y11203" s="4"/>
    </row>
    <row r="11204" spans="20:25" x14ac:dyDescent="0.3">
      <c r="T11204" s="12"/>
      <c r="U11204" s="4"/>
      <c r="V11204" s="4"/>
      <c r="X11204" s="4"/>
      <c r="Y11204" s="4"/>
    </row>
    <row r="11205" spans="20:25" x14ac:dyDescent="0.3">
      <c r="T11205" s="12"/>
      <c r="U11205" s="4"/>
      <c r="V11205" s="4"/>
      <c r="X11205" s="4"/>
      <c r="Y11205" s="4"/>
    </row>
    <row r="11206" spans="20:25" x14ac:dyDescent="0.3">
      <c r="T11206" s="12"/>
      <c r="U11206" s="4"/>
      <c r="V11206" s="4"/>
      <c r="X11206" s="4"/>
      <c r="Y11206" s="4"/>
    </row>
    <row r="11207" spans="20:25" x14ac:dyDescent="0.3">
      <c r="T11207" s="12"/>
      <c r="U11207" s="4"/>
      <c r="V11207" s="4"/>
      <c r="X11207" s="4"/>
      <c r="Y11207" s="4"/>
    </row>
    <row r="11208" spans="20:25" x14ac:dyDescent="0.3">
      <c r="T11208" s="12"/>
      <c r="U11208" s="4"/>
      <c r="V11208" s="4"/>
      <c r="X11208" s="4"/>
      <c r="Y11208" s="4"/>
    </row>
    <row r="11209" spans="20:25" x14ac:dyDescent="0.3">
      <c r="T11209" s="12"/>
      <c r="U11209" s="4"/>
      <c r="V11209" s="4"/>
      <c r="X11209" s="4"/>
      <c r="Y11209" s="4"/>
    </row>
    <row r="11210" spans="20:25" x14ac:dyDescent="0.3">
      <c r="T11210" s="12"/>
      <c r="U11210" s="4"/>
      <c r="V11210" s="4"/>
      <c r="X11210" s="4"/>
      <c r="Y11210" s="4"/>
    </row>
    <row r="11211" spans="20:25" x14ac:dyDescent="0.3">
      <c r="T11211" s="12"/>
      <c r="U11211" s="4"/>
      <c r="V11211" s="4"/>
      <c r="X11211" s="4"/>
      <c r="Y11211" s="4"/>
    </row>
    <row r="11212" spans="20:25" x14ac:dyDescent="0.3">
      <c r="T11212" s="12"/>
      <c r="U11212" s="4"/>
      <c r="V11212" s="4"/>
      <c r="X11212" s="4"/>
      <c r="Y11212" s="4"/>
    </row>
    <row r="11213" spans="20:25" x14ac:dyDescent="0.3">
      <c r="T11213" s="12"/>
      <c r="U11213" s="4"/>
      <c r="V11213" s="4"/>
      <c r="X11213" s="4"/>
      <c r="Y11213" s="4"/>
    </row>
    <row r="11214" spans="20:25" x14ac:dyDescent="0.3">
      <c r="T11214" s="12"/>
      <c r="U11214" s="4"/>
      <c r="V11214" s="4"/>
      <c r="X11214" s="4"/>
      <c r="Y11214" s="4"/>
    </row>
    <row r="11215" spans="20:25" x14ac:dyDescent="0.3">
      <c r="T11215" s="12"/>
      <c r="U11215" s="4"/>
      <c r="V11215" s="4"/>
      <c r="X11215" s="4"/>
      <c r="Y11215" s="4"/>
    </row>
    <row r="11216" spans="20:25" x14ac:dyDescent="0.3">
      <c r="T11216" s="12"/>
      <c r="U11216" s="4"/>
      <c r="V11216" s="4"/>
      <c r="X11216" s="4"/>
      <c r="Y11216" s="4"/>
    </row>
    <row r="11217" spans="20:25" x14ac:dyDescent="0.3">
      <c r="T11217" s="12"/>
      <c r="U11217" s="4"/>
      <c r="V11217" s="4"/>
      <c r="X11217" s="4"/>
      <c r="Y11217" s="4"/>
    </row>
    <row r="11218" spans="20:25" x14ac:dyDescent="0.3">
      <c r="T11218" s="12"/>
      <c r="U11218" s="4"/>
      <c r="V11218" s="4"/>
      <c r="X11218" s="4"/>
      <c r="Y11218" s="4"/>
    </row>
    <row r="11219" spans="20:25" x14ac:dyDescent="0.3">
      <c r="T11219" s="12"/>
      <c r="U11219" s="4"/>
      <c r="V11219" s="4"/>
      <c r="X11219" s="4"/>
      <c r="Y11219" s="4"/>
    </row>
    <row r="11220" spans="20:25" x14ac:dyDescent="0.3">
      <c r="T11220" s="12"/>
      <c r="U11220" s="4"/>
      <c r="V11220" s="4"/>
      <c r="X11220" s="4"/>
      <c r="Y11220" s="4"/>
    </row>
    <row r="11221" spans="20:25" x14ac:dyDescent="0.3">
      <c r="T11221" s="12"/>
      <c r="U11221" s="4"/>
      <c r="V11221" s="4"/>
      <c r="X11221" s="4"/>
      <c r="Y11221" s="4"/>
    </row>
    <row r="11222" spans="20:25" x14ac:dyDescent="0.3">
      <c r="T11222" s="12"/>
      <c r="U11222" s="4"/>
      <c r="V11222" s="4"/>
      <c r="X11222" s="4"/>
      <c r="Y11222" s="4"/>
    </row>
    <row r="11223" spans="20:25" x14ac:dyDescent="0.3">
      <c r="T11223" s="12"/>
      <c r="U11223" s="4"/>
      <c r="V11223" s="4"/>
      <c r="X11223" s="4"/>
      <c r="Y11223" s="4"/>
    </row>
    <row r="11224" spans="20:25" x14ac:dyDescent="0.3">
      <c r="T11224" s="12"/>
      <c r="U11224" s="4"/>
      <c r="V11224" s="4"/>
      <c r="X11224" s="4"/>
      <c r="Y11224" s="4"/>
    </row>
    <row r="11225" spans="20:25" x14ac:dyDescent="0.3">
      <c r="T11225" s="12"/>
      <c r="U11225" s="4"/>
      <c r="V11225" s="4"/>
      <c r="X11225" s="4"/>
      <c r="Y11225" s="4"/>
    </row>
    <row r="11226" spans="20:25" x14ac:dyDescent="0.3">
      <c r="T11226" s="12"/>
      <c r="U11226" s="4"/>
      <c r="V11226" s="4"/>
      <c r="X11226" s="4"/>
      <c r="Y11226" s="4"/>
    </row>
    <row r="11227" spans="20:25" x14ac:dyDescent="0.3">
      <c r="T11227" s="12"/>
      <c r="U11227" s="4"/>
      <c r="V11227" s="4"/>
      <c r="X11227" s="4"/>
      <c r="Y11227" s="4"/>
    </row>
    <row r="11228" spans="20:25" x14ac:dyDescent="0.3">
      <c r="T11228" s="12"/>
      <c r="U11228" s="4"/>
      <c r="V11228" s="4"/>
      <c r="X11228" s="4"/>
      <c r="Y11228" s="4"/>
    </row>
    <row r="11229" spans="20:25" x14ac:dyDescent="0.3">
      <c r="T11229" s="12"/>
      <c r="U11229" s="4"/>
      <c r="V11229" s="4"/>
      <c r="X11229" s="4"/>
      <c r="Y11229" s="4"/>
    </row>
    <row r="11230" spans="20:25" x14ac:dyDescent="0.3">
      <c r="T11230" s="12"/>
      <c r="U11230" s="4"/>
      <c r="V11230" s="4"/>
      <c r="X11230" s="4"/>
      <c r="Y11230" s="4"/>
    </row>
    <row r="11231" spans="20:25" x14ac:dyDescent="0.3">
      <c r="T11231" s="12"/>
      <c r="U11231" s="4"/>
      <c r="V11231" s="4"/>
      <c r="X11231" s="4"/>
      <c r="Y11231" s="4"/>
    </row>
    <row r="11232" spans="20:25" x14ac:dyDescent="0.3">
      <c r="T11232" s="12"/>
      <c r="U11232" s="4"/>
      <c r="V11232" s="4"/>
      <c r="X11232" s="4"/>
      <c r="Y11232" s="4"/>
    </row>
    <row r="11233" spans="20:25" x14ac:dyDescent="0.3">
      <c r="T11233" s="12"/>
      <c r="U11233" s="4"/>
      <c r="V11233" s="4"/>
      <c r="X11233" s="4"/>
      <c r="Y11233" s="4"/>
    </row>
    <row r="11234" spans="20:25" x14ac:dyDescent="0.3">
      <c r="T11234" s="12"/>
      <c r="U11234" s="4"/>
      <c r="V11234" s="4"/>
      <c r="X11234" s="4"/>
      <c r="Y11234" s="4"/>
    </row>
    <row r="11235" spans="20:25" x14ac:dyDescent="0.3">
      <c r="T11235" s="12"/>
      <c r="U11235" s="4"/>
      <c r="V11235" s="4"/>
      <c r="X11235" s="4"/>
      <c r="Y11235" s="4"/>
    </row>
    <row r="11236" spans="20:25" x14ac:dyDescent="0.3">
      <c r="T11236" s="12"/>
      <c r="U11236" s="4"/>
      <c r="V11236" s="4"/>
      <c r="X11236" s="4"/>
      <c r="Y11236" s="4"/>
    </row>
    <row r="11237" spans="20:25" x14ac:dyDescent="0.3">
      <c r="T11237" s="12"/>
      <c r="U11237" s="4"/>
      <c r="V11237" s="4"/>
      <c r="X11237" s="4"/>
      <c r="Y11237" s="4"/>
    </row>
    <row r="11238" spans="20:25" x14ac:dyDescent="0.3">
      <c r="T11238" s="12"/>
      <c r="U11238" s="4"/>
      <c r="V11238" s="4"/>
      <c r="X11238" s="4"/>
      <c r="Y11238" s="4"/>
    </row>
    <row r="11239" spans="20:25" x14ac:dyDescent="0.3">
      <c r="T11239" s="12"/>
      <c r="U11239" s="4"/>
      <c r="V11239" s="4"/>
      <c r="X11239" s="4"/>
      <c r="Y11239" s="4"/>
    </row>
    <row r="11240" spans="20:25" x14ac:dyDescent="0.3">
      <c r="T11240" s="12"/>
      <c r="U11240" s="4"/>
      <c r="V11240" s="4"/>
      <c r="X11240" s="4"/>
      <c r="Y11240" s="4"/>
    </row>
    <row r="11241" spans="20:25" x14ac:dyDescent="0.3">
      <c r="T11241" s="12"/>
      <c r="U11241" s="4"/>
      <c r="V11241" s="4"/>
      <c r="X11241" s="4"/>
      <c r="Y11241" s="4"/>
    </row>
    <row r="11242" spans="20:25" x14ac:dyDescent="0.3">
      <c r="T11242" s="12"/>
      <c r="U11242" s="4"/>
      <c r="V11242" s="4"/>
      <c r="X11242" s="4"/>
      <c r="Y11242" s="4"/>
    </row>
    <row r="11243" spans="20:25" x14ac:dyDescent="0.3">
      <c r="T11243" s="12"/>
      <c r="U11243" s="4"/>
      <c r="V11243" s="4"/>
      <c r="X11243" s="4"/>
      <c r="Y11243" s="4"/>
    </row>
    <row r="11244" spans="20:25" x14ac:dyDescent="0.3">
      <c r="T11244" s="12"/>
      <c r="U11244" s="4"/>
      <c r="V11244" s="4"/>
      <c r="X11244" s="4"/>
      <c r="Y11244" s="4"/>
    </row>
    <row r="11245" spans="20:25" x14ac:dyDescent="0.3">
      <c r="T11245" s="12"/>
      <c r="U11245" s="4"/>
      <c r="V11245" s="4"/>
      <c r="X11245" s="4"/>
      <c r="Y11245" s="4"/>
    </row>
    <row r="11246" spans="20:25" x14ac:dyDescent="0.3">
      <c r="T11246" s="12"/>
      <c r="U11246" s="4"/>
      <c r="V11246" s="4"/>
      <c r="X11246" s="4"/>
      <c r="Y11246" s="4"/>
    </row>
    <row r="11247" spans="20:25" x14ac:dyDescent="0.3">
      <c r="T11247" s="12"/>
      <c r="U11247" s="4"/>
      <c r="V11247" s="4"/>
      <c r="X11247" s="4"/>
      <c r="Y11247" s="4"/>
    </row>
    <row r="11248" spans="20:25" x14ac:dyDescent="0.3">
      <c r="T11248" s="12"/>
      <c r="U11248" s="4"/>
      <c r="V11248" s="4"/>
      <c r="X11248" s="4"/>
      <c r="Y11248" s="4"/>
    </row>
    <row r="11249" spans="20:25" x14ac:dyDescent="0.3">
      <c r="T11249" s="12"/>
      <c r="U11249" s="4"/>
      <c r="V11249" s="4"/>
      <c r="X11249" s="4"/>
      <c r="Y11249" s="4"/>
    </row>
    <row r="11250" spans="20:25" x14ac:dyDescent="0.3">
      <c r="T11250" s="12"/>
      <c r="U11250" s="4"/>
      <c r="V11250" s="4"/>
      <c r="X11250" s="4"/>
      <c r="Y11250" s="4"/>
    </row>
    <row r="11251" spans="20:25" x14ac:dyDescent="0.3">
      <c r="T11251" s="12"/>
      <c r="U11251" s="4"/>
      <c r="V11251" s="4"/>
      <c r="X11251" s="4"/>
      <c r="Y11251" s="4"/>
    </row>
    <row r="11252" spans="20:25" x14ac:dyDescent="0.3">
      <c r="T11252" s="12"/>
      <c r="U11252" s="4"/>
      <c r="V11252" s="4"/>
      <c r="X11252" s="4"/>
      <c r="Y11252" s="4"/>
    </row>
    <row r="11253" spans="20:25" x14ac:dyDescent="0.3">
      <c r="T11253" s="12"/>
      <c r="U11253" s="4"/>
      <c r="V11253" s="4"/>
      <c r="X11253" s="4"/>
      <c r="Y11253" s="4"/>
    </row>
    <row r="11254" spans="20:25" x14ac:dyDescent="0.3">
      <c r="T11254" s="12"/>
      <c r="U11254" s="4"/>
      <c r="V11254" s="4"/>
      <c r="X11254" s="4"/>
      <c r="Y11254" s="4"/>
    </row>
    <row r="11255" spans="20:25" x14ac:dyDescent="0.3">
      <c r="T11255" s="12"/>
      <c r="U11255" s="4"/>
      <c r="V11255" s="4"/>
      <c r="X11255" s="4"/>
      <c r="Y11255" s="4"/>
    </row>
    <row r="11256" spans="20:25" x14ac:dyDescent="0.3">
      <c r="T11256" s="12"/>
      <c r="U11256" s="4"/>
      <c r="V11256" s="4"/>
      <c r="X11256" s="4"/>
      <c r="Y11256" s="4"/>
    </row>
    <row r="11257" spans="20:25" x14ac:dyDescent="0.3">
      <c r="T11257" s="12"/>
      <c r="U11257" s="4"/>
      <c r="V11257" s="4"/>
      <c r="X11257" s="4"/>
      <c r="Y11257" s="4"/>
    </row>
    <row r="11258" spans="20:25" x14ac:dyDescent="0.3">
      <c r="T11258" s="12"/>
      <c r="U11258" s="4"/>
      <c r="V11258" s="4"/>
      <c r="X11258" s="4"/>
      <c r="Y11258" s="4"/>
    </row>
    <row r="11259" spans="20:25" x14ac:dyDescent="0.3">
      <c r="T11259" s="12"/>
      <c r="U11259" s="4"/>
      <c r="V11259" s="4"/>
      <c r="X11259" s="4"/>
      <c r="Y11259" s="4"/>
    </row>
    <row r="11260" spans="20:25" x14ac:dyDescent="0.3">
      <c r="T11260" s="12"/>
      <c r="U11260" s="4"/>
      <c r="V11260" s="4"/>
      <c r="X11260" s="4"/>
      <c r="Y11260" s="4"/>
    </row>
    <row r="11261" spans="20:25" x14ac:dyDescent="0.3">
      <c r="T11261" s="12"/>
      <c r="U11261" s="4"/>
      <c r="V11261" s="4"/>
      <c r="X11261" s="4"/>
      <c r="Y11261" s="4"/>
    </row>
    <row r="11262" spans="20:25" x14ac:dyDescent="0.3">
      <c r="T11262" s="12"/>
      <c r="U11262" s="4"/>
      <c r="V11262" s="4"/>
      <c r="X11262" s="4"/>
      <c r="Y11262" s="4"/>
    </row>
    <row r="11263" spans="20:25" x14ac:dyDescent="0.3">
      <c r="T11263" s="12"/>
      <c r="U11263" s="4"/>
      <c r="V11263" s="4"/>
      <c r="X11263" s="4"/>
      <c r="Y11263" s="4"/>
    </row>
    <row r="11264" spans="20:25" x14ac:dyDescent="0.3">
      <c r="T11264" s="12"/>
      <c r="U11264" s="4"/>
      <c r="V11264" s="4"/>
      <c r="X11264" s="4"/>
      <c r="Y11264" s="4"/>
    </row>
    <row r="11265" spans="20:25" x14ac:dyDescent="0.3">
      <c r="T11265" s="12"/>
      <c r="U11265" s="4"/>
      <c r="V11265" s="4"/>
      <c r="X11265" s="4"/>
      <c r="Y11265" s="4"/>
    </row>
    <row r="11266" spans="20:25" x14ac:dyDescent="0.3">
      <c r="T11266" s="12"/>
      <c r="U11266" s="4"/>
      <c r="V11266" s="4"/>
      <c r="X11266" s="4"/>
      <c r="Y11266" s="4"/>
    </row>
    <row r="11267" spans="20:25" x14ac:dyDescent="0.3">
      <c r="T11267" s="12"/>
      <c r="U11267" s="4"/>
      <c r="V11267" s="4"/>
      <c r="X11267" s="4"/>
      <c r="Y11267" s="4"/>
    </row>
    <row r="11268" spans="20:25" x14ac:dyDescent="0.3">
      <c r="T11268" s="12"/>
      <c r="U11268" s="4"/>
      <c r="V11268" s="4"/>
      <c r="X11268" s="4"/>
      <c r="Y11268" s="4"/>
    </row>
    <row r="11269" spans="20:25" x14ac:dyDescent="0.3">
      <c r="T11269" s="12"/>
      <c r="U11269" s="4"/>
      <c r="V11269" s="4"/>
      <c r="X11269" s="4"/>
      <c r="Y11269" s="4"/>
    </row>
    <row r="11270" spans="20:25" x14ac:dyDescent="0.3">
      <c r="T11270" s="12"/>
      <c r="U11270" s="4"/>
      <c r="V11270" s="4"/>
      <c r="X11270" s="4"/>
      <c r="Y11270" s="4"/>
    </row>
    <row r="11271" spans="20:25" x14ac:dyDescent="0.3">
      <c r="T11271" s="12"/>
      <c r="U11271" s="4"/>
      <c r="V11271" s="4"/>
      <c r="X11271" s="4"/>
      <c r="Y11271" s="4"/>
    </row>
    <row r="11272" spans="20:25" x14ac:dyDescent="0.3">
      <c r="T11272" s="12"/>
      <c r="U11272" s="4"/>
      <c r="V11272" s="4"/>
      <c r="X11272" s="4"/>
      <c r="Y11272" s="4"/>
    </row>
    <row r="11273" spans="20:25" x14ac:dyDescent="0.3">
      <c r="T11273" s="12"/>
      <c r="U11273" s="4"/>
      <c r="V11273" s="4"/>
      <c r="X11273" s="4"/>
      <c r="Y11273" s="4"/>
    </row>
    <row r="11274" spans="20:25" x14ac:dyDescent="0.3">
      <c r="T11274" s="12"/>
      <c r="U11274" s="4"/>
      <c r="V11274" s="4"/>
      <c r="X11274" s="4"/>
      <c r="Y11274" s="4"/>
    </row>
    <row r="11275" spans="20:25" x14ac:dyDescent="0.3">
      <c r="T11275" s="12"/>
      <c r="U11275" s="4"/>
      <c r="V11275" s="4"/>
      <c r="X11275" s="4"/>
      <c r="Y11275" s="4"/>
    </row>
    <row r="11276" spans="20:25" x14ac:dyDescent="0.3">
      <c r="T11276" s="12"/>
      <c r="U11276" s="4"/>
      <c r="V11276" s="4"/>
      <c r="X11276" s="4"/>
      <c r="Y11276" s="4"/>
    </row>
    <row r="11277" spans="20:25" x14ac:dyDescent="0.3">
      <c r="T11277" s="12"/>
      <c r="U11277" s="4"/>
      <c r="V11277" s="4"/>
      <c r="X11277" s="4"/>
      <c r="Y11277" s="4"/>
    </row>
    <row r="11278" spans="20:25" x14ac:dyDescent="0.3">
      <c r="T11278" s="12"/>
      <c r="U11278" s="4"/>
      <c r="V11278" s="4"/>
      <c r="X11278" s="4"/>
      <c r="Y11278" s="4"/>
    </row>
    <row r="11279" spans="20:25" x14ac:dyDescent="0.3">
      <c r="T11279" s="12"/>
      <c r="U11279" s="4"/>
      <c r="V11279" s="4"/>
      <c r="X11279" s="4"/>
      <c r="Y11279" s="4"/>
    </row>
    <row r="11280" spans="20:25" x14ac:dyDescent="0.3">
      <c r="T11280" s="12"/>
      <c r="U11280" s="4"/>
      <c r="V11280" s="4"/>
      <c r="X11280" s="4"/>
      <c r="Y11280" s="4"/>
    </row>
    <row r="11281" spans="20:25" x14ac:dyDescent="0.3">
      <c r="T11281" s="12"/>
      <c r="U11281" s="4"/>
      <c r="V11281" s="4"/>
      <c r="X11281" s="4"/>
      <c r="Y11281" s="4"/>
    </row>
    <row r="11282" spans="20:25" x14ac:dyDescent="0.3">
      <c r="T11282" s="12"/>
      <c r="U11282" s="4"/>
      <c r="V11282" s="4"/>
      <c r="X11282" s="4"/>
      <c r="Y11282" s="4"/>
    </row>
    <row r="11283" spans="20:25" x14ac:dyDescent="0.3">
      <c r="T11283" s="12"/>
      <c r="U11283" s="4"/>
      <c r="V11283" s="4"/>
      <c r="X11283" s="4"/>
      <c r="Y11283" s="4"/>
    </row>
    <row r="11284" spans="20:25" x14ac:dyDescent="0.3">
      <c r="T11284" s="12"/>
      <c r="U11284" s="4"/>
      <c r="V11284" s="4"/>
      <c r="X11284" s="4"/>
      <c r="Y11284" s="4"/>
    </row>
    <row r="11285" spans="20:25" x14ac:dyDescent="0.3">
      <c r="T11285" s="12"/>
      <c r="U11285" s="4"/>
      <c r="V11285" s="4"/>
      <c r="X11285" s="4"/>
      <c r="Y11285" s="4"/>
    </row>
    <row r="11286" spans="20:25" x14ac:dyDescent="0.3">
      <c r="T11286" s="12"/>
      <c r="U11286" s="4"/>
      <c r="V11286" s="4"/>
      <c r="X11286" s="4"/>
      <c r="Y11286" s="4"/>
    </row>
    <row r="11287" spans="20:25" x14ac:dyDescent="0.3">
      <c r="T11287" s="12"/>
      <c r="U11287" s="4"/>
      <c r="V11287" s="4"/>
      <c r="X11287" s="4"/>
      <c r="Y11287" s="4"/>
    </row>
    <row r="11288" spans="20:25" x14ac:dyDescent="0.3">
      <c r="T11288" s="12"/>
      <c r="U11288" s="4"/>
      <c r="V11288" s="4"/>
      <c r="X11288" s="4"/>
      <c r="Y11288" s="4"/>
    </row>
    <row r="11289" spans="20:25" x14ac:dyDescent="0.3">
      <c r="T11289" s="12"/>
      <c r="U11289" s="4"/>
      <c r="V11289" s="4"/>
      <c r="X11289" s="4"/>
      <c r="Y11289" s="4"/>
    </row>
    <row r="11290" spans="20:25" x14ac:dyDescent="0.3">
      <c r="T11290" s="12"/>
      <c r="U11290" s="4"/>
      <c r="V11290" s="4"/>
      <c r="X11290" s="4"/>
      <c r="Y11290" s="4"/>
    </row>
    <row r="11291" spans="20:25" x14ac:dyDescent="0.3">
      <c r="T11291" s="12"/>
      <c r="U11291" s="4"/>
      <c r="V11291" s="4"/>
      <c r="X11291" s="4"/>
      <c r="Y11291" s="4"/>
    </row>
    <row r="11292" spans="20:25" x14ac:dyDescent="0.3">
      <c r="T11292" s="12"/>
      <c r="U11292" s="4"/>
      <c r="V11292" s="4"/>
      <c r="X11292" s="4"/>
      <c r="Y11292" s="4"/>
    </row>
    <row r="11293" spans="20:25" x14ac:dyDescent="0.3">
      <c r="T11293" s="12"/>
      <c r="U11293" s="4"/>
      <c r="V11293" s="4"/>
      <c r="X11293" s="4"/>
      <c r="Y11293" s="4"/>
    </row>
    <row r="11294" spans="20:25" x14ac:dyDescent="0.3">
      <c r="T11294" s="12"/>
      <c r="U11294" s="4"/>
      <c r="V11294" s="4"/>
      <c r="X11294" s="4"/>
      <c r="Y11294" s="4"/>
    </row>
    <row r="11295" spans="20:25" x14ac:dyDescent="0.3">
      <c r="T11295" s="12"/>
      <c r="U11295" s="4"/>
      <c r="V11295" s="4"/>
      <c r="X11295" s="4"/>
      <c r="Y11295" s="4"/>
    </row>
    <row r="11296" spans="20:25" x14ac:dyDescent="0.3">
      <c r="T11296" s="12"/>
      <c r="U11296" s="4"/>
      <c r="V11296" s="4"/>
      <c r="X11296" s="4"/>
      <c r="Y11296" s="4"/>
    </row>
    <row r="11297" spans="20:25" x14ac:dyDescent="0.3">
      <c r="T11297" s="12"/>
      <c r="U11297" s="4"/>
      <c r="V11297" s="4"/>
      <c r="X11297" s="4"/>
      <c r="Y11297" s="4"/>
    </row>
    <row r="11298" spans="20:25" x14ac:dyDescent="0.3">
      <c r="T11298" s="12"/>
      <c r="U11298" s="4"/>
      <c r="V11298" s="4"/>
      <c r="X11298" s="4"/>
      <c r="Y11298" s="4"/>
    </row>
    <row r="11299" spans="20:25" x14ac:dyDescent="0.3">
      <c r="T11299" s="12"/>
      <c r="U11299" s="4"/>
      <c r="V11299" s="4"/>
      <c r="X11299" s="4"/>
      <c r="Y11299" s="4"/>
    </row>
    <row r="11300" spans="20:25" x14ac:dyDescent="0.3">
      <c r="T11300" s="12"/>
      <c r="U11300" s="4"/>
      <c r="V11300" s="4"/>
      <c r="X11300" s="4"/>
      <c r="Y11300" s="4"/>
    </row>
    <row r="11301" spans="20:25" x14ac:dyDescent="0.3">
      <c r="T11301" s="12"/>
      <c r="U11301" s="4"/>
      <c r="V11301" s="4"/>
      <c r="X11301" s="4"/>
      <c r="Y11301" s="4"/>
    </row>
    <row r="11302" spans="20:25" x14ac:dyDescent="0.3">
      <c r="T11302" s="12"/>
      <c r="U11302" s="4"/>
      <c r="V11302" s="4"/>
      <c r="X11302" s="4"/>
      <c r="Y11302" s="4"/>
    </row>
    <row r="11303" spans="20:25" x14ac:dyDescent="0.3">
      <c r="T11303" s="12"/>
      <c r="U11303" s="4"/>
      <c r="V11303" s="4"/>
      <c r="X11303" s="4"/>
      <c r="Y11303" s="4"/>
    </row>
    <row r="11304" spans="20:25" x14ac:dyDescent="0.3">
      <c r="T11304" s="12"/>
      <c r="U11304" s="4"/>
      <c r="V11304" s="4"/>
      <c r="X11304" s="4"/>
      <c r="Y11304" s="4"/>
    </row>
    <row r="11305" spans="20:25" x14ac:dyDescent="0.3">
      <c r="T11305" s="12"/>
      <c r="U11305" s="4"/>
      <c r="V11305" s="4"/>
      <c r="X11305" s="4"/>
      <c r="Y11305" s="4"/>
    </row>
    <row r="11306" spans="20:25" x14ac:dyDescent="0.3">
      <c r="T11306" s="12"/>
      <c r="U11306" s="4"/>
      <c r="V11306" s="4"/>
      <c r="X11306" s="4"/>
      <c r="Y11306" s="4"/>
    </row>
    <row r="11307" spans="20:25" x14ac:dyDescent="0.3">
      <c r="T11307" s="12"/>
      <c r="U11307" s="4"/>
      <c r="V11307" s="4"/>
      <c r="X11307" s="4"/>
      <c r="Y11307" s="4"/>
    </row>
    <row r="11308" spans="20:25" x14ac:dyDescent="0.3">
      <c r="T11308" s="12"/>
      <c r="U11308" s="4"/>
      <c r="V11308" s="4"/>
      <c r="X11308" s="4"/>
      <c r="Y11308" s="4"/>
    </row>
    <row r="11309" spans="20:25" x14ac:dyDescent="0.3">
      <c r="T11309" s="12"/>
      <c r="U11309" s="4"/>
      <c r="V11309" s="4"/>
      <c r="X11309" s="4"/>
      <c r="Y11309" s="4"/>
    </row>
    <row r="11310" spans="20:25" x14ac:dyDescent="0.3">
      <c r="T11310" s="12"/>
      <c r="U11310" s="4"/>
      <c r="V11310" s="4"/>
      <c r="X11310" s="4"/>
      <c r="Y11310" s="4"/>
    </row>
    <row r="11311" spans="20:25" x14ac:dyDescent="0.3">
      <c r="T11311" s="12"/>
      <c r="U11311" s="4"/>
      <c r="V11311" s="4"/>
      <c r="X11311" s="4"/>
      <c r="Y11311" s="4"/>
    </row>
    <row r="11312" spans="20:25" x14ac:dyDescent="0.3">
      <c r="T11312" s="12"/>
      <c r="U11312" s="4"/>
      <c r="V11312" s="4"/>
      <c r="X11312" s="4"/>
      <c r="Y11312" s="4"/>
    </row>
    <row r="11313" spans="20:25" x14ac:dyDescent="0.3">
      <c r="T11313" s="12"/>
      <c r="U11313" s="4"/>
      <c r="V11313" s="4"/>
      <c r="X11313" s="4"/>
      <c r="Y11313" s="4"/>
    </row>
    <row r="11314" spans="20:25" x14ac:dyDescent="0.3">
      <c r="T11314" s="12"/>
      <c r="U11314" s="4"/>
      <c r="V11314" s="4"/>
      <c r="X11314" s="4"/>
      <c r="Y11314" s="4"/>
    </row>
    <row r="11315" spans="20:25" x14ac:dyDescent="0.3">
      <c r="T11315" s="12"/>
      <c r="U11315" s="4"/>
      <c r="V11315" s="4"/>
      <c r="X11315" s="4"/>
      <c r="Y11315" s="4"/>
    </row>
    <row r="11316" spans="20:25" x14ac:dyDescent="0.3">
      <c r="T11316" s="12"/>
      <c r="U11316" s="4"/>
      <c r="V11316" s="4"/>
      <c r="X11316" s="4"/>
      <c r="Y11316" s="4"/>
    </row>
    <row r="11317" spans="20:25" x14ac:dyDescent="0.3">
      <c r="T11317" s="12"/>
      <c r="U11317" s="4"/>
      <c r="V11317" s="4"/>
      <c r="X11317" s="4"/>
      <c r="Y11317" s="4"/>
    </row>
    <row r="11318" spans="20:25" x14ac:dyDescent="0.3">
      <c r="T11318" s="12"/>
      <c r="U11318" s="4"/>
      <c r="V11318" s="4"/>
      <c r="X11318" s="4"/>
      <c r="Y11318" s="4"/>
    </row>
    <row r="11319" spans="20:25" x14ac:dyDescent="0.3">
      <c r="T11319" s="12"/>
      <c r="U11319" s="4"/>
      <c r="V11319" s="4"/>
      <c r="X11319" s="4"/>
      <c r="Y11319" s="4"/>
    </row>
    <row r="11320" spans="20:25" x14ac:dyDescent="0.3">
      <c r="T11320" s="12"/>
      <c r="U11320" s="4"/>
      <c r="V11320" s="4"/>
      <c r="X11320" s="4"/>
      <c r="Y11320" s="4"/>
    </row>
    <row r="11321" spans="20:25" x14ac:dyDescent="0.3">
      <c r="T11321" s="12"/>
      <c r="U11321" s="4"/>
      <c r="V11321" s="4"/>
      <c r="X11321" s="4"/>
      <c r="Y11321" s="4"/>
    </row>
    <row r="11322" spans="20:25" x14ac:dyDescent="0.3">
      <c r="T11322" s="12"/>
      <c r="U11322" s="4"/>
      <c r="V11322" s="4"/>
      <c r="X11322" s="4"/>
      <c r="Y11322" s="4"/>
    </row>
    <row r="11323" spans="20:25" x14ac:dyDescent="0.3">
      <c r="T11323" s="12"/>
      <c r="U11323" s="4"/>
      <c r="V11323" s="4"/>
      <c r="X11323" s="4"/>
      <c r="Y11323" s="4"/>
    </row>
    <row r="11324" spans="20:25" x14ac:dyDescent="0.3">
      <c r="T11324" s="12"/>
      <c r="U11324" s="4"/>
      <c r="V11324" s="4"/>
      <c r="X11324" s="4"/>
      <c r="Y11324" s="4"/>
    </row>
    <row r="11325" spans="20:25" x14ac:dyDescent="0.3">
      <c r="T11325" s="12"/>
      <c r="U11325" s="4"/>
      <c r="V11325" s="4"/>
      <c r="X11325" s="4"/>
      <c r="Y11325" s="4"/>
    </row>
    <row r="11326" spans="20:25" x14ac:dyDescent="0.3">
      <c r="T11326" s="12"/>
      <c r="U11326" s="4"/>
      <c r="V11326" s="4"/>
      <c r="X11326" s="4"/>
      <c r="Y11326" s="4"/>
    </row>
    <row r="11327" spans="20:25" x14ac:dyDescent="0.3">
      <c r="T11327" s="12"/>
      <c r="U11327" s="4"/>
      <c r="V11327" s="4"/>
      <c r="X11327" s="4"/>
      <c r="Y11327" s="4"/>
    </row>
    <row r="11328" spans="20:25" x14ac:dyDescent="0.3">
      <c r="T11328" s="12"/>
      <c r="U11328" s="4"/>
      <c r="V11328" s="4"/>
      <c r="X11328" s="4"/>
      <c r="Y11328" s="4"/>
    </row>
    <row r="11329" spans="20:25" x14ac:dyDescent="0.3">
      <c r="T11329" s="12"/>
      <c r="U11329" s="4"/>
      <c r="V11329" s="4"/>
      <c r="X11329" s="4"/>
      <c r="Y11329" s="4"/>
    </row>
    <row r="11330" spans="20:25" x14ac:dyDescent="0.3">
      <c r="T11330" s="12"/>
      <c r="U11330" s="4"/>
      <c r="V11330" s="4"/>
      <c r="X11330" s="4"/>
      <c r="Y11330" s="4"/>
    </row>
    <row r="11331" spans="20:25" x14ac:dyDescent="0.3">
      <c r="T11331" s="12"/>
      <c r="U11331" s="4"/>
      <c r="V11331" s="4"/>
      <c r="X11331" s="4"/>
      <c r="Y11331" s="4"/>
    </row>
    <row r="11332" spans="20:25" x14ac:dyDescent="0.3">
      <c r="T11332" s="12"/>
      <c r="U11332" s="4"/>
      <c r="V11332" s="4"/>
      <c r="X11332" s="4"/>
      <c r="Y11332" s="4"/>
    </row>
    <row r="11333" spans="20:25" x14ac:dyDescent="0.3">
      <c r="T11333" s="12"/>
      <c r="U11333" s="4"/>
      <c r="V11333" s="4"/>
      <c r="X11333" s="4"/>
      <c r="Y11333" s="4"/>
    </row>
    <row r="11334" spans="20:25" x14ac:dyDescent="0.3">
      <c r="T11334" s="12"/>
      <c r="U11334" s="4"/>
      <c r="V11334" s="4"/>
      <c r="X11334" s="4"/>
      <c r="Y11334" s="4"/>
    </row>
    <row r="11335" spans="20:25" x14ac:dyDescent="0.3">
      <c r="T11335" s="12"/>
      <c r="U11335" s="4"/>
      <c r="V11335" s="4"/>
      <c r="X11335" s="4"/>
      <c r="Y11335" s="4"/>
    </row>
    <row r="11336" spans="20:25" x14ac:dyDescent="0.3">
      <c r="T11336" s="12"/>
      <c r="U11336" s="4"/>
      <c r="V11336" s="4"/>
      <c r="X11336" s="4"/>
      <c r="Y11336" s="4"/>
    </row>
    <row r="11337" spans="20:25" x14ac:dyDescent="0.3">
      <c r="T11337" s="12"/>
      <c r="U11337" s="4"/>
      <c r="V11337" s="4"/>
      <c r="X11337" s="4"/>
      <c r="Y11337" s="4"/>
    </row>
    <row r="11338" spans="20:25" x14ac:dyDescent="0.3">
      <c r="T11338" s="12"/>
      <c r="U11338" s="4"/>
      <c r="V11338" s="4"/>
      <c r="X11338" s="4"/>
      <c r="Y11338" s="4"/>
    </row>
    <row r="11339" spans="20:25" x14ac:dyDescent="0.3">
      <c r="T11339" s="12"/>
      <c r="U11339" s="4"/>
      <c r="V11339" s="4"/>
      <c r="X11339" s="4"/>
      <c r="Y11339" s="4"/>
    </row>
    <row r="11340" spans="20:25" x14ac:dyDescent="0.3">
      <c r="T11340" s="12"/>
      <c r="U11340" s="4"/>
      <c r="V11340" s="4"/>
      <c r="X11340" s="4"/>
      <c r="Y11340" s="4"/>
    </row>
    <row r="11341" spans="20:25" x14ac:dyDescent="0.3">
      <c r="T11341" s="12"/>
      <c r="U11341" s="4"/>
      <c r="V11341" s="4"/>
      <c r="X11341" s="4"/>
      <c r="Y11341" s="4"/>
    </row>
    <row r="11342" spans="20:25" x14ac:dyDescent="0.3">
      <c r="T11342" s="12"/>
      <c r="U11342" s="4"/>
      <c r="V11342" s="4"/>
      <c r="X11342" s="4"/>
      <c r="Y11342" s="4"/>
    </row>
    <row r="11343" spans="20:25" x14ac:dyDescent="0.3">
      <c r="T11343" s="12"/>
      <c r="U11343" s="4"/>
      <c r="V11343" s="4"/>
      <c r="X11343" s="4"/>
      <c r="Y11343" s="4"/>
    </row>
    <row r="11344" spans="20:25" x14ac:dyDescent="0.3">
      <c r="T11344" s="12"/>
      <c r="U11344" s="4"/>
      <c r="V11344" s="4"/>
      <c r="X11344" s="4"/>
      <c r="Y11344" s="4"/>
    </row>
    <row r="11345" spans="20:25" x14ac:dyDescent="0.3">
      <c r="T11345" s="12"/>
      <c r="U11345" s="4"/>
      <c r="V11345" s="4"/>
      <c r="X11345" s="4"/>
      <c r="Y11345" s="4"/>
    </row>
    <row r="11346" spans="20:25" x14ac:dyDescent="0.3">
      <c r="T11346" s="12"/>
      <c r="U11346" s="4"/>
      <c r="V11346" s="4"/>
      <c r="X11346" s="4"/>
      <c r="Y11346" s="4"/>
    </row>
    <row r="11347" spans="20:25" x14ac:dyDescent="0.3">
      <c r="T11347" s="12"/>
      <c r="U11347" s="4"/>
      <c r="V11347" s="4"/>
      <c r="X11347" s="4"/>
      <c r="Y11347" s="4"/>
    </row>
    <row r="11348" spans="20:25" x14ac:dyDescent="0.3">
      <c r="T11348" s="12"/>
      <c r="U11348" s="4"/>
      <c r="V11348" s="4"/>
      <c r="X11348" s="4"/>
      <c r="Y11348" s="4"/>
    </row>
    <row r="11349" spans="20:25" x14ac:dyDescent="0.3">
      <c r="T11349" s="12"/>
      <c r="U11349" s="4"/>
      <c r="V11349" s="4"/>
      <c r="X11349" s="4"/>
      <c r="Y11349" s="4"/>
    </row>
    <row r="11350" spans="20:25" x14ac:dyDescent="0.3">
      <c r="T11350" s="12"/>
      <c r="U11350" s="4"/>
      <c r="V11350" s="4"/>
      <c r="X11350" s="4"/>
      <c r="Y11350" s="4"/>
    </row>
    <row r="11351" spans="20:25" x14ac:dyDescent="0.3">
      <c r="T11351" s="12"/>
      <c r="U11351" s="4"/>
      <c r="V11351" s="4"/>
      <c r="X11351" s="4"/>
      <c r="Y11351" s="4"/>
    </row>
    <row r="11352" spans="20:25" x14ac:dyDescent="0.3">
      <c r="T11352" s="12"/>
      <c r="U11352" s="4"/>
      <c r="V11352" s="4"/>
      <c r="X11352" s="4"/>
      <c r="Y11352" s="4"/>
    </row>
    <row r="11353" spans="20:25" x14ac:dyDescent="0.3">
      <c r="T11353" s="12"/>
      <c r="U11353" s="4"/>
      <c r="V11353" s="4"/>
      <c r="X11353" s="4"/>
      <c r="Y11353" s="4"/>
    </row>
    <row r="11354" spans="20:25" x14ac:dyDescent="0.3">
      <c r="T11354" s="12"/>
      <c r="U11354" s="4"/>
      <c r="V11354" s="4"/>
      <c r="X11354" s="4"/>
      <c r="Y11354" s="4"/>
    </row>
    <row r="11355" spans="20:25" x14ac:dyDescent="0.3">
      <c r="T11355" s="12"/>
      <c r="U11355" s="4"/>
      <c r="V11355" s="4"/>
      <c r="X11355" s="4"/>
      <c r="Y11355" s="4"/>
    </row>
    <row r="11356" spans="20:25" x14ac:dyDescent="0.3">
      <c r="T11356" s="12"/>
      <c r="U11356" s="4"/>
      <c r="V11356" s="4"/>
      <c r="X11356" s="4"/>
      <c r="Y11356" s="4"/>
    </row>
    <row r="11357" spans="20:25" x14ac:dyDescent="0.3">
      <c r="T11357" s="12"/>
      <c r="U11357" s="4"/>
      <c r="V11357" s="4"/>
      <c r="X11357" s="4"/>
      <c r="Y11357" s="4"/>
    </row>
    <row r="11358" spans="20:25" x14ac:dyDescent="0.3">
      <c r="T11358" s="12"/>
      <c r="U11358" s="4"/>
      <c r="V11358" s="4"/>
      <c r="X11358" s="4"/>
      <c r="Y11358" s="4"/>
    </row>
    <row r="11359" spans="20:25" x14ac:dyDescent="0.3">
      <c r="T11359" s="12"/>
      <c r="U11359" s="4"/>
      <c r="V11359" s="4"/>
      <c r="X11359" s="4"/>
      <c r="Y11359" s="4"/>
    </row>
    <row r="11360" spans="20:25" x14ac:dyDescent="0.3">
      <c r="T11360" s="12"/>
      <c r="U11360" s="4"/>
      <c r="V11360" s="4"/>
      <c r="X11360" s="4"/>
      <c r="Y11360" s="4"/>
    </row>
    <row r="11361" spans="20:25" x14ac:dyDescent="0.3">
      <c r="T11361" s="12"/>
      <c r="U11361" s="4"/>
      <c r="V11361" s="4"/>
      <c r="X11361" s="4"/>
      <c r="Y11361" s="4"/>
    </row>
    <row r="11362" spans="20:25" x14ac:dyDescent="0.3">
      <c r="T11362" s="12"/>
      <c r="U11362" s="4"/>
      <c r="V11362" s="4"/>
      <c r="X11362" s="4"/>
      <c r="Y11362" s="4"/>
    </row>
    <row r="11363" spans="20:25" x14ac:dyDescent="0.3">
      <c r="T11363" s="12"/>
      <c r="U11363" s="4"/>
      <c r="V11363" s="4"/>
      <c r="X11363" s="4"/>
      <c r="Y11363" s="4"/>
    </row>
    <row r="11364" spans="20:25" x14ac:dyDescent="0.3">
      <c r="T11364" s="12"/>
      <c r="U11364" s="4"/>
      <c r="V11364" s="4"/>
      <c r="X11364" s="4"/>
      <c r="Y11364" s="4"/>
    </row>
    <row r="11365" spans="20:25" x14ac:dyDescent="0.3">
      <c r="T11365" s="12"/>
      <c r="U11365" s="4"/>
      <c r="V11365" s="4"/>
      <c r="X11365" s="4"/>
      <c r="Y11365" s="4"/>
    </row>
    <row r="11366" spans="20:25" x14ac:dyDescent="0.3">
      <c r="T11366" s="12"/>
      <c r="U11366" s="4"/>
      <c r="V11366" s="4"/>
      <c r="X11366" s="4"/>
      <c r="Y11366" s="4"/>
    </row>
    <row r="11367" spans="20:25" x14ac:dyDescent="0.3">
      <c r="T11367" s="12"/>
      <c r="U11367" s="4"/>
      <c r="V11367" s="4"/>
      <c r="X11367" s="4"/>
      <c r="Y11367" s="4"/>
    </row>
    <row r="11368" spans="20:25" x14ac:dyDescent="0.3">
      <c r="T11368" s="12"/>
      <c r="U11368" s="4"/>
      <c r="V11368" s="4"/>
      <c r="X11368" s="4"/>
      <c r="Y11368" s="4"/>
    </row>
    <row r="11369" spans="20:25" x14ac:dyDescent="0.3">
      <c r="T11369" s="12"/>
      <c r="U11369" s="4"/>
      <c r="V11369" s="4"/>
      <c r="X11369" s="4"/>
      <c r="Y11369" s="4"/>
    </row>
    <row r="11370" spans="20:25" x14ac:dyDescent="0.3">
      <c r="T11370" s="12"/>
      <c r="U11370" s="4"/>
      <c r="V11370" s="4"/>
      <c r="X11370" s="4"/>
      <c r="Y11370" s="4"/>
    </row>
    <row r="11371" spans="20:25" x14ac:dyDescent="0.3">
      <c r="T11371" s="12"/>
      <c r="U11371" s="4"/>
      <c r="V11371" s="4"/>
      <c r="X11371" s="4"/>
      <c r="Y11371" s="4"/>
    </row>
    <row r="11372" spans="20:25" x14ac:dyDescent="0.3">
      <c r="T11372" s="12"/>
      <c r="U11372" s="4"/>
      <c r="V11372" s="4"/>
      <c r="X11372" s="4"/>
      <c r="Y11372" s="4"/>
    </row>
    <row r="11373" spans="20:25" x14ac:dyDescent="0.3">
      <c r="T11373" s="12"/>
      <c r="U11373" s="4"/>
      <c r="V11373" s="4"/>
      <c r="X11373" s="4"/>
      <c r="Y11373" s="4"/>
    </row>
    <row r="11374" spans="20:25" x14ac:dyDescent="0.3">
      <c r="T11374" s="12"/>
      <c r="U11374" s="4"/>
      <c r="V11374" s="4"/>
      <c r="X11374" s="4"/>
      <c r="Y11374" s="4"/>
    </row>
    <row r="11375" spans="20:25" x14ac:dyDescent="0.3">
      <c r="T11375" s="12"/>
      <c r="U11375" s="4"/>
      <c r="V11375" s="4"/>
      <c r="X11375" s="4"/>
      <c r="Y11375" s="4"/>
    </row>
    <row r="11376" spans="20:25" x14ac:dyDescent="0.3">
      <c r="T11376" s="12"/>
      <c r="U11376" s="4"/>
      <c r="V11376" s="4"/>
      <c r="X11376" s="4"/>
      <c r="Y11376" s="4"/>
    </row>
    <row r="11377" spans="20:25" x14ac:dyDescent="0.3">
      <c r="T11377" s="12"/>
      <c r="U11377" s="4"/>
      <c r="V11377" s="4"/>
      <c r="X11377" s="4"/>
      <c r="Y11377" s="4"/>
    </row>
    <row r="11378" spans="20:25" x14ac:dyDescent="0.3">
      <c r="T11378" s="12"/>
      <c r="U11378" s="4"/>
      <c r="V11378" s="4"/>
      <c r="X11378" s="4"/>
      <c r="Y11378" s="4"/>
    </row>
    <row r="11379" spans="20:25" x14ac:dyDescent="0.3">
      <c r="T11379" s="12"/>
      <c r="U11379" s="4"/>
      <c r="V11379" s="4"/>
      <c r="X11379" s="4"/>
      <c r="Y11379" s="4"/>
    </row>
    <row r="11380" spans="20:25" x14ac:dyDescent="0.3">
      <c r="T11380" s="12"/>
      <c r="U11380" s="4"/>
      <c r="V11380" s="4"/>
      <c r="X11380" s="4"/>
      <c r="Y11380" s="4"/>
    </row>
    <row r="11381" spans="20:25" x14ac:dyDescent="0.3">
      <c r="T11381" s="12"/>
      <c r="U11381" s="4"/>
      <c r="V11381" s="4"/>
      <c r="X11381" s="4"/>
      <c r="Y11381" s="4"/>
    </row>
    <row r="11382" spans="20:25" x14ac:dyDescent="0.3">
      <c r="T11382" s="12"/>
      <c r="U11382" s="4"/>
      <c r="V11382" s="4"/>
      <c r="X11382" s="4"/>
      <c r="Y11382" s="4"/>
    </row>
    <row r="11383" spans="20:25" x14ac:dyDescent="0.3">
      <c r="T11383" s="12"/>
      <c r="U11383" s="4"/>
      <c r="V11383" s="4"/>
      <c r="X11383" s="4"/>
      <c r="Y11383" s="4"/>
    </row>
    <row r="11384" spans="20:25" x14ac:dyDescent="0.3">
      <c r="T11384" s="12"/>
      <c r="U11384" s="4"/>
      <c r="V11384" s="4"/>
      <c r="X11384" s="4"/>
      <c r="Y11384" s="4"/>
    </row>
    <row r="11385" spans="20:25" x14ac:dyDescent="0.3">
      <c r="T11385" s="12"/>
      <c r="U11385" s="4"/>
      <c r="V11385" s="4"/>
      <c r="X11385" s="4"/>
      <c r="Y11385" s="4"/>
    </row>
    <row r="11386" spans="20:25" x14ac:dyDescent="0.3">
      <c r="T11386" s="12"/>
      <c r="U11386" s="4"/>
      <c r="V11386" s="4"/>
      <c r="X11386" s="4"/>
      <c r="Y11386" s="4"/>
    </row>
    <row r="11387" spans="20:25" x14ac:dyDescent="0.3">
      <c r="T11387" s="12"/>
      <c r="U11387" s="4"/>
      <c r="V11387" s="4"/>
      <c r="X11387" s="4"/>
      <c r="Y11387" s="4"/>
    </row>
    <row r="11388" spans="20:25" x14ac:dyDescent="0.3">
      <c r="T11388" s="12"/>
      <c r="U11388" s="4"/>
      <c r="V11388" s="4"/>
      <c r="X11388" s="4"/>
      <c r="Y11388" s="4"/>
    </row>
    <row r="11389" spans="20:25" x14ac:dyDescent="0.3">
      <c r="T11389" s="12"/>
      <c r="U11389" s="4"/>
      <c r="V11389" s="4"/>
      <c r="X11389" s="4"/>
      <c r="Y11389" s="4"/>
    </row>
    <row r="11390" spans="20:25" x14ac:dyDescent="0.3">
      <c r="T11390" s="12"/>
      <c r="U11390" s="4"/>
      <c r="V11390" s="4"/>
      <c r="X11390" s="4"/>
      <c r="Y11390" s="4"/>
    </row>
    <row r="11391" spans="20:25" x14ac:dyDescent="0.3">
      <c r="T11391" s="12"/>
      <c r="U11391" s="4"/>
      <c r="V11391" s="4"/>
      <c r="X11391" s="4"/>
      <c r="Y11391" s="4"/>
    </row>
    <row r="11392" spans="20:25" x14ac:dyDescent="0.3">
      <c r="T11392" s="12"/>
      <c r="U11392" s="4"/>
      <c r="V11392" s="4"/>
      <c r="X11392" s="4"/>
      <c r="Y11392" s="4"/>
    </row>
    <row r="11393" spans="20:25" x14ac:dyDescent="0.3">
      <c r="T11393" s="12"/>
      <c r="U11393" s="4"/>
      <c r="V11393" s="4"/>
      <c r="X11393" s="4"/>
      <c r="Y11393" s="4"/>
    </row>
    <row r="11394" spans="20:25" x14ac:dyDescent="0.3">
      <c r="T11394" s="12"/>
      <c r="U11394" s="4"/>
      <c r="V11394" s="4"/>
      <c r="X11394" s="4"/>
      <c r="Y11394" s="4"/>
    </row>
    <row r="11395" spans="20:25" x14ac:dyDescent="0.3">
      <c r="T11395" s="12"/>
      <c r="U11395" s="4"/>
      <c r="V11395" s="4"/>
      <c r="X11395" s="4"/>
      <c r="Y11395" s="4"/>
    </row>
    <row r="11396" spans="20:25" x14ac:dyDescent="0.3">
      <c r="T11396" s="12"/>
      <c r="U11396" s="4"/>
      <c r="V11396" s="4"/>
      <c r="X11396" s="4"/>
      <c r="Y11396" s="4"/>
    </row>
    <row r="11397" spans="20:25" x14ac:dyDescent="0.3">
      <c r="T11397" s="12"/>
      <c r="U11397" s="4"/>
      <c r="V11397" s="4"/>
      <c r="X11397" s="4"/>
      <c r="Y11397" s="4"/>
    </row>
    <row r="11398" spans="20:25" x14ac:dyDescent="0.3">
      <c r="T11398" s="12"/>
      <c r="U11398" s="4"/>
      <c r="V11398" s="4"/>
      <c r="X11398" s="4"/>
      <c r="Y11398" s="4"/>
    </row>
    <row r="11399" spans="20:25" x14ac:dyDescent="0.3">
      <c r="T11399" s="12"/>
      <c r="U11399" s="4"/>
      <c r="V11399" s="4"/>
      <c r="X11399" s="4"/>
      <c r="Y11399" s="4"/>
    </row>
    <row r="11400" spans="20:25" x14ac:dyDescent="0.3">
      <c r="T11400" s="12"/>
      <c r="U11400" s="4"/>
      <c r="V11400" s="4"/>
      <c r="X11400" s="4"/>
      <c r="Y11400" s="4"/>
    </row>
    <row r="11401" spans="20:25" x14ac:dyDescent="0.3">
      <c r="T11401" s="12"/>
      <c r="U11401" s="4"/>
      <c r="V11401" s="4"/>
      <c r="X11401" s="4"/>
      <c r="Y11401" s="4"/>
    </row>
    <row r="11402" spans="20:25" x14ac:dyDescent="0.3">
      <c r="T11402" s="12"/>
      <c r="U11402" s="4"/>
      <c r="V11402" s="4"/>
      <c r="X11402" s="4"/>
      <c r="Y11402" s="4"/>
    </row>
    <row r="11403" spans="20:25" x14ac:dyDescent="0.3">
      <c r="T11403" s="12"/>
      <c r="U11403" s="4"/>
      <c r="V11403" s="4"/>
      <c r="X11403" s="4"/>
      <c r="Y11403" s="4"/>
    </row>
    <row r="11404" spans="20:25" x14ac:dyDescent="0.3">
      <c r="T11404" s="12"/>
      <c r="U11404" s="4"/>
      <c r="V11404" s="4"/>
      <c r="X11404" s="4"/>
      <c r="Y11404" s="4"/>
    </row>
    <row r="11405" spans="20:25" x14ac:dyDescent="0.3">
      <c r="T11405" s="12"/>
      <c r="U11405" s="4"/>
      <c r="V11405" s="4"/>
      <c r="X11405" s="4"/>
      <c r="Y11405" s="4"/>
    </row>
    <row r="11406" spans="20:25" x14ac:dyDescent="0.3">
      <c r="T11406" s="12"/>
      <c r="U11406" s="4"/>
      <c r="V11406" s="4"/>
      <c r="X11406" s="4"/>
      <c r="Y11406" s="4"/>
    </row>
    <row r="11407" spans="20:25" x14ac:dyDescent="0.3">
      <c r="T11407" s="12"/>
      <c r="U11407" s="4"/>
      <c r="V11407" s="4"/>
      <c r="X11407" s="4"/>
      <c r="Y11407" s="4"/>
    </row>
    <row r="11408" spans="20:25" x14ac:dyDescent="0.3">
      <c r="T11408" s="12"/>
      <c r="U11408" s="4"/>
      <c r="V11408" s="4"/>
      <c r="X11408" s="4"/>
      <c r="Y11408" s="4"/>
    </row>
    <row r="11409" spans="20:25" x14ac:dyDescent="0.3">
      <c r="T11409" s="12"/>
      <c r="U11409" s="4"/>
      <c r="V11409" s="4"/>
      <c r="X11409" s="4"/>
      <c r="Y11409" s="4"/>
    </row>
    <row r="11410" spans="20:25" x14ac:dyDescent="0.3">
      <c r="T11410" s="12"/>
      <c r="U11410" s="4"/>
      <c r="V11410" s="4"/>
      <c r="X11410" s="4"/>
      <c r="Y11410" s="4"/>
    </row>
    <row r="11411" spans="20:25" x14ac:dyDescent="0.3">
      <c r="T11411" s="12"/>
      <c r="U11411" s="4"/>
      <c r="V11411" s="4"/>
      <c r="X11411" s="4"/>
      <c r="Y11411" s="4"/>
    </row>
    <row r="11412" spans="20:25" x14ac:dyDescent="0.3">
      <c r="T11412" s="12"/>
      <c r="U11412" s="4"/>
      <c r="V11412" s="4"/>
      <c r="X11412" s="4"/>
      <c r="Y11412" s="4"/>
    </row>
    <row r="11413" spans="20:25" x14ac:dyDescent="0.3">
      <c r="T11413" s="12"/>
      <c r="U11413" s="4"/>
      <c r="V11413" s="4"/>
      <c r="X11413" s="4"/>
      <c r="Y11413" s="4"/>
    </row>
    <row r="11414" spans="20:25" x14ac:dyDescent="0.3">
      <c r="T11414" s="12"/>
      <c r="U11414" s="4"/>
      <c r="V11414" s="4"/>
      <c r="X11414" s="4"/>
      <c r="Y11414" s="4"/>
    </row>
    <row r="11415" spans="20:25" x14ac:dyDescent="0.3">
      <c r="T11415" s="12"/>
      <c r="U11415" s="4"/>
      <c r="V11415" s="4"/>
      <c r="X11415" s="4"/>
      <c r="Y11415" s="4"/>
    </row>
    <row r="11416" spans="20:25" x14ac:dyDescent="0.3">
      <c r="T11416" s="12"/>
      <c r="U11416" s="4"/>
      <c r="V11416" s="4"/>
      <c r="X11416" s="4"/>
      <c r="Y11416" s="4"/>
    </row>
    <row r="11417" spans="20:25" x14ac:dyDescent="0.3">
      <c r="T11417" s="12"/>
      <c r="U11417" s="4"/>
      <c r="V11417" s="4"/>
      <c r="X11417" s="4"/>
      <c r="Y11417" s="4"/>
    </row>
    <row r="11418" spans="20:25" x14ac:dyDescent="0.3">
      <c r="T11418" s="12"/>
      <c r="U11418" s="4"/>
      <c r="V11418" s="4"/>
      <c r="X11418" s="4"/>
      <c r="Y11418" s="4"/>
    </row>
    <row r="11419" spans="20:25" x14ac:dyDescent="0.3">
      <c r="T11419" s="12"/>
      <c r="U11419" s="4"/>
      <c r="V11419" s="4"/>
      <c r="X11419" s="4"/>
      <c r="Y11419" s="4"/>
    </row>
    <row r="11420" spans="20:25" x14ac:dyDescent="0.3">
      <c r="T11420" s="12"/>
      <c r="U11420" s="4"/>
      <c r="V11420" s="4"/>
      <c r="X11420" s="4"/>
      <c r="Y11420" s="4"/>
    </row>
    <row r="11421" spans="20:25" x14ac:dyDescent="0.3">
      <c r="T11421" s="12"/>
      <c r="U11421" s="4"/>
      <c r="V11421" s="4"/>
      <c r="X11421" s="4"/>
      <c r="Y11421" s="4"/>
    </row>
    <row r="11422" spans="20:25" x14ac:dyDescent="0.3">
      <c r="T11422" s="12"/>
      <c r="U11422" s="4"/>
      <c r="V11422" s="4"/>
      <c r="X11422" s="4"/>
      <c r="Y11422" s="4"/>
    </row>
    <row r="11423" spans="20:25" x14ac:dyDescent="0.3">
      <c r="T11423" s="12"/>
      <c r="U11423" s="4"/>
      <c r="V11423" s="4"/>
      <c r="X11423" s="4"/>
      <c r="Y11423" s="4"/>
    </row>
    <row r="11424" spans="20:25" x14ac:dyDescent="0.3">
      <c r="T11424" s="12"/>
      <c r="U11424" s="4"/>
      <c r="V11424" s="4"/>
      <c r="X11424" s="4"/>
      <c r="Y11424" s="4"/>
    </row>
    <row r="11425" spans="20:25" x14ac:dyDescent="0.3">
      <c r="T11425" s="12"/>
      <c r="U11425" s="4"/>
      <c r="V11425" s="4"/>
      <c r="X11425" s="4"/>
      <c r="Y11425" s="4"/>
    </row>
    <row r="11426" spans="20:25" x14ac:dyDescent="0.3">
      <c r="T11426" s="12"/>
      <c r="U11426" s="4"/>
      <c r="V11426" s="4"/>
      <c r="X11426" s="4"/>
      <c r="Y11426" s="4"/>
    </row>
    <row r="11427" spans="20:25" x14ac:dyDescent="0.3">
      <c r="T11427" s="12"/>
      <c r="U11427" s="4"/>
      <c r="V11427" s="4"/>
      <c r="X11427" s="4"/>
      <c r="Y11427" s="4"/>
    </row>
    <row r="11428" spans="20:25" x14ac:dyDescent="0.3">
      <c r="T11428" s="12"/>
      <c r="U11428" s="4"/>
      <c r="V11428" s="4"/>
      <c r="X11428" s="4"/>
      <c r="Y11428" s="4"/>
    </row>
    <row r="11429" spans="20:25" x14ac:dyDescent="0.3">
      <c r="T11429" s="12"/>
      <c r="U11429" s="4"/>
      <c r="V11429" s="4"/>
      <c r="X11429" s="4"/>
      <c r="Y11429" s="4"/>
    </row>
    <row r="11430" spans="20:25" x14ac:dyDescent="0.3">
      <c r="T11430" s="12"/>
      <c r="U11430" s="4"/>
      <c r="V11430" s="4"/>
      <c r="X11430" s="4"/>
      <c r="Y11430" s="4"/>
    </row>
    <row r="11431" spans="20:25" x14ac:dyDescent="0.3">
      <c r="T11431" s="12"/>
      <c r="U11431" s="4"/>
      <c r="V11431" s="4"/>
      <c r="X11431" s="4"/>
      <c r="Y11431" s="4"/>
    </row>
    <row r="11432" spans="20:25" x14ac:dyDescent="0.3">
      <c r="T11432" s="12"/>
      <c r="U11432" s="4"/>
      <c r="V11432" s="4"/>
      <c r="X11432" s="4"/>
      <c r="Y11432" s="4"/>
    </row>
    <row r="11433" spans="20:25" x14ac:dyDescent="0.3">
      <c r="T11433" s="12"/>
      <c r="U11433" s="4"/>
      <c r="V11433" s="4"/>
      <c r="X11433" s="4"/>
      <c r="Y11433" s="4"/>
    </row>
    <row r="11434" spans="20:25" x14ac:dyDescent="0.3">
      <c r="T11434" s="12"/>
      <c r="U11434" s="4"/>
      <c r="V11434" s="4"/>
      <c r="X11434" s="4"/>
      <c r="Y11434" s="4"/>
    </row>
    <row r="11435" spans="20:25" x14ac:dyDescent="0.3">
      <c r="T11435" s="12"/>
      <c r="U11435" s="4"/>
      <c r="V11435" s="4"/>
      <c r="X11435" s="4"/>
      <c r="Y11435" s="4"/>
    </row>
    <row r="11436" spans="20:25" x14ac:dyDescent="0.3">
      <c r="T11436" s="12"/>
      <c r="U11436" s="4"/>
      <c r="V11436" s="4"/>
      <c r="X11436" s="4"/>
      <c r="Y11436" s="4"/>
    </row>
    <row r="11437" spans="20:25" x14ac:dyDescent="0.3">
      <c r="T11437" s="12"/>
      <c r="U11437" s="4"/>
      <c r="V11437" s="4"/>
      <c r="X11437" s="4"/>
      <c r="Y11437" s="4"/>
    </row>
    <row r="11438" spans="20:25" x14ac:dyDescent="0.3">
      <c r="T11438" s="12"/>
      <c r="U11438" s="4"/>
      <c r="V11438" s="4"/>
      <c r="X11438" s="4"/>
      <c r="Y11438" s="4"/>
    </row>
    <row r="11439" spans="20:25" x14ac:dyDescent="0.3">
      <c r="T11439" s="12"/>
      <c r="U11439" s="4"/>
      <c r="V11439" s="4"/>
      <c r="X11439" s="4"/>
      <c r="Y11439" s="4"/>
    </row>
    <row r="11440" spans="20:25" x14ac:dyDescent="0.3">
      <c r="T11440" s="12"/>
      <c r="U11440" s="4"/>
      <c r="V11440" s="4"/>
      <c r="X11440" s="4"/>
      <c r="Y11440" s="4"/>
    </row>
    <row r="11441" spans="20:25" x14ac:dyDescent="0.3">
      <c r="T11441" s="12"/>
      <c r="U11441" s="4"/>
      <c r="V11441" s="4"/>
      <c r="X11441" s="4"/>
      <c r="Y11441" s="4"/>
    </row>
    <row r="11442" spans="20:25" x14ac:dyDescent="0.3">
      <c r="T11442" s="12"/>
      <c r="U11442" s="4"/>
      <c r="V11442" s="4"/>
      <c r="X11442" s="4"/>
      <c r="Y11442" s="4"/>
    </row>
    <row r="11443" spans="20:25" x14ac:dyDescent="0.3">
      <c r="T11443" s="12"/>
      <c r="U11443" s="4"/>
      <c r="V11443" s="4"/>
      <c r="X11443" s="4"/>
      <c r="Y11443" s="4"/>
    </row>
    <row r="11444" spans="20:25" x14ac:dyDescent="0.3">
      <c r="T11444" s="12"/>
      <c r="U11444" s="4"/>
      <c r="V11444" s="4"/>
      <c r="X11444" s="4"/>
      <c r="Y11444" s="4"/>
    </row>
    <row r="11445" spans="20:25" x14ac:dyDescent="0.3">
      <c r="T11445" s="12"/>
      <c r="U11445" s="4"/>
      <c r="V11445" s="4"/>
      <c r="X11445" s="4"/>
      <c r="Y11445" s="4"/>
    </row>
    <row r="11446" spans="20:25" x14ac:dyDescent="0.3">
      <c r="T11446" s="12"/>
      <c r="U11446" s="4"/>
      <c r="V11446" s="4"/>
      <c r="X11446" s="4"/>
      <c r="Y11446" s="4"/>
    </row>
    <row r="11447" spans="20:25" x14ac:dyDescent="0.3">
      <c r="T11447" s="12"/>
      <c r="U11447" s="4"/>
      <c r="V11447" s="4"/>
      <c r="X11447" s="4"/>
      <c r="Y11447" s="4"/>
    </row>
    <row r="11448" spans="20:25" x14ac:dyDescent="0.3">
      <c r="T11448" s="12"/>
      <c r="U11448" s="4"/>
      <c r="V11448" s="4"/>
      <c r="X11448" s="4"/>
      <c r="Y11448" s="4"/>
    </row>
    <row r="11449" spans="20:25" x14ac:dyDescent="0.3">
      <c r="T11449" s="12"/>
      <c r="U11449" s="4"/>
      <c r="V11449" s="4"/>
      <c r="X11449" s="4"/>
      <c r="Y11449" s="4"/>
    </row>
    <row r="11450" spans="20:25" x14ac:dyDescent="0.3">
      <c r="T11450" s="12"/>
      <c r="U11450" s="4"/>
      <c r="V11450" s="4"/>
      <c r="X11450" s="4"/>
      <c r="Y11450" s="4"/>
    </row>
    <row r="11451" spans="20:25" x14ac:dyDescent="0.3">
      <c r="T11451" s="12"/>
      <c r="U11451" s="4"/>
      <c r="V11451" s="4"/>
      <c r="X11451" s="4"/>
      <c r="Y11451" s="4"/>
    </row>
    <row r="11452" spans="20:25" x14ac:dyDescent="0.3">
      <c r="T11452" s="12"/>
      <c r="U11452" s="4"/>
      <c r="V11452" s="4"/>
      <c r="X11452" s="4"/>
      <c r="Y11452" s="4"/>
    </row>
    <row r="11453" spans="20:25" x14ac:dyDescent="0.3">
      <c r="T11453" s="12"/>
      <c r="U11453" s="4"/>
      <c r="V11453" s="4"/>
      <c r="X11453" s="4"/>
      <c r="Y11453" s="4"/>
    </row>
    <row r="11454" spans="20:25" x14ac:dyDescent="0.3">
      <c r="T11454" s="12"/>
      <c r="U11454" s="4"/>
      <c r="V11454" s="4"/>
      <c r="X11454" s="4"/>
      <c r="Y11454" s="4"/>
    </row>
    <row r="11455" spans="20:25" x14ac:dyDescent="0.3">
      <c r="T11455" s="12"/>
      <c r="U11455" s="4"/>
      <c r="V11455" s="4"/>
      <c r="X11455" s="4"/>
      <c r="Y11455" s="4"/>
    </row>
    <row r="11456" spans="20:25" x14ac:dyDescent="0.3">
      <c r="T11456" s="12"/>
      <c r="U11456" s="4"/>
      <c r="V11456" s="4"/>
      <c r="X11456" s="4"/>
      <c r="Y11456" s="4"/>
    </row>
    <row r="11457" spans="20:25" x14ac:dyDescent="0.3">
      <c r="T11457" s="12"/>
      <c r="U11457" s="4"/>
      <c r="V11457" s="4"/>
      <c r="X11457" s="4"/>
      <c r="Y11457" s="4"/>
    </row>
    <row r="11458" spans="20:25" x14ac:dyDescent="0.3">
      <c r="T11458" s="12"/>
      <c r="U11458" s="4"/>
      <c r="V11458" s="4"/>
      <c r="X11458" s="4"/>
      <c r="Y11458" s="4"/>
    </row>
    <row r="11459" spans="20:25" x14ac:dyDescent="0.3">
      <c r="T11459" s="12"/>
      <c r="U11459" s="4"/>
      <c r="V11459" s="4"/>
      <c r="X11459" s="4"/>
      <c r="Y11459" s="4"/>
    </row>
    <row r="11460" spans="20:25" x14ac:dyDescent="0.3">
      <c r="T11460" s="12"/>
      <c r="U11460" s="4"/>
      <c r="V11460" s="4"/>
      <c r="X11460" s="4"/>
      <c r="Y11460" s="4"/>
    </row>
    <row r="11461" spans="20:25" x14ac:dyDescent="0.3">
      <c r="T11461" s="12"/>
      <c r="U11461" s="4"/>
      <c r="V11461" s="4"/>
      <c r="X11461" s="4"/>
      <c r="Y11461" s="4"/>
    </row>
    <row r="11462" spans="20:25" x14ac:dyDescent="0.3">
      <c r="T11462" s="12"/>
      <c r="U11462" s="4"/>
      <c r="V11462" s="4"/>
      <c r="X11462" s="4"/>
      <c r="Y11462" s="4"/>
    </row>
    <row r="11463" spans="20:25" x14ac:dyDescent="0.3">
      <c r="T11463" s="12"/>
      <c r="U11463" s="4"/>
      <c r="V11463" s="4"/>
      <c r="X11463" s="4"/>
      <c r="Y11463" s="4"/>
    </row>
    <row r="11464" spans="20:25" x14ac:dyDescent="0.3">
      <c r="T11464" s="12"/>
      <c r="U11464" s="4"/>
      <c r="V11464" s="4"/>
      <c r="X11464" s="4"/>
      <c r="Y11464" s="4"/>
    </row>
    <row r="11465" spans="20:25" x14ac:dyDescent="0.3">
      <c r="T11465" s="12"/>
      <c r="U11465" s="4"/>
      <c r="V11465" s="4"/>
      <c r="X11465" s="4"/>
      <c r="Y11465" s="4"/>
    </row>
    <row r="11466" spans="20:25" x14ac:dyDescent="0.3">
      <c r="T11466" s="12"/>
      <c r="U11466" s="4"/>
      <c r="V11466" s="4"/>
      <c r="X11466" s="4"/>
      <c r="Y11466" s="4"/>
    </row>
    <row r="11467" spans="20:25" x14ac:dyDescent="0.3">
      <c r="T11467" s="12"/>
      <c r="U11467" s="4"/>
      <c r="V11467" s="4"/>
      <c r="X11467" s="4"/>
      <c r="Y11467" s="4"/>
    </row>
    <row r="11468" spans="20:25" x14ac:dyDescent="0.3">
      <c r="T11468" s="12"/>
      <c r="U11468" s="4"/>
      <c r="V11468" s="4"/>
      <c r="X11468" s="4"/>
      <c r="Y11468" s="4"/>
    </row>
    <row r="11469" spans="20:25" x14ac:dyDescent="0.3">
      <c r="T11469" s="12"/>
      <c r="U11469" s="4"/>
      <c r="V11469" s="4"/>
      <c r="X11469" s="4"/>
      <c r="Y11469" s="4"/>
    </row>
    <row r="11470" spans="20:25" x14ac:dyDescent="0.3">
      <c r="T11470" s="12"/>
      <c r="U11470" s="4"/>
      <c r="V11470" s="4"/>
      <c r="X11470" s="4"/>
      <c r="Y11470" s="4"/>
    </row>
    <row r="11471" spans="20:25" x14ac:dyDescent="0.3">
      <c r="T11471" s="12"/>
      <c r="U11471" s="4"/>
      <c r="V11471" s="4"/>
      <c r="X11471" s="4"/>
      <c r="Y11471" s="4"/>
    </row>
    <row r="11472" spans="20:25" x14ac:dyDescent="0.3">
      <c r="T11472" s="12"/>
      <c r="U11472" s="4"/>
      <c r="V11472" s="4"/>
      <c r="X11472" s="4"/>
      <c r="Y11472" s="4"/>
    </row>
    <row r="11473" spans="20:25" x14ac:dyDescent="0.3">
      <c r="T11473" s="12"/>
      <c r="U11473" s="4"/>
      <c r="V11473" s="4"/>
      <c r="X11473" s="4"/>
      <c r="Y11473" s="4"/>
    </row>
    <row r="11474" spans="20:25" x14ac:dyDescent="0.3">
      <c r="T11474" s="12"/>
      <c r="U11474" s="4"/>
      <c r="V11474" s="4"/>
      <c r="X11474" s="4"/>
      <c r="Y11474" s="4"/>
    </row>
    <row r="11475" spans="20:25" x14ac:dyDescent="0.3">
      <c r="T11475" s="12"/>
      <c r="U11475" s="4"/>
      <c r="V11475" s="4"/>
      <c r="X11475" s="4"/>
      <c r="Y11475" s="4"/>
    </row>
    <row r="11476" spans="20:25" x14ac:dyDescent="0.3">
      <c r="T11476" s="12"/>
      <c r="U11476" s="4"/>
      <c r="V11476" s="4"/>
      <c r="X11476" s="4"/>
      <c r="Y11476" s="4"/>
    </row>
    <row r="11477" spans="20:25" x14ac:dyDescent="0.3">
      <c r="T11477" s="12"/>
      <c r="U11477" s="4"/>
      <c r="V11477" s="4"/>
      <c r="X11477" s="4"/>
      <c r="Y11477" s="4"/>
    </row>
    <row r="11478" spans="20:25" x14ac:dyDescent="0.3">
      <c r="T11478" s="12"/>
      <c r="U11478" s="4"/>
      <c r="V11478" s="4"/>
      <c r="X11478" s="4"/>
      <c r="Y11478" s="4"/>
    </row>
    <row r="11479" spans="20:25" x14ac:dyDescent="0.3">
      <c r="T11479" s="12"/>
      <c r="U11479" s="4"/>
      <c r="V11479" s="4"/>
      <c r="X11479" s="4"/>
      <c r="Y11479" s="4"/>
    </row>
    <row r="11480" spans="20:25" x14ac:dyDescent="0.3">
      <c r="T11480" s="12"/>
      <c r="U11480" s="4"/>
      <c r="V11480" s="4"/>
      <c r="X11480" s="4"/>
      <c r="Y11480" s="4"/>
    </row>
    <row r="11481" spans="20:25" x14ac:dyDescent="0.3">
      <c r="T11481" s="12"/>
      <c r="U11481" s="4"/>
      <c r="V11481" s="4"/>
      <c r="X11481" s="4"/>
      <c r="Y11481" s="4"/>
    </row>
    <row r="11482" spans="20:25" x14ac:dyDescent="0.3">
      <c r="T11482" s="12"/>
      <c r="U11482" s="4"/>
      <c r="V11482" s="4"/>
      <c r="X11482" s="4"/>
      <c r="Y11482" s="4"/>
    </row>
    <row r="11483" spans="20:25" x14ac:dyDescent="0.3">
      <c r="T11483" s="12"/>
      <c r="U11483" s="4"/>
      <c r="V11483" s="4"/>
      <c r="X11483" s="4"/>
      <c r="Y11483" s="4"/>
    </row>
    <row r="11484" spans="20:25" x14ac:dyDescent="0.3">
      <c r="T11484" s="12"/>
      <c r="U11484" s="4"/>
      <c r="V11484" s="4"/>
      <c r="X11484" s="4"/>
      <c r="Y11484" s="4"/>
    </row>
    <row r="11485" spans="20:25" x14ac:dyDescent="0.3">
      <c r="T11485" s="12"/>
      <c r="U11485" s="4"/>
      <c r="V11485" s="4"/>
      <c r="X11485" s="4"/>
      <c r="Y11485" s="4"/>
    </row>
    <row r="11486" spans="20:25" x14ac:dyDescent="0.3">
      <c r="T11486" s="12"/>
      <c r="U11486" s="4"/>
      <c r="V11486" s="4"/>
      <c r="X11486" s="4"/>
      <c r="Y11486" s="4"/>
    </row>
    <row r="11487" spans="20:25" x14ac:dyDescent="0.3">
      <c r="T11487" s="12"/>
      <c r="U11487" s="4"/>
      <c r="V11487" s="4"/>
      <c r="X11487" s="4"/>
      <c r="Y11487" s="4"/>
    </row>
    <row r="11488" spans="20:25" x14ac:dyDescent="0.3">
      <c r="T11488" s="12"/>
      <c r="U11488" s="4"/>
      <c r="V11488" s="4"/>
      <c r="X11488" s="4"/>
      <c r="Y11488" s="4"/>
    </row>
    <row r="11489" spans="20:25" x14ac:dyDescent="0.3">
      <c r="T11489" s="12"/>
      <c r="U11489" s="4"/>
      <c r="V11489" s="4"/>
      <c r="X11489" s="4"/>
      <c r="Y11489" s="4"/>
    </row>
    <row r="11490" spans="20:25" x14ac:dyDescent="0.3">
      <c r="T11490" s="12"/>
      <c r="U11490" s="4"/>
      <c r="V11490" s="4"/>
      <c r="X11490" s="4"/>
      <c r="Y11490" s="4"/>
    </row>
    <row r="11491" spans="20:25" x14ac:dyDescent="0.3">
      <c r="T11491" s="12"/>
      <c r="U11491" s="4"/>
      <c r="V11491" s="4"/>
      <c r="X11491" s="4"/>
      <c r="Y11491" s="4"/>
    </row>
    <row r="11492" spans="20:25" x14ac:dyDescent="0.3">
      <c r="T11492" s="12"/>
      <c r="U11492" s="4"/>
      <c r="V11492" s="4"/>
      <c r="X11492" s="4"/>
      <c r="Y11492" s="4"/>
    </row>
    <row r="11493" spans="20:25" x14ac:dyDescent="0.3">
      <c r="T11493" s="12"/>
      <c r="U11493" s="4"/>
      <c r="V11493" s="4"/>
      <c r="X11493" s="4"/>
      <c r="Y11493" s="4"/>
    </row>
    <row r="11494" spans="20:25" x14ac:dyDescent="0.3">
      <c r="T11494" s="12"/>
      <c r="U11494" s="4"/>
      <c r="V11494" s="4"/>
      <c r="X11494" s="4"/>
      <c r="Y11494" s="4"/>
    </row>
    <row r="11495" spans="20:25" x14ac:dyDescent="0.3">
      <c r="T11495" s="12"/>
      <c r="U11495" s="4"/>
      <c r="V11495" s="4"/>
      <c r="X11495" s="4"/>
      <c r="Y11495" s="4"/>
    </row>
    <row r="11496" spans="20:25" x14ac:dyDescent="0.3">
      <c r="T11496" s="12"/>
      <c r="U11496" s="4"/>
      <c r="V11496" s="4"/>
      <c r="X11496" s="4"/>
      <c r="Y11496" s="4"/>
    </row>
    <row r="11497" spans="20:25" x14ac:dyDescent="0.3">
      <c r="T11497" s="12"/>
      <c r="U11497" s="4"/>
      <c r="V11497" s="4"/>
      <c r="X11497" s="4"/>
      <c r="Y11497" s="4"/>
    </row>
    <row r="11498" spans="20:25" x14ac:dyDescent="0.3">
      <c r="T11498" s="12"/>
      <c r="U11498" s="4"/>
      <c r="V11498" s="4"/>
      <c r="X11498" s="4"/>
      <c r="Y11498" s="4"/>
    </row>
    <row r="11499" spans="20:25" x14ac:dyDescent="0.3">
      <c r="T11499" s="12"/>
      <c r="U11499" s="4"/>
      <c r="V11499" s="4"/>
      <c r="X11499" s="4"/>
      <c r="Y11499" s="4"/>
    </row>
    <row r="11500" spans="20:25" x14ac:dyDescent="0.3">
      <c r="T11500" s="12"/>
      <c r="U11500" s="4"/>
      <c r="V11500" s="4"/>
      <c r="X11500" s="4"/>
      <c r="Y11500" s="4"/>
    </row>
    <row r="11501" spans="20:25" x14ac:dyDescent="0.3">
      <c r="T11501" s="12"/>
      <c r="U11501" s="4"/>
      <c r="V11501" s="4"/>
      <c r="X11501" s="4"/>
      <c r="Y11501" s="4"/>
    </row>
    <row r="11502" spans="20:25" x14ac:dyDescent="0.3">
      <c r="T11502" s="12"/>
      <c r="U11502" s="4"/>
      <c r="V11502" s="4"/>
      <c r="X11502" s="4"/>
      <c r="Y11502" s="4"/>
    </row>
    <row r="11503" spans="20:25" x14ac:dyDescent="0.3">
      <c r="T11503" s="12"/>
      <c r="U11503" s="4"/>
      <c r="V11503" s="4"/>
      <c r="X11503" s="4"/>
      <c r="Y11503" s="4"/>
    </row>
    <row r="11504" spans="20:25" x14ac:dyDescent="0.3">
      <c r="T11504" s="12"/>
      <c r="U11504" s="4"/>
      <c r="V11504" s="4"/>
      <c r="X11504" s="4"/>
      <c r="Y11504" s="4"/>
    </row>
    <row r="11505" spans="20:25" x14ac:dyDescent="0.3">
      <c r="T11505" s="12"/>
      <c r="U11505" s="4"/>
      <c r="V11505" s="4"/>
      <c r="X11505" s="4"/>
      <c r="Y11505" s="4"/>
    </row>
    <row r="11506" spans="20:25" x14ac:dyDescent="0.3">
      <c r="T11506" s="12"/>
      <c r="U11506" s="4"/>
      <c r="V11506" s="4"/>
      <c r="X11506" s="4"/>
      <c r="Y11506" s="4"/>
    </row>
    <row r="11507" spans="20:25" x14ac:dyDescent="0.3">
      <c r="T11507" s="12"/>
      <c r="U11507" s="4"/>
      <c r="V11507" s="4"/>
      <c r="X11507" s="4"/>
      <c r="Y11507" s="4"/>
    </row>
    <row r="11508" spans="20:25" x14ac:dyDescent="0.3">
      <c r="T11508" s="12"/>
      <c r="U11508" s="4"/>
      <c r="V11508" s="4"/>
      <c r="X11508" s="4"/>
      <c r="Y11508" s="4"/>
    </row>
    <row r="11509" spans="20:25" x14ac:dyDescent="0.3">
      <c r="T11509" s="12"/>
      <c r="U11509" s="4"/>
      <c r="V11509" s="4"/>
      <c r="X11509" s="4"/>
      <c r="Y11509" s="4"/>
    </row>
    <row r="11510" spans="20:25" x14ac:dyDescent="0.3">
      <c r="T11510" s="12"/>
      <c r="U11510" s="4"/>
      <c r="V11510" s="4"/>
      <c r="X11510" s="4"/>
      <c r="Y11510" s="4"/>
    </row>
    <row r="11511" spans="20:25" x14ac:dyDescent="0.3">
      <c r="T11511" s="12"/>
      <c r="U11511" s="4"/>
      <c r="V11511" s="4"/>
      <c r="X11511" s="4"/>
      <c r="Y11511" s="4"/>
    </row>
    <row r="11512" spans="20:25" x14ac:dyDescent="0.3">
      <c r="T11512" s="12"/>
      <c r="U11512" s="4"/>
      <c r="V11512" s="4"/>
      <c r="X11512" s="4"/>
      <c r="Y11512" s="4"/>
    </row>
    <row r="11513" spans="20:25" x14ac:dyDescent="0.3">
      <c r="T11513" s="12"/>
      <c r="U11513" s="4"/>
      <c r="V11513" s="4"/>
      <c r="X11513" s="4"/>
      <c r="Y11513" s="4"/>
    </row>
    <row r="11514" spans="20:25" x14ac:dyDescent="0.3">
      <c r="T11514" s="12"/>
      <c r="U11514" s="4"/>
      <c r="V11514" s="4"/>
      <c r="X11514" s="4"/>
      <c r="Y11514" s="4"/>
    </row>
    <row r="11515" spans="20:25" x14ac:dyDescent="0.3">
      <c r="T11515" s="12"/>
      <c r="U11515" s="4"/>
      <c r="V11515" s="4"/>
      <c r="X11515" s="4"/>
      <c r="Y11515" s="4"/>
    </row>
    <row r="11516" spans="20:25" x14ac:dyDescent="0.3">
      <c r="T11516" s="12"/>
      <c r="U11516" s="4"/>
      <c r="V11516" s="4"/>
      <c r="X11516" s="4"/>
      <c r="Y11516" s="4"/>
    </row>
    <row r="11517" spans="20:25" x14ac:dyDescent="0.3">
      <c r="T11517" s="12"/>
      <c r="U11517" s="4"/>
      <c r="V11517" s="4"/>
      <c r="X11517" s="4"/>
      <c r="Y11517" s="4"/>
    </row>
    <row r="11518" spans="20:25" x14ac:dyDescent="0.3">
      <c r="T11518" s="12"/>
      <c r="U11518" s="4"/>
      <c r="V11518" s="4"/>
      <c r="X11518" s="4"/>
      <c r="Y11518" s="4"/>
    </row>
    <row r="11519" spans="20:25" x14ac:dyDescent="0.3">
      <c r="T11519" s="12"/>
      <c r="U11519" s="4"/>
      <c r="V11519" s="4"/>
      <c r="X11519" s="4"/>
      <c r="Y11519" s="4"/>
    </row>
    <row r="11520" spans="20:25" x14ac:dyDescent="0.3">
      <c r="T11520" s="12"/>
      <c r="U11520" s="4"/>
      <c r="V11520" s="4"/>
      <c r="X11520" s="4"/>
      <c r="Y11520" s="4"/>
    </row>
    <row r="11521" spans="20:25" x14ac:dyDescent="0.3">
      <c r="T11521" s="12"/>
      <c r="U11521" s="4"/>
      <c r="V11521" s="4"/>
      <c r="X11521" s="4"/>
      <c r="Y11521" s="4"/>
    </row>
    <row r="11522" spans="20:25" x14ac:dyDescent="0.3">
      <c r="T11522" s="12"/>
      <c r="U11522" s="4"/>
      <c r="V11522" s="4"/>
      <c r="X11522" s="4"/>
      <c r="Y11522" s="4"/>
    </row>
    <row r="11523" spans="20:25" x14ac:dyDescent="0.3">
      <c r="T11523" s="12"/>
      <c r="U11523" s="4"/>
      <c r="V11523" s="4"/>
      <c r="X11523" s="4"/>
      <c r="Y11523" s="4"/>
    </row>
    <row r="11524" spans="20:25" x14ac:dyDescent="0.3">
      <c r="T11524" s="12"/>
      <c r="U11524" s="4"/>
      <c r="V11524" s="4"/>
      <c r="X11524" s="4"/>
      <c r="Y11524" s="4"/>
    </row>
    <row r="11525" spans="20:25" x14ac:dyDescent="0.3">
      <c r="T11525" s="12"/>
      <c r="U11525" s="4"/>
      <c r="V11525" s="4"/>
      <c r="X11525" s="4"/>
      <c r="Y11525" s="4"/>
    </row>
    <row r="11526" spans="20:25" x14ac:dyDescent="0.3">
      <c r="T11526" s="12"/>
      <c r="U11526" s="4"/>
      <c r="V11526" s="4"/>
      <c r="X11526" s="4"/>
      <c r="Y11526" s="4"/>
    </row>
    <row r="11527" spans="20:25" x14ac:dyDescent="0.3">
      <c r="T11527" s="12"/>
      <c r="U11527" s="4"/>
      <c r="V11527" s="4"/>
      <c r="X11527" s="4"/>
      <c r="Y11527" s="4"/>
    </row>
    <row r="11528" spans="20:25" x14ac:dyDescent="0.3">
      <c r="T11528" s="12"/>
      <c r="U11528" s="4"/>
      <c r="V11528" s="4"/>
      <c r="X11528" s="4"/>
      <c r="Y11528" s="4"/>
    </row>
    <row r="11529" spans="20:25" x14ac:dyDescent="0.3">
      <c r="T11529" s="12"/>
      <c r="U11529" s="4"/>
      <c r="V11529" s="4"/>
      <c r="X11529" s="4"/>
      <c r="Y11529" s="4"/>
    </row>
    <row r="11530" spans="20:25" x14ac:dyDescent="0.3">
      <c r="T11530" s="12"/>
      <c r="U11530" s="4"/>
      <c r="V11530" s="4"/>
      <c r="X11530" s="4"/>
      <c r="Y11530" s="4"/>
    </row>
    <row r="11531" spans="20:25" x14ac:dyDescent="0.3">
      <c r="T11531" s="12"/>
      <c r="U11531" s="4"/>
      <c r="V11531" s="4"/>
      <c r="X11531" s="4"/>
      <c r="Y11531" s="4"/>
    </row>
    <row r="11532" spans="20:25" x14ac:dyDescent="0.3">
      <c r="T11532" s="12"/>
      <c r="U11532" s="4"/>
      <c r="V11532" s="4"/>
      <c r="X11532" s="4"/>
      <c r="Y11532" s="4"/>
    </row>
    <row r="11533" spans="20:25" x14ac:dyDescent="0.3">
      <c r="T11533" s="12"/>
      <c r="U11533" s="4"/>
      <c r="V11533" s="4"/>
      <c r="X11533" s="4"/>
      <c r="Y11533" s="4"/>
    </row>
    <row r="11534" spans="20:25" x14ac:dyDescent="0.3">
      <c r="T11534" s="12"/>
      <c r="U11534" s="4"/>
      <c r="V11534" s="4"/>
      <c r="X11534" s="4"/>
      <c r="Y11534" s="4"/>
    </row>
    <row r="11535" spans="20:25" x14ac:dyDescent="0.3">
      <c r="T11535" s="12"/>
      <c r="U11535" s="4"/>
      <c r="V11535" s="4"/>
      <c r="X11535" s="4"/>
      <c r="Y11535" s="4"/>
    </row>
    <row r="11536" spans="20:25" x14ac:dyDescent="0.3">
      <c r="T11536" s="12"/>
      <c r="U11536" s="4"/>
      <c r="V11536" s="4"/>
      <c r="X11536" s="4"/>
      <c r="Y11536" s="4"/>
    </row>
    <row r="11537" spans="20:25" x14ac:dyDescent="0.3">
      <c r="T11537" s="12"/>
      <c r="U11537" s="4"/>
      <c r="V11537" s="4"/>
      <c r="X11537" s="4"/>
      <c r="Y11537" s="4"/>
    </row>
    <row r="11538" spans="20:25" x14ac:dyDescent="0.3">
      <c r="T11538" s="12"/>
      <c r="U11538" s="4"/>
      <c r="V11538" s="4"/>
      <c r="X11538" s="4"/>
      <c r="Y11538" s="4"/>
    </row>
    <row r="11539" spans="20:25" x14ac:dyDescent="0.3">
      <c r="T11539" s="12"/>
      <c r="U11539" s="4"/>
      <c r="V11539" s="4"/>
      <c r="X11539" s="4"/>
      <c r="Y11539" s="4"/>
    </row>
    <row r="11540" spans="20:25" x14ac:dyDescent="0.3">
      <c r="T11540" s="12"/>
      <c r="U11540" s="4"/>
      <c r="V11540" s="4"/>
      <c r="X11540" s="4"/>
      <c r="Y11540" s="4"/>
    </row>
    <row r="11541" spans="20:25" x14ac:dyDescent="0.3">
      <c r="T11541" s="12"/>
      <c r="U11541" s="4"/>
      <c r="V11541" s="4"/>
      <c r="X11541" s="4"/>
      <c r="Y11541" s="4"/>
    </row>
    <row r="11542" spans="20:25" x14ac:dyDescent="0.3">
      <c r="T11542" s="12"/>
      <c r="U11542" s="4"/>
      <c r="V11542" s="4"/>
      <c r="X11542" s="4"/>
      <c r="Y11542" s="4"/>
    </row>
    <row r="11543" spans="20:25" x14ac:dyDescent="0.3">
      <c r="T11543" s="12"/>
      <c r="U11543" s="4"/>
      <c r="V11543" s="4"/>
      <c r="X11543" s="4"/>
      <c r="Y11543" s="4"/>
    </row>
    <row r="11544" spans="20:25" x14ac:dyDescent="0.3">
      <c r="T11544" s="12"/>
      <c r="U11544" s="4"/>
      <c r="V11544" s="4"/>
      <c r="X11544" s="4"/>
      <c r="Y11544" s="4"/>
    </row>
    <row r="11545" spans="20:25" x14ac:dyDescent="0.3">
      <c r="T11545" s="12"/>
      <c r="U11545" s="4"/>
      <c r="V11545" s="4"/>
      <c r="X11545" s="4"/>
      <c r="Y11545" s="4"/>
    </row>
    <row r="11546" spans="20:25" x14ac:dyDescent="0.3">
      <c r="T11546" s="12"/>
      <c r="U11546" s="4"/>
      <c r="V11546" s="4"/>
      <c r="X11546" s="4"/>
      <c r="Y11546" s="4"/>
    </row>
    <row r="11547" spans="20:25" x14ac:dyDescent="0.3">
      <c r="T11547" s="12"/>
      <c r="U11547" s="4"/>
      <c r="V11547" s="4"/>
      <c r="X11547" s="4"/>
      <c r="Y11547" s="4"/>
    </row>
    <row r="11548" spans="20:25" x14ac:dyDescent="0.3">
      <c r="T11548" s="12"/>
      <c r="U11548" s="4"/>
      <c r="V11548" s="4"/>
      <c r="X11548" s="4"/>
      <c r="Y11548" s="4"/>
    </row>
    <row r="11549" spans="20:25" x14ac:dyDescent="0.3">
      <c r="T11549" s="12"/>
      <c r="U11549" s="4"/>
      <c r="V11549" s="4"/>
      <c r="X11549" s="4"/>
      <c r="Y11549" s="4"/>
    </row>
    <row r="11550" spans="20:25" x14ac:dyDescent="0.3">
      <c r="T11550" s="12"/>
      <c r="U11550" s="4"/>
      <c r="V11550" s="4"/>
      <c r="X11550" s="4"/>
      <c r="Y11550" s="4"/>
    </row>
    <row r="11551" spans="20:25" x14ac:dyDescent="0.3">
      <c r="T11551" s="12"/>
      <c r="U11551" s="4"/>
      <c r="V11551" s="4"/>
      <c r="X11551" s="4"/>
      <c r="Y11551" s="4"/>
    </row>
    <row r="11552" spans="20:25" x14ac:dyDescent="0.3">
      <c r="T11552" s="12"/>
      <c r="U11552" s="4"/>
      <c r="V11552" s="4"/>
      <c r="X11552" s="4"/>
      <c r="Y11552" s="4"/>
    </row>
    <row r="11553" spans="20:25" x14ac:dyDescent="0.3">
      <c r="T11553" s="12"/>
      <c r="U11553" s="4"/>
      <c r="V11553" s="4"/>
      <c r="X11553" s="4"/>
      <c r="Y11553" s="4"/>
    </row>
    <row r="11554" spans="20:25" x14ac:dyDescent="0.3">
      <c r="T11554" s="12"/>
      <c r="U11554" s="4"/>
      <c r="V11554" s="4"/>
      <c r="X11554" s="4"/>
      <c r="Y11554" s="4"/>
    </row>
    <row r="11555" spans="20:25" x14ac:dyDescent="0.3">
      <c r="T11555" s="12"/>
      <c r="U11555" s="4"/>
      <c r="V11555" s="4"/>
      <c r="X11555" s="4"/>
      <c r="Y11555" s="4"/>
    </row>
    <row r="11556" spans="20:25" x14ac:dyDescent="0.3">
      <c r="T11556" s="12"/>
      <c r="U11556" s="4"/>
      <c r="V11556" s="4"/>
      <c r="X11556" s="4"/>
      <c r="Y11556" s="4"/>
    </row>
    <row r="11557" spans="20:25" x14ac:dyDescent="0.3">
      <c r="T11557" s="12"/>
      <c r="U11557" s="4"/>
      <c r="V11557" s="4"/>
      <c r="X11557" s="4"/>
      <c r="Y11557" s="4"/>
    </row>
    <row r="11558" spans="20:25" x14ac:dyDescent="0.3">
      <c r="T11558" s="12"/>
      <c r="U11558" s="4"/>
      <c r="V11558" s="4"/>
      <c r="X11558" s="4"/>
      <c r="Y11558" s="4"/>
    </row>
    <row r="11559" spans="20:25" x14ac:dyDescent="0.3">
      <c r="T11559" s="12"/>
      <c r="U11559" s="4"/>
      <c r="V11559" s="4"/>
      <c r="X11559" s="4"/>
      <c r="Y11559" s="4"/>
    </row>
    <row r="11560" spans="20:25" x14ac:dyDescent="0.3">
      <c r="T11560" s="12"/>
      <c r="U11560" s="4"/>
      <c r="V11560" s="4"/>
      <c r="X11560" s="4"/>
      <c r="Y11560" s="4"/>
    </row>
    <row r="11561" spans="20:25" x14ac:dyDescent="0.3">
      <c r="T11561" s="12"/>
      <c r="U11561" s="4"/>
      <c r="V11561" s="4"/>
      <c r="X11561" s="4"/>
      <c r="Y11561" s="4"/>
    </row>
    <row r="11562" spans="20:25" x14ac:dyDescent="0.3">
      <c r="T11562" s="12"/>
      <c r="U11562" s="4"/>
      <c r="V11562" s="4"/>
      <c r="X11562" s="4"/>
      <c r="Y11562" s="4"/>
    </row>
    <row r="11563" spans="20:25" x14ac:dyDescent="0.3">
      <c r="T11563" s="12"/>
      <c r="U11563" s="4"/>
      <c r="V11563" s="4"/>
      <c r="X11563" s="4"/>
      <c r="Y11563" s="4"/>
    </row>
    <row r="11564" spans="20:25" x14ac:dyDescent="0.3">
      <c r="T11564" s="12"/>
      <c r="U11564" s="4"/>
      <c r="V11564" s="4"/>
      <c r="X11564" s="4"/>
      <c r="Y11564" s="4"/>
    </row>
    <row r="11565" spans="20:25" x14ac:dyDescent="0.3">
      <c r="T11565" s="12"/>
      <c r="U11565" s="4"/>
      <c r="V11565" s="4"/>
      <c r="X11565" s="4"/>
      <c r="Y11565" s="4"/>
    </row>
    <row r="11566" spans="20:25" x14ac:dyDescent="0.3">
      <c r="T11566" s="12"/>
      <c r="U11566" s="4"/>
      <c r="V11566" s="4"/>
      <c r="X11566" s="4"/>
      <c r="Y11566" s="4"/>
    </row>
    <row r="11567" spans="20:25" x14ac:dyDescent="0.3">
      <c r="T11567" s="12"/>
      <c r="U11567" s="4"/>
      <c r="V11567" s="4"/>
      <c r="X11567" s="4"/>
      <c r="Y11567" s="4"/>
    </row>
    <row r="11568" spans="20:25" x14ac:dyDescent="0.3">
      <c r="T11568" s="12"/>
      <c r="U11568" s="4"/>
      <c r="V11568" s="4"/>
      <c r="X11568" s="4"/>
      <c r="Y11568" s="4"/>
    </row>
    <row r="11569" spans="20:25" x14ac:dyDescent="0.3">
      <c r="T11569" s="12"/>
      <c r="U11569" s="4"/>
      <c r="V11569" s="4"/>
      <c r="X11569" s="4"/>
      <c r="Y11569" s="4"/>
    </row>
    <row r="11570" spans="20:25" x14ac:dyDescent="0.3">
      <c r="T11570" s="12"/>
      <c r="U11570" s="4"/>
      <c r="V11570" s="4"/>
      <c r="X11570" s="4"/>
      <c r="Y11570" s="4"/>
    </row>
    <row r="11571" spans="20:25" x14ac:dyDescent="0.3">
      <c r="T11571" s="12"/>
      <c r="U11571" s="4"/>
      <c r="V11571" s="4"/>
      <c r="X11571" s="4"/>
      <c r="Y11571" s="4"/>
    </row>
    <row r="11572" spans="20:25" x14ac:dyDescent="0.3">
      <c r="T11572" s="12"/>
      <c r="U11572" s="4"/>
      <c r="V11572" s="4"/>
      <c r="X11572" s="4"/>
      <c r="Y11572" s="4"/>
    </row>
    <row r="11573" spans="20:25" x14ac:dyDescent="0.3">
      <c r="T11573" s="12"/>
      <c r="U11573" s="4"/>
      <c r="V11573" s="4"/>
      <c r="X11573" s="4"/>
      <c r="Y11573" s="4"/>
    </row>
    <row r="11574" spans="20:25" x14ac:dyDescent="0.3">
      <c r="T11574" s="12"/>
      <c r="U11574" s="4"/>
      <c r="V11574" s="4"/>
      <c r="X11574" s="4"/>
      <c r="Y11574" s="4"/>
    </row>
    <row r="11575" spans="20:25" x14ac:dyDescent="0.3">
      <c r="T11575" s="12"/>
      <c r="U11575" s="4"/>
      <c r="V11575" s="4"/>
      <c r="X11575" s="4"/>
      <c r="Y11575" s="4"/>
    </row>
    <row r="11576" spans="20:25" x14ac:dyDescent="0.3">
      <c r="T11576" s="12"/>
      <c r="U11576" s="4"/>
      <c r="V11576" s="4"/>
      <c r="X11576" s="4"/>
      <c r="Y11576" s="4"/>
    </row>
    <row r="11577" spans="20:25" x14ac:dyDescent="0.3">
      <c r="T11577" s="12"/>
      <c r="U11577" s="4"/>
      <c r="V11577" s="4"/>
      <c r="X11577" s="4"/>
      <c r="Y11577" s="4"/>
    </row>
    <row r="11578" spans="20:25" x14ac:dyDescent="0.3">
      <c r="T11578" s="12"/>
      <c r="U11578" s="4"/>
      <c r="V11578" s="4"/>
      <c r="X11578" s="4"/>
      <c r="Y11578" s="4"/>
    </row>
    <row r="11579" spans="20:25" x14ac:dyDescent="0.3">
      <c r="T11579" s="12"/>
      <c r="U11579" s="4"/>
      <c r="V11579" s="4"/>
      <c r="X11579" s="4"/>
      <c r="Y11579" s="4"/>
    </row>
    <row r="11580" spans="20:25" x14ac:dyDescent="0.3">
      <c r="T11580" s="12"/>
      <c r="U11580" s="4"/>
      <c r="V11580" s="4"/>
      <c r="X11580" s="4"/>
      <c r="Y11580" s="4"/>
    </row>
    <row r="11581" spans="20:25" x14ac:dyDescent="0.3">
      <c r="T11581" s="12"/>
      <c r="U11581" s="4"/>
      <c r="V11581" s="4"/>
      <c r="X11581" s="4"/>
      <c r="Y11581" s="4"/>
    </row>
    <row r="11582" spans="20:25" x14ac:dyDescent="0.3">
      <c r="T11582" s="12"/>
      <c r="U11582" s="4"/>
      <c r="V11582" s="4"/>
      <c r="X11582" s="4"/>
      <c r="Y11582" s="4"/>
    </row>
    <row r="11583" spans="20:25" x14ac:dyDescent="0.3">
      <c r="T11583" s="12"/>
      <c r="U11583" s="4"/>
      <c r="V11583" s="4"/>
      <c r="X11583" s="4"/>
      <c r="Y11583" s="4"/>
    </row>
    <row r="11584" spans="20:25" x14ac:dyDescent="0.3">
      <c r="T11584" s="12"/>
      <c r="U11584" s="4"/>
      <c r="V11584" s="4"/>
      <c r="X11584" s="4"/>
      <c r="Y11584" s="4"/>
    </row>
    <row r="11585" spans="20:25" x14ac:dyDescent="0.3">
      <c r="T11585" s="12"/>
      <c r="U11585" s="4"/>
      <c r="V11585" s="4"/>
      <c r="X11585" s="4"/>
      <c r="Y11585" s="4"/>
    </row>
    <row r="11586" spans="20:25" x14ac:dyDescent="0.3">
      <c r="T11586" s="12"/>
      <c r="U11586" s="4"/>
      <c r="V11586" s="4"/>
      <c r="X11586" s="4"/>
      <c r="Y11586" s="4"/>
    </row>
    <row r="11587" spans="20:25" x14ac:dyDescent="0.3">
      <c r="T11587" s="12"/>
      <c r="U11587" s="4"/>
      <c r="V11587" s="4"/>
      <c r="X11587" s="4"/>
      <c r="Y11587" s="4"/>
    </row>
    <row r="11588" spans="20:25" x14ac:dyDescent="0.3">
      <c r="T11588" s="12"/>
      <c r="U11588" s="4"/>
      <c r="V11588" s="4"/>
      <c r="X11588" s="4"/>
      <c r="Y11588" s="4"/>
    </row>
    <row r="11589" spans="20:25" x14ac:dyDescent="0.3">
      <c r="T11589" s="12"/>
      <c r="U11589" s="4"/>
      <c r="V11589" s="4"/>
      <c r="X11589" s="4"/>
      <c r="Y11589" s="4"/>
    </row>
    <row r="11590" spans="20:25" x14ac:dyDescent="0.3">
      <c r="T11590" s="12"/>
      <c r="U11590" s="4"/>
      <c r="V11590" s="4"/>
      <c r="X11590" s="4"/>
      <c r="Y11590" s="4"/>
    </row>
    <row r="11591" spans="20:25" x14ac:dyDescent="0.3">
      <c r="T11591" s="12"/>
      <c r="U11591" s="4"/>
      <c r="V11591" s="4"/>
      <c r="X11591" s="4"/>
      <c r="Y11591" s="4"/>
    </row>
    <row r="11592" spans="20:25" x14ac:dyDescent="0.3">
      <c r="T11592" s="12"/>
      <c r="U11592" s="4"/>
      <c r="V11592" s="4"/>
      <c r="X11592" s="4"/>
      <c r="Y11592" s="4"/>
    </row>
    <row r="11593" spans="20:25" x14ac:dyDescent="0.3">
      <c r="T11593" s="12"/>
      <c r="U11593" s="4"/>
      <c r="V11593" s="4"/>
      <c r="X11593" s="4"/>
      <c r="Y11593" s="4"/>
    </row>
    <row r="11594" spans="20:25" x14ac:dyDescent="0.3">
      <c r="T11594" s="12"/>
      <c r="U11594" s="4"/>
      <c r="V11594" s="4"/>
      <c r="X11594" s="4"/>
      <c r="Y11594" s="4"/>
    </row>
    <row r="11595" spans="20:25" x14ac:dyDescent="0.3">
      <c r="T11595" s="12"/>
      <c r="U11595" s="4"/>
      <c r="V11595" s="4"/>
      <c r="X11595" s="4"/>
      <c r="Y11595" s="4"/>
    </row>
    <row r="11596" spans="20:25" x14ac:dyDescent="0.3">
      <c r="T11596" s="12"/>
      <c r="U11596" s="4"/>
      <c r="V11596" s="4"/>
      <c r="X11596" s="4"/>
      <c r="Y11596" s="4"/>
    </row>
    <row r="11597" spans="20:25" x14ac:dyDescent="0.3">
      <c r="T11597" s="12"/>
      <c r="U11597" s="4"/>
      <c r="V11597" s="4"/>
      <c r="X11597" s="4"/>
      <c r="Y11597" s="4"/>
    </row>
    <row r="11598" spans="20:25" x14ac:dyDescent="0.3">
      <c r="T11598" s="12"/>
      <c r="U11598" s="4"/>
      <c r="V11598" s="4"/>
      <c r="X11598" s="4"/>
      <c r="Y11598" s="4"/>
    </row>
    <row r="11599" spans="20:25" x14ac:dyDescent="0.3">
      <c r="T11599" s="12"/>
      <c r="U11599" s="4"/>
      <c r="V11599" s="4"/>
      <c r="X11599" s="4"/>
      <c r="Y11599" s="4"/>
    </row>
    <row r="11600" spans="20:25" x14ac:dyDescent="0.3">
      <c r="T11600" s="12"/>
      <c r="U11600" s="4"/>
      <c r="V11600" s="4"/>
      <c r="X11600" s="4"/>
      <c r="Y11600" s="4"/>
    </row>
    <row r="11601" spans="20:25" x14ac:dyDescent="0.3">
      <c r="T11601" s="12"/>
      <c r="U11601" s="4"/>
      <c r="V11601" s="4"/>
      <c r="X11601" s="4"/>
      <c r="Y11601" s="4"/>
    </row>
    <row r="11602" spans="20:25" x14ac:dyDescent="0.3">
      <c r="T11602" s="12"/>
      <c r="U11602" s="4"/>
      <c r="V11602" s="4"/>
      <c r="X11602" s="4"/>
      <c r="Y11602" s="4"/>
    </row>
    <row r="11603" spans="20:25" x14ac:dyDescent="0.3">
      <c r="T11603" s="12"/>
      <c r="U11603" s="4"/>
      <c r="V11603" s="4"/>
      <c r="X11603" s="4"/>
      <c r="Y11603" s="4"/>
    </row>
    <row r="11604" spans="20:25" x14ac:dyDescent="0.3">
      <c r="T11604" s="12"/>
      <c r="U11604" s="4"/>
      <c r="V11604" s="4"/>
      <c r="X11604" s="4"/>
      <c r="Y11604" s="4"/>
    </row>
    <row r="11605" spans="20:25" x14ac:dyDescent="0.3">
      <c r="T11605" s="12"/>
      <c r="U11605" s="4"/>
      <c r="V11605" s="4"/>
      <c r="X11605" s="4"/>
      <c r="Y11605" s="4"/>
    </row>
    <row r="11606" spans="20:25" x14ac:dyDescent="0.3">
      <c r="T11606" s="12"/>
      <c r="U11606" s="4"/>
      <c r="V11606" s="4"/>
      <c r="X11606" s="4"/>
      <c r="Y11606" s="4"/>
    </row>
    <row r="11607" spans="20:25" x14ac:dyDescent="0.3">
      <c r="T11607" s="12"/>
      <c r="U11607" s="4"/>
      <c r="V11607" s="4"/>
      <c r="X11607" s="4"/>
      <c r="Y11607" s="4"/>
    </row>
    <row r="11608" spans="20:25" x14ac:dyDescent="0.3">
      <c r="T11608" s="12"/>
      <c r="U11608" s="4"/>
      <c r="V11608" s="4"/>
      <c r="X11608" s="4"/>
      <c r="Y11608" s="4"/>
    </row>
    <row r="11609" spans="20:25" x14ac:dyDescent="0.3">
      <c r="T11609" s="12"/>
      <c r="U11609" s="4"/>
      <c r="V11609" s="4"/>
      <c r="X11609" s="4"/>
      <c r="Y11609" s="4"/>
    </row>
    <row r="11610" spans="20:25" x14ac:dyDescent="0.3">
      <c r="T11610" s="12"/>
      <c r="U11610" s="4"/>
      <c r="V11610" s="4"/>
      <c r="X11610" s="4"/>
      <c r="Y11610" s="4"/>
    </row>
    <row r="11611" spans="20:25" x14ac:dyDescent="0.3">
      <c r="T11611" s="12"/>
      <c r="U11611" s="4"/>
      <c r="V11611" s="4"/>
      <c r="X11611" s="4"/>
      <c r="Y11611" s="4"/>
    </row>
    <row r="11612" spans="20:25" x14ac:dyDescent="0.3">
      <c r="T11612" s="12"/>
      <c r="U11612" s="4"/>
      <c r="V11612" s="4"/>
      <c r="X11612" s="4"/>
      <c r="Y11612" s="4"/>
    </row>
    <row r="11613" spans="20:25" x14ac:dyDescent="0.3">
      <c r="T11613" s="12"/>
      <c r="U11613" s="4"/>
      <c r="V11613" s="4"/>
      <c r="X11613" s="4"/>
      <c r="Y11613" s="4"/>
    </row>
    <row r="11614" spans="20:25" x14ac:dyDescent="0.3">
      <c r="T11614" s="12"/>
      <c r="U11614" s="4"/>
      <c r="V11614" s="4"/>
      <c r="X11614" s="4"/>
      <c r="Y11614" s="4"/>
    </row>
    <row r="11615" spans="20:25" x14ac:dyDescent="0.3">
      <c r="T11615" s="12"/>
      <c r="U11615" s="4"/>
      <c r="V11615" s="4"/>
      <c r="X11615" s="4"/>
      <c r="Y11615" s="4"/>
    </row>
    <row r="11616" spans="20:25" x14ac:dyDescent="0.3">
      <c r="T11616" s="12"/>
      <c r="U11616" s="4"/>
      <c r="V11616" s="4"/>
      <c r="X11616" s="4"/>
      <c r="Y11616" s="4"/>
    </row>
    <row r="11617" spans="20:25" x14ac:dyDescent="0.3">
      <c r="T11617" s="12"/>
      <c r="U11617" s="4"/>
      <c r="V11617" s="4"/>
      <c r="X11617" s="4"/>
      <c r="Y11617" s="4"/>
    </row>
    <row r="11618" spans="20:25" x14ac:dyDescent="0.3">
      <c r="T11618" s="12"/>
      <c r="U11618" s="4"/>
      <c r="V11618" s="4"/>
      <c r="X11618" s="4"/>
      <c r="Y11618" s="4"/>
    </row>
    <row r="11619" spans="20:25" x14ac:dyDescent="0.3">
      <c r="T11619" s="12"/>
      <c r="U11619" s="4"/>
      <c r="V11619" s="4"/>
      <c r="X11619" s="4"/>
      <c r="Y11619" s="4"/>
    </row>
    <row r="11620" spans="20:25" x14ac:dyDescent="0.3">
      <c r="T11620" s="12"/>
      <c r="U11620" s="4"/>
      <c r="V11620" s="4"/>
      <c r="X11620" s="4"/>
      <c r="Y11620" s="4"/>
    </row>
    <row r="11621" spans="20:25" x14ac:dyDescent="0.3">
      <c r="T11621" s="12"/>
      <c r="U11621" s="4"/>
      <c r="V11621" s="4"/>
      <c r="X11621" s="4"/>
      <c r="Y11621" s="4"/>
    </row>
    <row r="11622" spans="20:25" x14ac:dyDescent="0.3">
      <c r="T11622" s="12"/>
      <c r="U11622" s="4"/>
      <c r="V11622" s="4"/>
      <c r="X11622" s="4"/>
      <c r="Y11622" s="4"/>
    </row>
    <row r="11623" spans="20:25" x14ac:dyDescent="0.3">
      <c r="T11623" s="12"/>
      <c r="U11623" s="4"/>
      <c r="V11623" s="4"/>
      <c r="X11623" s="4"/>
      <c r="Y11623" s="4"/>
    </row>
    <row r="11624" spans="20:25" x14ac:dyDescent="0.3">
      <c r="T11624" s="12"/>
      <c r="U11624" s="4"/>
      <c r="V11624" s="4"/>
      <c r="X11624" s="4"/>
      <c r="Y11624" s="4"/>
    </row>
    <row r="11625" spans="20:25" x14ac:dyDescent="0.3">
      <c r="T11625" s="12"/>
      <c r="U11625" s="4"/>
      <c r="V11625" s="4"/>
      <c r="X11625" s="4"/>
      <c r="Y11625" s="4"/>
    </row>
    <row r="11626" spans="20:25" x14ac:dyDescent="0.3">
      <c r="T11626" s="12"/>
      <c r="U11626" s="4"/>
      <c r="V11626" s="4"/>
      <c r="X11626" s="4"/>
      <c r="Y11626" s="4"/>
    </row>
    <row r="11627" spans="20:25" x14ac:dyDescent="0.3">
      <c r="T11627" s="12"/>
      <c r="U11627" s="4"/>
      <c r="V11627" s="4"/>
      <c r="X11627" s="4"/>
      <c r="Y11627" s="4"/>
    </row>
    <row r="11628" spans="20:25" x14ac:dyDescent="0.3">
      <c r="T11628" s="12"/>
      <c r="U11628" s="4"/>
      <c r="V11628" s="4"/>
      <c r="X11628" s="4"/>
      <c r="Y11628" s="4"/>
    </row>
    <row r="11629" spans="20:25" x14ac:dyDescent="0.3">
      <c r="T11629" s="12"/>
      <c r="U11629" s="4"/>
      <c r="V11629" s="4"/>
      <c r="X11629" s="4"/>
      <c r="Y11629" s="4"/>
    </row>
    <row r="11630" spans="20:25" x14ac:dyDescent="0.3">
      <c r="T11630" s="12"/>
      <c r="U11630" s="4"/>
      <c r="V11630" s="4"/>
      <c r="X11630" s="4"/>
      <c r="Y11630" s="4"/>
    </row>
    <row r="11631" spans="20:25" x14ac:dyDescent="0.3">
      <c r="T11631" s="12"/>
      <c r="U11631" s="4"/>
      <c r="V11631" s="4"/>
      <c r="X11631" s="4"/>
      <c r="Y11631" s="4"/>
    </row>
    <row r="11632" spans="20:25" x14ac:dyDescent="0.3">
      <c r="T11632" s="12"/>
      <c r="U11632" s="4"/>
      <c r="V11632" s="4"/>
      <c r="X11632" s="4"/>
      <c r="Y11632" s="4"/>
    </row>
    <row r="11633" spans="20:25" x14ac:dyDescent="0.3">
      <c r="T11633" s="12"/>
      <c r="U11633" s="4"/>
      <c r="V11633" s="4"/>
      <c r="X11633" s="4"/>
      <c r="Y11633" s="4"/>
    </row>
    <row r="11634" spans="20:25" x14ac:dyDescent="0.3">
      <c r="T11634" s="12"/>
      <c r="U11634" s="4"/>
      <c r="V11634" s="4"/>
      <c r="X11634" s="4"/>
      <c r="Y11634" s="4"/>
    </row>
    <row r="11635" spans="20:25" x14ac:dyDescent="0.3">
      <c r="T11635" s="12"/>
      <c r="U11635" s="4"/>
      <c r="V11635" s="4"/>
      <c r="X11635" s="4"/>
      <c r="Y11635" s="4"/>
    </row>
    <row r="11636" spans="20:25" x14ac:dyDescent="0.3">
      <c r="T11636" s="12"/>
      <c r="U11636" s="4"/>
      <c r="V11636" s="4"/>
      <c r="X11636" s="4"/>
      <c r="Y11636" s="4"/>
    </row>
    <row r="11637" spans="20:25" x14ac:dyDescent="0.3">
      <c r="T11637" s="12"/>
      <c r="U11637" s="4"/>
      <c r="V11637" s="4"/>
      <c r="X11637" s="4"/>
      <c r="Y11637" s="4"/>
    </row>
    <row r="11638" spans="20:25" x14ac:dyDescent="0.3">
      <c r="T11638" s="12"/>
      <c r="U11638" s="4"/>
      <c r="V11638" s="4"/>
      <c r="X11638" s="4"/>
      <c r="Y11638" s="4"/>
    </row>
    <row r="11639" spans="20:25" x14ac:dyDescent="0.3">
      <c r="T11639" s="12"/>
      <c r="U11639" s="4"/>
      <c r="V11639" s="4"/>
      <c r="X11639" s="4"/>
      <c r="Y11639" s="4"/>
    </row>
    <row r="11640" spans="20:25" x14ac:dyDescent="0.3">
      <c r="T11640" s="12"/>
      <c r="U11640" s="4"/>
      <c r="V11640" s="4"/>
      <c r="X11640" s="4"/>
      <c r="Y11640" s="4"/>
    </row>
    <row r="11641" spans="20:25" x14ac:dyDescent="0.3">
      <c r="T11641" s="12"/>
      <c r="U11641" s="4"/>
      <c r="V11641" s="4"/>
      <c r="X11641" s="4"/>
      <c r="Y11641" s="4"/>
    </row>
    <row r="11642" spans="20:25" x14ac:dyDescent="0.3">
      <c r="T11642" s="12"/>
      <c r="U11642" s="4"/>
      <c r="V11642" s="4"/>
      <c r="X11642" s="4"/>
      <c r="Y11642" s="4"/>
    </row>
    <row r="11643" spans="20:25" x14ac:dyDescent="0.3">
      <c r="T11643" s="12"/>
      <c r="U11643" s="4"/>
      <c r="V11643" s="4"/>
      <c r="X11643" s="4"/>
      <c r="Y11643" s="4"/>
    </row>
    <row r="11644" spans="20:25" x14ac:dyDescent="0.3">
      <c r="T11644" s="12"/>
      <c r="U11644" s="4"/>
      <c r="V11644" s="4"/>
      <c r="X11644" s="4"/>
      <c r="Y11644" s="4"/>
    </row>
    <row r="11645" spans="20:25" x14ac:dyDescent="0.3">
      <c r="T11645" s="12"/>
      <c r="U11645" s="4"/>
      <c r="V11645" s="4"/>
      <c r="X11645" s="4"/>
      <c r="Y11645" s="4"/>
    </row>
    <row r="11646" spans="20:25" x14ac:dyDescent="0.3">
      <c r="T11646" s="12"/>
      <c r="U11646" s="4"/>
      <c r="V11646" s="4"/>
      <c r="X11646" s="4"/>
      <c r="Y11646" s="4"/>
    </row>
    <row r="11647" spans="20:25" x14ac:dyDescent="0.3">
      <c r="T11647" s="12"/>
      <c r="U11647" s="4"/>
      <c r="V11647" s="4"/>
      <c r="X11647" s="4"/>
      <c r="Y11647" s="4"/>
    </row>
    <row r="11648" spans="20:25" x14ac:dyDescent="0.3">
      <c r="T11648" s="12"/>
      <c r="U11648" s="4"/>
      <c r="V11648" s="4"/>
      <c r="X11648" s="4"/>
      <c r="Y11648" s="4"/>
    </row>
    <row r="11649" spans="20:25" x14ac:dyDescent="0.3">
      <c r="T11649" s="12"/>
      <c r="U11649" s="4"/>
      <c r="V11649" s="4"/>
      <c r="X11649" s="4"/>
      <c r="Y11649" s="4"/>
    </row>
    <row r="11650" spans="20:25" x14ac:dyDescent="0.3">
      <c r="T11650" s="12"/>
      <c r="U11650" s="4"/>
      <c r="V11650" s="4"/>
      <c r="X11650" s="4"/>
      <c r="Y11650" s="4"/>
    </row>
    <row r="11651" spans="20:25" x14ac:dyDescent="0.3">
      <c r="T11651" s="12"/>
      <c r="U11651" s="4"/>
      <c r="V11651" s="4"/>
      <c r="X11651" s="4"/>
      <c r="Y11651" s="4"/>
    </row>
    <row r="11652" spans="20:25" x14ac:dyDescent="0.3">
      <c r="T11652" s="12"/>
      <c r="U11652" s="4"/>
      <c r="V11652" s="4"/>
      <c r="X11652" s="4"/>
      <c r="Y11652" s="4"/>
    </row>
    <row r="11653" spans="20:25" x14ac:dyDescent="0.3">
      <c r="T11653" s="12"/>
      <c r="U11653" s="4"/>
      <c r="V11653" s="4"/>
      <c r="X11653" s="4"/>
      <c r="Y11653" s="4"/>
    </row>
    <row r="11654" spans="20:25" x14ac:dyDescent="0.3">
      <c r="T11654" s="12"/>
      <c r="U11654" s="4"/>
      <c r="V11654" s="4"/>
      <c r="X11654" s="4"/>
      <c r="Y11654" s="4"/>
    </row>
    <row r="11655" spans="20:25" x14ac:dyDescent="0.3">
      <c r="T11655" s="12"/>
      <c r="U11655" s="4"/>
      <c r="V11655" s="4"/>
      <c r="X11655" s="4"/>
      <c r="Y11655" s="4"/>
    </row>
    <row r="11656" spans="20:25" x14ac:dyDescent="0.3">
      <c r="T11656" s="12"/>
      <c r="U11656" s="4"/>
      <c r="V11656" s="4"/>
      <c r="X11656" s="4"/>
      <c r="Y11656" s="4"/>
    </row>
    <row r="11657" spans="20:25" x14ac:dyDescent="0.3">
      <c r="T11657" s="12"/>
      <c r="U11657" s="4"/>
      <c r="V11657" s="4"/>
      <c r="X11657" s="4"/>
      <c r="Y11657" s="4"/>
    </row>
    <row r="11658" spans="20:25" x14ac:dyDescent="0.3">
      <c r="T11658" s="12"/>
      <c r="U11658" s="4"/>
      <c r="V11658" s="4"/>
      <c r="X11658" s="4"/>
      <c r="Y11658" s="4"/>
    </row>
    <row r="11659" spans="20:25" x14ac:dyDescent="0.3">
      <c r="T11659" s="12"/>
      <c r="U11659" s="4"/>
      <c r="V11659" s="4"/>
      <c r="X11659" s="4"/>
      <c r="Y11659" s="4"/>
    </row>
    <row r="11660" spans="20:25" x14ac:dyDescent="0.3">
      <c r="T11660" s="12"/>
      <c r="U11660" s="4"/>
      <c r="V11660" s="4"/>
      <c r="X11660" s="4"/>
      <c r="Y11660" s="4"/>
    </row>
    <row r="11661" spans="20:25" x14ac:dyDescent="0.3">
      <c r="T11661" s="12"/>
      <c r="U11661" s="4"/>
      <c r="V11661" s="4"/>
      <c r="X11661" s="4"/>
      <c r="Y11661" s="4"/>
    </row>
    <row r="11662" spans="20:25" x14ac:dyDescent="0.3">
      <c r="T11662" s="12"/>
      <c r="U11662" s="4"/>
      <c r="V11662" s="4"/>
      <c r="X11662" s="4"/>
      <c r="Y11662" s="4"/>
    </row>
    <row r="11663" spans="20:25" x14ac:dyDescent="0.3">
      <c r="T11663" s="12"/>
      <c r="U11663" s="4"/>
      <c r="V11663" s="4"/>
      <c r="X11663" s="4"/>
      <c r="Y11663" s="4"/>
    </row>
    <row r="11664" spans="20:25" x14ac:dyDescent="0.3">
      <c r="T11664" s="12"/>
      <c r="U11664" s="4"/>
      <c r="V11664" s="4"/>
      <c r="X11664" s="4"/>
      <c r="Y11664" s="4"/>
    </row>
    <row r="11665" spans="20:25" x14ac:dyDescent="0.3">
      <c r="T11665" s="12"/>
      <c r="U11665" s="4"/>
      <c r="V11665" s="4"/>
      <c r="X11665" s="4"/>
      <c r="Y11665" s="4"/>
    </row>
    <row r="11666" spans="20:25" x14ac:dyDescent="0.3">
      <c r="T11666" s="12"/>
      <c r="U11666" s="4"/>
      <c r="V11666" s="4"/>
      <c r="X11666" s="4"/>
      <c r="Y11666" s="4"/>
    </row>
    <row r="11667" spans="20:25" x14ac:dyDescent="0.3">
      <c r="T11667" s="12"/>
      <c r="U11667" s="4"/>
      <c r="V11667" s="4"/>
      <c r="X11667" s="4"/>
      <c r="Y11667" s="4"/>
    </row>
    <row r="11668" spans="20:25" x14ac:dyDescent="0.3">
      <c r="T11668" s="12"/>
      <c r="U11668" s="4"/>
      <c r="V11668" s="4"/>
      <c r="X11668" s="4"/>
      <c r="Y11668" s="4"/>
    </row>
    <row r="11669" spans="20:25" x14ac:dyDescent="0.3">
      <c r="T11669" s="12"/>
      <c r="U11669" s="4"/>
      <c r="V11669" s="4"/>
      <c r="X11669" s="4"/>
      <c r="Y11669" s="4"/>
    </row>
    <row r="11670" spans="20:25" x14ac:dyDescent="0.3">
      <c r="T11670" s="12"/>
      <c r="U11670" s="4"/>
      <c r="V11670" s="4"/>
      <c r="X11670" s="4"/>
      <c r="Y11670" s="4"/>
    </row>
    <row r="11671" spans="20:25" x14ac:dyDescent="0.3">
      <c r="T11671" s="12"/>
      <c r="U11671" s="4"/>
      <c r="V11671" s="4"/>
      <c r="X11671" s="4"/>
      <c r="Y11671" s="4"/>
    </row>
    <row r="11672" spans="20:25" x14ac:dyDescent="0.3">
      <c r="T11672" s="12"/>
      <c r="U11672" s="4"/>
      <c r="V11672" s="4"/>
      <c r="X11672" s="4"/>
      <c r="Y11672" s="4"/>
    </row>
    <row r="11673" spans="20:25" x14ac:dyDescent="0.3">
      <c r="T11673" s="12"/>
      <c r="U11673" s="4"/>
      <c r="V11673" s="4"/>
      <c r="X11673" s="4"/>
      <c r="Y11673" s="4"/>
    </row>
    <row r="11674" spans="20:25" x14ac:dyDescent="0.3">
      <c r="T11674" s="12"/>
      <c r="U11674" s="4"/>
      <c r="V11674" s="4"/>
      <c r="X11674" s="4"/>
      <c r="Y11674" s="4"/>
    </row>
    <row r="11675" spans="20:25" x14ac:dyDescent="0.3">
      <c r="T11675" s="12"/>
      <c r="U11675" s="4"/>
      <c r="V11675" s="4"/>
      <c r="X11675" s="4"/>
      <c r="Y11675" s="4"/>
    </row>
    <row r="11676" spans="20:25" x14ac:dyDescent="0.3">
      <c r="T11676" s="12"/>
      <c r="U11676" s="4"/>
      <c r="V11676" s="4"/>
      <c r="X11676" s="4"/>
      <c r="Y11676" s="4"/>
    </row>
    <row r="11677" spans="20:25" x14ac:dyDescent="0.3">
      <c r="T11677" s="12"/>
      <c r="U11677" s="4"/>
      <c r="V11677" s="4"/>
      <c r="X11677" s="4"/>
      <c r="Y11677" s="4"/>
    </row>
    <row r="11678" spans="20:25" x14ac:dyDescent="0.3">
      <c r="T11678" s="12"/>
      <c r="U11678" s="4"/>
      <c r="V11678" s="4"/>
      <c r="X11678" s="4"/>
      <c r="Y11678" s="4"/>
    </row>
    <row r="11679" spans="20:25" x14ac:dyDescent="0.3">
      <c r="T11679" s="12"/>
      <c r="U11679" s="4"/>
      <c r="V11679" s="4"/>
      <c r="X11679" s="4"/>
      <c r="Y11679" s="4"/>
    </row>
    <row r="11680" spans="20:25" x14ac:dyDescent="0.3">
      <c r="T11680" s="12"/>
      <c r="U11680" s="4"/>
      <c r="V11680" s="4"/>
      <c r="X11680" s="4"/>
      <c r="Y11680" s="4"/>
    </row>
    <row r="11681" spans="20:25" x14ac:dyDescent="0.3">
      <c r="T11681" s="12"/>
      <c r="U11681" s="4"/>
      <c r="V11681" s="4"/>
      <c r="X11681" s="4"/>
      <c r="Y11681" s="4"/>
    </row>
    <row r="11682" spans="20:25" x14ac:dyDescent="0.3">
      <c r="T11682" s="12"/>
      <c r="U11682" s="4"/>
      <c r="V11682" s="4"/>
      <c r="X11682" s="4"/>
      <c r="Y11682" s="4"/>
    </row>
    <row r="11683" spans="20:25" x14ac:dyDescent="0.3">
      <c r="T11683" s="12"/>
      <c r="U11683" s="4"/>
      <c r="V11683" s="4"/>
      <c r="X11683" s="4"/>
      <c r="Y11683" s="4"/>
    </row>
    <row r="11684" spans="20:25" x14ac:dyDescent="0.3">
      <c r="T11684" s="12"/>
      <c r="U11684" s="4"/>
      <c r="V11684" s="4"/>
      <c r="X11684" s="4"/>
      <c r="Y11684" s="4"/>
    </row>
    <row r="11685" spans="20:25" x14ac:dyDescent="0.3">
      <c r="T11685" s="12"/>
      <c r="U11685" s="4"/>
      <c r="V11685" s="4"/>
      <c r="X11685" s="4"/>
      <c r="Y11685" s="4"/>
    </row>
    <row r="11686" spans="20:25" x14ac:dyDescent="0.3">
      <c r="T11686" s="12"/>
      <c r="U11686" s="4"/>
      <c r="V11686" s="4"/>
      <c r="X11686" s="4"/>
      <c r="Y11686" s="4"/>
    </row>
    <row r="11687" spans="20:25" x14ac:dyDescent="0.3">
      <c r="T11687" s="12"/>
      <c r="U11687" s="4"/>
      <c r="V11687" s="4"/>
      <c r="X11687" s="4"/>
      <c r="Y11687" s="4"/>
    </row>
    <row r="11688" spans="20:25" x14ac:dyDescent="0.3">
      <c r="T11688" s="12"/>
      <c r="U11688" s="4"/>
      <c r="V11688" s="4"/>
      <c r="X11688" s="4"/>
      <c r="Y11688" s="4"/>
    </row>
    <row r="11689" spans="20:25" x14ac:dyDescent="0.3">
      <c r="T11689" s="12"/>
      <c r="U11689" s="4"/>
      <c r="V11689" s="4"/>
      <c r="X11689" s="4"/>
      <c r="Y11689" s="4"/>
    </row>
    <row r="11690" spans="20:25" x14ac:dyDescent="0.3">
      <c r="T11690" s="12"/>
      <c r="U11690" s="4"/>
      <c r="V11690" s="4"/>
      <c r="X11690" s="4"/>
      <c r="Y11690" s="4"/>
    </row>
    <row r="11691" spans="20:25" x14ac:dyDescent="0.3">
      <c r="T11691" s="12"/>
      <c r="U11691" s="4"/>
      <c r="V11691" s="4"/>
      <c r="X11691" s="4"/>
      <c r="Y11691" s="4"/>
    </row>
    <row r="11692" spans="20:25" x14ac:dyDescent="0.3">
      <c r="T11692" s="12"/>
      <c r="U11692" s="4"/>
      <c r="V11692" s="4"/>
      <c r="X11692" s="4"/>
      <c r="Y11692" s="4"/>
    </row>
    <row r="11693" spans="20:25" x14ac:dyDescent="0.3">
      <c r="T11693" s="12"/>
      <c r="U11693" s="4"/>
      <c r="V11693" s="4"/>
      <c r="X11693" s="4"/>
      <c r="Y11693" s="4"/>
    </row>
    <row r="11694" spans="20:25" x14ac:dyDescent="0.3">
      <c r="T11694" s="12"/>
      <c r="U11694" s="4"/>
      <c r="V11694" s="4"/>
      <c r="X11694" s="4"/>
      <c r="Y11694" s="4"/>
    </row>
    <row r="11695" spans="20:25" x14ac:dyDescent="0.3">
      <c r="T11695" s="12"/>
      <c r="U11695" s="4"/>
      <c r="V11695" s="4"/>
      <c r="X11695" s="4"/>
      <c r="Y11695" s="4"/>
    </row>
    <row r="11696" spans="20:25" x14ac:dyDescent="0.3">
      <c r="T11696" s="12"/>
      <c r="U11696" s="4"/>
      <c r="V11696" s="4"/>
      <c r="X11696" s="4"/>
      <c r="Y11696" s="4"/>
    </row>
    <row r="11697" spans="20:25" x14ac:dyDescent="0.3">
      <c r="T11697" s="12"/>
      <c r="U11697" s="4"/>
      <c r="V11697" s="4"/>
      <c r="X11697" s="4"/>
      <c r="Y11697" s="4"/>
    </row>
    <row r="11698" spans="20:25" x14ac:dyDescent="0.3">
      <c r="T11698" s="12"/>
      <c r="U11698" s="4"/>
      <c r="V11698" s="4"/>
      <c r="X11698" s="4"/>
      <c r="Y11698" s="4"/>
    </row>
    <row r="11699" spans="20:25" x14ac:dyDescent="0.3">
      <c r="T11699" s="12"/>
      <c r="U11699" s="4"/>
      <c r="V11699" s="4"/>
      <c r="X11699" s="4"/>
      <c r="Y11699" s="4"/>
    </row>
    <row r="11700" spans="20:25" x14ac:dyDescent="0.3">
      <c r="T11700" s="12"/>
      <c r="U11700" s="4"/>
      <c r="V11700" s="4"/>
      <c r="X11700" s="4"/>
      <c r="Y11700" s="4"/>
    </row>
    <row r="11701" spans="20:25" x14ac:dyDescent="0.3">
      <c r="T11701" s="12"/>
      <c r="U11701" s="4"/>
      <c r="V11701" s="4"/>
      <c r="X11701" s="4"/>
      <c r="Y11701" s="4"/>
    </row>
    <row r="11702" spans="20:25" x14ac:dyDescent="0.3">
      <c r="T11702" s="12"/>
      <c r="U11702" s="4"/>
      <c r="V11702" s="4"/>
      <c r="X11702" s="4"/>
      <c r="Y11702" s="4"/>
    </row>
    <row r="11703" spans="20:25" x14ac:dyDescent="0.3">
      <c r="T11703" s="12"/>
      <c r="U11703" s="4"/>
      <c r="V11703" s="4"/>
      <c r="X11703" s="4"/>
      <c r="Y11703" s="4"/>
    </row>
    <row r="11704" spans="20:25" x14ac:dyDescent="0.3">
      <c r="T11704" s="12"/>
      <c r="U11704" s="4"/>
      <c r="V11704" s="4"/>
      <c r="X11704" s="4"/>
      <c r="Y11704" s="4"/>
    </row>
    <row r="11705" spans="20:25" x14ac:dyDescent="0.3">
      <c r="T11705" s="12"/>
      <c r="U11705" s="4"/>
      <c r="V11705" s="4"/>
      <c r="X11705" s="4"/>
      <c r="Y11705" s="4"/>
    </row>
    <row r="11706" spans="20:25" x14ac:dyDescent="0.3">
      <c r="T11706" s="12"/>
      <c r="U11706" s="4"/>
      <c r="V11706" s="4"/>
      <c r="X11706" s="4"/>
      <c r="Y11706" s="4"/>
    </row>
    <row r="11707" spans="20:25" x14ac:dyDescent="0.3">
      <c r="T11707" s="12"/>
      <c r="U11707" s="4"/>
      <c r="V11707" s="4"/>
      <c r="X11707" s="4"/>
      <c r="Y11707" s="4"/>
    </row>
    <row r="11708" spans="20:25" x14ac:dyDescent="0.3">
      <c r="T11708" s="12"/>
      <c r="U11708" s="4"/>
      <c r="V11708" s="4"/>
      <c r="X11708" s="4"/>
      <c r="Y11708" s="4"/>
    </row>
    <row r="11709" spans="20:25" x14ac:dyDescent="0.3">
      <c r="T11709" s="12"/>
      <c r="U11709" s="4"/>
      <c r="V11709" s="4"/>
      <c r="X11709" s="4"/>
      <c r="Y11709" s="4"/>
    </row>
    <row r="11710" spans="20:25" x14ac:dyDescent="0.3">
      <c r="T11710" s="12"/>
      <c r="U11710" s="4"/>
      <c r="V11710" s="4"/>
      <c r="X11710" s="4"/>
      <c r="Y11710" s="4"/>
    </row>
    <row r="11711" spans="20:25" x14ac:dyDescent="0.3">
      <c r="T11711" s="12"/>
      <c r="U11711" s="4"/>
      <c r="V11711" s="4"/>
      <c r="X11711" s="4"/>
      <c r="Y11711" s="4"/>
    </row>
    <row r="11712" spans="20:25" x14ac:dyDescent="0.3">
      <c r="T11712" s="12"/>
      <c r="U11712" s="4"/>
      <c r="V11712" s="4"/>
      <c r="X11712" s="4"/>
      <c r="Y11712" s="4"/>
    </row>
    <row r="11713" spans="20:25" x14ac:dyDescent="0.3">
      <c r="T11713" s="12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735"/>
  <sheetViews>
    <sheetView zoomScale="55" zoomScaleNormal="55" workbookViewId="0">
      <selection activeCell="F1" sqref="F1:F1048576"/>
    </sheetView>
  </sheetViews>
  <sheetFormatPr baseColWidth="10" defaultRowHeight="14.4" x14ac:dyDescent="0.3"/>
  <cols>
    <col min="1" max="1" width="14.44140625" bestFit="1" customWidth="1"/>
    <col min="2" max="2" width="22.88671875" style="1" bestFit="1" customWidth="1"/>
    <col min="3" max="3" width="48" bestFit="1" customWidth="1"/>
    <col min="4" max="4" width="10.6640625" bestFit="1" customWidth="1"/>
    <col min="5" max="6" width="15.88671875" bestFit="1" customWidth="1"/>
    <col min="7" max="7" width="13" bestFit="1" customWidth="1"/>
    <col min="8" max="8" width="12.6640625" bestFit="1" customWidth="1"/>
    <col min="9" max="9" width="58.44140625" bestFit="1" customWidth="1"/>
    <col min="10" max="10" width="18.6640625" bestFit="1" customWidth="1"/>
    <col min="11" max="11" width="61.88671875" bestFit="1" customWidth="1"/>
    <col min="12" max="12" width="19.5546875" bestFit="1" customWidth="1"/>
    <col min="13" max="13" width="23.33203125" bestFit="1" customWidth="1"/>
    <col min="14" max="14" width="11.33203125" bestFit="1" customWidth="1"/>
    <col min="15" max="15" width="16.6640625" bestFit="1" customWidth="1"/>
    <col min="16" max="16" width="17.88671875" bestFit="1" customWidth="1"/>
    <col min="17" max="17" width="13.6640625" bestFit="1" customWidth="1"/>
    <col min="18" max="18" width="15.33203125" bestFit="1" customWidth="1"/>
    <col min="19" max="19" width="18.109375" bestFit="1" customWidth="1"/>
    <col min="20" max="20" width="16.88671875" bestFit="1" customWidth="1"/>
    <col min="21" max="21" width="23.5546875" bestFit="1" customWidth="1"/>
  </cols>
  <sheetData>
    <row r="1" spans="1:21" s="2" customFormat="1" x14ac:dyDescent="0.3">
      <c r="A1" s="55" t="s">
        <v>29</v>
      </c>
      <c r="B1" s="55" t="s">
        <v>1</v>
      </c>
      <c r="C1" s="55" t="s">
        <v>30</v>
      </c>
      <c r="D1" s="55" t="s">
        <v>31</v>
      </c>
      <c r="E1" s="55" t="s">
        <v>32</v>
      </c>
      <c r="F1" s="55" t="s">
        <v>33</v>
      </c>
      <c r="G1" s="55" t="s">
        <v>34</v>
      </c>
      <c r="H1" s="55" t="s">
        <v>35</v>
      </c>
      <c r="I1" s="55" t="s">
        <v>36</v>
      </c>
      <c r="J1" s="55" t="s">
        <v>37</v>
      </c>
      <c r="K1" s="55" t="s">
        <v>38</v>
      </c>
      <c r="L1" s="55" t="s">
        <v>39</v>
      </c>
      <c r="M1" s="55" t="s">
        <v>40</v>
      </c>
      <c r="N1" s="55" t="s">
        <v>41</v>
      </c>
      <c r="O1" s="55" t="s">
        <v>42</v>
      </c>
      <c r="P1" s="55" t="s">
        <v>43</v>
      </c>
      <c r="Q1" s="55" t="s">
        <v>44</v>
      </c>
      <c r="R1" s="55" t="s">
        <v>45</v>
      </c>
      <c r="S1" s="55" t="s">
        <v>46</v>
      </c>
      <c r="T1" s="55" t="s">
        <v>47</v>
      </c>
      <c r="U1" s="55" t="s">
        <v>48</v>
      </c>
    </row>
    <row r="2" spans="1:21" x14ac:dyDescent="0.3">
      <c r="A2" t="s">
        <v>150</v>
      </c>
      <c r="B2" t="s">
        <v>150</v>
      </c>
      <c r="C2" t="s">
        <v>194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195</v>
      </c>
      <c r="L2" t="s">
        <v>196</v>
      </c>
      <c r="M2">
        <v>33</v>
      </c>
      <c r="N2">
        <v>6305</v>
      </c>
      <c r="O2" t="s">
        <v>52</v>
      </c>
      <c r="P2" t="s">
        <v>52</v>
      </c>
      <c r="Q2" t="s">
        <v>197</v>
      </c>
      <c r="R2" t="s">
        <v>53</v>
      </c>
      <c r="S2" t="s">
        <v>116</v>
      </c>
      <c r="T2" t="s">
        <v>198</v>
      </c>
      <c r="U2" t="s">
        <v>108</v>
      </c>
    </row>
    <row r="3" spans="1:21" x14ac:dyDescent="0.3">
      <c r="A3" t="s">
        <v>151</v>
      </c>
      <c r="B3" t="s">
        <v>151</v>
      </c>
      <c r="C3" t="s">
        <v>194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199</v>
      </c>
      <c r="L3" t="s">
        <v>200</v>
      </c>
      <c r="M3">
        <v>33</v>
      </c>
      <c r="N3">
        <v>6796</v>
      </c>
      <c r="O3" t="s">
        <v>52</v>
      </c>
      <c r="P3" t="s">
        <v>52</v>
      </c>
      <c r="Q3" t="s">
        <v>197</v>
      </c>
      <c r="R3" t="s">
        <v>53</v>
      </c>
      <c r="S3" t="s">
        <v>116</v>
      </c>
      <c r="T3" t="s">
        <v>198</v>
      </c>
      <c r="U3" t="s">
        <v>108</v>
      </c>
    </row>
    <row r="4" spans="1:21" x14ac:dyDescent="0.3">
      <c r="A4" t="s">
        <v>152</v>
      </c>
      <c r="B4" t="s">
        <v>152</v>
      </c>
      <c r="C4" t="s">
        <v>194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201</v>
      </c>
      <c r="L4" t="s">
        <v>202</v>
      </c>
      <c r="M4">
        <v>33</v>
      </c>
      <c r="N4">
        <v>6939</v>
      </c>
      <c r="O4" t="s">
        <v>52</v>
      </c>
      <c r="P4" t="s">
        <v>52</v>
      </c>
      <c r="Q4" t="s">
        <v>197</v>
      </c>
      <c r="R4" t="s">
        <v>53</v>
      </c>
      <c r="S4" t="s">
        <v>116</v>
      </c>
      <c r="T4" t="s">
        <v>198</v>
      </c>
      <c r="U4" t="s">
        <v>108</v>
      </c>
    </row>
    <row r="5" spans="1:21" x14ac:dyDescent="0.3">
      <c r="A5" t="s">
        <v>153</v>
      </c>
      <c r="B5" t="s">
        <v>153</v>
      </c>
      <c r="C5" t="s">
        <v>194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203</v>
      </c>
      <c r="L5" t="s">
        <v>204</v>
      </c>
      <c r="M5">
        <v>33</v>
      </c>
      <c r="N5">
        <v>7194</v>
      </c>
      <c r="O5" t="s">
        <v>52</v>
      </c>
      <c r="P5" t="s">
        <v>52</v>
      </c>
      <c r="Q5" t="s">
        <v>197</v>
      </c>
      <c r="R5" t="s">
        <v>53</v>
      </c>
      <c r="S5" t="s">
        <v>116</v>
      </c>
      <c r="T5" t="s">
        <v>198</v>
      </c>
      <c r="U5" t="s">
        <v>108</v>
      </c>
    </row>
    <row r="6" spans="1:21" x14ac:dyDescent="0.3">
      <c r="A6" t="s">
        <v>182</v>
      </c>
      <c r="B6" t="s">
        <v>182</v>
      </c>
      <c r="C6" t="s">
        <v>194</v>
      </c>
      <c r="D6">
        <v>1</v>
      </c>
      <c r="E6" t="s">
        <v>107</v>
      </c>
      <c r="F6">
        <v>1.4618800000000001</v>
      </c>
      <c r="G6">
        <v>66.900000000000006</v>
      </c>
      <c r="H6">
        <v>98</v>
      </c>
      <c r="I6" t="s">
        <v>117</v>
      </c>
      <c r="J6" t="s">
        <v>51</v>
      </c>
      <c r="K6" t="s">
        <v>205</v>
      </c>
      <c r="L6" t="s">
        <v>206</v>
      </c>
      <c r="M6">
        <v>33</v>
      </c>
      <c r="O6" t="s">
        <v>52</v>
      </c>
      <c r="P6" t="s">
        <v>52</v>
      </c>
      <c r="Q6" t="s">
        <v>197</v>
      </c>
      <c r="R6" t="s">
        <v>53</v>
      </c>
      <c r="S6" t="s">
        <v>116</v>
      </c>
      <c r="T6" t="s">
        <v>198</v>
      </c>
      <c r="U6" t="s">
        <v>108</v>
      </c>
    </row>
    <row r="7" spans="1:21" x14ac:dyDescent="0.3">
      <c r="A7" t="s">
        <v>182</v>
      </c>
      <c r="B7" t="s">
        <v>182</v>
      </c>
      <c r="C7" t="s">
        <v>194</v>
      </c>
      <c r="D7">
        <v>1</v>
      </c>
      <c r="E7" t="s">
        <v>107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207</v>
      </c>
      <c r="L7" t="s">
        <v>208</v>
      </c>
      <c r="M7">
        <v>33</v>
      </c>
      <c r="N7">
        <v>7513</v>
      </c>
      <c r="O7" t="s">
        <v>52</v>
      </c>
      <c r="P7" t="s">
        <v>52</v>
      </c>
      <c r="Q7" t="s">
        <v>197</v>
      </c>
      <c r="R7" t="s">
        <v>53</v>
      </c>
      <c r="S7" t="s">
        <v>116</v>
      </c>
      <c r="T7" t="s">
        <v>198</v>
      </c>
      <c r="U7" t="s">
        <v>108</v>
      </c>
    </row>
    <row r="8" spans="1:21" x14ac:dyDescent="0.3">
      <c r="A8" t="s">
        <v>182</v>
      </c>
      <c r="B8" t="s">
        <v>182</v>
      </c>
      <c r="C8" t="s">
        <v>194</v>
      </c>
      <c r="D8">
        <v>2</v>
      </c>
      <c r="E8" t="s">
        <v>118</v>
      </c>
      <c r="F8">
        <v>9.3880000000000005E-3</v>
      </c>
      <c r="G8">
        <v>69.013999999999996</v>
      </c>
      <c r="H8">
        <v>1</v>
      </c>
      <c r="I8" t="s">
        <v>117</v>
      </c>
      <c r="J8" t="s">
        <v>51</v>
      </c>
      <c r="K8" t="s">
        <v>205</v>
      </c>
      <c r="L8" t="s">
        <v>206</v>
      </c>
      <c r="M8">
        <v>33</v>
      </c>
      <c r="O8" t="s">
        <v>52</v>
      </c>
      <c r="P8" t="s">
        <v>52</v>
      </c>
      <c r="Q8" t="s">
        <v>197</v>
      </c>
      <c r="R8" t="s">
        <v>53</v>
      </c>
      <c r="S8" t="s">
        <v>116</v>
      </c>
      <c r="T8" t="s">
        <v>198</v>
      </c>
      <c r="U8" t="s">
        <v>108</v>
      </c>
    </row>
    <row r="9" spans="1:21" x14ac:dyDescent="0.3">
      <c r="A9" t="s">
        <v>182</v>
      </c>
      <c r="B9" t="s">
        <v>182</v>
      </c>
      <c r="C9" t="s">
        <v>194</v>
      </c>
      <c r="D9">
        <v>2</v>
      </c>
      <c r="E9" t="s">
        <v>118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207</v>
      </c>
      <c r="L9" t="s">
        <v>208</v>
      </c>
      <c r="M9">
        <v>33</v>
      </c>
      <c r="N9">
        <v>7513</v>
      </c>
      <c r="O9" t="s">
        <v>52</v>
      </c>
      <c r="P9" t="s">
        <v>52</v>
      </c>
      <c r="Q9" t="s">
        <v>197</v>
      </c>
      <c r="R9" t="s">
        <v>53</v>
      </c>
      <c r="S9" t="s">
        <v>116</v>
      </c>
      <c r="T9" t="s">
        <v>198</v>
      </c>
      <c r="U9" t="s">
        <v>108</v>
      </c>
    </row>
    <row r="10" spans="1:21" x14ac:dyDescent="0.3">
      <c r="A10" t="s">
        <v>182</v>
      </c>
      <c r="B10" t="s">
        <v>182</v>
      </c>
      <c r="C10" t="s">
        <v>194</v>
      </c>
      <c r="D10">
        <v>3</v>
      </c>
      <c r="E10" t="s">
        <v>105</v>
      </c>
      <c r="F10">
        <v>0.45372099999999999</v>
      </c>
      <c r="G10">
        <v>63.27</v>
      </c>
      <c r="H10">
        <v>29</v>
      </c>
      <c r="I10" t="s">
        <v>117</v>
      </c>
      <c r="J10" t="s">
        <v>51</v>
      </c>
      <c r="K10" t="s">
        <v>205</v>
      </c>
      <c r="L10" t="s">
        <v>206</v>
      </c>
      <c r="M10">
        <v>33</v>
      </c>
      <c r="O10" t="s">
        <v>52</v>
      </c>
      <c r="P10" t="s">
        <v>52</v>
      </c>
      <c r="Q10" t="s">
        <v>197</v>
      </c>
      <c r="R10" t="s">
        <v>53</v>
      </c>
      <c r="S10" t="s">
        <v>116</v>
      </c>
      <c r="T10" t="s">
        <v>198</v>
      </c>
      <c r="U10" t="s">
        <v>108</v>
      </c>
    </row>
    <row r="11" spans="1:21" x14ac:dyDescent="0.3">
      <c r="A11" t="s">
        <v>182</v>
      </c>
      <c r="B11" t="s">
        <v>182</v>
      </c>
      <c r="C11" t="s">
        <v>194</v>
      </c>
      <c r="D11">
        <v>3</v>
      </c>
      <c r="E11" t="s">
        <v>105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207</v>
      </c>
      <c r="L11" t="s">
        <v>208</v>
      </c>
      <c r="M11">
        <v>33</v>
      </c>
      <c r="N11">
        <v>7513</v>
      </c>
      <c r="O11" t="s">
        <v>52</v>
      </c>
      <c r="P11" t="s">
        <v>52</v>
      </c>
      <c r="Q11" t="s">
        <v>197</v>
      </c>
      <c r="R11" t="s">
        <v>53</v>
      </c>
      <c r="S11" t="s">
        <v>116</v>
      </c>
      <c r="T11" t="s">
        <v>198</v>
      </c>
      <c r="U11" t="s">
        <v>108</v>
      </c>
    </row>
    <row r="12" spans="1:21" x14ac:dyDescent="0.3">
      <c r="A12" t="s">
        <v>182</v>
      </c>
      <c r="B12" t="s">
        <v>182</v>
      </c>
      <c r="C12" t="s">
        <v>194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117</v>
      </c>
      <c r="J12" t="s">
        <v>51</v>
      </c>
      <c r="K12" t="s">
        <v>205</v>
      </c>
      <c r="L12" t="s">
        <v>206</v>
      </c>
      <c r="M12">
        <v>33</v>
      </c>
      <c r="O12" t="s">
        <v>52</v>
      </c>
      <c r="P12" t="s">
        <v>52</v>
      </c>
      <c r="Q12" t="s">
        <v>197</v>
      </c>
      <c r="R12" t="s">
        <v>53</v>
      </c>
      <c r="S12" t="s">
        <v>116</v>
      </c>
      <c r="T12" t="s">
        <v>198</v>
      </c>
      <c r="U12" t="s">
        <v>108</v>
      </c>
    </row>
    <row r="13" spans="1:21" x14ac:dyDescent="0.3">
      <c r="A13" t="s">
        <v>182</v>
      </c>
      <c r="B13" t="s">
        <v>182</v>
      </c>
      <c r="C13" t="s">
        <v>194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207</v>
      </c>
      <c r="L13" t="s">
        <v>208</v>
      </c>
      <c r="M13">
        <v>33</v>
      </c>
      <c r="N13">
        <v>7513</v>
      </c>
      <c r="O13" t="s">
        <v>52</v>
      </c>
      <c r="P13" t="s">
        <v>52</v>
      </c>
      <c r="Q13" t="s">
        <v>197</v>
      </c>
      <c r="R13" t="s">
        <v>53</v>
      </c>
      <c r="S13" t="s">
        <v>116</v>
      </c>
      <c r="T13" t="s">
        <v>198</v>
      </c>
      <c r="U13" t="s">
        <v>108</v>
      </c>
    </row>
    <row r="14" spans="1:21" x14ac:dyDescent="0.3">
      <c r="A14" t="s">
        <v>182</v>
      </c>
      <c r="B14" t="s">
        <v>182</v>
      </c>
      <c r="C14" t="s">
        <v>194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207</v>
      </c>
      <c r="L14" t="s">
        <v>208</v>
      </c>
      <c r="M14">
        <v>33</v>
      </c>
      <c r="N14">
        <v>7513</v>
      </c>
      <c r="O14" t="s">
        <v>52</v>
      </c>
      <c r="P14" t="s">
        <v>52</v>
      </c>
      <c r="Q14" t="s">
        <v>197</v>
      </c>
      <c r="R14" t="s">
        <v>53</v>
      </c>
      <c r="S14" t="s">
        <v>116</v>
      </c>
      <c r="T14" t="s">
        <v>198</v>
      </c>
      <c r="U14" t="s">
        <v>108</v>
      </c>
    </row>
    <row r="15" spans="1:21" x14ac:dyDescent="0.3">
      <c r="A15" t="s">
        <v>182</v>
      </c>
      <c r="B15" t="s">
        <v>182</v>
      </c>
      <c r="C15" t="s">
        <v>194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117</v>
      </c>
      <c r="J15" t="s">
        <v>51</v>
      </c>
      <c r="K15" t="s">
        <v>205</v>
      </c>
      <c r="L15" t="s">
        <v>206</v>
      </c>
      <c r="M15">
        <v>33</v>
      </c>
      <c r="O15" t="s">
        <v>52</v>
      </c>
      <c r="P15" t="s">
        <v>52</v>
      </c>
      <c r="Q15" t="s">
        <v>197</v>
      </c>
      <c r="R15" t="s">
        <v>53</v>
      </c>
      <c r="S15" t="s">
        <v>116</v>
      </c>
      <c r="T15" t="s">
        <v>198</v>
      </c>
      <c r="U15" t="s">
        <v>108</v>
      </c>
    </row>
    <row r="16" spans="1:21" x14ac:dyDescent="0.3">
      <c r="A16" t="s">
        <v>184</v>
      </c>
      <c r="B16" t="s">
        <v>184</v>
      </c>
      <c r="C16" t="s">
        <v>194</v>
      </c>
      <c r="D16">
        <v>1</v>
      </c>
      <c r="E16" t="s">
        <v>107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209</v>
      </c>
      <c r="L16" t="s">
        <v>210</v>
      </c>
      <c r="M16">
        <v>33</v>
      </c>
      <c r="N16">
        <v>7798</v>
      </c>
      <c r="O16" t="s">
        <v>52</v>
      </c>
      <c r="P16" t="s">
        <v>52</v>
      </c>
      <c r="Q16" t="s">
        <v>197</v>
      </c>
      <c r="R16" t="s">
        <v>53</v>
      </c>
      <c r="S16" t="s">
        <v>116</v>
      </c>
      <c r="T16" t="s">
        <v>198</v>
      </c>
      <c r="U16" t="s">
        <v>108</v>
      </c>
    </row>
    <row r="17" spans="1:21" x14ac:dyDescent="0.3">
      <c r="A17" t="s">
        <v>184</v>
      </c>
      <c r="B17" t="s">
        <v>184</v>
      </c>
      <c r="C17" t="s">
        <v>194</v>
      </c>
      <c r="D17">
        <v>1</v>
      </c>
      <c r="E17" t="s">
        <v>107</v>
      </c>
      <c r="F17">
        <v>0.23349</v>
      </c>
      <c r="G17">
        <v>66.900000000000006</v>
      </c>
      <c r="H17">
        <v>16</v>
      </c>
      <c r="I17" t="s">
        <v>117</v>
      </c>
      <c r="J17" t="s">
        <v>51</v>
      </c>
      <c r="K17" t="s">
        <v>211</v>
      </c>
      <c r="L17" t="s">
        <v>212</v>
      </c>
      <c r="M17">
        <v>61</v>
      </c>
      <c r="O17" t="s">
        <v>52</v>
      </c>
      <c r="P17" t="s">
        <v>52</v>
      </c>
      <c r="Q17" t="s">
        <v>197</v>
      </c>
      <c r="R17" t="s">
        <v>53</v>
      </c>
      <c r="S17" t="s">
        <v>116</v>
      </c>
      <c r="T17" t="s">
        <v>198</v>
      </c>
      <c r="U17" t="s">
        <v>108</v>
      </c>
    </row>
    <row r="18" spans="1:21" x14ac:dyDescent="0.3">
      <c r="A18" t="s">
        <v>184</v>
      </c>
      <c r="B18" t="s">
        <v>184</v>
      </c>
      <c r="C18" t="s">
        <v>194</v>
      </c>
      <c r="D18">
        <v>2</v>
      </c>
      <c r="E18" t="s">
        <v>118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209</v>
      </c>
      <c r="L18" t="s">
        <v>210</v>
      </c>
      <c r="M18">
        <v>33</v>
      </c>
      <c r="N18">
        <v>7798</v>
      </c>
      <c r="O18" t="s">
        <v>52</v>
      </c>
      <c r="P18" t="s">
        <v>52</v>
      </c>
      <c r="Q18" t="s">
        <v>197</v>
      </c>
      <c r="R18" t="s">
        <v>53</v>
      </c>
      <c r="S18" t="s">
        <v>116</v>
      </c>
      <c r="T18" t="s">
        <v>198</v>
      </c>
      <c r="U18" t="s">
        <v>108</v>
      </c>
    </row>
    <row r="19" spans="1:21" x14ac:dyDescent="0.3">
      <c r="A19" t="s">
        <v>184</v>
      </c>
      <c r="B19" t="s">
        <v>184</v>
      </c>
      <c r="C19" t="s">
        <v>194</v>
      </c>
      <c r="D19">
        <v>3</v>
      </c>
      <c r="E19" t="s">
        <v>105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209</v>
      </c>
      <c r="L19" t="s">
        <v>210</v>
      </c>
      <c r="M19">
        <v>33</v>
      </c>
      <c r="N19">
        <v>7798</v>
      </c>
      <c r="O19" t="s">
        <v>52</v>
      </c>
      <c r="P19" t="s">
        <v>52</v>
      </c>
      <c r="Q19" t="s">
        <v>197</v>
      </c>
      <c r="R19" t="s">
        <v>53</v>
      </c>
      <c r="S19" t="s">
        <v>116</v>
      </c>
      <c r="T19" t="s">
        <v>198</v>
      </c>
      <c r="U19" t="s">
        <v>108</v>
      </c>
    </row>
    <row r="20" spans="1:21" x14ac:dyDescent="0.3">
      <c r="A20" t="s">
        <v>184</v>
      </c>
      <c r="B20" t="s">
        <v>184</v>
      </c>
      <c r="C20" t="s">
        <v>194</v>
      </c>
      <c r="D20">
        <v>3</v>
      </c>
      <c r="E20" t="s">
        <v>105</v>
      </c>
      <c r="F20">
        <v>7.2089E-2</v>
      </c>
      <c r="G20">
        <v>63.27</v>
      </c>
      <c r="H20">
        <v>5</v>
      </c>
      <c r="I20" t="s">
        <v>117</v>
      </c>
      <c r="J20" t="s">
        <v>51</v>
      </c>
      <c r="K20" t="s">
        <v>211</v>
      </c>
      <c r="L20" t="s">
        <v>212</v>
      </c>
      <c r="M20">
        <v>61</v>
      </c>
      <c r="O20" t="s">
        <v>52</v>
      </c>
      <c r="P20" t="s">
        <v>52</v>
      </c>
      <c r="Q20" t="s">
        <v>197</v>
      </c>
      <c r="R20" t="s">
        <v>53</v>
      </c>
      <c r="S20" t="s">
        <v>116</v>
      </c>
      <c r="T20" t="s">
        <v>198</v>
      </c>
      <c r="U20" t="s">
        <v>108</v>
      </c>
    </row>
    <row r="21" spans="1:21" x14ac:dyDescent="0.3">
      <c r="A21" t="s">
        <v>184</v>
      </c>
      <c r="B21" t="s">
        <v>184</v>
      </c>
      <c r="C21" t="s">
        <v>194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117</v>
      </c>
      <c r="J21" t="s">
        <v>51</v>
      </c>
      <c r="K21" t="s">
        <v>211</v>
      </c>
      <c r="L21" t="s">
        <v>212</v>
      </c>
      <c r="M21">
        <v>61</v>
      </c>
      <c r="O21" t="s">
        <v>52</v>
      </c>
      <c r="P21" t="s">
        <v>52</v>
      </c>
      <c r="Q21" t="s">
        <v>197</v>
      </c>
      <c r="R21" t="s">
        <v>53</v>
      </c>
      <c r="S21" t="s">
        <v>116</v>
      </c>
      <c r="T21" t="s">
        <v>198</v>
      </c>
      <c r="U21" t="s">
        <v>108</v>
      </c>
    </row>
    <row r="22" spans="1:21" x14ac:dyDescent="0.3">
      <c r="A22" t="s">
        <v>184</v>
      </c>
      <c r="B22" t="s">
        <v>184</v>
      </c>
      <c r="C22" t="s">
        <v>194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209</v>
      </c>
      <c r="L22" t="s">
        <v>210</v>
      </c>
      <c r="M22">
        <v>33</v>
      </c>
      <c r="N22">
        <v>7798</v>
      </c>
      <c r="O22" t="s">
        <v>52</v>
      </c>
      <c r="P22" t="s">
        <v>52</v>
      </c>
      <c r="Q22" t="s">
        <v>197</v>
      </c>
      <c r="R22" t="s">
        <v>53</v>
      </c>
      <c r="S22" t="s">
        <v>116</v>
      </c>
      <c r="T22" t="s">
        <v>198</v>
      </c>
      <c r="U22" t="s">
        <v>108</v>
      </c>
    </row>
    <row r="23" spans="1:21" x14ac:dyDescent="0.3">
      <c r="A23" t="s">
        <v>184</v>
      </c>
      <c r="B23" t="s">
        <v>184</v>
      </c>
      <c r="C23" t="s">
        <v>194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209</v>
      </c>
      <c r="L23" t="s">
        <v>210</v>
      </c>
      <c r="M23">
        <v>33</v>
      </c>
      <c r="N23">
        <v>7798</v>
      </c>
      <c r="O23" t="s">
        <v>52</v>
      </c>
      <c r="P23" t="s">
        <v>52</v>
      </c>
      <c r="Q23" t="s">
        <v>197</v>
      </c>
      <c r="R23" t="s">
        <v>53</v>
      </c>
      <c r="S23" t="s">
        <v>116</v>
      </c>
      <c r="T23" t="s">
        <v>198</v>
      </c>
      <c r="U23" t="s">
        <v>108</v>
      </c>
    </row>
    <row r="24" spans="1:21" x14ac:dyDescent="0.3">
      <c r="A24" t="s">
        <v>186</v>
      </c>
      <c r="B24" t="s">
        <v>186</v>
      </c>
      <c r="C24" t="s">
        <v>194</v>
      </c>
      <c r="D24">
        <v>1</v>
      </c>
      <c r="E24" t="s">
        <v>107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213</v>
      </c>
      <c r="L24" t="s">
        <v>214</v>
      </c>
      <c r="M24">
        <v>33</v>
      </c>
      <c r="N24">
        <v>8389</v>
      </c>
      <c r="O24" t="s">
        <v>52</v>
      </c>
      <c r="P24" t="s">
        <v>52</v>
      </c>
      <c r="Q24" t="s">
        <v>197</v>
      </c>
      <c r="R24" t="s">
        <v>53</v>
      </c>
      <c r="S24" t="s">
        <v>116</v>
      </c>
      <c r="T24" t="s">
        <v>198</v>
      </c>
      <c r="U24" t="s">
        <v>108</v>
      </c>
    </row>
    <row r="25" spans="1:21" x14ac:dyDescent="0.3">
      <c r="A25" t="s">
        <v>186</v>
      </c>
      <c r="B25" t="s">
        <v>186</v>
      </c>
      <c r="C25" t="s">
        <v>194</v>
      </c>
      <c r="D25">
        <v>1</v>
      </c>
      <c r="E25" t="s">
        <v>107</v>
      </c>
      <c r="F25">
        <v>0.58060900000000004</v>
      </c>
      <c r="G25">
        <v>66.900000000000006</v>
      </c>
      <c r="H25">
        <v>39</v>
      </c>
      <c r="I25" t="s">
        <v>117</v>
      </c>
      <c r="J25" t="s">
        <v>51</v>
      </c>
      <c r="K25" t="s">
        <v>215</v>
      </c>
      <c r="L25" t="s">
        <v>216</v>
      </c>
      <c r="M25">
        <v>33</v>
      </c>
      <c r="O25" t="s">
        <v>52</v>
      </c>
      <c r="P25" t="s">
        <v>52</v>
      </c>
      <c r="Q25" t="s">
        <v>197</v>
      </c>
      <c r="R25" t="s">
        <v>53</v>
      </c>
      <c r="S25" t="s">
        <v>116</v>
      </c>
      <c r="T25" t="s">
        <v>198</v>
      </c>
      <c r="U25" t="s">
        <v>108</v>
      </c>
    </row>
    <row r="26" spans="1:21" x14ac:dyDescent="0.3">
      <c r="A26" t="s">
        <v>186</v>
      </c>
      <c r="B26" t="s">
        <v>186</v>
      </c>
      <c r="C26" t="s">
        <v>194</v>
      </c>
      <c r="D26">
        <v>2</v>
      </c>
      <c r="E26" t="s">
        <v>118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213</v>
      </c>
      <c r="L26" t="s">
        <v>214</v>
      </c>
      <c r="M26">
        <v>33</v>
      </c>
      <c r="N26">
        <v>8389</v>
      </c>
      <c r="O26" t="s">
        <v>52</v>
      </c>
      <c r="P26" t="s">
        <v>52</v>
      </c>
      <c r="Q26" t="s">
        <v>197</v>
      </c>
      <c r="R26" t="s">
        <v>53</v>
      </c>
      <c r="S26" t="s">
        <v>116</v>
      </c>
      <c r="T26" t="s">
        <v>198</v>
      </c>
      <c r="U26" t="s">
        <v>108</v>
      </c>
    </row>
    <row r="27" spans="1:21" x14ac:dyDescent="0.3">
      <c r="A27" t="s">
        <v>186</v>
      </c>
      <c r="B27" t="s">
        <v>186</v>
      </c>
      <c r="C27" t="s">
        <v>194</v>
      </c>
      <c r="D27">
        <v>3</v>
      </c>
      <c r="E27" t="s">
        <v>105</v>
      </c>
      <c r="F27">
        <v>0.17821799999999999</v>
      </c>
      <c r="G27">
        <v>63.27</v>
      </c>
      <c r="H27">
        <v>11</v>
      </c>
      <c r="I27" t="s">
        <v>117</v>
      </c>
      <c r="J27" t="s">
        <v>51</v>
      </c>
      <c r="K27" t="s">
        <v>215</v>
      </c>
      <c r="L27" t="s">
        <v>216</v>
      </c>
      <c r="M27">
        <v>33</v>
      </c>
      <c r="O27" t="s">
        <v>52</v>
      </c>
      <c r="P27" t="s">
        <v>52</v>
      </c>
      <c r="Q27" t="s">
        <v>197</v>
      </c>
      <c r="R27" t="s">
        <v>53</v>
      </c>
      <c r="S27" t="s">
        <v>116</v>
      </c>
      <c r="T27" t="s">
        <v>198</v>
      </c>
      <c r="U27" t="s">
        <v>108</v>
      </c>
    </row>
    <row r="28" spans="1:21" x14ac:dyDescent="0.3">
      <c r="A28" t="s">
        <v>186</v>
      </c>
      <c r="B28" t="s">
        <v>186</v>
      </c>
      <c r="C28" t="s">
        <v>194</v>
      </c>
      <c r="D28">
        <v>3</v>
      </c>
      <c r="E28" t="s">
        <v>105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213</v>
      </c>
      <c r="L28" t="s">
        <v>214</v>
      </c>
      <c r="M28">
        <v>33</v>
      </c>
      <c r="N28">
        <v>8389</v>
      </c>
      <c r="O28" t="s">
        <v>52</v>
      </c>
      <c r="P28" t="s">
        <v>52</v>
      </c>
      <c r="Q28" t="s">
        <v>197</v>
      </c>
      <c r="R28" t="s">
        <v>53</v>
      </c>
      <c r="S28" t="s">
        <v>116</v>
      </c>
      <c r="T28" t="s">
        <v>198</v>
      </c>
      <c r="U28" t="s">
        <v>108</v>
      </c>
    </row>
    <row r="29" spans="1:21" x14ac:dyDescent="0.3">
      <c r="A29" t="s">
        <v>186</v>
      </c>
      <c r="B29" t="s">
        <v>186</v>
      </c>
      <c r="C29" t="s">
        <v>194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213</v>
      </c>
      <c r="L29" t="s">
        <v>214</v>
      </c>
      <c r="M29">
        <v>33</v>
      </c>
      <c r="N29">
        <v>8389</v>
      </c>
      <c r="O29" t="s">
        <v>52</v>
      </c>
      <c r="P29" t="s">
        <v>52</v>
      </c>
      <c r="Q29" t="s">
        <v>197</v>
      </c>
      <c r="R29" t="s">
        <v>53</v>
      </c>
      <c r="S29" t="s">
        <v>116</v>
      </c>
      <c r="T29" t="s">
        <v>198</v>
      </c>
      <c r="U29" t="s">
        <v>108</v>
      </c>
    </row>
    <row r="30" spans="1:21" x14ac:dyDescent="0.3">
      <c r="A30" t="s">
        <v>186</v>
      </c>
      <c r="B30" t="s">
        <v>186</v>
      </c>
      <c r="C30" t="s">
        <v>194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117</v>
      </c>
      <c r="J30" t="s">
        <v>51</v>
      </c>
      <c r="K30" t="s">
        <v>215</v>
      </c>
      <c r="L30" t="s">
        <v>216</v>
      </c>
      <c r="M30">
        <v>33</v>
      </c>
      <c r="O30" t="s">
        <v>52</v>
      </c>
      <c r="P30" t="s">
        <v>52</v>
      </c>
      <c r="Q30" t="s">
        <v>197</v>
      </c>
      <c r="R30" t="s">
        <v>53</v>
      </c>
      <c r="S30" t="s">
        <v>116</v>
      </c>
      <c r="T30" t="s">
        <v>198</v>
      </c>
      <c r="U30" t="s">
        <v>108</v>
      </c>
    </row>
    <row r="31" spans="1:21" x14ac:dyDescent="0.3">
      <c r="A31" t="s">
        <v>186</v>
      </c>
      <c r="B31" t="s">
        <v>186</v>
      </c>
      <c r="C31" t="s">
        <v>194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213</v>
      </c>
      <c r="L31" t="s">
        <v>214</v>
      </c>
      <c r="M31">
        <v>33</v>
      </c>
      <c r="N31">
        <v>8389</v>
      </c>
      <c r="O31" t="s">
        <v>52</v>
      </c>
      <c r="P31" t="s">
        <v>52</v>
      </c>
      <c r="Q31" t="s">
        <v>197</v>
      </c>
      <c r="R31" t="s">
        <v>53</v>
      </c>
      <c r="S31" t="s">
        <v>116</v>
      </c>
      <c r="T31" t="s">
        <v>198</v>
      </c>
      <c r="U31" t="s">
        <v>108</v>
      </c>
    </row>
    <row r="32" spans="1:21" x14ac:dyDescent="0.3">
      <c r="A32" t="s">
        <v>187</v>
      </c>
      <c r="B32" t="s">
        <v>187</v>
      </c>
      <c r="C32" t="s">
        <v>194</v>
      </c>
      <c r="D32">
        <v>1</v>
      </c>
      <c r="E32" t="s">
        <v>107</v>
      </c>
      <c r="F32">
        <v>1</v>
      </c>
      <c r="G32">
        <v>-1091</v>
      </c>
      <c r="H32">
        <v>-1091</v>
      </c>
      <c r="I32" t="s">
        <v>117</v>
      </c>
      <c r="J32" t="s">
        <v>51</v>
      </c>
      <c r="K32" t="s">
        <v>217</v>
      </c>
      <c r="L32" t="s">
        <v>218</v>
      </c>
      <c r="M32">
        <v>61</v>
      </c>
      <c r="O32" t="s">
        <v>52</v>
      </c>
      <c r="P32" t="s">
        <v>52</v>
      </c>
      <c r="Q32" t="s">
        <v>197</v>
      </c>
      <c r="R32" t="s">
        <v>53</v>
      </c>
      <c r="S32" t="s">
        <v>116</v>
      </c>
      <c r="T32" t="s">
        <v>198</v>
      </c>
      <c r="U32" t="s">
        <v>108</v>
      </c>
    </row>
    <row r="33" spans="1:21" x14ac:dyDescent="0.3">
      <c r="A33" t="s">
        <v>187</v>
      </c>
      <c r="B33" t="s">
        <v>187</v>
      </c>
      <c r="C33" t="s">
        <v>194</v>
      </c>
      <c r="D33">
        <v>1</v>
      </c>
      <c r="E33" t="s">
        <v>107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219</v>
      </c>
      <c r="L33" t="s">
        <v>216</v>
      </c>
      <c r="M33">
        <v>33</v>
      </c>
      <c r="N33">
        <v>8451</v>
      </c>
      <c r="O33" t="s">
        <v>52</v>
      </c>
      <c r="P33" t="s">
        <v>52</v>
      </c>
      <c r="Q33" t="s">
        <v>197</v>
      </c>
      <c r="R33" t="s">
        <v>53</v>
      </c>
      <c r="S33" t="s">
        <v>116</v>
      </c>
      <c r="T33" t="s">
        <v>198</v>
      </c>
      <c r="U33" t="s">
        <v>108</v>
      </c>
    </row>
    <row r="34" spans="1:21" x14ac:dyDescent="0.3">
      <c r="A34" t="s">
        <v>187</v>
      </c>
      <c r="B34" t="s">
        <v>187</v>
      </c>
      <c r="C34" t="s">
        <v>194</v>
      </c>
      <c r="D34">
        <v>1</v>
      </c>
      <c r="E34" t="s">
        <v>107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220</v>
      </c>
      <c r="L34" t="s">
        <v>216</v>
      </c>
      <c r="M34">
        <v>33</v>
      </c>
      <c r="N34">
        <v>8451</v>
      </c>
      <c r="O34" t="s">
        <v>52</v>
      </c>
      <c r="P34" t="s">
        <v>52</v>
      </c>
      <c r="Q34" t="s">
        <v>197</v>
      </c>
      <c r="R34" t="s">
        <v>53</v>
      </c>
      <c r="S34" t="s">
        <v>116</v>
      </c>
      <c r="T34" t="s">
        <v>198</v>
      </c>
      <c r="U34" t="s">
        <v>108</v>
      </c>
    </row>
    <row r="35" spans="1:21" x14ac:dyDescent="0.3">
      <c r="A35" t="s">
        <v>187</v>
      </c>
      <c r="B35" t="s">
        <v>187</v>
      </c>
      <c r="C35" t="s">
        <v>194</v>
      </c>
      <c r="D35">
        <v>1</v>
      </c>
      <c r="E35" t="s">
        <v>107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221</v>
      </c>
      <c r="L35" t="s">
        <v>216</v>
      </c>
      <c r="M35">
        <v>33</v>
      </c>
      <c r="N35">
        <v>8451</v>
      </c>
      <c r="O35" t="s">
        <v>52</v>
      </c>
      <c r="P35" t="s">
        <v>52</v>
      </c>
      <c r="Q35" t="s">
        <v>197</v>
      </c>
      <c r="R35" t="s">
        <v>53</v>
      </c>
      <c r="S35" t="s">
        <v>116</v>
      </c>
      <c r="T35" t="s">
        <v>198</v>
      </c>
      <c r="U35" t="s">
        <v>108</v>
      </c>
    </row>
    <row r="36" spans="1:21" x14ac:dyDescent="0.3">
      <c r="A36" t="s">
        <v>187</v>
      </c>
      <c r="B36" t="s">
        <v>187</v>
      </c>
      <c r="C36" t="s">
        <v>194</v>
      </c>
      <c r="D36">
        <v>1</v>
      </c>
      <c r="E36" t="s">
        <v>107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222</v>
      </c>
      <c r="L36" t="s">
        <v>216</v>
      </c>
      <c r="M36">
        <v>33</v>
      </c>
      <c r="N36">
        <v>8451</v>
      </c>
      <c r="O36" t="s">
        <v>52</v>
      </c>
      <c r="P36" t="s">
        <v>52</v>
      </c>
      <c r="Q36" t="s">
        <v>197</v>
      </c>
      <c r="R36" t="s">
        <v>53</v>
      </c>
      <c r="S36" t="s">
        <v>116</v>
      </c>
      <c r="T36" t="s">
        <v>198</v>
      </c>
      <c r="U36" t="s">
        <v>108</v>
      </c>
    </row>
    <row r="37" spans="1:21" x14ac:dyDescent="0.3">
      <c r="A37" t="s">
        <v>187</v>
      </c>
      <c r="B37" t="s">
        <v>187</v>
      </c>
      <c r="C37" t="s">
        <v>194</v>
      </c>
      <c r="D37">
        <v>2</v>
      </c>
      <c r="E37" t="s">
        <v>118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219</v>
      </c>
      <c r="L37" t="s">
        <v>216</v>
      </c>
      <c r="M37">
        <v>33</v>
      </c>
      <c r="N37">
        <v>8451</v>
      </c>
      <c r="O37" t="s">
        <v>52</v>
      </c>
      <c r="P37" t="s">
        <v>52</v>
      </c>
      <c r="Q37" t="s">
        <v>197</v>
      </c>
      <c r="R37" t="s">
        <v>53</v>
      </c>
      <c r="S37" t="s">
        <v>116</v>
      </c>
      <c r="T37" t="s">
        <v>198</v>
      </c>
      <c r="U37" t="s">
        <v>108</v>
      </c>
    </row>
    <row r="38" spans="1:21" x14ac:dyDescent="0.3">
      <c r="A38" t="s">
        <v>187</v>
      </c>
      <c r="B38" t="s">
        <v>187</v>
      </c>
      <c r="C38" t="s">
        <v>194</v>
      </c>
      <c r="D38">
        <v>2</v>
      </c>
      <c r="E38" t="s">
        <v>118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221</v>
      </c>
      <c r="L38" t="s">
        <v>216</v>
      </c>
      <c r="M38">
        <v>33</v>
      </c>
      <c r="N38">
        <v>8451</v>
      </c>
      <c r="O38" t="s">
        <v>52</v>
      </c>
      <c r="P38" t="s">
        <v>52</v>
      </c>
      <c r="Q38" t="s">
        <v>197</v>
      </c>
      <c r="R38" t="s">
        <v>53</v>
      </c>
      <c r="S38" t="s">
        <v>116</v>
      </c>
      <c r="T38" t="s">
        <v>198</v>
      </c>
      <c r="U38" t="s">
        <v>108</v>
      </c>
    </row>
    <row r="39" spans="1:21" x14ac:dyDescent="0.3">
      <c r="A39" t="s">
        <v>187</v>
      </c>
      <c r="B39" t="s">
        <v>187</v>
      </c>
      <c r="C39" t="s">
        <v>194</v>
      </c>
      <c r="D39">
        <v>2</v>
      </c>
      <c r="E39" t="s">
        <v>118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220</v>
      </c>
      <c r="L39" t="s">
        <v>216</v>
      </c>
      <c r="M39">
        <v>33</v>
      </c>
      <c r="N39">
        <v>8451</v>
      </c>
      <c r="O39" t="s">
        <v>52</v>
      </c>
      <c r="P39" t="s">
        <v>52</v>
      </c>
      <c r="Q39" t="s">
        <v>197</v>
      </c>
      <c r="R39" t="s">
        <v>53</v>
      </c>
      <c r="S39" t="s">
        <v>116</v>
      </c>
      <c r="T39" t="s">
        <v>198</v>
      </c>
      <c r="U39" t="s">
        <v>108</v>
      </c>
    </row>
    <row r="40" spans="1:21" x14ac:dyDescent="0.3">
      <c r="A40" t="s">
        <v>187</v>
      </c>
      <c r="B40" t="s">
        <v>187</v>
      </c>
      <c r="C40" t="s">
        <v>194</v>
      </c>
      <c r="D40">
        <v>2</v>
      </c>
      <c r="E40" t="s">
        <v>118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222</v>
      </c>
      <c r="L40" t="s">
        <v>216</v>
      </c>
      <c r="M40">
        <v>33</v>
      </c>
      <c r="N40">
        <v>8451</v>
      </c>
      <c r="O40" t="s">
        <v>52</v>
      </c>
      <c r="P40" t="s">
        <v>52</v>
      </c>
      <c r="Q40" t="s">
        <v>197</v>
      </c>
      <c r="R40" t="s">
        <v>53</v>
      </c>
      <c r="S40" t="s">
        <v>116</v>
      </c>
      <c r="T40" t="s">
        <v>198</v>
      </c>
      <c r="U40" t="s">
        <v>108</v>
      </c>
    </row>
    <row r="41" spans="1:21" x14ac:dyDescent="0.3">
      <c r="A41" t="s">
        <v>187</v>
      </c>
      <c r="B41" t="s">
        <v>187</v>
      </c>
      <c r="C41" t="s">
        <v>194</v>
      </c>
      <c r="D41">
        <v>2</v>
      </c>
      <c r="E41" t="s">
        <v>118</v>
      </c>
      <c r="F41">
        <v>1</v>
      </c>
      <c r="G41">
        <v>-8</v>
      </c>
      <c r="H41">
        <v>-8</v>
      </c>
      <c r="I41" t="s">
        <v>117</v>
      </c>
      <c r="J41" t="s">
        <v>51</v>
      </c>
      <c r="K41" t="s">
        <v>217</v>
      </c>
      <c r="L41" t="s">
        <v>218</v>
      </c>
      <c r="M41">
        <v>61</v>
      </c>
      <c r="O41" t="s">
        <v>52</v>
      </c>
      <c r="P41" t="s">
        <v>52</v>
      </c>
      <c r="Q41" t="s">
        <v>197</v>
      </c>
      <c r="R41" t="s">
        <v>53</v>
      </c>
      <c r="S41" t="s">
        <v>116</v>
      </c>
      <c r="T41" t="s">
        <v>198</v>
      </c>
      <c r="U41" t="s">
        <v>108</v>
      </c>
    </row>
    <row r="42" spans="1:21" x14ac:dyDescent="0.3">
      <c r="A42" t="s">
        <v>187</v>
      </c>
      <c r="B42" t="s">
        <v>187</v>
      </c>
      <c r="C42" t="s">
        <v>194</v>
      </c>
      <c r="D42">
        <v>3</v>
      </c>
      <c r="E42" t="s">
        <v>105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220</v>
      </c>
      <c r="L42" t="s">
        <v>216</v>
      </c>
      <c r="M42">
        <v>33</v>
      </c>
      <c r="N42">
        <v>8451</v>
      </c>
      <c r="O42" t="s">
        <v>52</v>
      </c>
      <c r="P42" t="s">
        <v>52</v>
      </c>
      <c r="Q42" t="s">
        <v>197</v>
      </c>
      <c r="R42" t="s">
        <v>53</v>
      </c>
      <c r="S42" t="s">
        <v>116</v>
      </c>
      <c r="T42" t="s">
        <v>198</v>
      </c>
      <c r="U42" t="s">
        <v>108</v>
      </c>
    </row>
    <row r="43" spans="1:21" x14ac:dyDescent="0.3">
      <c r="A43" t="s">
        <v>187</v>
      </c>
      <c r="B43" t="s">
        <v>187</v>
      </c>
      <c r="C43" t="s">
        <v>194</v>
      </c>
      <c r="D43">
        <v>3</v>
      </c>
      <c r="E43" t="s">
        <v>105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221</v>
      </c>
      <c r="L43" t="s">
        <v>216</v>
      </c>
      <c r="M43">
        <v>33</v>
      </c>
      <c r="N43">
        <v>8451</v>
      </c>
      <c r="O43" t="s">
        <v>52</v>
      </c>
      <c r="P43" t="s">
        <v>52</v>
      </c>
      <c r="Q43" t="s">
        <v>197</v>
      </c>
      <c r="R43" t="s">
        <v>53</v>
      </c>
      <c r="S43" t="s">
        <v>116</v>
      </c>
      <c r="T43" t="s">
        <v>198</v>
      </c>
      <c r="U43" t="s">
        <v>108</v>
      </c>
    </row>
    <row r="44" spans="1:21" x14ac:dyDescent="0.3">
      <c r="A44" t="s">
        <v>187</v>
      </c>
      <c r="B44" t="s">
        <v>187</v>
      </c>
      <c r="C44" t="s">
        <v>194</v>
      </c>
      <c r="D44">
        <v>3</v>
      </c>
      <c r="E44" t="s">
        <v>105</v>
      </c>
      <c r="F44">
        <v>1</v>
      </c>
      <c r="G44">
        <v>-327</v>
      </c>
      <c r="H44">
        <v>-327</v>
      </c>
      <c r="I44" t="s">
        <v>117</v>
      </c>
      <c r="J44" t="s">
        <v>51</v>
      </c>
      <c r="K44" t="s">
        <v>217</v>
      </c>
      <c r="L44" t="s">
        <v>218</v>
      </c>
      <c r="M44">
        <v>61</v>
      </c>
      <c r="O44" t="s">
        <v>52</v>
      </c>
      <c r="P44" t="s">
        <v>52</v>
      </c>
      <c r="Q44" t="s">
        <v>197</v>
      </c>
      <c r="R44" t="s">
        <v>53</v>
      </c>
      <c r="S44" t="s">
        <v>116</v>
      </c>
      <c r="T44" t="s">
        <v>198</v>
      </c>
      <c r="U44" t="s">
        <v>108</v>
      </c>
    </row>
    <row r="45" spans="1:21" x14ac:dyDescent="0.3">
      <c r="A45" t="s">
        <v>187</v>
      </c>
      <c r="B45" t="s">
        <v>187</v>
      </c>
      <c r="C45" t="s">
        <v>194</v>
      </c>
      <c r="D45">
        <v>3</v>
      </c>
      <c r="E45" t="s">
        <v>105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219</v>
      </c>
      <c r="L45" t="s">
        <v>216</v>
      </c>
      <c r="M45">
        <v>33</v>
      </c>
      <c r="N45">
        <v>8451</v>
      </c>
      <c r="O45" t="s">
        <v>52</v>
      </c>
      <c r="P45" t="s">
        <v>52</v>
      </c>
      <c r="Q45" t="s">
        <v>197</v>
      </c>
      <c r="R45" t="s">
        <v>53</v>
      </c>
      <c r="S45" t="s">
        <v>116</v>
      </c>
      <c r="T45" t="s">
        <v>198</v>
      </c>
      <c r="U45" t="s">
        <v>108</v>
      </c>
    </row>
    <row r="46" spans="1:21" x14ac:dyDescent="0.3">
      <c r="A46" t="s">
        <v>187</v>
      </c>
      <c r="B46" t="s">
        <v>187</v>
      </c>
      <c r="C46" t="s">
        <v>194</v>
      </c>
      <c r="D46">
        <v>3</v>
      </c>
      <c r="E46" t="s">
        <v>105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222</v>
      </c>
      <c r="L46" t="s">
        <v>216</v>
      </c>
      <c r="M46">
        <v>33</v>
      </c>
      <c r="N46">
        <v>8451</v>
      </c>
      <c r="O46" t="s">
        <v>52</v>
      </c>
      <c r="P46" t="s">
        <v>52</v>
      </c>
      <c r="Q46" t="s">
        <v>197</v>
      </c>
      <c r="R46" t="s">
        <v>53</v>
      </c>
      <c r="S46" t="s">
        <v>116</v>
      </c>
      <c r="T46" t="s">
        <v>198</v>
      </c>
      <c r="U46" t="s">
        <v>108</v>
      </c>
    </row>
    <row r="47" spans="1:21" x14ac:dyDescent="0.3">
      <c r="A47" t="s">
        <v>187</v>
      </c>
      <c r="B47" t="s">
        <v>187</v>
      </c>
      <c r="C47" t="s">
        <v>194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117</v>
      </c>
      <c r="J47" t="s">
        <v>51</v>
      </c>
      <c r="K47" t="s">
        <v>217</v>
      </c>
      <c r="L47" t="s">
        <v>218</v>
      </c>
      <c r="M47">
        <v>61</v>
      </c>
      <c r="O47" t="s">
        <v>52</v>
      </c>
      <c r="P47" t="s">
        <v>52</v>
      </c>
      <c r="Q47" t="s">
        <v>197</v>
      </c>
      <c r="R47" t="s">
        <v>53</v>
      </c>
      <c r="S47" t="s">
        <v>116</v>
      </c>
      <c r="T47" t="s">
        <v>198</v>
      </c>
      <c r="U47" t="s">
        <v>108</v>
      </c>
    </row>
    <row r="48" spans="1:21" x14ac:dyDescent="0.3">
      <c r="A48" t="s">
        <v>187</v>
      </c>
      <c r="B48" t="s">
        <v>187</v>
      </c>
      <c r="C48" t="s">
        <v>194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221</v>
      </c>
      <c r="L48" t="s">
        <v>216</v>
      </c>
      <c r="M48">
        <v>33</v>
      </c>
      <c r="N48">
        <v>8451</v>
      </c>
      <c r="O48" t="s">
        <v>52</v>
      </c>
      <c r="P48" t="s">
        <v>52</v>
      </c>
      <c r="Q48" t="s">
        <v>197</v>
      </c>
      <c r="R48" t="s">
        <v>53</v>
      </c>
      <c r="S48" t="s">
        <v>116</v>
      </c>
      <c r="T48" t="s">
        <v>198</v>
      </c>
      <c r="U48" t="s">
        <v>108</v>
      </c>
    </row>
    <row r="49" spans="1:21" x14ac:dyDescent="0.3">
      <c r="A49" t="s">
        <v>187</v>
      </c>
      <c r="B49" t="s">
        <v>187</v>
      </c>
      <c r="C49" t="s">
        <v>194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220</v>
      </c>
      <c r="L49" t="s">
        <v>216</v>
      </c>
      <c r="M49">
        <v>33</v>
      </c>
      <c r="N49">
        <v>8451</v>
      </c>
      <c r="O49" t="s">
        <v>52</v>
      </c>
      <c r="P49" t="s">
        <v>52</v>
      </c>
      <c r="Q49" t="s">
        <v>197</v>
      </c>
      <c r="R49" t="s">
        <v>53</v>
      </c>
      <c r="S49" t="s">
        <v>116</v>
      </c>
      <c r="T49" t="s">
        <v>198</v>
      </c>
      <c r="U49" t="s">
        <v>108</v>
      </c>
    </row>
    <row r="50" spans="1:21" x14ac:dyDescent="0.3">
      <c r="A50" t="s">
        <v>187</v>
      </c>
      <c r="B50" t="s">
        <v>187</v>
      </c>
      <c r="C50" t="s">
        <v>194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219</v>
      </c>
      <c r="L50" t="s">
        <v>216</v>
      </c>
      <c r="M50">
        <v>33</v>
      </c>
      <c r="N50">
        <v>8451</v>
      </c>
      <c r="O50" t="s">
        <v>52</v>
      </c>
      <c r="P50" t="s">
        <v>52</v>
      </c>
      <c r="Q50" t="s">
        <v>197</v>
      </c>
      <c r="R50" t="s">
        <v>53</v>
      </c>
      <c r="S50" t="s">
        <v>116</v>
      </c>
      <c r="T50" t="s">
        <v>198</v>
      </c>
      <c r="U50" t="s">
        <v>108</v>
      </c>
    </row>
    <row r="51" spans="1:21" x14ac:dyDescent="0.3">
      <c r="A51" t="s">
        <v>187</v>
      </c>
      <c r="B51" t="s">
        <v>187</v>
      </c>
      <c r="C51" t="s">
        <v>194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222</v>
      </c>
      <c r="L51" t="s">
        <v>216</v>
      </c>
      <c r="M51">
        <v>33</v>
      </c>
      <c r="N51">
        <v>8451</v>
      </c>
      <c r="O51" t="s">
        <v>52</v>
      </c>
      <c r="P51" t="s">
        <v>52</v>
      </c>
      <c r="Q51" t="s">
        <v>197</v>
      </c>
      <c r="R51" t="s">
        <v>53</v>
      </c>
      <c r="S51" t="s">
        <v>116</v>
      </c>
      <c r="T51" t="s">
        <v>198</v>
      </c>
      <c r="U51" t="s">
        <v>108</v>
      </c>
    </row>
    <row r="52" spans="1:21" x14ac:dyDescent="0.3">
      <c r="A52" t="s">
        <v>187</v>
      </c>
      <c r="B52" t="s">
        <v>187</v>
      </c>
      <c r="C52" t="s">
        <v>194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219</v>
      </c>
      <c r="L52" t="s">
        <v>216</v>
      </c>
      <c r="M52">
        <v>33</v>
      </c>
      <c r="N52">
        <v>8451</v>
      </c>
      <c r="O52" t="s">
        <v>52</v>
      </c>
      <c r="P52" t="s">
        <v>52</v>
      </c>
      <c r="Q52" t="s">
        <v>197</v>
      </c>
      <c r="R52" t="s">
        <v>53</v>
      </c>
      <c r="S52" t="s">
        <v>116</v>
      </c>
      <c r="T52" t="s">
        <v>198</v>
      </c>
      <c r="U52" t="s">
        <v>108</v>
      </c>
    </row>
    <row r="53" spans="1:21" x14ac:dyDescent="0.3">
      <c r="A53" t="s">
        <v>187</v>
      </c>
      <c r="B53" t="s">
        <v>187</v>
      </c>
      <c r="C53" t="s">
        <v>194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221</v>
      </c>
      <c r="L53" t="s">
        <v>216</v>
      </c>
      <c r="M53">
        <v>33</v>
      </c>
      <c r="N53">
        <v>8451</v>
      </c>
      <c r="O53" t="s">
        <v>52</v>
      </c>
      <c r="P53" t="s">
        <v>52</v>
      </c>
      <c r="Q53" t="s">
        <v>197</v>
      </c>
      <c r="R53" t="s">
        <v>53</v>
      </c>
      <c r="S53" t="s">
        <v>116</v>
      </c>
      <c r="T53" t="s">
        <v>198</v>
      </c>
      <c r="U53" t="s">
        <v>108</v>
      </c>
    </row>
    <row r="54" spans="1:21" x14ac:dyDescent="0.3">
      <c r="A54" t="s">
        <v>187</v>
      </c>
      <c r="B54" t="s">
        <v>187</v>
      </c>
      <c r="C54" t="s">
        <v>194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222</v>
      </c>
      <c r="L54" t="s">
        <v>216</v>
      </c>
      <c r="M54">
        <v>33</v>
      </c>
      <c r="N54">
        <v>8451</v>
      </c>
      <c r="O54" t="s">
        <v>52</v>
      </c>
      <c r="P54" t="s">
        <v>52</v>
      </c>
      <c r="Q54" t="s">
        <v>197</v>
      </c>
      <c r="R54" t="s">
        <v>53</v>
      </c>
      <c r="S54" t="s">
        <v>116</v>
      </c>
      <c r="T54" t="s">
        <v>198</v>
      </c>
      <c r="U54" t="s">
        <v>108</v>
      </c>
    </row>
    <row r="55" spans="1:21" x14ac:dyDescent="0.3">
      <c r="A55" t="s">
        <v>187</v>
      </c>
      <c r="B55" t="s">
        <v>187</v>
      </c>
      <c r="C55" t="s">
        <v>194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117</v>
      </c>
      <c r="J55" t="s">
        <v>51</v>
      </c>
      <c r="K55" t="s">
        <v>217</v>
      </c>
      <c r="L55" t="s">
        <v>218</v>
      </c>
      <c r="M55">
        <v>61</v>
      </c>
      <c r="O55" t="s">
        <v>52</v>
      </c>
      <c r="P55" t="s">
        <v>52</v>
      </c>
      <c r="Q55" t="s">
        <v>197</v>
      </c>
      <c r="R55" t="s">
        <v>53</v>
      </c>
      <c r="S55" t="s">
        <v>116</v>
      </c>
      <c r="T55" t="s">
        <v>198</v>
      </c>
      <c r="U55" t="s">
        <v>108</v>
      </c>
    </row>
    <row r="56" spans="1:21" x14ac:dyDescent="0.3">
      <c r="A56" t="s">
        <v>187</v>
      </c>
      <c r="B56" t="s">
        <v>187</v>
      </c>
      <c r="C56" t="s">
        <v>194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220</v>
      </c>
      <c r="L56" t="s">
        <v>216</v>
      </c>
      <c r="M56">
        <v>33</v>
      </c>
      <c r="N56">
        <v>8451</v>
      </c>
      <c r="O56" t="s">
        <v>52</v>
      </c>
      <c r="P56" t="s">
        <v>52</v>
      </c>
      <c r="Q56" t="s">
        <v>197</v>
      </c>
      <c r="R56" t="s">
        <v>53</v>
      </c>
      <c r="S56" t="s">
        <v>116</v>
      </c>
      <c r="T56" t="s">
        <v>198</v>
      </c>
      <c r="U56" t="s">
        <v>108</v>
      </c>
    </row>
    <row r="57" spans="1:21" x14ac:dyDescent="0.3">
      <c r="A57" t="s">
        <v>189</v>
      </c>
      <c r="B57" t="s">
        <v>189</v>
      </c>
      <c r="C57" t="s">
        <v>194</v>
      </c>
      <c r="D57">
        <v>1</v>
      </c>
      <c r="E57" t="s">
        <v>107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223</v>
      </c>
      <c r="L57" t="s">
        <v>224</v>
      </c>
      <c r="M57">
        <v>33</v>
      </c>
      <c r="N57">
        <v>8768</v>
      </c>
      <c r="O57" t="s">
        <v>52</v>
      </c>
      <c r="P57" t="s">
        <v>52</v>
      </c>
      <c r="Q57" t="s">
        <v>197</v>
      </c>
      <c r="R57" t="s">
        <v>53</v>
      </c>
      <c r="S57" t="s">
        <v>116</v>
      </c>
      <c r="T57" t="s">
        <v>198</v>
      </c>
      <c r="U57" t="s">
        <v>108</v>
      </c>
    </row>
    <row r="58" spans="1:21" x14ac:dyDescent="0.3">
      <c r="A58" t="s">
        <v>189</v>
      </c>
      <c r="B58" t="s">
        <v>189</v>
      </c>
      <c r="C58" t="s">
        <v>194</v>
      </c>
      <c r="D58">
        <v>1</v>
      </c>
      <c r="E58" t="s">
        <v>107</v>
      </c>
      <c r="F58">
        <v>1</v>
      </c>
      <c r="G58">
        <v>-337</v>
      </c>
      <c r="H58">
        <v>-337</v>
      </c>
      <c r="I58" t="s">
        <v>117</v>
      </c>
      <c r="J58" t="s">
        <v>51</v>
      </c>
      <c r="K58" t="s">
        <v>225</v>
      </c>
      <c r="L58" t="s">
        <v>226</v>
      </c>
      <c r="M58">
        <v>61</v>
      </c>
      <c r="O58" t="s">
        <v>52</v>
      </c>
      <c r="P58" t="s">
        <v>52</v>
      </c>
      <c r="Q58" t="s">
        <v>197</v>
      </c>
      <c r="R58" t="s">
        <v>53</v>
      </c>
      <c r="S58" t="s">
        <v>116</v>
      </c>
      <c r="T58" t="s">
        <v>198</v>
      </c>
      <c r="U58" t="s">
        <v>108</v>
      </c>
    </row>
    <row r="59" spans="1:21" x14ac:dyDescent="0.3">
      <c r="A59" t="s">
        <v>189</v>
      </c>
      <c r="B59" t="s">
        <v>189</v>
      </c>
      <c r="C59" t="s">
        <v>194</v>
      </c>
      <c r="D59">
        <v>1</v>
      </c>
      <c r="E59" t="s">
        <v>107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227</v>
      </c>
      <c r="L59" t="s">
        <v>224</v>
      </c>
      <c r="M59">
        <v>33</v>
      </c>
      <c r="N59">
        <v>8768</v>
      </c>
      <c r="O59" t="s">
        <v>52</v>
      </c>
      <c r="P59" t="s">
        <v>52</v>
      </c>
      <c r="Q59" t="s">
        <v>197</v>
      </c>
      <c r="R59" t="s">
        <v>53</v>
      </c>
      <c r="S59" t="s">
        <v>116</v>
      </c>
      <c r="T59" t="s">
        <v>198</v>
      </c>
      <c r="U59" t="s">
        <v>108</v>
      </c>
    </row>
    <row r="60" spans="1:21" x14ac:dyDescent="0.3">
      <c r="A60" t="s">
        <v>189</v>
      </c>
      <c r="B60" t="s">
        <v>189</v>
      </c>
      <c r="C60" t="s">
        <v>194</v>
      </c>
      <c r="D60">
        <v>1</v>
      </c>
      <c r="E60" t="s">
        <v>107</v>
      </c>
      <c r="F60">
        <v>1</v>
      </c>
      <c r="G60">
        <v>-4</v>
      </c>
      <c r="H60">
        <v>-4</v>
      </c>
      <c r="I60" t="s">
        <v>119</v>
      </c>
      <c r="J60" t="s">
        <v>58</v>
      </c>
      <c r="K60" t="s">
        <v>228</v>
      </c>
      <c r="L60" t="s">
        <v>226</v>
      </c>
      <c r="M60">
        <v>61</v>
      </c>
      <c r="O60" t="s">
        <v>52</v>
      </c>
      <c r="P60" t="s">
        <v>52</v>
      </c>
      <c r="Q60" t="s">
        <v>197</v>
      </c>
      <c r="R60" t="s">
        <v>53</v>
      </c>
      <c r="S60" t="s">
        <v>116</v>
      </c>
      <c r="T60" t="s">
        <v>198</v>
      </c>
      <c r="U60" t="s">
        <v>108</v>
      </c>
    </row>
    <row r="61" spans="1:21" x14ac:dyDescent="0.3">
      <c r="A61" t="s">
        <v>189</v>
      </c>
      <c r="B61" t="s">
        <v>189</v>
      </c>
      <c r="C61" t="s">
        <v>194</v>
      </c>
      <c r="D61">
        <v>1</v>
      </c>
      <c r="E61" t="s">
        <v>107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229</v>
      </c>
      <c r="L61" t="s">
        <v>224</v>
      </c>
      <c r="M61">
        <v>33</v>
      </c>
      <c r="N61">
        <v>8768</v>
      </c>
      <c r="O61" t="s">
        <v>52</v>
      </c>
      <c r="P61" t="s">
        <v>52</v>
      </c>
      <c r="Q61" t="s">
        <v>197</v>
      </c>
      <c r="R61" t="s">
        <v>53</v>
      </c>
      <c r="S61" t="s">
        <v>116</v>
      </c>
      <c r="T61" t="s">
        <v>198</v>
      </c>
      <c r="U61" t="s">
        <v>108</v>
      </c>
    </row>
    <row r="62" spans="1:21" x14ac:dyDescent="0.3">
      <c r="A62" t="s">
        <v>189</v>
      </c>
      <c r="B62" t="s">
        <v>189</v>
      </c>
      <c r="C62" t="s">
        <v>194</v>
      </c>
      <c r="D62">
        <v>1</v>
      </c>
      <c r="E62" t="s">
        <v>107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230</v>
      </c>
      <c r="L62" t="s">
        <v>224</v>
      </c>
      <c r="M62">
        <v>33</v>
      </c>
      <c r="N62">
        <v>8768</v>
      </c>
      <c r="O62" t="s">
        <v>52</v>
      </c>
      <c r="P62" t="s">
        <v>52</v>
      </c>
      <c r="Q62" t="s">
        <v>197</v>
      </c>
      <c r="R62" t="s">
        <v>53</v>
      </c>
      <c r="S62" t="s">
        <v>116</v>
      </c>
      <c r="T62" t="s">
        <v>198</v>
      </c>
      <c r="U62" t="s">
        <v>108</v>
      </c>
    </row>
    <row r="63" spans="1:21" x14ac:dyDescent="0.3">
      <c r="A63" t="s">
        <v>189</v>
      </c>
      <c r="B63" t="s">
        <v>189</v>
      </c>
      <c r="C63" t="s">
        <v>194</v>
      </c>
      <c r="D63">
        <v>2</v>
      </c>
      <c r="E63" t="s">
        <v>118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223</v>
      </c>
      <c r="L63" t="s">
        <v>224</v>
      </c>
      <c r="M63">
        <v>33</v>
      </c>
      <c r="N63">
        <v>8768</v>
      </c>
      <c r="O63" t="s">
        <v>52</v>
      </c>
      <c r="P63" t="s">
        <v>52</v>
      </c>
      <c r="Q63" t="s">
        <v>197</v>
      </c>
      <c r="R63" t="s">
        <v>53</v>
      </c>
      <c r="S63" t="s">
        <v>116</v>
      </c>
      <c r="T63" t="s">
        <v>198</v>
      </c>
      <c r="U63" t="s">
        <v>108</v>
      </c>
    </row>
    <row r="64" spans="1:21" x14ac:dyDescent="0.3">
      <c r="A64" t="s">
        <v>189</v>
      </c>
      <c r="B64" t="s">
        <v>189</v>
      </c>
      <c r="C64" t="s">
        <v>194</v>
      </c>
      <c r="D64">
        <v>2</v>
      </c>
      <c r="E64" t="s">
        <v>118</v>
      </c>
      <c r="F64">
        <v>1</v>
      </c>
      <c r="G64">
        <v>-2</v>
      </c>
      <c r="H64">
        <v>-2</v>
      </c>
      <c r="I64" t="s">
        <v>117</v>
      </c>
      <c r="J64" t="s">
        <v>51</v>
      </c>
      <c r="K64" t="s">
        <v>225</v>
      </c>
      <c r="L64" t="s">
        <v>226</v>
      </c>
      <c r="M64">
        <v>61</v>
      </c>
      <c r="O64" t="s">
        <v>52</v>
      </c>
      <c r="P64" t="s">
        <v>52</v>
      </c>
      <c r="Q64" t="s">
        <v>197</v>
      </c>
      <c r="R64" t="s">
        <v>53</v>
      </c>
      <c r="S64" t="s">
        <v>116</v>
      </c>
      <c r="T64" t="s">
        <v>198</v>
      </c>
      <c r="U64" t="s">
        <v>108</v>
      </c>
    </row>
    <row r="65" spans="1:21" x14ac:dyDescent="0.3">
      <c r="A65" t="s">
        <v>189</v>
      </c>
      <c r="B65" t="s">
        <v>189</v>
      </c>
      <c r="C65" t="s">
        <v>194</v>
      </c>
      <c r="D65">
        <v>2</v>
      </c>
      <c r="E65" t="s">
        <v>118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229</v>
      </c>
      <c r="L65" t="s">
        <v>224</v>
      </c>
      <c r="M65">
        <v>33</v>
      </c>
      <c r="N65">
        <v>8768</v>
      </c>
      <c r="O65" t="s">
        <v>52</v>
      </c>
      <c r="P65" t="s">
        <v>52</v>
      </c>
      <c r="Q65" t="s">
        <v>197</v>
      </c>
      <c r="R65" t="s">
        <v>53</v>
      </c>
      <c r="S65" t="s">
        <v>116</v>
      </c>
      <c r="T65" t="s">
        <v>198</v>
      </c>
      <c r="U65" t="s">
        <v>108</v>
      </c>
    </row>
    <row r="66" spans="1:21" x14ac:dyDescent="0.3">
      <c r="A66" t="s">
        <v>189</v>
      </c>
      <c r="B66" t="s">
        <v>189</v>
      </c>
      <c r="C66" t="s">
        <v>194</v>
      </c>
      <c r="D66">
        <v>2</v>
      </c>
      <c r="E66" t="s">
        <v>118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227</v>
      </c>
      <c r="L66" t="s">
        <v>224</v>
      </c>
      <c r="M66">
        <v>33</v>
      </c>
      <c r="N66">
        <v>8768</v>
      </c>
      <c r="O66" t="s">
        <v>52</v>
      </c>
      <c r="P66" t="s">
        <v>52</v>
      </c>
      <c r="Q66" t="s">
        <v>197</v>
      </c>
      <c r="R66" t="s">
        <v>53</v>
      </c>
      <c r="S66" t="s">
        <v>116</v>
      </c>
      <c r="T66" t="s">
        <v>198</v>
      </c>
      <c r="U66" t="s">
        <v>108</v>
      </c>
    </row>
    <row r="67" spans="1:21" x14ac:dyDescent="0.3">
      <c r="A67" t="s">
        <v>189</v>
      </c>
      <c r="B67" t="s">
        <v>189</v>
      </c>
      <c r="C67" t="s">
        <v>194</v>
      </c>
      <c r="D67">
        <v>2</v>
      </c>
      <c r="E67" t="s">
        <v>118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230</v>
      </c>
      <c r="L67" t="s">
        <v>224</v>
      </c>
      <c r="M67">
        <v>33</v>
      </c>
      <c r="N67">
        <v>8768</v>
      </c>
      <c r="O67" t="s">
        <v>52</v>
      </c>
      <c r="P67" t="s">
        <v>52</v>
      </c>
      <c r="Q67" t="s">
        <v>197</v>
      </c>
      <c r="R67" t="s">
        <v>53</v>
      </c>
      <c r="S67" t="s">
        <v>116</v>
      </c>
      <c r="T67" t="s">
        <v>198</v>
      </c>
      <c r="U67" t="s">
        <v>108</v>
      </c>
    </row>
    <row r="68" spans="1:21" x14ac:dyDescent="0.3">
      <c r="A68" t="s">
        <v>189</v>
      </c>
      <c r="B68" t="s">
        <v>189</v>
      </c>
      <c r="C68" t="s">
        <v>194</v>
      </c>
      <c r="D68">
        <v>3</v>
      </c>
      <c r="E68" t="s">
        <v>105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229</v>
      </c>
      <c r="L68" t="s">
        <v>224</v>
      </c>
      <c r="M68">
        <v>33</v>
      </c>
      <c r="N68">
        <v>8768</v>
      </c>
      <c r="O68" t="s">
        <v>52</v>
      </c>
      <c r="P68" t="s">
        <v>52</v>
      </c>
      <c r="Q68" t="s">
        <v>197</v>
      </c>
      <c r="R68" t="s">
        <v>53</v>
      </c>
      <c r="S68" t="s">
        <v>116</v>
      </c>
      <c r="T68" t="s">
        <v>198</v>
      </c>
      <c r="U68" t="s">
        <v>108</v>
      </c>
    </row>
    <row r="69" spans="1:21" x14ac:dyDescent="0.3">
      <c r="A69" t="s">
        <v>189</v>
      </c>
      <c r="B69" t="s">
        <v>189</v>
      </c>
      <c r="C69" t="s">
        <v>194</v>
      </c>
      <c r="D69">
        <v>3</v>
      </c>
      <c r="E69" t="s">
        <v>105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227</v>
      </c>
      <c r="L69" t="s">
        <v>224</v>
      </c>
      <c r="M69">
        <v>33</v>
      </c>
      <c r="N69">
        <v>8768</v>
      </c>
      <c r="O69" t="s">
        <v>52</v>
      </c>
      <c r="P69" t="s">
        <v>52</v>
      </c>
      <c r="Q69" t="s">
        <v>197</v>
      </c>
      <c r="R69" t="s">
        <v>53</v>
      </c>
      <c r="S69" t="s">
        <v>116</v>
      </c>
      <c r="T69" t="s">
        <v>198</v>
      </c>
      <c r="U69" t="s">
        <v>108</v>
      </c>
    </row>
    <row r="70" spans="1:21" x14ac:dyDescent="0.3">
      <c r="A70" t="s">
        <v>189</v>
      </c>
      <c r="B70" t="s">
        <v>189</v>
      </c>
      <c r="C70" t="s">
        <v>194</v>
      </c>
      <c r="D70">
        <v>3</v>
      </c>
      <c r="E70" t="s">
        <v>105</v>
      </c>
      <c r="F70">
        <v>1</v>
      </c>
      <c r="G70">
        <v>-1</v>
      </c>
      <c r="H70">
        <v>-1</v>
      </c>
      <c r="I70" t="s">
        <v>119</v>
      </c>
      <c r="J70" t="s">
        <v>58</v>
      </c>
      <c r="K70" t="s">
        <v>228</v>
      </c>
      <c r="L70" t="s">
        <v>226</v>
      </c>
      <c r="M70">
        <v>61</v>
      </c>
      <c r="O70" t="s">
        <v>52</v>
      </c>
      <c r="P70" t="s">
        <v>52</v>
      </c>
      <c r="Q70" t="s">
        <v>197</v>
      </c>
      <c r="R70" t="s">
        <v>53</v>
      </c>
      <c r="S70" t="s">
        <v>116</v>
      </c>
      <c r="T70" t="s">
        <v>198</v>
      </c>
      <c r="U70" t="s">
        <v>108</v>
      </c>
    </row>
    <row r="71" spans="1:21" x14ac:dyDescent="0.3">
      <c r="A71" t="s">
        <v>189</v>
      </c>
      <c r="B71" t="s">
        <v>189</v>
      </c>
      <c r="C71" t="s">
        <v>194</v>
      </c>
      <c r="D71">
        <v>3</v>
      </c>
      <c r="E71" t="s">
        <v>105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223</v>
      </c>
      <c r="L71" t="s">
        <v>224</v>
      </c>
      <c r="M71">
        <v>33</v>
      </c>
      <c r="N71">
        <v>8768</v>
      </c>
      <c r="O71" t="s">
        <v>52</v>
      </c>
      <c r="P71" t="s">
        <v>52</v>
      </c>
      <c r="Q71" t="s">
        <v>197</v>
      </c>
      <c r="R71" t="s">
        <v>53</v>
      </c>
      <c r="S71" t="s">
        <v>116</v>
      </c>
      <c r="T71" t="s">
        <v>198</v>
      </c>
      <c r="U71" t="s">
        <v>108</v>
      </c>
    </row>
    <row r="72" spans="1:21" x14ac:dyDescent="0.3">
      <c r="A72" t="s">
        <v>189</v>
      </c>
      <c r="B72" t="s">
        <v>189</v>
      </c>
      <c r="C72" t="s">
        <v>194</v>
      </c>
      <c r="D72">
        <v>3</v>
      </c>
      <c r="E72" t="s">
        <v>105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230</v>
      </c>
      <c r="L72" t="s">
        <v>224</v>
      </c>
      <c r="M72">
        <v>33</v>
      </c>
      <c r="N72">
        <v>8768</v>
      </c>
      <c r="O72" t="s">
        <v>52</v>
      </c>
      <c r="P72" t="s">
        <v>52</v>
      </c>
      <c r="Q72" t="s">
        <v>197</v>
      </c>
      <c r="R72" t="s">
        <v>53</v>
      </c>
      <c r="S72" t="s">
        <v>116</v>
      </c>
      <c r="T72" t="s">
        <v>198</v>
      </c>
      <c r="U72" t="s">
        <v>108</v>
      </c>
    </row>
    <row r="73" spans="1:21" x14ac:dyDescent="0.3">
      <c r="A73" t="s">
        <v>189</v>
      </c>
      <c r="B73" t="s">
        <v>189</v>
      </c>
      <c r="C73" t="s">
        <v>194</v>
      </c>
      <c r="D73">
        <v>3</v>
      </c>
      <c r="E73" t="s">
        <v>105</v>
      </c>
      <c r="F73">
        <v>1</v>
      </c>
      <c r="G73">
        <v>-99</v>
      </c>
      <c r="H73">
        <v>-99</v>
      </c>
      <c r="I73" t="s">
        <v>117</v>
      </c>
      <c r="J73" t="s">
        <v>51</v>
      </c>
      <c r="K73" t="s">
        <v>225</v>
      </c>
      <c r="L73" t="s">
        <v>226</v>
      </c>
      <c r="M73">
        <v>61</v>
      </c>
      <c r="O73" t="s">
        <v>52</v>
      </c>
      <c r="P73" t="s">
        <v>52</v>
      </c>
      <c r="Q73" t="s">
        <v>197</v>
      </c>
      <c r="R73" t="s">
        <v>53</v>
      </c>
      <c r="S73" t="s">
        <v>116</v>
      </c>
      <c r="T73" t="s">
        <v>198</v>
      </c>
      <c r="U73" t="s">
        <v>108</v>
      </c>
    </row>
    <row r="74" spans="1:21" x14ac:dyDescent="0.3">
      <c r="A74" t="s">
        <v>189</v>
      </c>
      <c r="B74" t="s">
        <v>189</v>
      </c>
      <c r="C74" t="s">
        <v>194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119</v>
      </c>
      <c r="J74" t="s">
        <v>58</v>
      </c>
      <c r="K74" t="s">
        <v>228</v>
      </c>
      <c r="L74" t="s">
        <v>226</v>
      </c>
      <c r="M74">
        <v>61</v>
      </c>
      <c r="O74" t="s">
        <v>52</v>
      </c>
      <c r="P74" t="s">
        <v>52</v>
      </c>
      <c r="Q74" t="s">
        <v>197</v>
      </c>
      <c r="R74" t="s">
        <v>53</v>
      </c>
      <c r="S74" t="s">
        <v>116</v>
      </c>
      <c r="T74" t="s">
        <v>198</v>
      </c>
      <c r="U74" t="s">
        <v>108</v>
      </c>
    </row>
    <row r="75" spans="1:21" x14ac:dyDescent="0.3">
      <c r="A75" t="s">
        <v>189</v>
      </c>
      <c r="B75" t="s">
        <v>189</v>
      </c>
      <c r="C75" t="s">
        <v>194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117</v>
      </c>
      <c r="J75" t="s">
        <v>51</v>
      </c>
      <c r="K75" t="s">
        <v>225</v>
      </c>
      <c r="L75" t="s">
        <v>226</v>
      </c>
      <c r="M75">
        <v>61</v>
      </c>
      <c r="O75" t="s">
        <v>52</v>
      </c>
      <c r="P75" t="s">
        <v>52</v>
      </c>
      <c r="Q75" t="s">
        <v>197</v>
      </c>
      <c r="R75" t="s">
        <v>53</v>
      </c>
      <c r="S75" t="s">
        <v>116</v>
      </c>
      <c r="T75" t="s">
        <v>198</v>
      </c>
      <c r="U75" t="s">
        <v>108</v>
      </c>
    </row>
    <row r="76" spans="1:21" x14ac:dyDescent="0.3">
      <c r="A76" t="s">
        <v>189</v>
      </c>
      <c r="B76" t="s">
        <v>189</v>
      </c>
      <c r="C76" t="s">
        <v>194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227</v>
      </c>
      <c r="L76" t="s">
        <v>224</v>
      </c>
      <c r="M76">
        <v>33</v>
      </c>
      <c r="N76">
        <v>8768</v>
      </c>
      <c r="O76" t="s">
        <v>52</v>
      </c>
      <c r="P76" t="s">
        <v>52</v>
      </c>
      <c r="Q76" t="s">
        <v>197</v>
      </c>
      <c r="R76" t="s">
        <v>53</v>
      </c>
      <c r="S76" t="s">
        <v>116</v>
      </c>
      <c r="T76" t="s">
        <v>198</v>
      </c>
      <c r="U76" t="s">
        <v>108</v>
      </c>
    </row>
    <row r="77" spans="1:21" x14ac:dyDescent="0.3">
      <c r="A77" t="s">
        <v>189</v>
      </c>
      <c r="B77" t="s">
        <v>189</v>
      </c>
      <c r="C77" t="s">
        <v>194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223</v>
      </c>
      <c r="L77" t="s">
        <v>224</v>
      </c>
      <c r="M77">
        <v>33</v>
      </c>
      <c r="N77">
        <v>8768</v>
      </c>
      <c r="O77" t="s">
        <v>52</v>
      </c>
      <c r="P77" t="s">
        <v>52</v>
      </c>
      <c r="Q77" t="s">
        <v>197</v>
      </c>
      <c r="R77" t="s">
        <v>53</v>
      </c>
      <c r="S77" t="s">
        <v>116</v>
      </c>
      <c r="T77" t="s">
        <v>198</v>
      </c>
      <c r="U77" t="s">
        <v>108</v>
      </c>
    </row>
    <row r="78" spans="1:21" x14ac:dyDescent="0.3">
      <c r="A78" t="s">
        <v>189</v>
      </c>
      <c r="B78" t="s">
        <v>189</v>
      </c>
      <c r="C78" t="s">
        <v>194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230</v>
      </c>
      <c r="L78" t="s">
        <v>224</v>
      </c>
      <c r="M78">
        <v>33</v>
      </c>
      <c r="N78">
        <v>8768</v>
      </c>
      <c r="O78" t="s">
        <v>52</v>
      </c>
      <c r="P78" t="s">
        <v>52</v>
      </c>
      <c r="Q78" t="s">
        <v>197</v>
      </c>
      <c r="R78" t="s">
        <v>53</v>
      </c>
      <c r="S78" t="s">
        <v>116</v>
      </c>
      <c r="T78" t="s">
        <v>198</v>
      </c>
      <c r="U78" t="s">
        <v>108</v>
      </c>
    </row>
    <row r="79" spans="1:21" x14ac:dyDescent="0.3">
      <c r="A79" t="s">
        <v>189</v>
      </c>
      <c r="B79" t="s">
        <v>189</v>
      </c>
      <c r="C79" t="s">
        <v>194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229</v>
      </c>
      <c r="L79" t="s">
        <v>224</v>
      </c>
      <c r="M79">
        <v>33</v>
      </c>
      <c r="N79">
        <v>8768</v>
      </c>
      <c r="O79" t="s">
        <v>52</v>
      </c>
      <c r="P79" t="s">
        <v>52</v>
      </c>
      <c r="Q79" t="s">
        <v>197</v>
      </c>
      <c r="R79" t="s">
        <v>53</v>
      </c>
      <c r="S79" t="s">
        <v>116</v>
      </c>
      <c r="T79" t="s">
        <v>198</v>
      </c>
      <c r="U79" t="s">
        <v>108</v>
      </c>
    </row>
    <row r="80" spans="1:21" x14ac:dyDescent="0.3">
      <c r="A80" t="s">
        <v>189</v>
      </c>
      <c r="B80" t="s">
        <v>189</v>
      </c>
      <c r="C80" t="s">
        <v>194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117</v>
      </c>
      <c r="J80" t="s">
        <v>51</v>
      </c>
      <c r="K80" t="s">
        <v>225</v>
      </c>
      <c r="L80" t="s">
        <v>226</v>
      </c>
      <c r="M80">
        <v>61</v>
      </c>
      <c r="O80" t="s">
        <v>52</v>
      </c>
      <c r="P80" t="s">
        <v>52</v>
      </c>
      <c r="Q80" t="s">
        <v>197</v>
      </c>
      <c r="R80" t="s">
        <v>53</v>
      </c>
      <c r="S80" t="s">
        <v>116</v>
      </c>
      <c r="T80" t="s">
        <v>198</v>
      </c>
      <c r="U80" t="s">
        <v>108</v>
      </c>
    </row>
    <row r="81" spans="1:21" x14ac:dyDescent="0.3">
      <c r="A81" t="s">
        <v>189</v>
      </c>
      <c r="B81" t="s">
        <v>189</v>
      </c>
      <c r="C81" t="s">
        <v>194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227</v>
      </c>
      <c r="L81" t="s">
        <v>224</v>
      </c>
      <c r="M81">
        <v>33</v>
      </c>
      <c r="N81">
        <v>8768</v>
      </c>
      <c r="O81" t="s">
        <v>52</v>
      </c>
      <c r="P81" t="s">
        <v>52</v>
      </c>
      <c r="Q81" t="s">
        <v>197</v>
      </c>
      <c r="R81" t="s">
        <v>53</v>
      </c>
      <c r="S81" t="s">
        <v>116</v>
      </c>
      <c r="T81" t="s">
        <v>198</v>
      </c>
      <c r="U81" t="s">
        <v>108</v>
      </c>
    </row>
    <row r="82" spans="1:21" x14ac:dyDescent="0.3">
      <c r="A82" t="s">
        <v>189</v>
      </c>
      <c r="B82" t="s">
        <v>189</v>
      </c>
      <c r="C82" t="s">
        <v>194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223</v>
      </c>
      <c r="L82" t="s">
        <v>224</v>
      </c>
      <c r="M82">
        <v>33</v>
      </c>
      <c r="N82">
        <v>8768</v>
      </c>
      <c r="O82" t="s">
        <v>52</v>
      </c>
      <c r="P82" t="s">
        <v>52</v>
      </c>
      <c r="Q82" t="s">
        <v>197</v>
      </c>
      <c r="R82" t="s">
        <v>53</v>
      </c>
      <c r="S82" t="s">
        <v>116</v>
      </c>
      <c r="T82" t="s">
        <v>198</v>
      </c>
      <c r="U82" t="s">
        <v>108</v>
      </c>
    </row>
    <row r="83" spans="1:21" x14ac:dyDescent="0.3">
      <c r="A83" t="s">
        <v>189</v>
      </c>
      <c r="B83" t="s">
        <v>189</v>
      </c>
      <c r="C83" t="s">
        <v>194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230</v>
      </c>
      <c r="L83" t="s">
        <v>224</v>
      </c>
      <c r="M83">
        <v>33</v>
      </c>
      <c r="N83">
        <v>8768</v>
      </c>
      <c r="O83" t="s">
        <v>52</v>
      </c>
      <c r="P83" t="s">
        <v>52</v>
      </c>
      <c r="Q83" t="s">
        <v>197</v>
      </c>
      <c r="R83" t="s">
        <v>53</v>
      </c>
      <c r="S83" t="s">
        <v>116</v>
      </c>
      <c r="T83" t="s">
        <v>198</v>
      </c>
      <c r="U83" t="s">
        <v>108</v>
      </c>
    </row>
    <row r="84" spans="1:21" x14ac:dyDescent="0.3">
      <c r="A84" t="s">
        <v>189</v>
      </c>
      <c r="B84" t="s">
        <v>189</v>
      </c>
      <c r="C84" t="s">
        <v>194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229</v>
      </c>
      <c r="L84" t="s">
        <v>224</v>
      </c>
      <c r="M84">
        <v>33</v>
      </c>
      <c r="N84">
        <v>8768</v>
      </c>
      <c r="O84" t="s">
        <v>52</v>
      </c>
      <c r="P84" t="s">
        <v>52</v>
      </c>
      <c r="Q84" t="s">
        <v>197</v>
      </c>
      <c r="R84" t="s">
        <v>53</v>
      </c>
      <c r="S84" t="s">
        <v>116</v>
      </c>
      <c r="T84" t="s">
        <v>198</v>
      </c>
      <c r="U84" t="s">
        <v>108</v>
      </c>
    </row>
    <row r="85" spans="1:21" x14ac:dyDescent="0.3">
      <c r="A85" t="s">
        <v>190</v>
      </c>
      <c r="B85" t="s">
        <v>190</v>
      </c>
      <c r="C85" t="s">
        <v>194</v>
      </c>
      <c r="D85">
        <v>1</v>
      </c>
      <c r="E85" t="s">
        <v>107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231</v>
      </c>
      <c r="L85" t="s">
        <v>232</v>
      </c>
      <c r="M85">
        <v>33</v>
      </c>
      <c r="N85">
        <v>9022</v>
      </c>
      <c r="O85" t="s">
        <v>52</v>
      </c>
      <c r="P85" t="s">
        <v>52</v>
      </c>
      <c r="Q85" t="s">
        <v>197</v>
      </c>
      <c r="R85" t="s">
        <v>53</v>
      </c>
      <c r="S85" t="s">
        <v>116</v>
      </c>
      <c r="T85" t="s">
        <v>198</v>
      </c>
      <c r="U85" t="s">
        <v>108</v>
      </c>
    </row>
    <row r="86" spans="1:21" x14ac:dyDescent="0.3">
      <c r="A86" t="s">
        <v>190</v>
      </c>
      <c r="B86" t="s">
        <v>190</v>
      </c>
      <c r="C86" t="s">
        <v>194</v>
      </c>
      <c r="D86">
        <v>1</v>
      </c>
      <c r="E86" t="s">
        <v>107</v>
      </c>
      <c r="F86">
        <v>1.7759450000000001</v>
      </c>
      <c r="G86">
        <v>74.400999999999996</v>
      </c>
      <c r="H86">
        <v>132</v>
      </c>
      <c r="I86" t="s">
        <v>117</v>
      </c>
      <c r="J86" t="s">
        <v>51</v>
      </c>
      <c r="K86" t="s">
        <v>233</v>
      </c>
      <c r="L86" t="s">
        <v>234</v>
      </c>
      <c r="M86">
        <v>33</v>
      </c>
      <c r="O86" t="s">
        <v>52</v>
      </c>
      <c r="P86" t="s">
        <v>52</v>
      </c>
      <c r="Q86" t="s">
        <v>197</v>
      </c>
      <c r="R86" t="s">
        <v>53</v>
      </c>
      <c r="S86" t="s">
        <v>116</v>
      </c>
      <c r="T86" t="s">
        <v>198</v>
      </c>
      <c r="U86" t="s">
        <v>108</v>
      </c>
    </row>
    <row r="87" spans="1:21" x14ac:dyDescent="0.3">
      <c r="A87" t="s">
        <v>190</v>
      </c>
      <c r="B87" t="s">
        <v>190</v>
      </c>
      <c r="C87" t="s">
        <v>194</v>
      </c>
      <c r="D87">
        <v>1</v>
      </c>
      <c r="E87" t="s">
        <v>107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235</v>
      </c>
      <c r="L87" t="s">
        <v>232</v>
      </c>
      <c r="M87">
        <v>33</v>
      </c>
      <c r="N87">
        <v>9022</v>
      </c>
      <c r="O87" t="s">
        <v>52</v>
      </c>
      <c r="P87" t="s">
        <v>52</v>
      </c>
      <c r="Q87" t="s">
        <v>197</v>
      </c>
      <c r="R87" t="s">
        <v>53</v>
      </c>
      <c r="S87" t="s">
        <v>116</v>
      </c>
      <c r="T87" t="s">
        <v>198</v>
      </c>
      <c r="U87" t="s">
        <v>108</v>
      </c>
    </row>
    <row r="88" spans="1:21" x14ac:dyDescent="0.3">
      <c r="A88" t="s">
        <v>190</v>
      </c>
      <c r="B88" t="s">
        <v>190</v>
      </c>
      <c r="C88" t="s">
        <v>194</v>
      </c>
      <c r="D88">
        <v>1</v>
      </c>
      <c r="E88" t="s">
        <v>107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236</v>
      </c>
      <c r="L88" t="s">
        <v>232</v>
      </c>
      <c r="M88">
        <v>33</v>
      </c>
      <c r="N88">
        <v>9022</v>
      </c>
      <c r="O88" t="s">
        <v>52</v>
      </c>
      <c r="P88" t="s">
        <v>52</v>
      </c>
      <c r="Q88" t="s">
        <v>197</v>
      </c>
      <c r="R88" t="s">
        <v>53</v>
      </c>
      <c r="S88" t="s">
        <v>116</v>
      </c>
      <c r="T88" t="s">
        <v>198</v>
      </c>
      <c r="U88" t="s">
        <v>108</v>
      </c>
    </row>
    <row r="89" spans="1:21" x14ac:dyDescent="0.3">
      <c r="A89" t="s">
        <v>190</v>
      </c>
      <c r="B89" t="s">
        <v>190</v>
      </c>
      <c r="C89" t="s">
        <v>194</v>
      </c>
      <c r="D89">
        <v>1</v>
      </c>
      <c r="E89" t="s">
        <v>107</v>
      </c>
      <c r="F89">
        <v>1.7759450000000001</v>
      </c>
      <c r="G89">
        <v>1.0669999999999999</v>
      </c>
      <c r="H89">
        <v>2</v>
      </c>
      <c r="I89" t="s">
        <v>119</v>
      </c>
      <c r="J89" t="s">
        <v>58</v>
      </c>
      <c r="K89" t="s">
        <v>237</v>
      </c>
      <c r="L89" t="s">
        <v>234</v>
      </c>
      <c r="M89">
        <v>33</v>
      </c>
      <c r="O89" t="s">
        <v>52</v>
      </c>
      <c r="P89" t="s">
        <v>52</v>
      </c>
      <c r="Q89" t="s">
        <v>197</v>
      </c>
      <c r="R89" t="s">
        <v>53</v>
      </c>
      <c r="S89" t="s">
        <v>116</v>
      </c>
      <c r="T89" t="s">
        <v>198</v>
      </c>
      <c r="U89" t="s">
        <v>108</v>
      </c>
    </row>
    <row r="90" spans="1:21" x14ac:dyDescent="0.3">
      <c r="A90" t="s">
        <v>190</v>
      </c>
      <c r="B90" t="s">
        <v>190</v>
      </c>
      <c r="C90" t="s">
        <v>194</v>
      </c>
      <c r="D90">
        <v>1</v>
      </c>
      <c r="E90" t="s">
        <v>107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238</v>
      </c>
      <c r="L90" t="s">
        <v>232</v>
      </c>
      <c r="M90">
        <v>33</v>
      </c>
      <c r="N90">
        <v>9022</v>
      </c>
      <c r="O90" t="s">
        <v>52</v>
      </c>
      <c r="P90" t="s">
        <v>52</v>
      </c>
      <c r="Q90" t="s">
        <v>197</v>
      </c>
      <c r="R90" t="s">
        <v>53</v>
      </c>
      <c r="S90" t="s">
        <v>116</v>
      </c>
      <c r="T90" t="s">
        <v>198</v>
      </c>
      <c r="U90" t="s">
        <v>108</v>
      </c>
    </row>
    <row r="91" spans="1:21" x14ac:dyDescent="0.3">
      <c r="A91" t="s">
        <v>190</v>
      </c>
      <c r="B91" t="s">
        <v>190</v>
      </c>
      <c r="C91" t="s">
        <v>194</v>
      </c>
      <c r="D91">
        <v>2</v>
      </c>
      <c r="E91" t="s">
        <v>118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235</v>
      </c>
      <c r="L91" t="s">
        <v>232</v>
      </c>
      <c r="M91">
        <v>33</v>
      </c>
      <c r="N91">
        <v>9022</v>
      </c>
      <c r="O91" t="s">
        <v>52</v>
      </c>
      <c r="P91" t="s">
        <v>52</v>
      </c>
      <c r="Q91" t="s">
        <v>197</v>
      </c>
      <c r="R91" t="s">
        <v>53</v>
      </c>
      <c r="S91" t="s">
        <v>116</v>
      </c>
      <c r="T91" t="s">
        <v>198</v>
      </c>
      <c r="U91" t="s">
        <v>108</v>
      </c>
    </row>
    <row r="92" spans="1:21" x14ac:dyDescent="0.3">
      <c r="A92" t="s">
        <v>190</v>
      </c>
      <c r="B92" t="s">
        <v>190</v>
      </c>
      <c r="C92" t="s">
        <v>194</v>
      </c>
      <c r="D92">
        <v>2</v>
      </c>
      <c r="E92" t="s">
        <v>118</v>
      </c>
      <c r="F92">
        <v>1.1665999999999999E-2</v>
      </c>
      <c r="G92">
        <v>75.736999999999995</v>
      </c>
      <c r="H92">
        <v>1</v>
      </c>
      <c r="I92" t="s">
        <v>117</v>
      </c>
      <c r="J92" t="s">
        <v>51</v>
      </c>
      <c r="K92" t="s">
        <v>233</v>
      </c>
      <c r="L92" t="s">
        <v>234</v>
      </c>
      <c r="M92">
        <v>33</v>
      </c>
      <c r="O92" t="s">
        <v>52</v>
      </c>
      <c r="P92" t="s">
        <v>52</v>
      </c>
      <c r="Q92" t="s">
        <v>197</v>
      </c>
      <c r="R92" t="s">
        <v>53</v>
      </c>
      <c r="S92" t="s">
        <v>116</v>
      </c>
      <c r="T92" t="s">
        <v>198</v>
      </c>
      <c r="U92" t="s">
        <v>108</v>
      </c>
    </row>
    <row r="93" spans="1:21" x14ac:dyDescent="0.3">
      <c r="A93" t="s">
        <v>190</v>
      </c>
      <c r="B93" t="s">
        <v>190</v>
      </c>
      <c r="C93" t="s">
        <v>194</v>
      </c>
      <c r="D93">
        <v>2</v>
      </c>
      <c r="E93" t="s">
        <v>118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231</v>
      </c>
      <c r="L93" t="s">
        <v>232</v>
      </c>
      <c r="M93">
        <v>33</v>
      </c>
      <c r="N93">
        <v>9022</v>
      </c>
      <c r="O93" t="s">
        <v>52</v>
      </c>
      <c r="P93" t="s">
        <v>52</v>
      </c>
      <c r="Q93" t="s">
        <v>197</v>
      </c>
      <c r="R93" t="s">
        <v>53</v>
      </c>
      <c r="S93" t="s">
        <v>116</v>
      </c>
      <c r="T93" t="s">
        <v>198</v>
      </c>
      <c r="U93" t="s">
        <v>108</v>
      </c>
    </row>
    <row r="94" spans="1:21" x14ac:dyDescent="0.3">
      <c r="A94" t="s">
        <v>190</v>
      </c>
      <c r="B94" t="s">
        <v>190</v>
      </c>
      <c r="C94" t="s">
        <v>194</v>
      </c>
      <c r="D94">
        <v>2</v>
      </c>
      <c r="E94" t="s">
        <v>118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238</v>
      </c>
      <c r="L94" t="s">
        <v>232</v>
      </c>
      <c r="M94">
        <v>33</v>
      </c>
      <c r="N94">
        <v>9022</v>
      </c>
      <c r="O94" t="s">
        <v>52</v>
      </c>
      <c r="P94" t="s">
        <v>52</v>
      </c>
      <c r="Q94" t="s">
        <v>197</v>
      </c>
      <c r="R94" t="s">
        <v>53</v>
      </c>
      <c r="S94" t="s">
        <v>116</v>
      </c>
      <c r="T94" t="s">
        <v>198</v>
      </c>
      <c r="U94" t="s">
        <v>108</v>
      </c>
    </row>
    <row r="95" spans="1:21" x14ac:dyDescent="0.3">
      <c r="A95" t="s">
        <v>190</v>
      </c>
      <c r="B95" t="s">
        <v>190</v>
      </c>
      <c r="C95" t="s">
        <v>194</v>
      </c>
      <c r="D95">
        <v>2</v>
      </c>
      <c r="E95" t="s">
        <v>118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236</v>
      </c>
      <c r="L95" t="s">
        <v>232</v>
      </c>
      <c r="M95">
        <v>33</v>
      </c>
      <c r="N95">
        <v>9022</v>
      </c>
      <c r="O95" t="s">
        <v>52</v>
      </c>
      <c r="P95" t="s">
        <v>52</v>
      </c>
      <c r="Q95" t="s">
        <v>197</v>
      </c>
      <c r="R95" t="s">
        <v>53</v>
      </c>
      <c r="S95" t="s">
        <v>116</v>
      </c>
      <c r="T95" t="s">
        <v>198</v>
      </c>
      <c r="U95" t="s">
        <v>108</v>
      </c>
    </row>
    <row r="96" spans="1:21" x14ac:dyDescent="0.3">
      <c r="A96" t="s">
        <v>190</v>
      </c>
      <c r="B96" t="s">
        <v>190</v>
      </c>
      <c r="C96" t="s">
        <v>194</v>
      </c>
      <c r="D96">
        <v>3</v>
      </c>
      <c r="E96" t="s">
        <v>105</v>
      </c>
      <c r="F96">
        <v>0.55193199999999998</v>
      </c>
      <c r="G96">
        <v>1.0669999999999999</v>
      </c>
      <c r="H96">
        <v>1</v>
      </c>
      <c r="I96" t="s">
        <v>119</v>
      </c>
      <c r="J96" t="s">
        <v>58</v>
      </c>
      <c r="K96" t="s">
        <v>237</v>
      </c>
      <c r="L96" t="s">
        <v>234</v>
      </c>
      <c r="M96">
        <v>33</v>
      </c>
      <c r="O96" t="s">
        <v>52</v>
      </c>
      <c r="P96" t="s">
        <v>52</v>
      </c>
      <c r="Q96" t="s">
        <v>197</v>
      </c>
      <c r="R96" t="s">
        <v>53</v>
      </c>
      <c r="S96" t="s">
        <v>116</v>
      </c>
      <c r="T96" t="s">
        <v>198</v>
      </c>
      <c r="U96" t="s">
        <v>108</v>
      </c>
    </row>
    <row r="97" spans="1:21" x14ac:dyDescent="0.3">
      <c r="A97" t="s">
        <v>190</v>
      </c>
      <c r="B97" t="s">
        <v>190</v>
      </c>
      <c r="C97" t="s">
        <v>194</v>
      </c>
      <c r="D97">
        <v>3</v>
      </c>
      <c r="E97" t="s">
        <v>105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235</v>
      </c>
      <c r="L97" t="s">
        <v>232</v>
      </c>
      <c r="M97">
        <v>33</v>
      </c>
      <c r="N97">
        <v>9022</v>
      </c>
      <c r="O97" t="s">
        <v>52</v>
      </c>
      <c r="P97" t="s">
        <v>52</v>
      </c>
      <c r="Q97" t="s">
        <v>197</v>
      </c>
      <c r="R97" t="s">
        <v>53</v>
      </c>
      <c r="S97" t="s">
        <v>116</v>
      </c>
      <c r="T97" t="s">
        <v>198</v>
      </c>
      <c r="U97" t="s">
        <v>108</v>
      </c>
    </row>
    <row r="98" spans="1:21" x14ac:dyDescent="0.3">
      <c r="A98" t="s">
        <v>190</v>
      </c>
      <c r="B98" t="s">
        <v>190</v>
      </c>
      <c r="C98" t="s">
        <v>194</v>
      </c>
      <c r="D98">
        <v>3</v>
      </c>
      <c r="E98" t="s">
        <v>105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238</v>
      </c>
      <c r="L98" t="s">
        <v>232</v>
      </c>
      <c r="M98">
        <v>33</v>
      </c>
      <c r="N98">
        <v>9022</v>
      </c>
      <c r="O98" t="s">
        <v>52</v>
      </c>
      <c r="P98" t="s">
        <v>52</v>
      </c>
      <c r="Q98" t="s">
        <v>197</v>
      </c>
      <c r="R98" t="s">
        <v>53</v>
      </c>
      <c r="S98" t="s">
        <v>116</v>
      </c>
      <c r="T98" t="s">
        <v>198</v>
      </c>
      <c r="U98" t="s">
        <v>108</v>
      </c>
    </row>
    <row r="99" spans="1:21" x14ac:dyDescent="0.3">
      <c r="A99" t="s">
        <v>190</v>
      </c>
      <c r="B99" t="s">
        <v>190</v>
      </c>
      <c r="C99" t="s">
        <v>194</v>
      </c>
      <c r="D99">
        <v>3</v>
      </c>
      <c r="E99" t="s">
        <v>105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231</v>
      </c>
      <c r="L99" t="s">
        <v>232</v>
      </c>
      <c r="M99">
        <v>33</v>
      </c>
      <c r="N99">
        <v>9022</v>
      </c>
      <c r="O99" t="s">
        <v>52</v>
      </c>
      <c r="P99" t="s">
        <v>52</v>
      </c>
      <c r="Q99" t="s">
        <v>197</v>
      </c>
      <c r="R99" t="s">
        <v>53</v>
      </c>
      <c r="S99" t="s">
        <v>116</v>
      </c>
      <c r="T99" t="s">
        <v>198</v>
      </c>
      <c r="U99" t="s">
        <v>108</v>
      </c>
    </row>
    <row r="100" spans="1:21" x14ac:dyDescent="0.3">
      <c r="A100" t="s">
        <v>190</v>
      </c>
      <c r="B100" t="s">
        <v>190</v>
      </c>
      <c r="C100" t="s">
        <v>194</v>
      </c>
      <c r="D100">
        <v>3</v>
      </c>
      <c r="E100" t="s">
        <v>105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236</v>
      </c>
      <c r="L100" t="s">
        <v>232</v>
      </c>
      <c r="M100">
        <v>33</v>
      </c>
      <c r="N100">
        <v>9022</v>
      </c>
      <c r="O100" t="s">
        <v>52</v>
      </c>
      <c r="P100" t="s">
        <v>52</v>
      </c>
      <c r="Q100" t="s">
        <v>197</v>
      </c>
      <c r="R100" t="s">
        <v>53</v>
      </c>
      <c r="S100" t="s">
        <v>116</v>
      </c>
      <c r="T100" t="s">
        <v>198</v>
      </c>
      <c r="U100" t="s">
        <v>108</v>
      </c>
    </row>
    <row r="101" spans="1:21" x14ac:dyDescent="0.3">
      <c r="A101" t="s">
        <v>190</v>
      </c>
      <c r="B101" t="s">
        <v>190</v>
      </c>
      <c r="C101" t="s">
        <v>194</v>
      </c>
      <c r="D101">
        <v>3</v>
      </c>
      <c r="E101" t="s">
        <v>105</v>
      </c>
      <c r="F101">
        <v>0.55193199999999998</v>
      </c>
      <c r="G101">
        <v>70.436999999999998</v>
      </c>
      <c r="H101">
        <v>39</v>
      </c>
      <c r="I101" t="s">
        <v>117</v>
      </c>
      <c r="J101" t="s">
        <v>51</v>
      </c>
      <c r="K101" t="s">
        <v>233</v>
      </c>
      <c r="L101" t="s">
        <v>234</v>
      </c>
      <c r="M101">
        <v>33</v>
      </c>
      <c r="O101" t="s">
        <v>52</v>
      </c>
      <c r="P101" t="s">
        <v>52</v>
      </c>
      <c r="Q101" t="s">
        <v>197</v>
      </c>
      <c r="R101" t="s">
        <v>53</v>
      </c>
      <c r="S101" t="s">
        <v>116</v>
      </c>
      <c r="T101" t="s">
        <v>198</v>
      </c>
      <c r="U101" t="s">
        <v>108</v>
      </c>
    </row>
    <row r="102" spans="1:21" x14ac:dyDescent="0.3">
      <c r="A102" t="s">
        <v>190</v>
      </c>
      <c r="B102" t="s">
        <v>190</v>
      </c>
      <c r="C102" t="s">
        <v>194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238</v>
      </c>
      <c r="L102" t="s">
        <v>232</v>
      </c>
      <c r="M102">
        <v>33</v>
      </c>
      <c r="N102">
        <v>9022</v>
      </c>
      <c r="O102" t="s">
        <v>52</v>
      </c>
      <c r="P102" t="s">
        <v>52</v>
      </c>
      <c r="Q102" t="s">
        <v>197</v>
      </c>
      <c r="R102" t="s">
        <v>53</v>
      </c>
      <c r="S102" t="s">
        <v>116</v>
      </c>
      <c r="T102" t="s">
        <v>198</v>
      </c>
      <c r="U102" t="s">
        <v>108</v>
      </c>
    </row>
    <row r="103" spans="1:21" x14ac:dyDescent="0.3">
      <c r="A103" t="s">
        <v>190</v>
      </c>
      <c r="B103" t="s">
        <v>190</v>
      </c>
      <c r="C103" t="s">
        <v>194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235</v>
      </c>
      <c r="L103" t="s">
        <v>232</v>
      </c>
      <c r="M103">
        <v>33</v>
      </c>
      <c r="N103">
        <v>9022</v>
      </c>
      <c r="O103" t="s">
        <v>52</v>
      </c>
      <c r="P103" t="s">
        <v>52</v>
      </c>
      <c r="Q103" t="s">
        <v>197</v>
      </c>
      <c r="R103" t="s">
        <v>53</v>
      </c>
      <c r="S103" t="s">
        <v>116</v>
      </c>
      <c r="T103" t="s">
        <v>198</v>
      </c>
      <c r="U103" t="s">
        <v>108</v>
      </c>
    </row>
    <row r="104" spans="1:21" x14ac:dyDescent="0.3">
      <c r="A104" t="s">
        <v>190</v>
      </c>
      <c r="B104" t="s">
        <v>190</v>
      </c>
      <c r="C104" t="s">
        <v>194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231</v>
      </c>
      <c r="L104" t="s">
        <v>232</v>
      </c>
      <c r="M104">
        <v>33</v>
      </c>
      <c r="N104">
        <v>9022</v>
      </c>
      <c r="O104" t="s">
        <v>52</v>
      </c>
      <c r="P104" t="s">
        <v>52</v>
      </c>
      <c r="Q104" t="s">
        <v>197</v>
      </c>
      <c r="R104" t="s">
        <v>53</v>
      </c>
      <c r="S104" t="s">
        <v>116</v>
      </c>
      <c r="T104" t="s">
        <v>198</v>
      </c>
      <c r="U104" t="s">
        <v>108</v>
      </c>
    </row>
    <row r="105" spans="1:21" x14ac:dyDescent="0.3">
      <c r="A105" t="s">
        <v>190</v>
      </c>
      <c r="B105" t="s">
        <v>190</v>
      </c>
      <c r="C105" t="s">
        <v>194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119</v>
      </c>
      <c r="J105" t="s">
        <v>58</v>
      </c>
      <c r="K105" t="s">
        <v>237</v>
      </c>
      <c r="L105" t="s">
        <v>234</v>
      </c>
      <c r="M105">
        <v>33</v>
      </c>
      <c r="O105" t="s">
        <v>52</v>
      </c>
      <c r="P105" t="s">
        <v>52</v>
      </c>
      <c r="Q105" t="s">
        <v>197</v>
      </c>
      <c r="R105" t="s">
        <v>53</v>
      </c>
      <c r="S105" t="s">
        <v>116</v>
      </c>
      <c r="T105" t="s">
        <v>198</v>
      </c>
      <c r="U105" t="s">
        <v>108</v>
      </c>
    </row>
    <row r="106" spans="1:21" x14ac:dyDescent="0.3">
      <c r="A106" t="s">
        <v>190</v>
      </c>
      <c r="B106" t="s">
        <v>190</v>
      </c>
      <c r="C106" t="s">
        <v>194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236</v>
      </c>
      <c r="L106" t="s">
        <v>232</v>
      </c>
      <c r="M106">
        <v>33</v>
      </c>
      <c r="N106">
        <v>9022</v>
      </c>
      <c r="O106" t="s">
        <v>52</v>
      </c>
      <c r="P106" t="s">
        <v>52</v>
      </c>
      <c r="Q106" t="s">
        <v>197</v>
      </c>
      <c r="R106" t="s">
        <v>53</v>
      </c>
      <c r="S106" t="s">
        <v>116</v>
      </c>
      <c r="T106" t="s">
        <v>198</v>
      </c>
      <c r="U106" t="s">
        <v>108</v>
      </c>
    </row>
    <row r="107" spans="1:21" x14ac:dyDescent="0.3">
      <c r="A107" t="s">
        <v>190</v>
      </c>
      <c r="B107" t="s">
        <v>190</v>
      </c>
      <c r="C107" t="s">
        <v>194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117</v>
      </c>
      <c r="J107" t="s">
        <v>51</v>
      </c>
      <c r="K107" t="s">
        <v>233</v>
      </c>
      <c r="L107" t="s">
        <v>234</v>
      </c>
      <c r="M107">
        <v>33</v>
      </c>
      <c r="O107" t="s">
        <v>52</v>
      </c>
      <c r="P107" t="s">
        <v>52</v>
      </c>
      <c r="Q107" t="s">
        <v>197</v>
      </c>
      <c r="R107" t="s">
        <v>53</v>
      </c>
      <c r="S107" t="s">
        <v>116</v>
      </c>
      <c r="T107" t="s">
        <v>198</v>
      </c>
      <c r="U107" t="s">
        <v>108</v>
      </c>
    </row>
    <row r="108" spans="1:21" x14ac:dyDescent="0.3">
      <c r="A108" t="s">
        <v>190</v>
      </c>
      <c r="B108" t="s">
        <v>190</v>
      </c>
      <c r="C108" t="s">
        <v>194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236</v>
      </c>
      <c r="L108" t="s">
        <v>232</v>
      </c>
      <c r="M108">
        <v>33</v>
      </c>
      <c r="N108">
        <v>9022</v>
      </c>
      <c r="O108" t="s">
        <v>52</v>
      </c>
      <c r="P108" t="s">
        <v>52</v>
      </c>
      <c r="Q108" t="s">
        <v>197</v>
      </c>
      <c r="R108" t="s">
        <v>53</v>
      </c>
      <c r="S108" t="s">
        <v>116</v>
      </c>
      <c r="T108" t="s">
        <v>198</v>
      </c>
      <c r="U108" t="s">
        <v>108</v>
      </c>
    </row>
    <row r="109" spans="1:21" x14ac:dyDescent="0.3">
      <c r="A109" t="s">
        <v>190</v>
      </c>
      <c r="B109" t="s">
        <v>190</v>
      </c>
      <c r="C109" t="s">
        <v>194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117</v>
      </c>
      <c r="J109" t="s">
        <v>51</v>
      </c>
      <c r="K109" t="s">
        <v>233</v>
      </c>
      <c r="L109" t="s">
        <v>234</v>
      </c>
      <c r="M109">
        <v>33</v>
      </c>
      <c r="O109" t="s">
        <v>52</v>
      </c>
      <c r="P109" t="s">
        <v>52</v>
      </c>
      <c r="Q109" t="s">
        <v>197</v>
      </c>
      <c r="R109" t="s">
        <v>53</v>
      </c>
      <c r="S109" t="s">
        <v>116</v>
      </c>
      <c r="T109" t="s">
        <v>198</v>
      </c>
      <c r="U109" t="s">
        <v>108</v>
      </c>
    </row>
    <row r="110" spans="1:21" x14ac:dyDescent="0.3">
      <c r="A110" t="s">
        <v>190</v>
      </c>
      <c r="B110" t="s">
        <v>190</v>
      </c>
      <c r="C110" t="s">
        <v>194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231</v>
      </c>
      <c r="L110" t="s">
        <v>232</v>
      </c>
      <c r="M110">
        <v>33</v>
      </c>
      <c r="N110">
        <v>9022</v>
      </c>
      <c r="O110" t="s">
        <v>52</v>
      </c>
      <c r="P110" t="s">
        <v>52</v>
      </c>
      <c r="Q110" t="s">
        <v>197</v>
      </c>
      <c r="R110" t="s">
        <v>53</v>
      </c>
      <c r="S110" t="s">
        <v>116</v>
      </c>
      <c r="T110" t="s">
        <v>198</v>
      </c>
      <c r="U110" t="s">
        <v>108</v>
      </c>
    </row>
    <row r="111" spans="1:21" x14ac:dyDescent="0.3">
      <c r="A111" t="s">
        <v>190</v>
      </c>
      <c r="B111" t="s">
        <v>190</v>
      </c>
      <c r="C111" t="s">
        <v>194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238</v>
      </c>
      <c r="L111" t="s">
        <v>232</v>
      </c>
      <c r="M111">
        <v>33</v>
      </c>
      <c r="N111">
        <v>9022</v>
      </c>
      <c r="O111" t="s">
        <v>52</v>
      </c>
      <c r="P111" t="s">
        <v>52</v>
      </c>
      <c r="Q111" t="s">
        <v>197</v>
      </c>
      <c r="R111" t="s">
        <v>53</v>
      </c>
      <c r="S111" t="s">
        <v>116</v>
      </c>
      <c r="T111" t="s">
        <v>198</v>
      </c>
      <c r="U111" t="s">
        <v>108</v>
      </c>
    </row>
    <row r="112" spans="1:21" x14ac:dyDescent="0.3">
      <c r="A112" t="s">
        <v>190</v>
      </c>
      <c r="B112" t="s">
        <v>190</v>
      </c>
      <c r="C112" t="s">
        <v>194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235</v>
      </c>
      <c r="L112" t="s">
        <v>232</v>
      </c>
      <c r="M112">
        <v>33</v>
      </c>
      <c r="N112">
        <v>9022</v>
      </c>
      <c r="O112" t="s">
        <v>52</v>
      </c>
      <c r="P112" t="s">
        <v>52</v>
      </c>
      <c r="Q112" t="s">
        <v>197</v>
      </c>
      <c r="R112" t="s">
        <v>53</v>
      </c>
      <c r="S112" t="s">
        <v>116</v>
      </c>
      <c r="T112" t="s">
        <v>198</v>
      </c>
      <c r="U112" t="s">
        <v>108</v>
      </c>
    </row>
    <row r="113" spans="1:21" x14ac:dyDescent="0.3">
      <c r="A113" t="s">
        <v>183</v>
      </c>
      <c r="B113" t="s">
        <v>183</v>
      </c>
      <c r="C113" t="s">
        <v>194</v>
      </c>
      <c r="D113">
        <v>1</v>
      </c>
      <c r="E113" t="s">
        <v>107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239</v>
      </c>
      <c r="L113" t="s">
        <v>240</v>
      </c>
      <c r="M113">
        <v>33</v>
      </c>
      <c r="N113">
        <v>9466</v>
      </c>
      <c r="O113" t="s">
        <v>52</v>
      </c>
      <c r="P113" t="s">
        <v>52</v>
      </c>
      <c r="Q113" t="s">
        <v>197</v>
      </c>
      <c r="R113" t="s">
        <v>53</v>
      </c>
      <c r="S113" t="s">
        <v>116</v>
      </c>
      <c r="T113" t="s">
        <v>198</v>
      </c>
      <c r="U113" t="s">
        <v>108</v>
      </c>
    </row>
    <row r="114" spans="1:21" x14ac:dyDescent="0.3">
      <c r="A114" t="s">
        <v>183</v>
      </c>
      <c r="B114" t="s">
        <v>183</v>
      </c>
      <c r="C114" t="s">
        <v>194</v>
      </c>
      <c r="D114">
        <v>1</v>
      </c>
      <c r="E114" t="s">
        <v>107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241</v>
      </c>
      <c r="L114" t="s">
        <v>240</v>
      </c>
      <c r="M114">
        <v>33</v>
      </c>
      <c r="N114">
        <v>9466</v>
      </c>
      <c r="O114" t="s">
        <v>52</v>
      </c>
      <c r="P114" t="s">
        <v>52</v>
      </c>
      <c r="Q114" t="s">
        <v>197</v>
      </c>
      <c r="R114" t="s">
        <v>53</v>
      </c>
      <c r="S114" t="s">
        <v>116</v>
      </c>
      <c r="T114" t="s">
        <v>198</v>
      </c>
      <c r="U114" t="s">
        <v>108</v>
      </c>
    </row>
    <row r="115" spans="1:21" x14ac:dyDescent="0.3">
      <c r="A115" t="s">
        <v>183</v>
      </c>
      <c r="B115" t="s">
        <v>183</v>
      </c>
      <c r="C115" t="s">
        <v>194</v>
      </c>
      <c r="D115">
        <v>1</v>
      </c>
      <c r="E115" t="s">
        <v>107</v>
      </c>
      <c r="F115">
        <v>1</v>
      </c>
      <c r="G115">
        <v>-19</v>
      </c>
      <c r="H115">
        <v>-19</v>
      </c>
      <c r="I115" t="s">
        <v>117</v>
      </c>
      <c r="J115" t="s">
        <v>51</v>
      </c>
      <c r="K115" t="s">
        <v>242</v>
      </c>
      <c r="L115" t="s">
        <v>243</v>
      </c>
      <c r="M115">
        <v>61</v>
      </c>
      <c r="O115" t="s">
        <v>52</v>
      </c>
      <c r="P115" t="s">
        <v>52</v>
      </c>
      <c r="Q115" t="s">
        <v>197</v>
      </c>
      <c r="R115" t="s">
        <v>53</v>
      </c>
      <c r="S115" t="s">
        <v>116</v>
      </c>
      <c r="T115" t="s">
        <v>198</v>
      </c>
      <c r="U115" t="s">
        <v>108</v>
      </c>
    </row>
    <row r="116" spans="1:21" x14ac:dyDescent="0.3">
      <c r="A116" t="s">
        <v>183</v>
      </c>
      <c r="B116" t="s">
        <v>183</v>
      </c>
      <c r="C116" t="s">
        <v>194</v>
      </c>
      <c r="D116">
        <v>1</v>
      </c>
      <c r="E116" t="s">
        <v>107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244</v>
      </c>
      <c r="L116" t="s">
        <v>240</v>
      </c>
      <c r="M116">
        <v>33</v>
      </c>
      <c r="N116">
        <v>9466</v>
      </c>
      <c r="O116" t="s">
        <v>52</v>
      </c>
      <c r="P116" t="s">
        <v>52</v>
      </c>
      <c r="Q116" t="s">
        <v>197</v>
      </c>
      <c r="R116" t="s">
        <v>53</v>
      </c>
      <c r="S116" t="s">
        <v>116</v>
      </c>
      <c r="T116" t="s">
        <v>198</v>
      </c>
      <c r="U116" t="s">
        <v>108</v>
      </c>
    </row>
    <row r="117" spans="1:21" x14ac:dyDescent="0.3">
      <c r="A117" t="s">
        <v>183</v>
      </c>
      <c r="B117" t="s">
        <v>183</v>
      </c>
      <c r="C117" t="s">
        <v>194</v>
      </c>
      <c r="D117">
        <v>1</v>
      </c>
      <c r="E117" t="s">
        <v>107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245</v>
      </c>
      <c r="L117" t="s">
        <v>240</v>
      </c>
      <c r="M117">
        <v>33</v>
      </c>
      <c r="N117">
        <v>9466</v>
      </c>
      <c r="O117" t="s">
        <v>52</v>
      </c>
      <c r="P117" t="s">
        <v>52</v>
      </c>
      <c r="Q117" t="s">
        <v>197</v>
      </c>
      <c r="R117" t="s">
        <v>53</v>
      </c>
      <c r="S117" t="s">
        <v>116</v>
      </c>
      <c r="T117" t="s">
        <v>198</v>
      </c>
      <c r="U117" t="s">
        <v>108</v>
      </c>
    </row>
    <row r="118" spans="1:21" x14ac:dyDescent="0.3">
      <c r="A118" t="s">
        <v>183</v>
      </c>
      <c r="B118" t="s">
        <v>183</v>
      </c>
      <c r="C118" t="s">
        <v>194</v>
      </c>
      <c r="D118">
        <v>2</v>
      </c>
      <c r="E118" t="s">
        <v>118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245</v>
      </c>
      <c r="L118" t="s">
        <v>240</v>
      </c>
      <c r="M118">
        <v>33</v>
      </c>
      <c r="N118">
        <v>9466</v>
      </c>
      <c r="O118" t="s">
        <v>52</v>
      </c>
      <c r="P118" t="s">
        <v>52</v>
      </c>
      <c r="Q118" t="s">
        <v>197</v>
      </c>
      <c r="R118" t="s">
        <v>53</v>
      </c>
      <c r="S118" t="s">
        <v>116</v>
      </c>
      <c r="T118" t="s">
        <v>198</v>
      </c>
      <c r="U118" t="s">
        <v>108</v>
      </c>
    </row>
    <row r="119" spans="1:21" x14ac:dyDescent="0.3">
      <c r="A119" t="s">
        <v>183</v>
      </c>
      <c r="B119" t="s">
        <v>183</v>
      </c>
      <c r="C119" t="s">
        <v>194</v>
      </c>
      <c r="D119">
        <v>2</v>
      </c>
      <c r="E119" t="s">
        <v>118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244</v>
      </c>
      <c r="L119" t="s">
        <v>240</v>
      </c>
      <c r="M119">
        <v>33</v>
      </c>
      <c r="N119">
        <v>9466</v>
      </c>
      <c r="O119" t="s">
        <v>52</v>
      </c>
      <c r="P119" t="s">
        <v>52</v>
      </c>
      <c r="Q119" t="s">
        <v>197</v>
      </c>
      <c r="R119" t="s">
        <v>53</v>
      </c>
      <c r="S119" t="s">
        <v>116</v>
      </c>
      <c r="T119" t="s">
        <v>198</v>
      </c>
      <c r="U119" t="s">
        <v>108</v>
      </c>
    </row>
    <row r="120" spans="1:21" x14ac:dyDescent="0.3">
      <c r="A120" t="s">
        <v>183</v>
      </c>
      <c r="B120" t="s">
        <v>183</v>
      </c>
      <c r="C120" t="s">
        <v>194</v>
      </c>
      <c r="D120">
        <v>2</v>
      </c>
      <c r="E120" t="s">
        <v>118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241</v>
      </c>
      <c r="L120" t="s">
        <v>240</v>
      </c>
      <c r="M120">
        <v>33</v>
      </c>
      <c r="N120">
        <v>9466</v>
      </c>
      <c r="O120" t="s">
        <v>52</v>
      </c>
      <c r="P120" t="s">
        <v>52</v>
      </c>
      <c r="Q120" t="s">
        <v>197</v>
      </c>
      <c r="R120" t="s">
        <v>53</v>
      </c>
      <c r="S120" t="s">
        <v>116</v>
      </c>
      <c r="T120" t="s">
        <v>198</v>
      </c>
      <c r="U120" t="s">
        <v>108</v>
      </c>
    </row>
    <row r="121" spans="1:21" x14ac:dyDescent="0.3">
      <c r="A121" t="s">
        <v>183</v>
      </c>
      <c r="B121" t="s">
        <v>183</v>
      </c>
      <c r="C121" t="s">
        <v>194</v>
      </c>
      <c r="D121">
        <v>2</v>
      </c>
      <c r="E121" t="s">
        <v>118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239</v>
      </c>
      <c r="L121" t="s">
        <v>240</v>
      </c>
      <c r="M121">
        <v>33</v>
      </c>
      <c r="N121">
        <v>9466</v>
      </c>
      <c r="O121" t="s">
        <v>52</v>
      </c>
      <c r="P121" t="s">
        <v>52</v>
      </c>
      <c r="Q121" t="s">
        <v>197</v>
      </c>
      <c r="R121" t="s">
        <v>53</v>
      </c>
      <c r="S121" t="s">
        <v>116</v>
      </c>
      <c r="T121" t="s">
        <v>198</v>
      </c>
      <c r="U121" t="s">
        <v>108</v>
      </c>
    </row>
    <row r="122" spans="1:21" x14ac:dyDescent="0.3">
      <c r="A122" t="s">
        <v>183</v>
      </c>
      <c r="B122" t="s">
        <v>183</v>
      </c>
      <c r="C122" t="s">
        <v>194</v>
      </c>
      <c r="D122">
        <v>3</v>
      </c>
      <c r="E122" t="s">
        <v>105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244</v>
      </c>
      <c r="L122" t="s">
        <v>240</v>
      </c>
      <c r="M122">
        <v>33</v>
      </c>
      <c r="N122">
        <v>9466</v>
      </c>
      <c r="O122" t="s">
        <v>52</v>
      </c>
      <c r="P122" t="s">
        <v>52</v>
      </c>
      <c r="Q122" t="s">
        <v>197</v>
      </c>
      <c r="R122" t="s">
        <v>53</v>
      </c>
      <c r="S122" t="s">
        <v>116</v>
      </c>
      <c r="T122" t="s">
        <v>198</v>
      </c>
      <c r="U122" t="s">
        <v>108</v>
      </c>
    </row>
    <row r="123" spans="1:21" x14ac:dyDescent="0.3">
      <c r="A123" t="s">
        <v>183</v>
      </c>
      <c r="B123" t="s">
        <v>183</v>
      </c>
      <c r="C123" t="s">
        <v>194</v>
      </c>
      <c r="D123">
        <v>3</v>
      </c>
      <c r="E123" t="s">
        <v>105</v>
      </c>
      <c r="F123">
        <v>1</v>
      </c>
      <c r="G123">
        <v>-3</v>
      </c>
      <c r="H123">
        <v>-3</v>
      </c>
      <c r="I123" t="s">
        <v>117</v>
      </c>
      <c r="J123" t="s">
        <v>51</v>
      </c>
      <c r="K123" t="s">
        <v>242</v>
      </c>
      <c r="L123" t="s">
        <v>243</v>
      </c>
      <c r="M123">
        <v>61</v>
      </c>
      <c r="O123" t="s">
        <v>52</v>
      </c>
      <c r="P123" t="s">
        <v>52</v>
      </c>
      <c r="Q123" t="s">
        <v>197</v>
      </c>
      <c r="R123" t="s">
        <v>53</v>
      </c>
      <c r="S123" t="s">
        <v>116</v>
      </c>
      <c r="T123" t="s">
        <v>198</v>
      </c>
      <c r="U123" t="s">
        <v>108</v>
      </c>
    </row>
    <row r="124" spans="1:21" x14ac:dyDescent="0.3">
      <c r="A124" t="s">
        <v>183</v>
      </c>
      <c r="B124" t="s">
        <v>183</v>
      </c>
      <c r="C124" t="s">
        <v>194</v>
      </c>
      <c r="D124">
        <v>3</v>
      </c>
      <c r="E124" t="s">
        <v>105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241</v>
      </c>
      <c r="L124" t="s">
        <v>240</v>
      </c>
      <c r="M124">
        <v>33</v>
      </c>
      <c r="N124">
        <v>9466</v>
      </c>
      <c r="O124" t="s">
        <v>52</v>
      </c>
      <c r="P124" t="s">
        <v>52</v>
      </c>
      <c r="Q124" t="s">
        <v>197</v>
      </c>
      <c r="R124" t="s">
        <v>53</v>
      </c>
      <c r="S124" t="s">
        <v>116</v>
      </c>
      <c r="T124" t="s">
        <v>198</v>
      </c>
      <c r="U124" t="s">
        <v>108</v>
      </c>
    </row>
    <row r="125" spans="1:21" x14ac:dyDescent="0.3">
      <c r="A125" t="s">
        <v>183</v>
      </c>
      <c r="B125" t="s">
        <v>183</v>
      </c>
      <c r="C125" t="s">
        <v>194</v>
      </c>
      <c r="D125">
        <v>3</v>
      </c>
      <c r="E125" t="s">
        <v>105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245</v>
      </c>
      <c r="L125" t="s">
        <v>240</v>
      </c>
      <c r="M125">
        <v>33</v>
      </c>
      <c r="N125">
        <v>9466</v>
      </c>
      <c r="O125" t="s">
        <v>52</v>
      </c>
      <c r="P125" t="s">
        <v>52</v>
      </c>
      <c r="Q125" t="s">
        <v>197</v>
      </c>
      <c r="R125" t="s">
        <v>53</v>
      </c>
      <c r="S125" t="s">
        <v>116</v>
      </c>
      <c r="T125" t="s">
        <v>198</v>
      </c>
      <c r="U125" t="s">
        <v>108</v>
      </c>
    </row>
    <row r="126" spans="1:21" x14ac:dyDescent="0.3">
      <c r="A126" t="s">
        <v>183</v>
      </c>
      <c r="B126" t="s">
        <v>183</v>
      </c>
      <c r="C126" t="s">
        <v>194</v>
      </c>
      <c r="D126">
        <v>3</v>
      </c>
      <c r="E126" t="s">
        <v>105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239</v>
      </c>
      <c r="L126" t="s">
        <v>240</v>
      </c>
      <c r="M126">
        <v>33</v>
      </c>
      <c r="N126">
        <v>9466</v>
      </c>
      <c r="O126" t="s">
        <v>52</v>
      </c>
      <c r="P126" t="s">
        <v>52</v>
      </c>
      <c r="Q126" t="s">
        <v>197</v>
      </c>
      <c r="R126" t="s">
        <v>53</v>
      </c>
      <c r="S126" t="s">
        <v>116</v>
      </c>
      <c r="T126" t="s">
        <v>198</v>
      </c>
      <c r="U126" t="s">
        <v>108</v>
      </c>
    </row>
    <row r="127" spans="1:21" x14ac:dyDescent="0.3">
      <c r="A127" t="s">
        <v>183</v>
      </c>
      <c r="B127" t="s">
        <v>183</v>
      </c>
      <c r="C127" t="s">
        <v>194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245</v>
      </c>
      <c r="L127" t="s">
        <v>240</v>
      </c>
      <c r="M127">
        <v>33</v>
      </c>
      <c r="N127">
        <v>9466</v>
      </c>
      <c r="O127" t="s">
        <v>52</v>
      </c>
      <c r="P127" t="s">
        <v>52</v>
      </c>
      <c r="Q127" t="s">
        <v>197</v>
      </c>
      <c r="R127" t="s">
        <v>53</v>
      </c>
      <c r="S127" t="s">
        <v>116</v>
      </c>
      <c r="T127" t="s">
        <v>198</v>
      </c>
      <c r="U127" t="s">
        <v>108</v>
      </c>
    </row>
    <row r="128" spans="1:21" x14ac:dyDescent="0.3">
      <c r="A128" t="s">
        <v>183</v>
      </c>
      <c r="B128" t="s">
        <v>183</v>
      </c>
      <c r="C128" t="s">
        <v>194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117</v>
      </c>
      <c r="J128" t="s">
        <v>51</v>
      </c>
      <c r="K128" t="s">
        <v>242</v>
      </c>
      <c r="L128" t="s">
        <v>243</v>
      </c>
      <c r="M128">
        <v>61</v>
      </c>
      <c r="O128" t="s">
        <v>52</v>
      </c>
      <c r="P128" t="s">
        <v>52</v>
      </c>
      <c r="Q128" t="s">
        <v>197</v>
      </c>
      <c r="R128" t="s">
        <v>53</v>
      </c>
      <c r="S128" t="s">
        <v>116</v>
      </c>
      <c r="T128" t="s">
        <v>198</v>
      </c>
      <c r="U128" t="s">
        <v>108</v>
      </c>
    </row>
    <row r="129" spans="1:21" x14ac:dyDescent="0.3">
      <c r="A129" t="s">
        <v>183</v>
      </c>
      <c r="B129" t="s">
        <v>183</v>
      </c>
      <c r="C129" t="s">
        <v>194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244</v>
      </c>
      <c r="L129" t="s">
        <v>240</v>
      </c>
      <c r="M129">
        <v>33</v>
      </c>
      <c r="N129">
        <v>9466</v>
      </c>
      <c r="O129" t="s">
        <v>52</v>
      </c>
      <c r="P129" t="s">
        <v>52</v>
      </c>
      <c r="Q129" t="s">
        <v>197</v>
      </c>
      <c r="R129" t="s">
        <v>53</v>
      </c>
      <c r="S129" t="s">
        <v>116</v>
      </c>
      <c r="T129" t="s">
        <v>198</v>
      </c>
      <c r="U129" t="s">
        <v>108</v>
      </c>
    </row>
    <row r="130" spans="1:21" x14ac:dyDescent="0.3">
      <c r="A130" t="s">
        <v>183</v>
      </c>
      <c r="B130" t="s">
        <v>183</v>
      </c>
      <c r="C130" t="s">
        <v>194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241</v>
      </c>
      <c r="L130" t="s">
        <v>240</v>
      </c>
      <c r="M130">
        <v>33</v>
      </c>
      <c r="N130">
        <v>9466</v>
      </c>
      <c r="O130" t="s">
        <v>52</v>
      </c>
      <c r="P130" t="s">
        <v>52</v>
      </c>
      <c r="Q130" t="s">
        <v>197</v>
      </c>
      <c r="R130" t="s">
        <v>53</v>
      </c>
      <c r="S130" t="s">
        <v>116</v>
      </c>
      <c r="T130" t="s">
        <v>198</v>
      </c>
      <c r="U130" t="s">
        <v>108</v>
      </c>
    </row>
    <row r="131" spans="1:21" x14ac:dyDescent="0.3">
      <c r="A131" t="s">
        <v>183</v>
      </c>
      <c r="B131" t="s">
        <v>183</v>
      </c>
      <c r="C131" t="s">
        <v>194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239</v>
      </c>
      <c r="L131" t="s">
        <v>240</v>
      </c>
      <c r="M131">
        <v>33</v>
      </c>
      <c r="N131">
        <v>9466</v>
      </c>
      <c r="O131" t="s">
        <v>52</v>
      </c>
      <c r="P131" t="s">
        <v>52</v>
      </c>
      <c r="Q131" t="s">
        <v>197</v>
      </c>
      <c r="R131" t="s">
        <v>53</v>
      </c>
      <c r="S131" t="s">
        <v>116</v>
      </c>
      <c r="T131" t="s">
        <v>198</v>
      </c>
      <c r="U131" t="s">
        <v>108</v>
      </c>
    </row>
    <row r="132" spans="1:21" x14ac:dyDescent="0.3">
      <c r="A132" t="s">
        <v>183</v>
      </c>
      <c r="B132" t="s">
        <v>183</v>
      </c>
      <c r="C132" t="s">
        <v>194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241</v>
      </c>
      <c r="L132" t="s">
        <v>240</v>
      </c>
      <c r="M132">
        <v>33</v>
      </c>
      <c r="N132">
        <v>9466</v>
      </c>
      <c r="O132" t="s">
        <v>52</v>
      </c>
      <c r="P132" t="s">
        <v>52</v>
      </c>
      <c r="Q132" t="s">
        <v>197</v>
      </c>
      <c r="R132" t="s">
        <v>53</v>
      </c>
      <c r="S132" t="s">
        <v>116</v>
      </c>
      <c r="T132" t="s">
        <v>198</v>
      </c>
      <c r="U132" t="s">
        <v>108</v>
      </c>
    </row>
    <row r="133" spans="1:21" x14ac:dyDescent="0.3">
      <c r="A133" t="s">
        <v>183</v>
      </c>
      <c r="B133" t="s">
        <v>183</v>
      </c>
      <c r="C133" t="s">
        <v>194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244</v>
      </c>
      <c r="L133" t="s">
        <v>240</v>
      </c>
      <c r="M133">
        <v>33</v>
      </c>
      <c r="N133">
        <v>9466</v>
      </c>
      <c r="O133" t="s">
        <v>52</v>
      </c>
      <c r="P133" t="s">
        <v>52</v>
      </c>
      <c r="Q133" t="s">
        <v>197</v>
      </c>
      <c r="R133" t="s">
        <v>53</v>
      </c>
      <c r="S133" t="s">
        <v>116</v>
      </c>
      <c r="T133" t="s">
        <v>198</v>
      </c>
      <c r="U133" t="s">
        <v>108</v>
      </c>
    </row>
    <row r="134" spans="1:21" x14ac:dyDescent="0.3">
      <c r="A134" t="s">
        <v>183</v>
      </c>
      <c r="B134" t="s">
        <v>183</v>
      </c>
      <c r="C134" t="s">
        <v>194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245</v>
      </c>
      <c r="L134" t="s">
        <v>240</v>
      </c>
      <c r="M134">
        <v>33</v>
      </c>
      <c r="N134">
        <v>9466</v>
      </c>
      <c r="O134" t="s">
        <v>52</v>
      </c>
      <c r="P134" t="s">
        <v>52</v>
      </c>
      <c r="Q134" t="s">
        <v>197</v>
      </c>
      <c r="R134" t="s">
        <v>53</v>
      </c>
      <c r="S134" t="s">
        <v>116</v>
      </c>
      <c r="T134" t="s">
        <v>198</v>
      </c>
      <c r="U134" t="s">
        <v>108</v>
      </c>
    </row>
    <row r="135" spans="1:21" x14ac:dyDescent="0.3">
      <c r="A135" t="s">
        <v>183</v>
      </c>
      <c r="B135" t="s">
        <v>183</v>
      </c>
      <c r="C135" t="s">
        <v>194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239</v>
      </c>
      <c r="L135" t="s">
        <v>240</v>
      </c>
      <c r="M135">
        <v>33</v>
      </c>
      <c r="N135">
        <v>9466</v>
      </c>
      <c r="O135" t="s">
        <v>52</v>
      </c>
      <c r="P135" t="s">
        <v>52</v>
      </c>
      <c r="Q135" t="s">
        <v>197</v>
      </c>
      <c r="R135" t="s">
        <v>53</v>
      </c>
      <c r="S135" t="s">
        <v>116</v>
      </c>
      <c r="T135" t="s">
        <v>198</v>
      </c>
      <c r="U135" t="s">
        <v>108</v>
      </c>
    </row>
    <row r="136" spans="1:21" x14ac:dyDescent="0.3">
      <c r="A136" t="s">
        <v>188</v>
      </c>
      <c r="B136" t="s">
        <v>188</v>
      </c>
      <c r="C136" t="s">
        <v>194</v>
      </c>
      <c r="D136">
        <v>1</v>
      </c>
      <c r="E136" t="s">
        <v>107</v>
      </c>
      <c r="F136">
        <v>1</v>
      </c>
      <c r="G136">
        <v>-6</v>
      </c>
      <c r="H136">
        <v>-6</v>
      </c>
      <c r="I136" t="s">
        <v>119</v>
      </c>
      <c r="J136" t="s">
        <v>58</v>
      </c>
      <c r="K136" t="s">
        <v>246</v>
      </c>
      <c r="L136" t="s">
        <v>247</v>
      </c>
      <c r="M136">
        <v>61</v>
      </c>
      <c r="O136" t="s">
        <v>52</v>
      </c>
      <c r="P136" t="s">
        <v>52</v>
      </c>
      <c r="Q136" t="s">
        <v>197</v>
      </c>
      <c r="R136" t="s">
        <v>53</v>
      </c>
      <c r="S136" t="s">
        <v>116</v>
      </c>
      <c r="T136" t="s">
        <v>198</v>
      </c>
      <c r="U136" t="s">
        <v>108</v>
      </c>
    </row>
    <row r="137" spans="1:21" x14ac:dyDescent="0.3">
      <c r="A137" t="s">
        <v>188</v>
      </c>
      <c r="B137" t="s">
        <v>188</v>
      </c>
      <c r="C137" t="s">
        <v>194</v>
      </c>
      <c r="D137">
        <v>1</v>
      </c>
      <c r="E137" t="s">
        <v>107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248</v>
      </c>
      <c r="L137" t="s">
        <v>249</v>
      </c>
      <c r="M137">
        <v>33</v>
      </c>
      <c r="N137">
        <v>9996</v>
      </c>
      <c r="O137" t="s">
        <v>52</v>
      </c>
      <c r="P137" t="s">
        <v>52</v>
      </c>
      <c r="Q137" t="s">
        <v>197</v>
      </c>
      <c r="R137" t="s">
        <v>53</v>
      </c>
      <c r="S137" t="s">
        <v>116</v>
      </c>
      <c r="T137" t="s">
        <v>198</v>
      </c>
      <c r="U137" t="s">
        <v>108</v>
      </c>
    </row>
    <row r="138" spans="1:21" x14ac:dyDescent="0.3">
      <c r="A138" t="s">
        <v>188</v>
      </c>
      <c r="B138" t="s">
        <v>188</v>
      </c>
      <c r="C138" t="s">
        <v>194</v>
      </c>
      <c r="D138">
        <v>1</v>
      </c>
      <c r="E138" t="s">
        <v>107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250</v>
      </c>
      <c r="L138" t="s">
        <v>249</v>
      </c>
      <c r="M138">
        <v>33</v>
      </c>
      <c r="N138">
        <v>9996</v>
      </c>
      <c r="O138" t="s">
        <v>52</v>
      </c>
      <c r="P138" t="s">
        <v>52</v>
      </c>
      <c r="Q138" t="s">
        <v>197</v>
      </c>
      <c r="R138" t="s">
        <v>53</v>
      </c>
      <c r="S138" t="s">
        <v>116</v>
      </c>
      <c r="T138" t="s">
        <v>198</v>
      </c>
      <c r="U138" t="s">
        <v>108</v>
      </c>
    </row>
    <row r="139" spans="1:21" x14ac:dyDescent="0.3">
      <c r="A139" t="s">
        <v>188</v>
      </c>
      <c r="B139" t="s">
        <v>188</v>
      </c>
      <c r="C139" t="s">
        <v>194</v>
      </c>
      <c r="D139">
        <v>1</v>
      </c>
      <c r="E139" t="s">
        <v>107</v>
      </c>
      <c r="F139">
        <v>1</v>
      </c>
      <c r="G139">
        <v>-415</v>
      </c>
      <c r="H139">
        <v>-415</v>
      </c>
      <c r="I139" t="s">
        <v>117</v>
      </c>
      <c r="J139" t="s">
        <v>51</v>
      </c>
      <c r="K139" t="s">
        <v>251</v>
      </c>
      <c r="L139" t="s">
        <v>247</v>
      </c>
      <c r="M139">
        <v>61</v>
      </c>
      <c r="O139" t="s">
        <v>52</v>
      </c>
      <c r="P139" t="s">
        <v>52</v>
      </c>
      <c r="Q139" t="s">
        <v>197</v>
      </c>
      <c r="R139" t="s">
        <v>53</v>
      </c>
      <c r="S139" t="s">
        <v>116</v>
      </c>
      <c r="T139" t="s">
        <v>198</v>
      </c>
      <c r="U139" t="s">
        <v>108</v>
      </c>
    </row>
    <row r="140" spans="1:21" x14ac:dyDescent="0.3">
      <c r="A140" t="s">
        <v>188</v>
      </c>
      <c r="B140" t="s">
        <v>193</v>
      </c>
      <c r="C140" t="s">
        <v>194</v>
      </c>
      <c r="D140">
        <v>1</v>
      </c>
      <c r="E140" t="s">
        <v>107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252</v>
      </c>
      <c r="L140" t="s">
        <v>249</v>
      </c>
      <c r="M140">
        <v>33</v>
      </c>
      <c r="N140">
        <v>9996</v>
      </c>
      <c r="O140" t="s">
        <v>52</v>
      </c>
      <c r="P140" t="s">
        <v>52</v>
      </c>
      <c r="Q140" t="s">
        <v>197</v>
      </c>
      <c r="R140" t="s">
        <v>53</v>
      </c>
      <c r="S140" t="s">
        <v>116</v>
      </c>
      <c r="T140" t="s">
        <v>198</v>
      </c>
      <c r="U140" t="s">
        <v>108</v>
      </c>
    </row>
    <row r="141" spans="1:21" x14ac:dyDescent="0.3">
      <c r="A141" t="s">
        <v>188</v>
      </c>
      <c r="B141" t="s">
        <v>193</v>
      </c>
      <c r="C141" t="s">
        <v>194</v>
      </c>
      <c r="D141">
        <v>1</v>
      </c>
      <c r="E141" t="s">
        <v>107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253</v>
      </c>
      <c r="L141" t="s">
        <v>249</v>
      </c>
      <c r="M141">
        <v>33</v>
      </c>
      <c r="N141">
        <v>9996</v>
      </c>
      <c r="O141" t="s">
        <v>52</v>
      </c>
      <c r="P141" t="s">
        <v>52</v>
      </c>
      <c r="Q141" t="s">
        <v>197</v>
      </c>
      <c r="R141" t="s">
        <v>53</v>
      </c>
      <c r="S141" t="s">
        <v>116</v>
      </c>
      <c r="T141" t="s">
        <v>198</v>
      </c>
      <c r="U141" t="s">
        <v>108</v>
      </c>
    </row>
    <row r="142" spans="1:21" x14ac:dyDescent="0.3">
      <c r="A142" t="s">
        <v>188</v>
      </c>
      <c r="B142" t="s">
        <v>193</v>
      </c>
      <c r="C142" t="s">
        <v>194</v>
      </c>
      <c r="D142">
        <v>2</v>
      </c>
      <c r="E142" t="s">
        <v>118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253</v>
      </c>
      <c r="L142" t="s">
        <v>249</v>
      </c>
      <c r="M142">
        <v>33</v>
      </c>
      <c r="N142">
        <v>9996</v>
      </c>
      <c r="O142" t="s">
        <v>52</v>
      </c>
      <c r="P142" t="s">
        <v>52</v>
      </c>
      <c r="Q142" t="s">
        <v>197</v>
      </c>
      <c r="R142" t="s">
        <v>53</v>
      </c>
      <c r="S142" t="s">
        <v>116</v>
      </c>
      <c r="T142" t="s">
        <v>198</v>
      </c>
      <c r="U142" t="s">
        <v>108</v>
      </c>
    </row>
    <row r="143" spans="1:21" x14ac:dyDescent="0.3">
      <c r="A143" t="s">
        <v>188</v>
      </c>
      <c r="B143" t="s">
        <v>193</v>
      </c>
      <c r="C143" t="s">
        <v>194</v>
      </c>
      <c r="D143">
        <v>2</v>
      </c>
      <c r="E143" t="s">
        <v>118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252</v>
      </c>
      <c r="L143" t="s">
        <v>249</v>
      </c>
      <c r="M143">
        <v>33</v>
      </c>
      <c r="N143">
        <v>9996</v>
      </c>
      <c r="O143" t="s">
        <v>52</v>
      </c>
      <c r="P143" t="s">
        <v>52</v>
      </c>
      <c r="Q143" t="s">
        <v>197</v>
      </c>
      <c r="R143" t="s">
        <v>53</v>
      </c>
      <c r="S143" t="s">
        <v>116</v>
      </c>
      <c r="T143" t="s">
        <v>198</v>
      </c>
      <c r="U143" t="s">
        <v>108</v>
      </c>
    </row>
    <row r="144" spans="1:21" x14ac:dyDescent="0.3">
      <c r="A144" t="s">
        <v>188</v>
      </c>
      <c r="B144" t="s">
        <v>188</v>
      </c>
      <c r="C144" t="s">
        <v>194</v>
      </c>
      <c r="D144">
        <v>2</v>
      </c>
      <c r="E144" t="s">
        <v>118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248</v>
      </c>
      <c r="L144" t="s">
        <v>249</v>
      </c>
      <c r="M144">
        <v>33</v>
      </c>
      <c r="N144">
        <v>9996</v>
      </c>
      <c r="O144" t="s">
        <v>52</v>
      </c>
      <c r="P144" t="s">
        <v>52</v>
      </c>
      <c r="Q144" t="s">
        <v>197</v>
      </c>
      <c r="R144" t="s">
        <v>53</v>
      </c>
      <c r="S144" t="s">
        <v>116</v>
      </c>
      <c r="T144" t="s">
        <v>198</v>
      </c>
      <c r="U144" t="s">
        <v>108</v>
      </c>
    </row>
    <row r="145" spans="1:21" x14ac:dyDescent="0.3">
      <c r="A145" t="s">
        <v>188</v>
      </c>
      <c r="B145" t="s">
        <v>188</v>
      </c>
      <c r="C145" t="s">
        <v>194</v>
      </c>
      <c r="D145">
        <v>2</v>
      </c>
      <c r="E145" t="s">
        <v>118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250</v>
      </c>
      <c r="L145" t="s">
        <v>249</v>
      </c>
      <c r="M145">
        <v>33</v>
      </c>
      <c r="N145">
        <v>9996</v>
      </c>
      <c r="O145" t="s">
        <v>52</v>
      </c>
      <c r="P145" t="s">
        <v>52</v>
      </c>
      <c r="Q145" t="s">
        <v>197</v>
      </c>
      <c r="R145" t="s">
        <v>53</v>
      </c>
      <c r="S145" t="s">
        <v>116</v>
      </c>
      <c r="T145" t="s">
        <v>198</v>
      </c>
      <c r="U145" t="s">
        <v>108</v>
      </c>
    </row>
    <row r="146" spans="1:21" x14ac:dyDescent="0.3">
      <c r="A146" t="s">
        <v>188</v>
      </c>
      <c r="B146" t="s">
        <v>188</v>
      </c>
      <c r="C146" t="s">
        <v>194</v>
      </c>
      <c r="D146">
        <v>2</v>
      </c>
      <c r="E146" t="s">
        <v>118</v>
      </c>
      <c r="F146">
        <v>1</v>
      </c>
      <c r="G146">
        <v>-2</v>
      </c>
      <c r="H146">
        <v>-2</v>
      </c>
      <c r="I146" t="s">
        <v>117</v>
      </c>
      <c r="J146" t="s">
        <v>51</v>
      </c>
      <c r="K146" t="s">
        <v>251</v>
      </c>
      <c r="L146" t="s">
        <v>247</v>
      </c>
      <c r="M146">
        <v>61</v>
      </c>
      <c r="O146" t="s">
        <v>52</v>
      </c>
      <c r="P146" t="s">
        <v>52</v>
      </c>
      <c r="Q146" t="s">
        <v>197</v>
      </c>
      <c r="R146" t="s">
        <v>53</v>
      </c>
      <c r="S146" t="s">
        <v>116</v>
      </c>
      <c r="T146" t="s">
        <v>198</v>
      </c>
      <c r="U146" t="s">
        <v>108</v>
      </c>
    </row>
    <row r="147" spans="1:21" x14ac:dyDescent="0.3">
      <c r="A147" t="s">
        <v>188</v>
      </c>
      <c r="B147" t="s">
        <v>188</v>
      </c>
      <c r="C147" t="s">
        <v>194</v>
      </c>
      <c r="D147">
        <v>3</v>
      </c>
      <c r="E147" t="s">
        <v>105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250</v>
      </c>
      <c r="L147" t="s">
        <v>249</v>
      </c>
      <c r="M147">
        <v>33</v>
      </c>
      <c r="N147">
        <v>9996</v>
      </c>
      <c r="O147" t="s">
        <v>52</v>
      </c>
      <c r="P147" t="s">
        <v>52</v>
      </c>
      <c r="Q147" t="s">
        <v>197</v>
      </c>
      <c r="R147" t="s">
        <v>53</v>
      </c>
      <c r="S147" t="s">
        <v>116</v>
      </c>
      <c r="T147" t="s">
        <v>198</v>
      </c>
      <c r="U147" t="s">
        <v>108</v>
      </c>
    </row>
    <row r="148" spans="1:21" x14ac:dyDescent="0.3">
      <c r="A148" t="s">
        <v>188</v>
      </c>
      <c r="B148" t="s">
        <v>188</v>
      </c>
      <c r="C148" t="s">
        <v>194</v>
      </c>
      <c r="D148">
        <v>3</v>
      </c>
      <c r="E148" t="s">
        <v>105</v>
      </c>
      <c r="F148">
        <v>1</v>
      </c>
      <c r="G148">
        <v>-80</v>
      </c>
      <c r="H148">
        <v>-80</v>
      </c>
      <c r="I148" t="s">
        <v>117</v>
      </c>
      <c r="J148" t="s">
        <v>51</v>
      </c>
      <c r="K148" t="s">
        <v>251</v>
      </c>
      <c r="L148" t="s">
        <v>247</v>
      </c>
      <c r="M148">
        <v>61</v>
      </c>
      <c r="O148" t="s">
        <v>52</v>
      </c>
      <c r="P148" t="s">
        <v>52</v>
      </c>
      <c r="Q148" t="s">
        <v>197</v>
      </c>
      <c r="R148" t="s">
        <v>53</v>
      </c>
      <c r="S148" t="s">
        <v>116</v>
      </c>
      <c r="T148" t="s">
        <v>198</v>
      </c>
      <c r="U148" t="s">
        <v>108</v>
      </c>
    </row>
    <row r="149" spans="1:21" x14ac:dyDescent="0.3">
      <c r="A149" t="s">
        <v>188</v>
      </c>
      <c r="B149" t="s">
        <v>193</v>
      </c>
      <c r="C149" t="s">
        <v>194</v>
      </c>
      <c r="D149">
        <v>3</v>
      </c>
      <c r="E149" t="s">
        <v>105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253</v>
      </c>
      <c r="L149" t="s">
        <v>249</v>
      </c>
      <c r="M149">
        <v>33</v>
      </c>
      <c r="N149">
        <v>9996</v>
      </c>
      <c r="O149" t="s">
        <v>52</v>
      </c>
      <c r="P149" t="s">
        <v>52</v>
      </c>
      <c r="Q149" t="s">
        <v>197</v>
      </c>
      <c r="R149" t="s">
        <v>53</v>
      </c>
      <c r="S149" t="s">
        <v>116</v>
      </c>
      <c r="T149" t="s">
        <v>198</v>
      </c>
      <c r="U149" t="s">
        <v>108</v>
      </c>
    </row>
    <row r="150" spans="1:21" x14ac:dyDescent="0.3">
      <c r="A150" t="s">
        <v>188</v>
      </c>
      <c r="B150" t="s">
        <v>188</v>
      </c>
      <c r="C150" t="s">
        <v>194</v>
      </c>
      <c r="D150">
        <v>3</v>
      </c>
      <c r="E150" t="s">
        <v>105</v>
      </c>
      <c r="F150">
        <v>1</v>
      </c>
      <c r="G150">
        <v>-1</v>
      </c>
      <c r="H150">
        <v>-1</v>
      </c>
      <c r="I150" t="s">
        <v>119</v>
      </c>
      <c r="J150" t="s">
        <v>58</v>
      </c>
      <c r="K150" t="s">
        <v>246</v>
      </c>
      <c r="L150" t="s">
        <v>247</v>
      </c>
      <c r="M150">
        <v>61</v>
      </c>
      <c r="O150" t="s">
        <v>52</v>
      </c>
      <c r="P150" t="s">
        <v>52</v>
      </c>
      <c r="Q150" t="s">
        <v>197</v>
      </c>
      <c r="R150" t="s">
        <v>53</v>
      </c>
      <c r="S150" t="s">
        <v>116</v>
      </c>
      <c r="T150" t="s">
        <v>198</v>
      </c>
      <c r="U150" t="s">
        <v>108</v>
      </c>
    </row>
    <row r="151" spans="1:21" x14ac:dyDescent="0.3">
      <c r="A151" t="s">
        <v>188</v>
      </c>
      <c r="B151" t="s">
        <v>188</v>
      </c>
      <c r="C151" t="s">
        <v>194</v>
      </c>
      <c r="D151">
        <v>3</v>
      </c>
      <c r="E151" t="s">
        <v>105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248</v>
      </c>
      <c r="L151" t="s">
        <v>249</v>
      </c>
      <c r="M151">
        <v>33</v>
      </c>
      <c r="N151">
        <v>9996</v>
      </c>
      <c r="O151" t="s">
        <v>52</v>
      </c>
      <c r="P151" t="s">
        <v>52</v>
      </c>
      <c r="Q151" t="s">
        <v>197</v>
      </c>
      <c r="R151" t="s">
        <v>53</v>
      </c>
      <c r="S151" t="s">
        <v>116</v>
      </c>
      <c r="T151" t="s">
        <v>198</v>
      </c>
      <c r="U151" t="s">
        <v>108</v>
      </c>
    </row>
    <row r="152" spans="1:21" x14ac:dyDescent="0.3">
      <c r="A152" t="s">
        <v>188</v>
      </c>
      <c r="B152" t="s">
        <v>193</v>
      </c>
      <c r="C152" t="s">
        <v>194</v>
      </c>
      <c r="D152">
        <v>3</v>
      </c>
      <c r="E152" t="s">
        <v>105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252</v>
      </c>
      <c r="L152" t="s">
        <v>249</v>
      </c>
      <c r="M152">
        <v>33</v>
      </c>
      <c r="N152">
        <v>9996</v>
      </c>
      <c r="O152" t="s">
        <v>52</v>
      </c>
      <c r="P152" t="s">
        <v>52</v>
      </c>
      <c r="Q152" t="s">
        <v>197</v>
      </c>
      <c r="R152" t="s">
        <v>53</v>
      </c>
      <c r="S152" t="s">
        <v>116</v>
      </c>
      <c r="T152" t="s">
        <v>198</v>
      </c>
      <c r="U152" t="s">
        <v>108</v>
      </c>
    </row>
    <row r="153" spans="1:21" x14ac:dyDescent="0.3">
      <c r="A153" t="s">
        <v>188</v>
      </c>
      <c r="B153" t="s">
        <v>188</v>
      </c>
      <c r="C153" t="s">
        <v>194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248</v>
      </c>
      <c r="L153" t="s">
        <v>249</v>
      </c>
      <c r="M153">
        <v>33</v>
      </c>
      <c r="N153">
        <v>9996</v>
      </c>
      <c r="O153" t="s">
        <v>52</v>
      </c>
      <c r="P153" t="s">
        <v>52</v>
      </c>
      <c r="Q153" t="s">
        <v>197</v>
      </c>
      <c r="R153" t="s">
        <v>53</v>
      </c>
      <c r="S153" t="s">
        <v>116</v>
      </c>
      <c r="T153" t="s">
        <v>198</v>
      </c>
      <c r="U153" t="s">
        <v>108</v>
      </c>
    </row>
    <row r="154" spans="1:21" x14ac:dyDescent="0.3">
      <c r="A154" t="s">
        <v>188</v>
      </c>
      <c r="B154" t="s">
        <v>188</v>
      </c>
      <c r="C154" t="s">
        <v>194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117</v>
      </c>
      <c r="J154" t="s">
        <v>51</v>
      </c>
      <c r="K154" t="s">
        <v>251</v>
      </c>
      <c r="L154" t="s">
        <v>247</v>
      </c>
      <c r="M154">
        <v>61</v>
      </c>
      <c r="O154" t="s">
        <v>52</v>
      </c>
      <c r="P154" t="s">
        <v>52</v>
      </c>
      <c r="Q154" t="s">
        <v>197</v>
      </c>
      <c r="R154" t="s">
        <v>53</v>
      </c>
      <c r="S154" t="s">
        <v>116</v>
      </c>
      <c r="T154" t="s">
        <v>198</v>
      </c>
      <c r="U154" t="s">
        <v>108</v>
      </c>
    </row>
    <row r="155" spans="1:21" x14ac:dyDescent="0.3">
      <c r="A155" t="s">
        <v>188</v>
      </c>
      <c r="B155" t="s">
        <v>188</v>
      </c>
      <c r="C155" t="s">
        <v>194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250</v>
      </c>
      <c r="L155" t="s">
        <v>249</v>
      </c>
      <c r="M155">
        <v>33</v>
      </c>
      <c r="N155">
        <v>9996</v>
      </c>
      <c r="O155" t="s">
        <v>52</v>
      </c>
      <c r="P155" t="s">
        <v>52</v>
      </c>
      <c r="Q155" t="s">
        <v>197</v>
      </c>
      <c r="R155" t="s">
        <v>53</v>
      </c>
      <c r="S155" t="s">
        <v>116</v>
      </c>
      <c r="T155" t="s">
        <v>198</v>
      </c>
      <c r="U155" t="s">
        <v>108</v>
      </c>
    </row>
    <row r="156" spans="1:21" x14ac:dyDescent="0.3">
      <c r="A156" t="s">
        <v>188</v>
      </c>
      <c r="B156" t="s">
        <v>188</v>
      </c>
      <c r="C156" t="s">
        <v>194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119</v>
      </c>
      <c r="J156" t="s">
        <v>58</v>
      </c>
      <c r="K156" t="s">
        <v>246</v>
      </c>
      <c r="L156" t="s">
        <v>247</v>
      </c>
      <c r="M156">
        <v>61</v>
      </c>
      <c r="O156" t="s">
        <v>52</v>
      </c>
      <c r="P156" t="s">
        <v>52</v>
      </c>
      <c r="Q156" t="s">
        <v>197</v>
      </c>
      <c r="R156" t="s">
        <v>53</v>
      </c>
      <c r="S156" t="s">
        <v>116</v>
      </c>
      <c r="T156" t="s">
        <v>198</v>
      </c>
      <c r="U156" t="s">
        <v>108</v>
      </c>
    </row>
    <row r="157" spans="1:21" x14ac:dyDescent="0.3">
      <c r="A157" t="s">
        <v>188</v>
      </c>
      <c r="B157" t="s">
        <v>193</v>
      </c>
      <c r="C157" t="s">
        <v>194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252</v>
      </c>
      <c r="L157" t="s">
        <v>249</v>
      </c>
      <c r="M157">
        <v>33</v>
      </c>
      <c r="N157">
        <v>9996</v>
      </c>
      <c r="O157" t="s">
        <v>52</v>
      </c>
      <c r="P157" t="s">
        <v>52</v>
      </c>
      <c r="Q157" t="s">
        <v>197</v>
      </c>
      <c r="R157" t="s">
        <v>53</v>
      </c>
      <c r="S157" t="s">
        <v>116</v>
      </c>
      <c r="T157" t="s">
        <v>198</v>
      </c>
      <c r="U157" t="s">
        <v>108</v>
      </c>
    </row>
    <row r="158" spans="1:21" x14ac:dyDescent="0.3">
      <c r="A158" t="s">
        <v>188</v>
      </c>
      <c r="B158" t="s">
        <v>193</v>
      </c>
      <c r="C158" t="s">
        <v>194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253</v>
      </c>
      <c r="L158" t="s">
        <v>249</v>
      </c>
      <c r="M158">
        <v>33</v>
      </c>
      <c r="N158">
        <v>9996</v>
      </c>
      <c r="O158" t="s">
        <v>52</v>
      </c>
      <c r="P158" t="s">
        <v>52</v>
      </c>
      <c r="Q158" t="s">
        <v>197</v>
      </c>
      <c r="R158" t="s">
        <v>53</v>
      </c>
      <c r="S158" t="s">
        <v>116</v>
      </c>
      <c r="T158" t="s">
        <v>198</v>
      </c>
      <c r="U158" t="s">
        <v>108</v>
      </c>
    </row>
    <row r="159" spans="1:21" x14ac:dyDescent="0.3">
      <c r="A159" t="s">
        <v>188</v>
      </c>
      <c r="B159" t="s">
        <v>193</v>
      </c>
      <c r="C159" t="s">
        <v>194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253</v>
      </c>
      <c r="L159" t="s">
        <v>249</v>
      </c>
      <c r="M159">
        <v>33</v>
      </c>
      <c r="N159">
        <v>9996</v>
      </c>
      <c r="O159" t="s">
        <v>52</v>
      </c>
      <c r="P159" t="s">
        <v>52</v>
      </c>
      <c r="Q159" t="s">
        <v>197</v>
      </c>
      <c r="R159" t="s">
        <v>53</v>
      </c>
      <c r="S159" t="s">
        <v>116</v>
      </c>
      <c r="T159" t="s">
        <v>198</v>
      </c>
      <c r="U159" t="s">
        <v>108</v>
      </c>
    </row>
    <row r="160" spans="1:21" x14ac:dyDescent="0.3">
      <c r="A160" t="s">
        <v>188</v>
      </c>
      <c r="B160" t="s">
        <v>188</v>
      </c>
      <c r="C160" t="s">
        <v>194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117</v>
      </c>
      <c r="J160" t="s">
        <v>51</v>
      </c>
      <c r="K160" t="s">
        <v>251</v>
      </c>
      <c r="L160" t="s">
        <v>247</v>
      </c>
      <c r="M160">
        <v>61</v>
      </c>
      <c r="O160" t="s">
        <v>52</v>
      </c>
      <c r="P160" t="s">
        <v>52</v>
      </c>
      <c r="Q160" t="s">
        <v>197</v>
      </c>
      <c r="R160" t="s">
        <v>53</v>
      </c>
      <c r="S160" t="s">
        <v>116</v>
      </c>
      <c r="T160" t="s">
        <v>198</v>
      </c>
      <c r="U160" t="s">
        <v>108</v>
      </c>
    </row>
    <row r="161" spans="1:21" x14ac:dyDescent="0.3">
      <c r="A161" t="s">
        <v>188</v>
      </c>
      <c r="B161" t="s">
        <v>193</v>
      </c>
      <c r="C161" t="s">
        <v>194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252</v>
      </c>
      <c r="L161" t="s">
        <v>249</v>
      </c>
      <c r="M161">
        <v>33</v>
      </c>
      <c r="N161">
        <v>9996</v>
      </c>
      <c r="O161" t="s">
        <v>52</v>
      </c>
      <c r="P161" t="s">
        <v>52</v>
      </c>
      <c r="Q161" t="s">
        <v>197</v>
      </c>
      <c r="R161" t="s">
        <v>53</v>
      </c>
      <c r="S161" t="s">
        <v>116</v>
      </c>
      <c r="T161" t="s">
        <v>198</v>
      </c>
      <c r="U161" t="s">
        <v>108</v>
      </c>
    </row>
    <row r="162" spans="1:21" x14ac:dyDescent="0.3">
      <c r="A162" t="s">
        <v>188</v>
      </c>
      <c r="B162" t="s">
        <v>188</v>
      </c>
      <c r="C162" t="s">
        <v>194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250</v>
      </c>
      <c r="L162" t="s">
        <v>249</v>
      </c>
      <c r="M162">
        <v>33</v>
      </c>
      <c r="N162">
        <v>9996</v>
      </c>
      <c r="O162" t="s">
        <v>52</v>
      </c>
      <c r="P162" t="s">
        <v>52</v>
      </c>
      <c r="Q162" t="s">
        <v>197</v>
      </c>
      <c r="R162" t="s">
        <v>53</v>
      </c>
      <c r="S162" t="s">
        <v>116</v>
      </c>
      <c r="T162" t="s">
        <v>198</v>
      </c>
      <c r="U162" t="s">
        <v>108</v>
      </c>
    </row>
    <row r="163" spans="1:21" x14ac:dyDescent="0.3">
      <c r="A163" t="s">
        <v>188</v>
      </c>
      <c r="B163" t="s">
        <v>188</v>
      </c>
      <c r="C163" t="s">
        <v>194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248</v>
      </c>
      <c r="L163" t="s">
        <v>249</v>
      </c>
      <c r="M163">
        <v>33</v>
      </c>
      <c r="N163">
        <v>9996</v>
      </c>
      <c r="O163" t="s">
        <v>52</v>
      </c>
      <c r="P163" t="s">
        <v>52</v>
      </c>
      <c r="Q163" t="s">
        <v>197</v>
      </c>
      <c r="R163" t="s">
        <v>53</v>
      </c>
      <c r="S163" t="s">
        <v>116</v>
      </c>
      <c r="T163" t="s">
        <v>198</v>
      </c>
      <c r="U163" t="s">
        <v>108</v>
      </c>
    </row>
    <row r="164" spans="1:21" x14ac:dyDescent="0.3">
      <c r="A164" t="s">
        <v>191</v>
      </c>
      <c r="B164" t="s">
        <v>191</v>
      </c>
      <c r="C164" t="s">
        <v>194</v>
      </c>
      <c r="D164">
        <v>1</v>
      </c>
      <c r="E164" t="s">
        <v>107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254</v>
      </c>
      <c r="L164" t="s">
        <v>255</v>
      </c>
      <c r="M164">
        <v>33</v>
      </c>
      <c r="N164">
        <v>10390</v>
      </c>
      <c r="O164" t="s">
        <v>52</v>
      </c>
      <c r="P164" t="s">
        <v>52</v>
      </c>
      <c r="Q164" t="s">
        <v>197</v>
      </c>
      <c r="R164" t="s">
        <v>53</v>
      </c>
      <c r="S164" t="s">
        <v>116</v>
      </c>
      <c r="T164" t="s">
        <v>198</v>
      </c>
      <c r="U164" t="s">
        <v>108</v>
      </c>
    </row>
    <row r="165" spans="1:21" x14ac:dyDescent="0.3">
      <c r="A165" t="s">
        <v>191</v>
      </c>
      <c r="B165" t="s">
        <v>193</v>
      </c>
      <c r="C165" t="s">
        <v>194</v>
      </c>
      <c r="D165">
        <v>1</v>
      </c>
      <c r="E165" t="s">
        <v>107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252</v>
      </c>
      <c r="L165" t="s">
        <v>255</v>
      </c>
      <c r="M165">
        <v>33</v>
      </c>
      <c r="N165">
        <v>10390</v>
      </c>
      <c r="O165" t="s">
        <v>52</v>
      </c>
      <c r="P165" t="s">
        <v>52</v>
      </c>
      <c r="Q165" t="s">
        <v>197</v>
      </c>
      <c r="R165" t="s">
        <v>53</v>
      </c>
      <c r="S165" t="s">
        <v>116</v>
      </c>
      <c r="T165" t="s">
        <v>198</v>
      </c>
      <c r="U165" t="s">
        <v>108</v>
      </c>
    </row>
    <row r="166" spans="1:21" x14ac:dyDescent="0.3">
      <c r="A166" t="s">
        <v>191</v>
      </c>
      <c r="B166" t="s">
        <v>191</v>
      </c>
      <c r="C166" t="s">
        <v>194</v>
      </c>
      <c r="D166">
        <v>1</v>
      </c>
      <c r="E166" t="s">
        <v>107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256</v>
      </c>
      <c r="L166" t="s">
        <v>255</v>
      </c>
      <c r="M166">
        <v>33</v>
      </c>
      <c r="N166">
        <v>10390</v>
      </c>
      <c r="O166" t="s">
        <v>52</v>
      </c>
      <c r="P166" t="s">
        <v>52</v>
      </c>
      <c r="Q166" t="s">
        <v>197</v>
      </c>
      <c r="R166" t="s">
        <v>53</v>
      </c>
      <c r="S166" t="s">
        <v>116</v>
      </c>
      <c r="T166" t="s">
        <v>198</v>
      </c>
      <c r="U166" t="s">
        <v>108</v>
      </c>
    </row>
    <row r="167" spans="1:21" x14ac:dyDescent="0.3">
      <c r="A167" t="s">
        <v>191</v>
      </c>
      <c r="B167" t="s">
        <v>193</v>
      </c>
      <c r="C167" t="s">
        <v>194</v>
      </c>
      <c r="D167">
        <v>1</v>
      </c>
      <c r="E167" t="s">
        <v>107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253</v>
      </c>
      <c r="L167" t="s">
        <v>255</v>
      </c>
      <c r="M167">
        <v>33</v>
      </c>
      <c r="N167">
        <v>10390</v>
      </c>
      <c r="O167" t="s">
        <v>52</v>
      </c>
      <c r="P167" t="s">
        <v>52</v>
      </c>
      <c r="Q167" t="s">
        <v>197</v>
      </c>
      <c r="R167" t="s">
        <v>53</v>
      </c>
      <c r="S167" t="s">
        <v>116</v>
      </c>
      <c r="T167" t="s">
        <v>198</v>
      </c>
      <c r="U167" t="s">
        <v>108</v>
      </c>
    </row>
    <row r="168" spans="1:21" x14ac:dyDescent="0.3">
      <c r="A168" t="s">
        <v>191</v>
      </c>
      <c r="B168" t="s">
        <v>191</v>
      </c>
      <c r="C168" t="s">
        <v>194</v>
      </c>
      <c r="D168">
        <v>2</v>
      </c>
      <c r="E168" t="s">
        <v>118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256</v>
      </c>
      <c r="L168" t="s">
        <v>255</v>
      </c>
      <c r="M168">
        <v>33</v>
      </c>
      <c r="N168">
        <v>10390</v>
      </c>
      <c r="O168" t="s">
        <v>52</v>
      </c>
      <c r="P168" t="s">
        <v>52</v>
      </c>
      <c r="Q168" t="s">
        <v>197</v>
      </c>
      <c r="R168" t="s">
        <v>53</v>
      </c>
      <c r="S168" t="s">
        <v>116</v>
      </c>
      <c r="T168" t="s">
        <v>198</v>
      </c>
      <c r="U168" t="s">
        <v>108</v>
      </c>
    </row>
    <row r="169" spans="1:21" x14ac:dyDescent="0.3">
      <c r="A169" t="s">
        <v>191</v>
      </c>
      <c r="B169" t="s">
        <v>191</v>
      </c>
      <c r="C169" t="s">
        <v>194</v>
      </c>
      <c r="D169">
        <v>2</v>
      </c>
      <c r="E169" t="s">
        <v>118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254</v>
      </c>
      <c r="L169" t="s">
        <v>255</v>
      </c>
      <c r="M169">
        <v>33</v>
      </c>
      <c r="N169">
        <v>10390</v>
      </c>
      <c r="O169" t="s">
        <v>52</v>
      </c>
      <c r="P169" t="s">
        <v>52</v>
      </c>
      <c r="Q169" t="s">
        <v>197</v>
      </c>
      <c r="R169" t="s">
        <v>53</v>
      </c>
      <c r="S169" t="s">
        <v>116</v>
      </c>
      <c r="T169" t="s">
        <v>198</v>
      </c>
      <c r="U169" t="s">
        <v>108</v>
      </c>
    </row>
    <row r="170" spans="1:21" x14ac:dyDescent="0.3">
      <c r="A170" t="s">
        <v>191</v>
      </c>
      <c r="B170" t="s">
        <v>193</v>
      </c>
      <c r="C170" t="s">
        <v>194</v>
      </c>
      <c r="D170">
        <v>2</v>
      </c>
      <c r="E170" t="s">
        <v>118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253</v>
      </c>
      <c r="L170" t="s">
        <v>255</v>
      </c>
      <c r="M170">
        <v>33</v>
      </c>
      <c r="N170">
        <v>10390</v>
      </c>
      <c r="O170" t="s">
        <v>52</v>
      </c>
      <c r="P170" t="s">
        <v>52</v>
      </c>
      <c r="Q170" t="s">
        <v>197</v>
      </c>
      <c r="R170" t="s">
        <v>53</v>
      </c>
      <c r="S170" t="s">
        <v>116</v>
      </c>
      <c r="T170" t="s">
        <v>198</v>
      </c>
      <c r="U170" t="s">
        <v>108</v>
      </c>
    </row>
    <row r="171" spans="1:21" x14ac:dyDescent="0.3">
      <c r="A171" t="s">
        <v>191</v>
      </c>
      <c r="B171" t="s">
        <v>193</v>
      </c>
      <c r="C171" t="s">
        <v>194</v>
      </c>
      <c r="D171">
        <v>2</v>
      </c>
      <c r="E171" t="s">
        <v>118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252</v>
      </c>
      <c r="L171" t="s">
        <v>255</v>
      </c>
      <c r="M171">
        <v>33</v>
      </c>
      <c r="N171">
        <v>10390</v>
      </c>
      <c r="O171" t="s">
        <v>52</v>
      </c>
      <c r="P171" t="s">
        <v>52</v>
      </c>
      <c r="Q171" t="s">
        <v>197</v>
      </c>
      <c r="R171" t="s">
        <v>53</v>
      </c>
      <c r="S171" t="s">
        <v>116</v>
      </c>
      <c r="T171" t="s">
        <v>198</v>
      </c>
      <c r="U171" t="s">
        <v>108</v>
      </c>
    </row>
    <row r="172" spans="1:21" x14ac:dyDescent="0.3">
      <c r="A172" t="s">
        <v>191</v>
      </c>
      <c r="B172" t="s">
        <v>193</v>
      </c>
      <c r="C172" t="s">
        <v>194</v>
      </c>
      <c r="D172">
        <v>3</v>
      </c>
      <c r="E172" t="s">
        <v>105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252</v>
      </c>
      <c r="L172" t="s">
        <v>255</v>
      </c>
      <c r="M172">
        <v>33</v>
      </c>
      <c r="N172">
        <v>10390</v>
      </c>
      <c r="O172" t="s">
        <v>52</v>
      </c>
      <c r="P172" t="s">
        <v>52</v>
      </c>
      <c r="Q172" t="s">
        <v>197</v>
      </c>
      <c r="R172" t="s">
        <v>53</v>
      </c>
      <c r="S172" t="s">
        <v>116</v>
      </c>
      <c r="T172" t="s">
        <v>198</v>
      </c>
      <c r="U172" t="s">
        <v>108</v>
      </c>
    </row>
    <row r="173" spans="1:21" x14ac:dyDescent="0.3">
      <c r="A173" t="s">
        <v>191</v>
      </c>
      <c r="B173" t="s">
        <v>191</v>
      </c>
      <c r="C173" t="s">
        <v>194</v>
      </c>
      <c r="D173">
        <v>3</v>
      </c>
      <c r="E173" t="s">
        <v>105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256</v>
      </c>
      <c r="L173" t="s">
        <v>255</v>
      </c>
      <c r="M173">
        <v>33</v>
      </c>
      <c r="N173">
        <v>10390</v>
      </c>
      <c r="O173" t="s">
        <v>52</v>
      </c>
      <c r="P173" t="s">
        <v>52</v>
      </c>
      <c r="Q173" t="s">
        <v>197</v>
      </c>
      <c r="R173" t="s">
        <v>53</v>
      </c>
      <c r="S173" t="s">
        <v>116</v>
      </c>
      <c r="T173" t="s">
        <v>198</v>
      </c>
      <c r="U173" t="s">
        <v>108</v>
      </c>
    </row>
    <row r="174" spans="1:21" x14ac:dyDescent="0.3">
      <c r="A174" t="s">
        <v>191</v>
      </c>
      <c r="B174" t="s">
        <v>193</v>
      </c>
      <c r="C174" t="s">
        <v>194</v>
      </c>
      <c r="D174">
        <v>3</v>
      </c>
      <c r="E174" t="s">
        <v>105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253</v>
      </c>
      <c r="L174" t="s">
        <v>255</v>
      </c>
      <c r="M174">
        <v>33</v>
      </c>
      <c r="N174">
        <v>10390</v>
      </c>
      <c r="O174" t="s">
        <v>52</v>
      </c>
      <c r="P174" t="s">
        <v>52</v>
      </c>
      <c r="Q174" t="s">
        <v>197</v>
      </c>
      <c r="R174" t="s">
        <v>53</v>
      </c>
      <c r="S174" t="s">
        <v>116</v>
      </c>
      <c r="T174" t="s">
        <v>198</v>
      </c>
      <c r="U174" t="s">
        <v>108</v>
      </c>
    </row>
    <row r="175" spans="1:21" x14ac:dyDescent="0.3">
      <c r="A175" t="s">
        <v>191</v>
      </c>
      <c r="B175" t="s">
        <v>191</v>
      </c>
      <c r="C175" t="s">
        <v>194</v>
      </c>
      <c r="D175">
        <v>3</v>
      </c>
      <c r="E175" t="s">
        <v>105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254</v>
      </c>
      <c r="L175" t="s">
        <v>255</v>
      </c>
      <c r="M175">
        <v>33</v>
      </c>
      <c r="N175">
        <v>10390</v>
      </c>
      <c r="O175" t="s">
        <v>52</v>
      </c>
      <c r="P175" t="s">
        <v>52</v>
      </c>
      <c r="Q175" t="s">
        <v>197</v>
      </c>
      <c r="R175" t="s">
        <v>53</v>
      </c>
      <c r="S175" t="s">
        <v>116</v>
      </c>
      <c r="T175" t="s">
        <v>198</v>
      </c>
      <c r="U175" t="s">
        <v>108</v>
      </c>
    </row>
    <row r="176" spans="1:21" x14ac:dyDescent="0.3">
      <c r="A176" t="s">
        <v>191</v>
      </c>
      <c r="B176" t="s">
        <v>191</v>
      </c>
      <c r="C176" t="s">
        <v>194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256</v>
      </c>
      <c r="L176" t="s">
        <v>255</v>
      </c>
      <c r="M176">
        <v>33</v>
      </c>
      <c r="N176">
        <v>10390</v>
      </c>
      <c r="O176" t="s">
        <v>52</v>
      </c>
      <c r="P176" t="s">
        <v>52</v>
      </c>
      <c r="Q176" t="s">
        <v>197</v>
      </c>
      <c r="R176" t="s">
        <v>53</v>
      </c>
      <c r="S176" t="s">
        <v>116</v>
      </c>
      <c r="T176" t="s">
        <v>198</v>
      </c>
      <c r="U176" t="s">
        <v>108</v>
      </c>
    </row>
    <row r="177" spans="1:21" x14ac:dyDescent="0.3">
      <c r="A177" t="s">
        <v>191</v>
      </c>
      <c r="B177" t="s">
        <v>191</v>
      </c>
      <c r="C177" t="s">
        <v>194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254</v>
      </c>
      <c r="L177" t="s">
        <v>255</v>
      </c>
      <c r="M177">
        <v>33</v>
      </c>
      <c r="N177">
        <v>10390</v>
      </c>
      <c r="O177" t="s">
        <v>52</v>
      </c>
      <c r="P177" t="s">
        <v>52</v>
      </c>
      <c r="Q177" t="s">
        <v>197</v>
      </c>
      <c r="R177" t="s">
        <v>53</v>
      </c>
      <c r="S177" t="s">
        <v>116</v>
      </c>
      <c r="T177" t="s">
        <v>198</v>
      </c>
      <c r="U177" t="s">
        <v>108</v>
      </c>
    </row>
    <row r="178" spans="1:21" x14ac:dyDescent="0.3">
      <c r="A178" t="s">
        <v>191</v>
      </c>
      <c r="B178" t="s">
        <v>193</v>
      </c>
      <c r="C178" t="s">
        <v>194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253</v>
      </c>
      <c r="L178" t="s">
        <v>255</v>
      </c>
      <c r="M178">
        <v>33</v>
      </c>
      <c r="N178">
        <v>10390</v>
      </c>
      <c r="O178" t="s">
        <v>52</v>
      </c>
      <c r="P178" t="s">
        <v>52</v>
      </c>
      <c r="Q178" t="s">
        <v>197</v>
      </c>
      <c r="R178" t="s">
        <v>53</v>
      </c>
      <c r="S178" t="s">
        <v>116</v>
      </c>
      <c r="T178" t="s">
        <v>198</v>
      </c>
      <c r="U178" t="s">
        <v>108</v>
      </c>
    </row>
    <row r="179" spans="1:21" x14ac:dyDescent="0.3">
      <c r="A179" t="s">
        <v>191</v>
      </c>
      <c r="B179" t="s">
        <v>193</v>
      </c>
      <c r="C179" t="s">
        <v>194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252</v>
      </c>
      <c r="L179" t="s">
        <v>255</v>
      </c>
      <c r="M179">
        <v>33</v>
      </c>
      <c r="N179">
        <v>10390</v>
      </c>
      <c r="O179" t="s">
        <v>52</v>
      </c>
      <c r="P179" t="s">
        <v>52</v>
      </c>
      <c r="Q179" t="s">
        <v>197</v>
      </c>
      <c r="R179" t="s">
        <v>53</v>
      </c>
      <c r="S179" t="s">
        <v>116</v>
      </c>
      <c r="T179" t="s">
        <v>198</v>
      </c>
      <c r="U179" t="s">
        <v>108</v>
      </c>
    </row>
    <row r="180" spans="1:21" x14ac:dyDescent="0.3">
      <c r="A180" t="s">
        <v>191</v>
      </c>
      <c r="B180" t="s">
        <v>191</v>
      </c>
      <c r="C180" t="s">
        <v>194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256</v>
      </c>
      <c r="L180" t="s">
        <v>255</v>
      </c>
      <c r="M180">
        <v>33</v>
      </c>
      <c r="N180">
        <v>10390</v>
      </c>
      <c r="O180" t="s">
        <v>52</v>
      </c>
      <c r="P180" t="s">
        <v>52</v>
      </c>
      <c r="Q180" t="s">
        <v>197</v>
      </c>
      <c r="R180" t="s">
        <v>53</v>
      </c>
      <c r="S180" t="s">
        <v>116</v>
      </c>
      <c r="T180" t="s">
        <v>198</v>
      </c>
      <c r="U180" t="s">
        <v>108</v>
      </c>
    </row>
    <row r="181" spans="1:21" x14ac:dyDescent="0.3">
      <c r="A181" t="s">
        <v>191</v>
      </c>
      <c r="B181" t="s">
        <v>191</v>
      </c>
      <c r="C181" t="s">
        <v>194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254</v>
      </c>
      <c r="L181" t="s">
        <v>255</v>
      </c>
      <c r="M181">
        <v>33</v>
      </c>
      <c r="N181">
        <v>10390</v>
      </c>
      <c r="O181" t="s">
        <v>52</v>
      </c>
      <c r="P181" t="s">
        <v>52</v>
      </c>
      <c r="Q181" t="s">
        <v>197</v>
      </c>
      <c r="R181" t="s">
        <v>53</v>
      </c>
      <c r="S181" t="s">
        <v>116</v>
      </c>
      <c r="T181" t="s">
        <v>198</v>
      </c>
      <c r="U181" t="s">
        <v>108</v>
      </c>
    </row>
    <row r="182" spans="1:21" x14ac:dyDescent="0.3">
      <c r="A182" t="s">
        <v>191</v>
      </c>
      <c r="B182" t="s">
        <v>193</v>
      </c>
      <c r="C182" t="s">
        <v>194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253</v>
      </c>
      <c r="L182" t="s">
        <v>255</v>
      </c>
      <c r="M182">
        <v>33</v>
      </c>
      <c r="N182">
        <v>10390</v>
      </c>
      <c r="O182" t="s">
        <v>52</v>
      </c>
      <c r="P182" t="s">
        <v>52</v>
      </c>
      <c r="Q182" t="s">
        <v>197</v>
      </c>
      <c r="R182" t="s">
        <v>53</v>
      </c>
      <c r="S182" t="s">
        <v>116</v>
      </c>
      <c r="T182" t="s">
        <v>198</v>
      </c>
      <c r="U182" t="s">
        <v>108</v>
      </c>
    </row>
    <row r="183" spans="1:21" x14ac:dyDescent="0.3">
      <c r="A183" t="s">
        <v>191</v>
      </c>
      <c r="B183" t="s">
        <v>193</v>
      </c>
      <c r="C183" t="s">
        <v>194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252</v>
      </c>
      <c r="L183" t="s">
        <v>255</v>
      </c>
      <c r="M183">
        <v>33</v>
      </c>
      <c r="N183">
        <v>10390</v>
      </c>
      <c r="O183" t="s">
        <v>52</v>
      </c>
      <c r="P183" t="s">
        <v>52</v>
      </c>
      <c r="Q183" t="s">
        <v>197</v>
      </c>
      <c r="R183" t="s">
        <v>53</v>
      </c>
      <c r="S183" t="s">
        <v>116</v>
      </c>
      <c r="T183" t="s">
        <v>198</v>
      </c>
      <c r="U183" t="s">
        <v>108</v>
      </c>
    </row>
    <row r="184" spans="1:21" x14ac:dyDescent="0.3">
      <c r="A184" t="s">
        <v>193</v>
      </c>
      <c r="B184" t="s">
        <v>193</v>
      </c>
      <c r="C184" t="s">
        <v>194</v>
      </c>
      <c r="D184">
        <v>1</v>
      </c>
      <c r="E184" t="s">
        <v>107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252</v>
      </c>
      <c r="L184" t="s">
        <v>257</v>
      </c>
      <c r="M184">
        <v>33</v>
      </c>
      <c r="N184">
        <v>10809</v>
      </c>
      <c r="O184" t="s">
        <v>52</v>
      </c>
      <c r="P184" t="s">
        <v>52</v>
      </c>
      <c r="Q184" t="s">
        <v>197</v>
      </c>
      <c r="R184" t="s">
        <v>53</v>
      </c>
      <c r="S184" t="s">
        <v>116</v>
      </c>
      <c r="T184" t="s">
        <v>198</v>
      </c>
      <c r="U184" t="s">
        <v>108</v>
      </c>
    </row>
    <row r="185" spans="1:21" x14ac:dyDescent="0.3">
      <c r="A185" t="s">
        <v>193</v>
      </c>
      <c r="B185" t="s">
        <v>191</v>
      </c>
      <c r="C185" t="s">
        <v>194</v>
      </c>
      <c r="D185">
        <v>1</v>
      </c>
      <c r="E185" t="s">
        <v>107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258</v>
      </c>
      <c r="L185" t="s">
        <v>259</v>
      </c>
      <c r="M185">
        <v>61</v>
      </c>
      <c r="O185" t="s">
        <v>52</v>
      </c>
      <c r="P185" t="s">
        <v>52</v>
      </c>
      <c r="Q185" t="s">
        <v>197</v>
      </c>
      <c r="R185" t="s">
        <v>53</v>
      </c>
      <c r="S185" t="s">
        <v>116</v>
      </c>
      <c r="T185" t="s">
        <v>198</v>
      </c>
      <c r="U185" t="s">
        <v>108</v>
      </c>
    </row>
    <row r="186" spans="1:21" x14ac:dyDescent="0.3">
      <c r="A186" t="s">
        <v>193</v>
      </c>
      <c r="B186" t="s">
        <v>191</v>
      </c>
      <c r="C186" t="s">
        <v>194</v>
      </c>
      <c r="D186">
        <v>1</v>
      </c>
      <c r="E186" t="s">
        <v>107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260</v>
      </c>
      <c r="L186" t="s">
        <v>259</v>
      </c>
      <c r="M186">
        <v>61</v>
      </c>
      <c r="O186" t="s">
        <v>52</v>
      </c>
      <c r="P186" t="s">
        <v>52</v>
      </c>
      <c r="Q186" t="s">
        <v>197</v>
      </c>
      <c r="R186" t="s">
        <v>53</v>
      </c>
      <c r="S186" t="s">
        <v>116</v>
      </c>
      <c r="T186" t="s">
        <v>198</v>
      </c>
      <c r="U186" t="s">
        <v>108</v>
      </c>
    </row>
    <row r="187" spans="1:21" x14ac:dyDescent="0.3">
      <c r="A187" t="s">
        <v>193</v>
      </c>
      <c r="B187" t="s">
        <v>191</v>
      </c>
      <c r="C187" t="s">
        <v>194</v>
      </c>
      <c r="D187">
        <v>1</v>
      </c>
      <c r="E187" t="s">
        <v>107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261</v>
      </c>
      <c r="L187" t="s">
        <v>259</v>
      </c>
      <c r="M187">
        <v>61</v>
      </c>
      <c r="O187" t="s">
        <v>52</v>
      </c>
      <c r="P187" t="s">
        <v>52</v>
      </c>
      <c r="Q187" t="s">
        <v>197</v>
      </c>
      <c r="R187" t="s">
        <v>53</v>
      </c>
      <c r="S187" t="s">
        <v>116</v>
      </c>
      <c r="T187" t="s">
        <v>198</v>
      </c>
      <c r="U187" t="s">
        <v>108</v>
      </c>
    </row>
    <row r="188" spans="1:21" x14ac:dyDescent="0.3">
      <c r="A188" t="s">
        <v>193</v>
      </c>
      <c r="B188" t="s">
        <v>193</v>
      </c>
      <c r="C188" t="s">
        <v>194</v>
      </c>
      <c r="D188">
        <v>1</v>
      </c>
      <c r="E188" t="s">
        <v>107</v>
      </c>
      <c r="F188">
        <v>1</v>
      </c>
      <c r="G188">
        <v>-2</v>
      </c>
      <c r="H188">
        <v>-2</v>
      </c>
      <c r="I188" t="s">
        <v>119</v>
      </c>
      <c r="J188" t="s">
        <v>58</v>
      </c>
      <c r="K188" t="s">
        <v>262</v>
      </c>
      <c r="L188" t="s">
        <v>263</v>
      </c>
      <c r="M188">
        <v>61</v>
      </c>
      <c r="O188" t="s">
        <v>52</v>
      </c>
      <c r="P188" t="s">
        <v>52</v>
      </c>
      <c r="Q188" t="s">
        <v>197</v>
      </c>
      <c r="R188" t="s">
        <v>53</v>
      </c>
      <c r="S188" t="s">
        <v>116</v>
      </c>
      <c r="T188" t="s">
        <v>198</v>
      </c>
      <c r="U188" t="s">
        <v>108</v>
      </c>
    </row>
    <row r="189" spans="1:21" x14ac:dyDescent="0.3">
      <c r="A189" t="s">
        <v>193</v>
      </c>
      <c r="B189" t="s">
        <v>191</v>
      </c>
      <c r="C189" t="s">
        <v>194</v>
      </c>
      <c r="D189">
        <v>1</v>
      </c>
      <c r="E189" t="s">
        <v>107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264</v>
      </c>
      <c r="L189" t="s">
        <v>259</v>
      </c>
      <c r="M189">
        <v>61</v>
      </c>
      <c r="O189" t="s">
        <v>52</v>
      </c>
      <c r="P189" t="s">
        <v>52</v>
      </c>
      <c r="Q189" t="s">
        <v>197</v>
      </c>
      <c r="R189" t="s">
        <v>53</v>
      </c>
      <c r="S189" t="s">
        <v>116</v>
      </c>
      <c r="T189" t="s">
        <v>198</v>
      </c>
      <c r="U189" t="s">
        <v>108</v>
      </c>
    </row>
    <row r="190" spans="1:21" x14ac:dyDescent="0.3">
      <c r="A190" t="s">
        <v>193</v>
      </c>
      <c r="B190" t="s">
        <v>191</v>
      </c>
      <c r="C190" t="s">
        <v>194</v>
      </c>
      <c r="D190">
        <v>1</v>
      </c>
      <c r="E190" t="s">
        <v>107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265</v>
      </c>
      <c r="L190" t="s">
        <v>259</v>
      </c>
      <c r="M190">
        <v>61</v>
      </c>
      <c r="O190" t="s">
        <v>52</v>
      </c>
      <c r="P190" t="s">
        <v>52</v>
      </c>
      <c r="Q190" t="s">
        <v>197</v>
      </c>
      <c r="R190" t="s">
        <v>53</v>
      </c>
      <c r="S190" t="s">
        <v>116</v>
      </c>
      <c r="T190" t="s">
        <v>198</v>
      </c>
      <c r="U190" t="s">
        <v>108</v>
      </c>
    </row>
    <row r="191" spans="1:21" x14ac:dyDescent="0.3">
      <c r="A191" t="s">
        <v>193</v>
      </c>
      <c r="B191" t="s">
        <v>193</v>
      </c>
      <c r="C191" t="s">
        <v>194</v>
      </c>
      <c r="D191">
        <v>1</v>
      </c>
      <c r="E191" t="s">
        <v>107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253</v>
      </c>
      <c r="L191" t="s">
        <v>257</v>
      </c>
      <c r="M191">
        <v>33</v>
      </c>
      <c r="N191">
        <v>10809</v>
      </c>
      <c r="O191" t="s">
        <v>52</v>
      </c>
      <c r="P191" t="s">
        <v>52</v>
      </c>
      <c r="Q191" t="s">
        <v>197</v>
      </c>
      <c r="R191" t="s">
        <v>53</v>
      </c>
      <c r="S191" t="s">
        <v>116</v>
      </c>
      <c r="T191" t="s">
        <v>198</v>
      </c>
      <c r="U191" t="s">
        <v>108</v>
      </c>
    </row>
    <row r="192" spans="1:21" x14ac:dyDescent="0.3">
      <c r="A192" t="s">
        <v>193</v>
      </c>
      <c r="B192" t="s">
        <v>193</v>
      </c>
      <c r="C192" t="s">
        <v>194</v>
      </c>
      <c r="D192">
        <v>1</v>
      </c>
      <c r="E192" t="s">
        <v>107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266</v>
      </c>
      <c r="L192" t="s">
        <v>257</v>
      </c>
      <c r="M192">
        <v>33</v>
      </c>
      <c r="N192">
        <v>10809</v>
      </c>
      <c r="O192" t="s">
        <v>52</v>
      </c>
      <c r="P192" t="s">
        <v>52</v>
      </c>
      <c r="Q192" t="s">
        <v>197</v>
      </c>
      <c r="R192" t="s">
        <v>53</v>
      </c>
      <c r="S192" t="s">
        <v>116</v>
      </c>
      <c r="T192" t="s">
        <v>198</v>
      </c>
      <c r="U192" t="s">
        <v>108</v>
      </c>
    </row>
    <row r="193" spans="1:21" x14ac:dyDescent="0.3">
      <c r="A193" t="s">
        <v>193</v>
      </c>
      <c r="B193" t="s">
        <v>193</v>
      </c>
      <c r="C193" t="s">
        <v>194</v>
      </c>
      <c r="D193">
        <v>1</v>
      </c>
      <c r="E193" t="s">
        <v>107</v>
      </c>
      <c r="F193">
        <v>1</v>
      </c>
      <c r="G193">
        <v>-194</v>
      </c>
      <c r="H193">
        <v>-194</v>
      </c>
      <c r="I193" t="s">
        <v>117</v>
      </c>
      <c r="J193" t="s">
        <v>51</v>
      </c>
      <c r="K193" t="s">
        <v>267</v>
      </c>
      <c r="L193" t="s">
        <v>263</v>
      </c>
      <c r="M193">
        <v>61</v>
      </c>
      <c r="O193" t="s">
        <v>52</v>
      </c>
      <c r="P193" t="s">
        <v>52</v>
      </c>
      <c r="Q193" t="s">
        <v>197</v>
      </c>
      <c r="R193" t="s">
        <v>53</v>
      </c>
      <c r="S193" t="s">
        <v>116</v>
      </c>
      <c r="T193" t="s">
        <v>198</v>
      </c>
      <c r="U193" t="s">
        <v>108</v>
      </c>
    </row>
    <row r="194" spans="1:21" x14ac:dyDescent="0.3">
      <c r="A194" t="s">
        <v>193</v>
      </c>
      <c r="B194" t="s">
        <v>191</v>
      </c>
      <c r="C194" t="s">
        <v>194</v>
      </c>
      <c r="D194">
        <v>1</v>
      </c>
      <c r="E194" t="s">
        <v>107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268</v>
      </c>
      <c r="L194" t="s">
        <v>259</v>
      </c>
      <c r="M194">
        <v>61</v>
      </c>
      <c r="O194" t="s">
        <v>52</v>
      </c>
      <c r="P194" t="s">
        <v>52</v>
      </c>
      <c r="Q194" t="s">
        <v>197</v>
      </c>
      <c r="R194" t="s">
        <v>53</v>
      </c>
      <c r="S194" t="s">
        <v>116</v>
      </c>
      <c r="T194" t="s">
        <v>198</v>
      </c>
      <c r="U194" t="s">
        <v>108</v>
      </c>
    </row>
    <row r="195" spans="1:21" x14ac:dyDescent="0.3">
      <c r="A195" t="s">
        <v>193</v>
      </c>
      <c r="B195" t="s">
        <v>191</v>
      </c>
      <c r="C195" t="s">
        <v>194</v>
      </c>
      <c r="D195">
        <v>1</v>
      </c>
      <c r="E195" t="s">
        <v>107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269</v>
      </c>
      <c r="L195" t="s">
        <v>259</v>
      </c>
      <c r="M195">
        <v>61</v>
      </c>
      <c r="O195" t="s">
        <v>52</v>
      </c>
      <c r="P195" t="s">
        <v>52</v>
      </c>
      <c r="Q195" t="s">
        <v>197</v>
      </c>
      <c r="R195" t="s">
        <v>53</v>
      </c>
      <c r="S195" t="s">
        <v>116</v>
      </c>
      <c r="T195" t="s">
        <v>198</v>
      </c>
      <c r="U195" t="s">
        <v>108</v>
      </c>
    </row>
    <row r="196" spans="1:21" x14ac:dyDescent="0.3">
      <c r="A196" t="s">
        <v>193</v>
      </c>
      <c r="B196" t="s">
        <v>193</v>
      </c>
      <c r="C196" t="s">
        <v>194</v>
      </c>
      <c r="D196">
        <v>1</v>
      </c>
      <c r="E196" t="s">
        <v>107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270</v>
      </c>
      <c r="L196" t="s">
        <v>257</v>
      </c>
      <c r="M196">
        <v>33</v>
      </c>
      <c r="N196">
        <v>10809</v>
      </c>
      <c r="O196" t="s">
        <v>52</v>
      </c>
      <c r="P196" t="s">
        <v>52</v>
      </c>
      <c r="Q196" t="s">
        <v>197</v>
      </c>
      <c r="R196" t="s">
        <v>53</v>
      </c>
      <c r="S196" t="s">
        <v>116</v>
      </c>
      <c r="T196" t="s">
        <v>198</v>
      </c>
      <c r="U196" t="s">
        <v>108</v>
      </c>
    </row>
    <row r="197" spans="1:21" x14ac:dyDescent="0.3">
      <c r="A197" t="s">
        <v>193</v>
      </c>
      <c r="B197" t="s">
        <v>191</v>
      </c>
      <c r="C197" t="s">
        <v>194</v>
      </c>
      <c r="D197">
        <v>1</v>
      </c>
      <c r="E197" t="s">
        <v>107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271</v>
      </c>
      <c r="L197" t="s">
        <v>259</v>
      </c>
      <c r="M197">
        <v>61</v>
      </c>
      <c r="O197" t="s">
        <v>52</v>
      </c>
      <c r="P197" t="s">
        <v>52</v>
      </c>
      <c r="Q197" t="s">
        <v>197</v>
      </c>
      <c r="R197" t="s">
        <v>53</v>
      </c>
      <c r="S197" t="s">
        <v>116</v>
      </c>
      <c r="T197" t="s">
        <v>198</v>
      </c>
      <c r="U197" t="s">
        <v>108</v>
      </c>
    </row>
    <row r="198" spans="1:21" x14ac:dyDescent="0.3">
      <c r="A198" t="s">
        <v>193</v>
      </c>
      <c r="B198" t="s">
        <v>191</v>
      </c>
      <c r="C198" t="s">
        <v>194</v>
      </c>
      <c r="D198">
        <v>2</v>
      </c>
      <c r="E198" t="s">
        <v>118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258</v>
      </c>
      <c r="L198" t="s">
        <v>259</v>
      </c>
      <c r="M198">
        <v>61</v>
      </c>
      <c r="O198" t="s">
        <v>52</v>
      </c>
      <c r="P198" t="s">
        <v>52</v>
      </c>
      <c r="Q198" t="s">
        <v>197</v>
      </c>
      <c r="R198" t="s">
        <v>53</v>
      </c>
      <c r="S198" t="s">
        <v>116</v>
      </c>
      <c r="T198" t="s">
        <v>198</v>
      </c>
      <c r="U198" t="s">
        <v>108</v>
      </c>
    </row>
    <row r="199" spans="1:21" x14ac:dyDescent="0.3">
      <c r="A199" t="s">
        <v>193</v>
      </c>
      <c r="B199" t="s">
        <v>191</v>
      </c>
      <c r="C199" t="s">
        <v>194</v>
      </c>
      <c r="D199">
        <v>2</v>
      </c>
      <c r="E199" t="s">
        <v>118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264</v>
      </c>
      <c r="L199" t="s">
        <v>259</v>
      </c>
      <c r="M199">
        <v>61</v>
      </c>
      <c r="O199" t="s">
        <v>52</v>
      </c>
      <c r="P199" t="s">
        <v>52</v>
      </c>
      <c r="Q199" t="s">
        <v>197</v>
      </c>
      <c r="R199" t="s">
        <v>53</v>
      </c>
      <c r="S199" t="s">
        <v>116</v>
      </c>
      <c r="T199" t="s">
        <v>198</v>
      </c>
      <c r="U199" t="s">
        <v>108</v>
      </c>
    </row>
    <row r="200" spans="1:21" x14ac:dyDescent="0.3">
      <c r="A200" t="s">
        <v>193</v>
      </c>
      <c r="B200" t="s">
        <v>191</v>
      </c>
      <c r="C200" t="s">
        <v>194</v>
      </c>
      <c r="D200">
        <v>2</v>
      </c>
      <c r="E200" t="s">
        <v>118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261</v>
      </c>
      <c r="L200" t="s">
        <v>259</v>
      </c>
      <c r="M200">
        <v>61</v>
      </c>
      <c r="O200" t="s">
        <v>52</v>
      </c>
      <c r="P200" t="s">
        <v>52</v>
      </c>
      <c r="Q200" t="s">
        <v>197</v>
      </c>
      <c r="R200" t="s">
        <v>53</v>
      </c>
      <c r="S200" t="s">
        <v>116</v>
      </c>
      <c r="T200" t="s">
        <v>198</v>
      </c>
      <c r="U200" t="s">
        <v>108</v>
      </c>
    </row>
    <row r="201" spans="1:21" x14ac:dyDescent="0.3">
      <c r="A201" t="s">
        <v>193</v>
      </c>
      <c r="B201" t="s">
        <v>191</v>
      </c>
      <c r="C201" t="s">
        <v>194</v>
      </c>
      <c r="D201">
        <v>2</v>
      </c>
      <c r="E201" t="s">
        <v>118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271</v>
      </c>
      <c r="L201" t="s">
        <v>259</v>
      </c>
      <c r="M201">
        <v>61</v>
      </c>
      <c r="O201" t="s">
        <v>52</v>
      </c>
      <c r="P201" t="s">
        <v>52</v>
      </c>
      <c r="Q201" t="s">
        <v>197</v>
      </c>
      <c r="R201" t="s">
        <v>53</v>
      </c>
      <c r="S201" t="s">
        <v>116</v>
      </c>
      <c r="T201" t="s">
        <v>198</v>
      </c>
      <c r="U201" t="s">
        <v>108</v>
      </c>
    </row>
    <row r="202" spans="1:21" x14ac:dyDescent="0.3">
      <c r="A202" t="s">
        <v>193</v>
      </c>
      <c r="B202" t="s">
        <v>193</v>
      </c>
      <c r="C202" t="s">
        <v>194</v>
      </c>
      <c r="D202">
        <v>2</v>
      </c>
      <c r="E202" t="s">
        <v>118</v>
      </c>
      <c r="F202">
        <v>1</v>
      </c>
      <c r="G202">
        <v>-1</v>
      </c>
      <c r="H202">
        <v>-1</v>
      </c>
      <c r="I202" t="s">
        <v>117</v>
      </c>
      <c r="J202" t="s">
        <v>51</v>
      </c>
      <c r="K202" t="s">
        <v>267</v>
      </c>
      <c r="L202" t="s">
        <v>263</v>
      </c>
      <c r="M202">
        <v>61</v>
      </c>
      <c r="O202" t="s">
        <v>52</v>
      </c>
      <c r="P202" t="s">
        <v>52</v>
      </c>
      <c r="Q202" t="s">
        <v>197</v>
      </c>
      <c r="R202" t="s">
        <v>53</v>
      </c>
      <c r="S202" t="s">
        <v>116</v>
      </c>
      <c r="T202" t="s">
        <v>198</v>
      </c>
      <c r="U202" t="s">
        <v>108</v>
      </c>
    </row>
    <row r="203" spans="1:21" x14ac:dyDescent="0.3">
      <c r="A203" t="s">
        <v>193</v>
      </c>
      <c r="B203" t="s">
        <v>191</v>
      </c>
      <c r="C203" t="s">
        <v>194</v>
      </c>
      <c r="D203">
        <v>2</v>
      </c>
      <c r="E203" t="s">
        <v>118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268</v>
      </c>
      <c r="L203" t="s">
        <v>259</v>
      </c>
      <c r="M203">
        <v>61</v>
      </c>
      <c r="O203" t="s">
        <v>52</v>
      </c>
      <c r="P203" t="s">
        <v>52</v>
      </c>
      <c r="Q203" t="s">
        <v>197</v>
      </c>
      <c r="R203" t="s">
        <v>53</v>
      </c>
      <c r="S203" t="s">
        <v>116</v>
      </c>
      <c r="T203" t="s">
        <v>198</v>
      </c>
      <c r="U203" t="s">
        <v>108</v>
      </c>
    </row>
    <row r="204" spans="1:21" x14ac:dyDescent="0.3">
      <c r="A204" t="s">
        <v>193</v>
      </c>
      <c r="B204" t="s">
        <v>191</v>
      </c>
      <c r="C204" t="s">
        <v>194</v>
      </c>
      <c r="D204">
        <v>2</v>
      </c>
      <c r="E204" t="s">
        <v>118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265</v>
      </c>
      <c r="L204" t="s">
        <v>259</v>
      </c>
      <c r="M204">
        <v>61</v>
      </c>
      <c r="O204" t="s">
        <v>52</v>
      </c>
      <c r="P204" t="s">
        <v>52</v>
      </c>
      <c r="Q204" t="s">
        <v>197</v>
      </c>
      <c r="R204" t="s">
        <v>53</v>
      </c>
      <c r="S204" t="s">
        <v>116</v>
      </c>
      <c r="T204" t="s">
        <v>198</v>
      </c>
      <c r="U204" t="s">
        <v>108</v>
      </c>
    </row>
    <row r="205" spans="1:21" x14ac:dyDescent="0.3">
      <c r="A205" t="s">
        <v>193</v>
      </c>
      <c r="B205" t="s">
        <v>193</v>
      </c>
      <c r="C205" t="s">
        <v>194</v>
      </c>
      <c r="D205">
        <v>2</v>
      </c>
      <c r="E205" t="s">
        <v>118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266</v>
      </c>
      <c r="L205" t="s">
        <v>257</v>
      </c>
      <c r="M205">
        <v>33</v>
      </c>
      <c r="N205">
        <v>10809</v>
      </c>
      <c r="O205" t="s">
        <v>52</v>
      </c>
      <c r="P205" t="s">
        <v>52</v>
      </c>
      <c r="Q205" t="s">
        <v>197</v>
      </c>
      <c r="R205" t="s">
        <v>53</v>
      </c>
      <c r="S205" t="s">
        <v>116</v>
      </c>
      <c r="T205" t="s">
        <v>198</v>
      </c>
      <c r="U205" t="s">
        <v>108</v>
      </c>
    </row>
    <row r="206" spans="1:21" x14ac:dyDescent="0.3">
      <c r="A206" t="s">
        <v>193</v>
      </c>
      <c r="B206" t="s">
        <v>191</v>
      </c>
      <c r="C206" t="s">
        <v>194</v>
      </c>
      <c r="D206">
        <v>2</v>
      </c>
      <c r="E206" t="s">
        <v>118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269</v>
      </c>
      <c r="L206" t="s">
        <v>259</v>
      </c>
      <c r="M206">
        <v>61</v>
      </c>
      <c r="O206" t="s">
        <v>52</v>
      </c>
      <c r="P206" t="s">
        <v>52</v>
      </c>
      <c r="Q206" t="s">
        <v>197</v>
      </c>
      <c r="R206" t="s">
        <v>53</v>
      </c>
      <c r="S206" t="s">
        <v>116</v>
      </c>
      <c r="T206" t="s">
        <v>198</v>
      </c>
      <c r="U206" t="s">
        <v>108</v>
      </c>
    </row>
    <row r="207" spans="1:21" x14ac:dyDescent="0.3">
      <c r="A207" t="s">
        <v>193</v>
      </c>
      <c r="B207" t="s">
        <v>191</v>
      </c>
      <c r="C207" t="s">
        <v>194</v>
      </c>
      <c r="D207">
        <v>2</v>
      </c>
      <c r="E207" t="s">
        <v>118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260</v>
      </c>
      <c r="L207" t="s">
        <v>259</v>
      </c>
      <c r="M207">
        <v>61</v>
      </c>
      <c r="O207" t="s">
        <v>52</v>
      </c>
      <c r="P207" t="s">
        <v>52</v>
      </c>
      <c r="Q207" t="s">
        <v>197</v>
      </c>
      <c r="R207" t="s">
        <v>53</v>
      </c>
      <c r="S207" t="s">
        <v>116</v>
      </c>
      <c r="T207" t="s">
        <v>198</v>
      </c>
      <c r="U207" t="s">
        <v>108</v>
      </c>
    </row>
    <row r="208" spans="1:21" x14ac:dyDescent="0.3">
      <c r="A208" t="s">
        <v>193</v>
      </c>
      <c r="B208" t="s">
        <v>193</v>
      </c>
      <c r="C208" t="s">
        <v>194</v>
      </c>
      <c r="D208">
        <v>2</v>
      </c>
      <c r="E208" t="s">
        <v>118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253</v>
      </c>
      <c r="L208" t="s">
        <v>257</v>
      </c>
      <c r="M208">
        <v>33</v>
      </c>
      <c r="N208">
        <v>10809</v>
      </c>
      <c r="O208" t="s">
        <v>52</v>
      </c>
      <c r="P208" t="s">
        <v>52</v>
      </c>
      <c r="Q208" t="s">
        <v>197</v>
      </c>
      <c r="R208" t="s">
        <v>53</v>
      </c>
      <c r="S208" t="s">
        <v>116</v>
      </c>
      <c r="T208" t="s">
        <v>198</v>
      </c>
      <c r="U208" t="s">
        <v>108</v>
      </c>
    </row>
    <row r="209" spans="1:21" x14ac:dyDescent="0.3">
      <c r="A209" t="s">
        <v>193</v>
      </c>
      <c r="B209" t="s">
        <v>193</v>
      </c>
      <c r="C209" t="s">
        <v>194</v>
      </c>
      <c r="D209">
        <v>2</v>
      </c>
      <c r="E209" t="s">
        <v>118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270</v>
      </c>
      <c r="L209" t="s">
        <v>257</v>
      </c>
      <c r="M209">
        <v>33</v>
      </c>
      <c r="N209">
        <v>10809</v>
      </c>
      <c r="O209" t="s">
        <v>52</v>
      </c>
      <c r="P209" t="s">
        <v>52</v>
      </c>
      <c r="Q209" t="s">
        <v>197</v>
      </c>
      <c r="R209" t="s">
        <v>53</v>
      </c>
      <c r="S209" t="s">
        <v>116</v>
      </c>
      <c r="T209" t="s">
        <v>198</v>
      </c>
      <c r="U209" t="s">
        <v>108</v>
      </c>
    </row>
    <row r="210" spans="1:21" x14ac:dyDescent="0.3">
      <c r="A210" t="s">
        <v>193</v>
      </c>
      <c r="B210" t="s">
        <v>193</v>
      </c>
      <c r="C210" t="s">
        <v>194</v>
      </c>
      <c r="D210">
        <v>2</v>
      </c>
      <c r="E210" t="s">
        <v>118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252</v>
      </c>
      <c r="L210" t="s">
        <v>257</v>
      </c>
      <c r="M210">
        <v>33</v>
      </c>
      <c r="N210">
        <v>10809</v>
      </c>
      <c r="O210" t="s">
        <v>52</v>
      </c>
      <c r="P210" t="s">
        <v>52</v>
      </c>
      <c r="Q210" t="s">
        <v>197</v>
      </c>
      <c r="R210" t="s">
        <v>53</v>
      </c>
      <c r="S210" t="s">
        <v>116</v>
      </c>
      <c r="T210" t="s">
        <v>198</v>
      </c>
      <c r="U210" t="s">
        <v>108</v>
      </c>
    </row>
    <row r="211" spans="1:21" x14ac:dyDescent="0.3">
      <c r="A211" t="s">
        <v>193</v>
      </c>
      <c r="B211" t="s">
        <v>191</v>
      </c>
      <c r="C211" t="s">
        <v>194</v>
      </c>
      <c r="D211">
        <v>3</v>
      </c>
      <c r="E211" t="s">
        <v>105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260</v>
      </c>
      <c r="L211" t="s">
        <v>259</v>
      </c>
      <c r="M211">
        <v>61</v>
      </c>
      <c r="O211" t="s">
        <v>52</v>
      </c>
      <c r="P211" t="s">
        <v>52</v>
      </c>
      <c r="Q211" t="s">
        <v>197</v>
      </c>
      <c r="R211" t="s">
        <v>53</v>
      </c>
      <c r="S211" t="s">
        <v>116</v>
      </c>
      <c r="T211" t="s">
        <v>198</v>
      </c>
      <c r="U211" t="s">
        <v>108</v>
      </c>
    </row>
    <row r="212" spans="1:21" x14ac:dyDescent="0.3">
      <c r="A212" t="s">
        <v>193</v>
      </c>
      <c r="B212" t="s">
        <v>191</v>
      </c>
      <c r="C212" t="s">
        <v>194</v>
      </c>
      <c r="D212">
        <v>3</v>
      </c>
      <c r="E212" t="s">
        <v>105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265</v>
      </c>
      <c r="L212" t="s">
        <v>259</v>
      </c>
      <c r="M212">
        <v>61</v>
      </c>
      <c r="O212" t="s">
        <v>52</v>
      </c>
      <c r="P212" t="s">
        <v>52</v>
      </c>
      <c r="Q212" t="s">
        <v>197</v>
      </c>
      <c r="R212" t="s">
        <v>53</v>
      </c>
      <c r="S212" t="s">
        <v>116</v>
      </c>
      <c r="T212" t="s">
        <v>198</v>
      </c>
      <c r="U212" t="s">
        <v>108</v>
      </c>
    </row>
    <row r="213" spans="1:21" x14ac:dyDescent="0.3">
      <c r="A213" t="s">
        <v>193</v>
      </c>
      <c r="B213" t="s">
        <v>191</v>
      </c>
      <c r="C213" t="s">
        <v>194</v>
      </c>
      <c r="D213">
        <v>3</v>
      </c>
      <c r="E213" t="s">
        <v>105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258</v>
      </c>
      <c r="L213" t="s">
        <v>259</v>
      </c>
      <c r="M213">
        <v>61</v>
      </c>
      <c r="O213" t="s">
        <v>52</v>
      </c>
      <c r="P213" t="s">
        <v>52</v>
      </c>
      <c r="Q213" t="s">
        <v>197</v>
      </c>
      <c r="R213" t="s">
        <v>53</v>
      </c>
      <c r="S213" t="s">
        <v>116</v>
      </c>
      <c r="T213" t="s">
        <v>198</v>
      </c>
      <c r="U213" t="s">
        <v>108</v>
      </c>
    </row>
    <row r="214" spans="1:21" x14ac:dyDescent="0.3">
      <c r="A214" t="s">
        <v>193</v>
      </c>
      <c r="B214" t="s">
        <v>191</v>
      </c>
      <c r="C214" t="s">
        <v>194</v>
      </c>
      <c r="D214">
        <v>3</v>
      </c>
      <c r="E214" t="s">
        <v>105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264</v>
      </c>
      <c r="L214" t="s">
        <v>259</v>
      </c>
      <c r="M214">
        <v>61</v>
      </c>
      <c r="O214" t="s">
        <v>52</v>
      </c>
      <c r="P214" t="s">
        <v>52</v>
      </c>
      <c r="Q214" t="s">
        <v>197</v>
      </c>
      <c r="R214" t="s">
        <v>53</v>
      </c>
      <c r="S214" t="s">
        <v>116</v>
      </c>
      <c r="T214" t="s">
        <v>198</v>
      </c>
      <c r="U214" t="s">
        <v>108</v>
      </c>
    </row>
    <row r="215" spans="1:21" x14ac:dyDescent="0.3">
      <c r="A215" t="s">
        <v>193</v>
      </c>
      <c r="B215" t="s">
        <v>193</v>
      </c>
      <c r="C215" t="s">
        <v>194</v>
      </c>
      <c r="D215">
        <v>3</v>
      </c>
      <c r="E215" t="s">
        <v>105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253</v>
      </c>
      <c r="L215" t="s">
        <v>257</v>
      </c>
      <c r="M215">
        <v>33</v>
      </c>
      <c r="N215">
        <v>10809</v>
      </c>
      <c r="O215" t="s">
        <v>52</v>
      </c>
      <c r="P215" t="s">
        <v>52</v>
      </c>
      <c r="Q215" t="s">
        <v>197</v>
      </c>
      <c r="R215" t="s">
        <v>53</v>
      </c>
      <c r="S215" t="s">
        <v>116</v>
      </c>
      <c r="T215" t="s">
        <v>198</v>
      </c>
      <c r="U215" t="s">
        <v>108</v>
      </c>
    </row>
    <row r="216" spans="1:21" x14ac:dyDescent="0.3">
      <c r="A216" t="s">
        <v>193</v>
      </c>
      <c r="B216" t="s">
        <v>191</v>
      </c>
      <c r="C216" t="s">
        <v>194</v>
      </c>
      <c r="D216">
        <v>3</v>
      </c>
      <c r="E216" t="s">
        <v>105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271</v>
      </c>
      <c r="L216" t="s">
        <v>259</v>
      </c>
      <c r="M216">
        <v>61</v>
      </c>
      <c r="O216" t="s">
        <v>52</v>
      </c>
      <c r="P216" t="s">
        <v>52</v>
      </c>
      <c r="Q216" t="s">
        <v>197</v>
      </c>
      <c r="R216" t="s">
        <v>53</v>
      </c>
      <c r="S216" t="s">
        <v>116</v>
      </c>
      <c r="T216" t="s">
        <v>198</v>
      </c>
      <c r="U216" t="s">
        <v>108</v>
      </c>
    </row>
    <row r="217" spans="1:21" x14ac:dyDescent="0.3">
      <c r="A217" t="s">
        <v>193</v>
      </c>
      <c r="B217" t="s">
        <v>191</v>
      </c>
      <c r="C217" t="s">
        <v>194</v>
      </c>
      <c r="D217">
        <v>3</v>
      </c>
      <c r="E217" t="s">
        <v>105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261</v>
      </c>
      <c r="L217" t="s">
        <v>259</v>
      </c>
      <c r="M217">
        <v>61</v>
      </c>
      <c r="O217" t="s">
        <v>52</v>
      </c>
      <c r="P217" t="s">
        <v>52</v>
      </c>
      <c r="Q217" t="s">
        <v>197</v>
      </c>
      <c r="R217" t="s">
        <v>53</v>
      </c>
      <c r="S217" t="s">
        <v>116</v>
      </c>
      <c r="T217" t="s">
        <v>198</v>
      </c>
      <c r="U217" t="s">
        <v>108</v>
      </c>
    </row>
    <row r="218" spans="1:21" x14ac:dyDescent="0.3">
      <c r="A218" t="s">
        <v>193</v>
      </c>
      <c r="B218" t="s">
        <v>191</v>
      </c>
      <c r="C218" t="s">
        <v>194</v>
      </c>
      <c r="D218">
        <v>3</v>
      </c>
      <c r="E218" t="s">
        <v>105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268</v>
      </c>
      <c r="L218" t="s">
        <v>259</v>
      </c>
      <c r="M218">
        <v>61</v>
      </c>
      <c r="O218" t="s">
        <v>52</v>
      </c>
      <c r="P218" t="s">
        <v>52</v>
      </c>
      <c r="Q218" t="s">
        <v>197</v>
      </c>
      <c r="R218" t="s">
        <v>53</v>
      </c>
      <c r="S218" t="s">
        <v>116</v>
      </c>
      <c r="T218" t="s">
        <v>198</v>
      </c>
      <c r="U218" t="s">
        <v>108</v>
      </c>
    </row>
    <row r="219" spans="1:21" x14ac:dyDescent="0.3">
      <c r="A219" t="s">
        <v>193</v>
      </c>
      <c r="B219" t="s">
        <v>193</v>
      </c>
      <c r="C219" t="s">
        <v>194</v>
      </c>
      <c r="D219">
        <v>3</v>
      </c>
      <c r="E219" t="s">
        <v>105</v>
      </c>
      <c r="F219">
        <v>1</v>
      </c>
      <c r="G219">
        <v>-38</v>
      </c>
      <c r="H219">
        <v>-38</v>
      </c>
      <c r="I219" t="s">
        <v>117</v>
      </c>
      <c r="J219" t="s">
        <v>51</v>
      </c>
      <c r="K219" t="s">
        <v>267</v>
      </c>
      <c r="L219" t="s">
        <v>263</v>
      </c>
      <c r="M219">
        <v>61</v>
      </c>
      <c r="O219" t="s">
        <v>52</v>
      </c>
      <c r="P219" t="s">
        <v>52</v>
      </c>
      <c r="Q219" t="s">
        <v>197</v>
      </c>
      <c r="R219" t="s">
        <v>53</v>
      </c>
      <c r="S219" t="s">
        <v>116</v>
      </c>
      <c r="T219" t="s">
        <v>198</v>
      </c>
      <c r="U219" t="s">
        <v>108</v>
      </c>
    </row>
    <row r="220" spans="1:21" x14ac:dyDescent="0.3">
      <c r="A220" t="s">
        <v>193</v>
      </c>
      <c r="B220" t="s">
        <v>193</v>
      </c>
      <c r="C220" t="s">
        <v>194</v>
      </c>
      <c r="D220">
        <v>3</v>
      </c>
      <c r="E220" t="s">
        <v>105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266</v>
      </c>
      <c r="L220" t="s">
        <v>257</v>
      </c>
      <c r="M220">
        <v>33</v>
      </c>
      <c r="N220">
        <v>10809</v>
      </c>
      <c r="O220" t="s">
        <v>52</v>
      </c>
      <c r="P220" t="s">
        <v>52</v>
      </c>
      <c r="Q220" t="s">
        <v>197</v>
      </c>
      <c r="R220" t="s">
        <v>53</v>
      </c>
      <c r="S220" t="s">
        <v>116</v>
      </c>
      <c r="T220" t="s">
        <v>198</v>
      </c>
      <c r="U220" t="s">
        <v>108</v>
      </c>
    </row>
    <row r="221" spans="1:21" x14ac:dyDescent="0.3">
      <c r="A221" t="s">
        <v>193</v>
      </c>
      <c r="B221" t="s">
        <v>193</v>
      </c>
      <c r="C221" t="s">
        <v>194</v>
      </c>
      <c r="D221">
        <v>3</v>
      </c>
      <c r="E221" t="s">
        <v>105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252</v>
      </c>
      <c r="L221" t="s">
        <v>257</v>
      </c>
      <c r="M221">
        <v>33</v>
      </c>
      <c r="N221">
        <v>10809</v>
      </c>
      <c r="O221" t="s">
        <v>52</v>
      </c>
      <c r="P221" t="s">
        <v>52</v>
      </c>
      <c r="Q221" t="s">
        <v>197</v>
      </c>
      <c r="R221" t="s">
        <v>53</v>
      </c>
      <c r="S221" t="s">
        <v>116</v>
      </c>
      <c r="T221" t="s">
        <v>198</v>
      </c>
      <c r="U221" t="s">
        <v>108</v>
      </c>
    </row>
    <row r="222" spans="1:21" x14ac:dyDescent="0.3">
      <c r="A222" t="s">
        <v>193</v>
      </c>
      <c r="B222" t="s">
        <v>193</v>
      </c>
      <c r="C222" t="s">
        <v>194</v>
      </c>
      <c r="D222">
        <v>3</v>
      </c>
      <c r="E222" t="s">
        <v>105</v>
      </c>
      <c r="F222">
        <v>1</v>
      </c>
      <c r="G222">
        <v>-1</v>
      </c>
      <c r="H222">
        <v>-1</v>
      </c>
      <c r="I222" t="s">
        <v>119</v>
      </c>
      <c r="J222" t="s">
        <v>58</v>
      </c>
      <c r="K222" t="s">
        <v>262</v>
      </c>
      <c r="L222" t="s">
        <v>263</v>
      </c>
      <c r="M222">
        <v>61</v>
      </c>
      <c r="O222" t="s">
        <v>52</v>
      </c>
      <c r="P222" t="s">
        <v>52</v>
      </c>
      <c r="Q222" t="s">
        <v>197</v>
      </c>
      <c r="R222" t="s">
        <v>53</v>
      </c>
      <c r="S222" t="s">
        <v>116</v>
      </c>
      <c r="T222" t="s">
        <v>198</v>
      </c>
      <c r="U222" t="s">
        <v>108</v>
      </c>
    </row>
    <row r="223" spans="1:21" x14ac:dyDescent="0.3">
      <c r="A223" t="s">
        <v>193</v>
      </c>
      <c r="B223" t="s">
        <v>191</v>
      </c>
      <c r="C223" t="s">
        <v>194</v>
      </c>
      <c r="D223">
        <v>3</v>
      </c>
      <c r="E223" t="s">
        <v>105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269</v>
      </c>
      <c r="L223" t="s">
        <v>259</v>
      </c>
      <c r="M223">
        <v>61</v>
      </c>
      <c r="O223" t="s">
        <v>52</v>
      </c>
      <c r="P223" t="s">
        <v>52</v>
      </c>
      <c r="Q223" t="s">
        <v>197</v>
      </c>
      <c r="R223" t="s">
        <v>53</v>
      </c>
      <c r="S223" t="s">
        <v>116</v>
      </c>
      <c r="T223" t="s">
        <v>198</v>
      </c>
      <c r="U223" t="s">
        <v>108</v>
      </c>
    </row>
    <row r="224" spans="1:21" x14ac:dyDescent="0.3">
      <c r="A224" t="s">
        <v>193</v>
      </c>
      <c r="B224" t="s">
        <v>193</v>
      </c>
      <c r="C224" t="s">
        <v>194</v>
      </c>
      <c r="D224">
        <v>3</v>
      </c>
      <c r="E224" t="s">
        <v>105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270</v>
      </c>
      <c r="L224" t="s">
        <v>257</v>
      </c>
      <c r="M224">
        <v>33</v>
      </c>
      <c r="N224">
        <v>10809</v>
      </c>
      <c r="O224" t="s">
        <v>52</v>
      </c>
      <c r="P224" t="s">
        <v>52</v>
      </c>
      <c r="Q224" t="s">
        <v>197</v>
      </c>
      <c r="R224" t="s">
        <v>53</v>
      </c>
      <c r="S224" t="s">
        <v>116</v>
      </c>
      <c r="T224" t="s">
        <v>198</v>
      </c>
      <c r="U224" t="s">
        <v>108</v>
      </c>
    </row>
    <row r="225" spans="1:21" x14ac:dyDescent="0.3">
      <c r="A225" t="s">
        <v>193</v>
      </c>
      <c r="B225" t="s">
        <v>191</v>
      </c>
      <c r="C225" t="s">
        <v>194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264</v>
      </c>
      <c r="L225" t="s">
        <v>259</v>
      </c>
      <c r="M225">
        <v>61</v>
      </c>
      <c r="O225" t="s">
        <v>52</v>
      </c>
      <c r="P225" t="s">
        <v>52</v>
      </c>
      <c r="Q225" t="s">
        <v>197</v>
      </c>
      <c r="R225" t="s">
        <v>53</v>
      </c>
      <c r="S225" t="s">
        <v>116</v>
      </c>
      <c r="T225" t="s">
        <v>198</v>
      </c>
      <c r="U225" t="s">
        <v>108</v>
      </c>
    </row>
    <row r="226" spans="1:21" x14ac:dyDescent="0.3">
      <c r="A226" t="s">
        <v>193</v>
      </c>
      <c r="B226" t="s">
        <v>193</v>
      </c>
      <c r="C226" t="s">
        <v>194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119</v>
      </c>
      <c r="J226" t="s">
        <v>58</v>
      </c>
      <c r="K226" t="s">
        <v>262</v>
      </c>
      <c r="L226" t="s">
        <v>263</v>
      </c>
      <c r="M226">
        <v>61</v>
      </c>
      <c r="O226" t="s">
        <v>52</v>
      </c>
      <c r="P226" t="s">
        <v>52</v>
      </c>
      <c r="Q226" t="s">
        <v>197</v>
      </c>
      <c r="R226" t="s">
        <v>53</v>
      </c>
      <c r="S226" t="s">
        <v>116</v>
      </c>
      <c r="T226" t="s">
        <v>198</v>
      </c>
      <c r="U226" t="s">
        <v>108</v>
      </c>
    </row>
    <row r="227" spans="1:21" x14ac:dyDescent="0.3">
      <c r="A227" t="s">
        <v>193</v>
      </c>
      <c r="B227" t="s">
        <v>191</v>
      </c>
      <c r="C227" t="s">
        <v>194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268</v>
      </c>
      <c r="L227" t="s">
        <v>259</v>
      </c>
      <c r="M227">
        <v>61</v>
      </c>
      <c r="O227" t="s">
        <v>52</v>
      </c>
      <c r="P227" t="s">
        <v>52</v>
      </c>
      <c r="Q227" t="s">
        <v>197</v>
      </c>
      <c r="R227" t="s">
        <v>53</v>
      </c>
      <c r="S227" t="s">
        <v>116</v>
      </c>
      <c r="T227" t="s">
        <v>198</v>
      </c>
      <c r="U227" t="s">
        <v>108</v>
      </c>
    </row>
    <row r="228" spans="1:21" x14ac:dyDescent="0.3">
      <c r="A228" t="s">
        <v>193</v>
      </c>
      <c r="B228" t="s">
        <v>191</v>
      </c>
      <c r="C228" t="s">
        <v>194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261</v>
      </c>
      <c r="L228" t="s">
        <v>259</v>
      </c>
      <c r="M228">
        <v>61</v>
      </c>
      <c r="O228" t="s">
        <v>52</v>
      </c>
      <c r="P228" t="s">
        <v>52</v>
      </c>
      <c r="Q228" t="s">
        <v>197</v>
      </c>
      <c r="R228" t="s">
        <v>53</v>
      </c>
      <c r="S228" t="s">
        <v>116</v>
      </c>
      <c r="T228" t="s">
        <v>198</v>
      </c>
      <c r="U228" t="s">
        <v>108</v>
      </c>
    </row>
    <row r="229" spans="1:21" x14ac:dyDescent="0.3">
      <c r="A229" t="s">
        <v>193</v>
      </c>
      <c r="B229" t="s">
        <v>191</v>
      </c>
      <c r="C229" t="s">
        <v>194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260</v>
      </c>
      <c r="L229" t="s">
        <v>259</v>
      </c>
      <c r="M229">
        <v>61</v>
      </c>
      <c r="O229" t="s">
        <v>52</v>
      </c>
      <c r="P229" t="s">
        <v>52</v>
      </c>
      <c r="Q229" t="s">
        <v>197</v>
      </c>
      <c r="R229" t="s">
        <v>53</v>
      </c>
      <c r="S229" t="s">
        <v>116</v>
      </c>
      <c r="T229" t="s">
        <v>198</v>
      </c>
      <c r="U229" t="s">
        <v>108</v>
      </c>
    </row>
    <row r="230" spans="1:21" x14ac:dyDescent="0.3">
      <c r="A230" t="s">
        <v>193</v>
      </c>
      <c r="B230" t="s">
        <v>193</v>
      </c>
      <c r="C230" t="s">
        <v>194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252</v>
      </c>
      <c r="L230" t="s">
        <v>257</v>
      </c>
      <c r="M230">
        <v>33</v>
      </c>
      <c r="N230">
        <v>10809</v>
      </c>
      <c r="O230" t="s">
        <v>52</v>
      </c>
      <c r="P230" t="s">
        <v>52</v>
      </c>
      <c r="Q230" t="s">
        <v>197</v>
      </c>
      <c r="R230" t="s">
        <v>53</v>
      </c>
      <c r="S230" t="s">
        <v>116</v>
      </c>
      <c r="T230" t="s">
        <v>198</v>
      </c>
      <c r="U230" t="s">
        <v>108</v>
      </c>
    </row>
    <row r="231" spans="1:21" x14ac:dyDescent="0.3">
      <c r="A231" t="s">
        <v>193</v>
      </c>
      <c r="B231" t="s">
        <v>191</v>
      </c>
      <c r="C231" t="s">
        <v>194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265</v>
      </c>
      <c r="L231" t="s">
        <v>259</v>
      </c>
      <c r="M231">
        <v>61</v>
      </c>
      <c r="O231" t="s">
        <v>52</v>
      </c>
      <c r="P231" t="s">
        <v>52</v>
      </c>
      <c r="Q231" t="s">
        <v>197</v>
      </c>
      <c r="R231" t="s">
        <v>53</v>
      </c>
      <c r="S231" t="s">
        <v>116</v>
      </c>
      <c r="T231" t="s">
        <v>198</v>
      </c>
      <c r="U231" t="s">
        <v>108</v>
      </c>
    </row>
    <row r="232" spans="1:21" x14ac:dyDescent="0.3">
      <c r="A232" t="s">
        <v>193</v>
      </c>
      <c r="B232" t="s">
        <v>191</v>
      </c>
      <c r="C232" t="s">
        <v>194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258</v>
      </c>
      <c r="L232" t="s">
        <v>259</v>
      </c>
      <c r="M232">
        <v>61</v>
      </c>
      <c r="O232" t="s">
        <v>52</v>
      </c>
      <c r="P232" t="s">
        <v>52</v>
      </c>
      <c r="Q232" t="s">
        <v>197</v>
      </c>
      <c r="R232" t="s">
        <v>53</v>
      </c>
      <c r="S232" t="s">
        <v>116</v>
      </c>
      <c r="T232" t="s">
        <v>198</v>
      </c>
      <c r="U232" t="s">
        <v>108</v>
      </c>
    </row>
    <row r="233" spans="1:21" x14ac:dyDescent="0.3">
      <c r="A233" t="s">
        <v>193</v>
      </c>
      <c r="B233" t="s">
        <v>191</v>
      </c>
      <c r="C233" t="s">
        <v>194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271</v>
      </c>
      <c r="L233" t="s">
        <v>259</v>
      </c>
      <c r="M233">
        <v>61</v>
      </c>
      <c r="O233" t="s">
        <v>52</v>
      </c>
      <c r="P233" t="s">
        <v>52</v>
      </c>
      <c r="Q233" t="s">
        <v>197</v>
      </c>
      <c r="R233" t="s">
        <v>53</v>
      </c>
      <c r="S233" t="s">
        <v>116</v>
      </c>
      <c r="T233" t="s">
        <v>198</v>
      </c>
      <c r="U233" t="s">
        <v>108</v>
      </c>
    </row>
    <row r="234" spans="1:21" x14ac:dyDescent="0.3">
      <c r="A234" t="s">
        <v>193</v>
      </c>
      <c r="B234" t="s">
        <v>193</v>
      </c>
      <c r="C234" t="s">
        <v>194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266</v>
      </c>
      <c r="L234" t="s">
        <v>257</v>
      </c>
      <c r="M234">
        <v>33</v>
      </c>
      <c r="N234">
        <v>10809</v>
      </c>
      <c r="O234" t="s">
        <v>52</v>
      </c>
      <c r="P234" t="s">
        <v>52</v>
      </c>
      <c r="Q234" t="s">
        <v>197</v>
      </c>
      <c r="R234" t="s">
        <v>53</v>
      </c>
      <c r="S234" t="s">
        <v>116</v>
      </c>
      <c r="T234" t="s">
        <v>198</v>
      </c>
      <c r="U234" t="s">
        <v>108</v>
      </c>
    </row>
    <row r="235" spans="1:21" x14ac:dyDescent="0.3">
      <c r="A235" t="s">
        <v>193</v>
      </c>
      <c r="B235" t="s">
        <v>193</v>
      </c>
      <c r="C235" t="s">
        <v>194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117</v>
      </c>
      <c r="J235" t="s">
        <v>51</v>
      </c>
      <c r="K235" t="s">
        <v>267</v>
      </c>
      <c r="L235" t="s">
        <v>263</v>
      </c>
      <c r="M235">
        <v>61</v>
      </c>
      <c r="O235" t="s">
        <v>52</v>
      </c>
      <c r="P235" t="s">
        <v>52</v>
      </c>
      <c r="Q235" t="s">
        <v>197</v>
      </c>
      <c r="R235" t="s">
        <v>53</v>
      </c>
      <c r="S235" t="s">
        <v>116</v>
      </c>
      <c r="T235" t="s">
        <v>198</v>
      </c>
      <c r="U235" t="s">
        <v>108</v>
      </c>
    </row>
    <row r="236" spans="1:21" x14ac:dyDescent="0.3">
      <c r="A236" t="s">
        <v>193</v>
      </c>
      <c r="B236" t="s">
        <v>191</v>
      </c>
      <c r="C236" t="s">
        <v>194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269</v>
      </c>
      <c r="L236" t="s">
        <v>259</v>
      </c>
      <c r="M236">
        <v>61</v>
      </c>
      <c r="O236" t="s">
        <v>52</v>
      </c>
      <c r="P236" t="s">
        <v>52</v>
      </c>
      <c r="Q236" t="s">
        <v>197</v>
      </c>
      <c r="R236" t="s">
        <v>53</v>
      </c>
      <c r="S236" t="s">
        <v>116</v>
      </c>
      <c r="T236" t="s">
        <v>198</v>
      </c>
      <c r="U236" t="s">
        <v>108</v>
      </c>
    </row>
    <row r="237" spans="1:21" x14ac:dyDescent="0.3">
      <c r="A237" t="s">
        <v>193</v>
      </c>
      <c r="B237" t="s">
        <v>193</v>
      </c>
      <c r="C237" t="s">
        <v>194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270</v>
      </c>
      <c r="L237" t="s">
        <v>257</v>
      </c>
      <c r="M237">
        <v>33</v>
      </c>
      <c r="N237">
        <v>10809</v>
      </c>
      <c r="O237" t="s">
        <v>52</v>
      </c>
      <c r="P237" t="s">
        <v>52</v>
      </c>
      <c r="Q237" t="s">
        <v>197</v>
      </c>
      <c r="R237" t="s">
        <v>53</v>
      </c>
      <c r="S237" t="s">
        <v>116</v>
      </c>
      <c r="T237" t="s">
        <v>198</v>
      </c>
      <c r="U237" t="s">
        <v>108</v>
      </c>
    </row>
    <row r="238" spans="1:21" x14ac:dyDescent="0.3">
      <c r="A238" t="s">
        <v>193</v>
      </c>
      <c r="B238" t="s">
        <v>193</v>
      </c>
      <c r="C238" t="s">
        <v>194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253</v>
      </c>
      <c r="L238" t="s">
        <v>257</v>
      </c>
      <c r="M238">
        <v>33</v>
      </c>
      <c r="N238">
        <v>10809</v>
      </c>
      <c r="O238" t="s">
        <v>52</v>
      </c>
      <c r="P238" t="s">
        <v>52</v>
      </c>
      <c r="Q238" t="s">
        <v>197</v>
      </c>
      <c r="R238" t="s">
        <v>53</v>
      </c>
      <c r="S238" t="s">
        <v>116</v>
      </c>
      <c r="T238" t="s">
        <v>198</v>
      </c>
      <c r="U238" t="s">
        <v>108</v>
      </c>
    </row>
    <row r="239" spans="1:21" x14ac:dyDescent="0.3">
      <c r="A239" t="s">
        <v>193</v>
      </c>
      <c r="B239" t="s">
        <v>191</v>
      </c>
      <c r="C239" t="s">
        <v>194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264</v>
      </c>
      <c r="L239" t="s">
        <v>259</v>
      </c>
      <c r="M239">
        <v>61</v>
      </c>
      <c r="O239" t="s">
        <v>52</v>
      </c>
      <c r="P239" t="s">
        <v>52</v>
      </c>
      <c r="Q239" t="s">
        <v>197</v>
      </c>
      <c r="R239" t="s">
        <v>53</v>
      </c>
      <c r="S239" t="s">
        <v>116</v>
      </c>
      <c r="T239" t="s">
        <v>198</v>
      </c>
      <c r="U239" t="s">
        <v>108</v>
      </c>
    </row>
    <row r="240" spans="1:21" x14ac:dyDescent="0.3">
      <c r="A240" t="s">
        <v>193</v>
      </c>
      <c r="B240" t="s">
        <v>191</v>
      </c>
      <c r="C240" t="s">
        <v>194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258</v>
      </c>
      <c r="L240" t="s">
        <v>259</v>
      </c>
      <c r="M240">
        <v>61</v>
      </c>
      <c r="O240" t="s">
        <v>52</v>
      </c>
      <c r="P240" t="s">
        <v>52</v>
      </c>
      <c r="Q240" t="s">
        <v>197</v>
      </c>
      <c r="R240" t="s">
        <v>53</v>
      </c>
      <c r="S240" t="s">
        <v>116</v>
      </c>
      <c r="T240" t="s">
        <v>198</v>
      </c>
      <c r="U240" t="s">
        <v>108</v>
      </c>
    </row>
    <row r="241" spans="1:21" x14ac:dyDescent="0.3">
      <c r="A241" t="s">
        <v>193</v>
      </c>
      <c r="B241" t="s">
        <v>191</v>
      </c>
      <c r="C241" t="s">
        <v>194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269</v>
      </c>
      <c r="L241" t="s">
        <v>259</v>
      </c>
      <c r="M241">
        <v>61</v>
      </c>
      <c r="O241" t="s">
        <v>52</v>
      </c>
      <c r="P241" t="s">
        <v>52</v>
      </c>
      <c r="Q241" t="s">
        <v>197</v>
      </c>
      <c r="R241" t="s">
        <v>53</v>
      </c>
      <c r="S241" t="s">
        <v>116</v>
      </c>
      <c r="T241" t="s">
        <v>198</v>
      </c>
      <c r="U241" t="s">
        <v>108</v>
      </c>
    </row>
    <row r="242" spans="1:21" x14ac:dyDescent="0.3">
      <c r="A242" t="s">
        <v>193</v>
      </c>
      <c r="B242" t="s">
        <v>191</v>
      </c>
      <c r="C242" t="s">
        <v>194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261</v>
      </c>
      <c r="L242" t="s">
        <v>259</v>
      </c>
      <c r="M242">
        <v>61</v>
      </c>
      <c r="O242" t="s">
        <v>52</v>
      </c>
      <c r="P242" t="s">
        <v>52</v>
      </c>
      <c r="Q242" t="s">
        <v>197</v>
      </c>
      <c r="R242" t="s">
        <v>53</v>
      </c>
      <c r="S242" t="s">
        <v>116</v>
      </c>
      <c r="T242" t="s">
        <v>198</v>
      </c>
      <c r="U242" t="s">
        <v>108</v>
      </c>
    </row>
    <row r="243" spans="1:21" x14ac:dyDescent="0.3">
      <c r="A243" t="s">
        <v>193</v>
      </c>
      <c r="B243" t="s">
        <v>193</v>
      </c>
      <c r="C243" t="s">
        <v>194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253</v>
      </c>
      <c r="L243" t="s">
        <v>257</v>
      </c>
      <c r="M243">
        <v>33</v>
      </c>
      <c r="N243">
        <v>10809</v>
      </c>
      <c r="O243" t="s">
        <v>52</v>
      </c>
      <c r="P243" t="s">
        <v>52</v>
      </c>
      <c r="Q243" t="s">
        <v>197</v>
      </c>
      <c r="R243" t="s">
        <v>53</v>
      </c>
      <c r="S243" t="s">
        <v>116</v>
      </c>
      <c r="T243" t="s">
        <v>198</v>
      </c>
      <c r="U243" t="s">
        <v>108</v>
      </c>
    </row>
    <row r="244" spans="1:21" x14ac:dyDescent="0.3">
      <c r="A244" t="s">
        <v>193</v>
      </c>
      <c r="B244" t="s">
        <v>193</v>
      </c>
      <c r="C244" t="s">
        <v>194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252</v>
      </c>
      <c r="L244" t="s">
        <v>257</v>
      </c>
      <c r="M244">
        <v>33</v>
      </c>
      <c r="N244">
        <v>10809</v>
      </c>
      <c r="O244" t="s">
        <v>52</v>
      </c>
      <c r="P244" t="s">
        <v>52</v>
      </c>
      <c r="Q244" t="s">
        <v>197</v>
      </c>
      <c r="R244" t="s">
        <v>53</v>
      </c>
      <c r="S244" t="s">
        <v>116</v>
      </c>
      <c r="T244" t="s">
        <v>198</v>
      </c>
      <c r="U244" t="s">
        <v>108</v>
      </c>
    </row>
    <row r="245" spans="1:21" x14ac:dyDescent="0.3">
      <c r="A245" t="s">
        <v>193</v>
      </c>
      <c r="B245" t="s">
        <v>193</v>
      </c>
      <c r="C245" t="s">
        <v>194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270</v>
      </c>
      <c r="L245" t="s">
        <v>257</v>
      </c>
      <c r="M245">
        <v>33</v>
      </c>
      <c r="N245">
        <v>10809</v>
      </c>
      <c r="O245" t="s">
        <v>52</v>
      </c>
      <c r="P245" t="s">
        <v>52</v>
      </c>
      <c r="Q245" t="s">
        <v>197</v>
      </c>
      <c r="R245" t="s">
        <v>53</v>
      </c>
      <c r="S245" t="s">
        <v>116</v>
      </c>
      <c r="T245" t="s">
        <v>198</v>
      </c>
      <c r="U245" t="s">
        <v>108</v>
      </c>
    </row>
    <row r="246" spans="1:21" x14ac:dyDescent="0.3">
      <c r="A246" t="s">
        <v>193</v>
      </c>
      <c r="B246" t="s">
        <v>191</v>
      </c>
      <c r="C246" t="s">
        <v>194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265</v>
      </c>
      <c r="L246" t="s">
        <v>259</v>
      </c>
      <c r="M246">
        <v>61</v>
      </c>
      <c r="O246" t="s">
        <v>52</v>
      </c>
      <c r="P246" t="s">
        <v>52</v>
      </c>
      <c r="Q246" t="s">
        <v>197</v>
      </c>
      <c r="R246" t="s">
        <v>53</v>
      </c>
      <c r="S246" t="s">
        <v>116</v>
      </c>
      <c r="T246" t="s">
        <v>198</v>
      </c>
      <c r="U246" t="s">
        <v>108</v>
      </c>
    </row>
    <row r="247" spans="1:21" x14ac:dyDescent="0.3">
      <c r="A247" t="s">
        <v>193</v>
      </c>
      <c r="B247" t="s">
        <v>193</v>
      </c>
      <c r="C247" t="s">
        <v>194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117</v>
      </c>
      <c r="J247" t="s">
        <v>51</v>
      </c>
      <c r="K247" t="s">
        <v>267</v>
      </c>
      <c r="L247" t="s">
        <v>263</v>
      </c>
      <c r="M247">
        <v>61</v>
      </c>
      <c r="O247" t="s">
        <v>52</v>
      </c>
      <c r="P247" t="s">
        <v>52</v>
      </c>
      <c r="Q247" t="s">
        <v>197</v>
      </c>
      <c r="R247" t="s">
        <v>53</v>
      </c>
      <c r="S247" t="s">
        <v>116</v>
      </c>
      <c r="T247" t="s">
        <v>198</v>
      </c>
      <c r="U247" t="s">
        <v>108</v>
      </c>
    </row>
    <row r="248" spans="1:21" x14ac:dyDescent="0.3">
      <c r="A248" t="s">
        <v>193</v>
      </c>
      <c r="B248" t="s">
        <v>191</v>
      </c>
      <c r="C248" t="s">
        <v>194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271</v>
      </c>
      <c r="L248" t="s">
        <v>259</v>
      </c>
      <c r="M248">
        <v>61</v>
      </c>
      <c r="O248" t="s">
        <v>52</v>
      </c>
      <c r="P248" t="s">
        <v>52</v>
      </c>
      <c r="Q248" t="s">
        <v>197</v>
      </c>
      <c r="R248" t="s">
        <v>53</v>
      </c>
      <c r="S248" t="s">
        <v>116</v>
      </c>
      <c r="T248" t="s">
        <v>198</v>
      </c>
      <c r="U248" t="s">
        <v>108</v>
      </c>
    </row>
    <row r="249" spans="1:21" x14ac:dyDescent="0.3">
      <c r="A249" t="s">
        <v>193</v>
      </c>
      <c r="B249" t="s">
        <v>191</v>
      </c>
      <c r="C249" t="s">
        <v>194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268</v>
      </c>
      <c r="L249" t="s">
        <v>259</v>
      </c>
      <c r="M249">
        <v>61</v>
      </c>
      <c r="O249" t="s">
        <v>52</v>
      </c>
      <c r="P249" t="s">
        <v>52</v>
      </c>
      <c r="Q249" t="s">
        <v>197</v>
      </c>
      <c r="R249" t="s">
        <v>53</v>
      </c>
      <c r="S249" t="s">
        <v>116</v>
      </c>
      <c r="T249" t="s">
        <v>198</v>
      </c>
      <c r="U249" t="s">
        <v>108</v>
      </c>
    </row>
    <row r="250" spans="1:21" x14ac:dyDescent="0.3">
      <c r="A250" t="s">
        <v>193</v>
      </c>
      <c r="B250" t="s">
        <v>191</v>
      </c>
      <c r="C250" t="s">
        <v>194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260</v>
      </c>
      <c r="L250" t="s">
        <v>259</v>
      </c>
      <c r="M250">
        <v>61</v>
      </c>
      <c r="O250" t="s">
        <v>52</v>
      </c>
      <c r="P250" t="s">
        <v>52</v>
      </c>
      <c r="Q250" t="s">
        <v>197</v>
      </c>
      <c r="R250" t="s">
        <v>53</v>
      </c>
      <c r="S250" t="s">
        <v>116</v>
      </c>
      <c r="T250" t="s">
        <v>198</v>
      </c>
      <c r="U250" t="s">
        <v>108</v>
      </c>
    </row>
    <row r="251" spans="1:21" x14ac:dyDescent="0.3">
      <c r="A251" t="s">
        <v>193</v>
      </c>
      <c r="B251" t="s">
        <v>193</v>
      </c>
      <c r="C251" t="s">
        <v>194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266</v>
      </c>
      <c r="L251" t="s">
        <v>257</v>
      </c>
      <c r="M251">
        <v>33</v>
      </c>
      <c r="N251">
        <v>10809</v>
      </c>
      <c r="O251" t="s">
        <v>52</v>
      </c>
      <c r="P251" t="s">
        <v>52</v>
      </c>
      <c r="Q251" t="s">
        <v>197</v>
      </c>
      <c r="R251" t="s">
        <v>53</v>
      </c>
      <c r="S251" t="s">
        <v>116</v>
      </c>
      <c r="T251" t="s">
        <v>198</v>
      </c>
      <c r="U251" t="s">
        <v>108</v>
      </c>
    </row>
    <row r="252" spans="1:21" x14ac:dyDescent="0.3">
      <c r="A252" t="s">
        <v>192</v>
      </c>
      <c r="B252" t="s">
        <v>192</v>
      </c>
      <c r="C252" t="s">
        <v>194</v>
      </c>
      <c r="D252">
        <v>1</v>
      </c>
      <c r="E252" t="s">
        <v>107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272</v>
      </c>
      <c r="L252" t="s">
        <v>273</v>
      </c>
      <c r="M252">
        <v>33</v>
      </c>
      <c r="N252">
        <v>11167</v>
      </c>
      <c r="O252" t="s">
        <v>52</v>
      </c>
      <c r="P252" t="s">
        <v>52</v>
      </c>
      <c r="Q252" t="s">
        <v>197</v>
      </c>
      <c r="R252" t="s">
        <v>53</v>
      </c>
      <c r="S252" t="s">
        <v>116</v>
      </c>
      <c r="T252" t="s">
        <v>198</v>
      </c>
      <c r="U252" t="s">
        <v>108</v>
      </c>
    </row>
    <row r="253" spans="1:21" x14ac:dyDescent="0.3">
      <c r="A253" t="s">
        <v>192</v>
      </c>
      <c r="B253" t="s">
        <v>192</v>
      </c>
      <c r="C253" t="s">
        <v>194</v>
      </c>
      <c r="D253">
        <v>1</v>
      </c>
      <c r="E253" t="s">
        <v>107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274</v>
      </c>
      <c r="L253" t="s">
        <v>273</v>
      </c>
      <c r="M253">
        <v>33</v>
      </c>
      <c r="N253">
        <v>11167</v>
      </c>
      <c r="O253" t="s">
        <v>52</v>
      </c>
      <c r="P253" t="s">
        <v>52</v>
      </c>
      <c r="Q253" t="s">
        <v>197</v>
      </c>
      <c r="R253" t="s">
        <v>53</v>
      </c>
      <c r="S253" t="s">
        <v>116</v>
      </c>
      <c r="T253" t="s">
        <v>198</v>
      </c>
      <c r="U253" t="s">
        <v>108</v>
      </c>
    </row>
    <row r="254" spans="1:21" x14ac:dyDescent="0.3">
      <c r="A254" t="s">
        <v>192</v>
      </c>
      <c r="B254" t="s">
        <v>192</v>
      </c>
      <c r="C254" t="s">
        <v>194</v>
      </c>
      <c r="D254">
        <v>1</v>
      </c>
      <c r="E254" t="s">
        <v>107</v>
      </c>
      <c r="F254">
        <v>1</v>
      </c>
      <c r="G254">
        <v>-130</v>
      </c>
      <c r="H254">
        <v>-130</v>
      </c>
      <c r="I254" t="s">
        <v>117</v>
      </c>
      <c r="J254" t="s">
        <v>51</v>
      </c>
      <c r="K254" t="s">
        <v>275</v>
      </c>
      <c r="L254" t="s">
        <v>276</v>
      </c>
      <c r="M254">
        <v>61</v>
      </c>
      <c r="O254" t="s">
        <v>52</v>
      </c>
      <c r="P254" t="s">
        <v>52</v>
      </c>
      <c r="Q254" t="s">
        <v>197</v>
      </c>
      <c r="R254" t="s">
        <v>53</v>
      </c>
      <c r="S254" t="s">
        <v>116</v>
      </c>
      <c r="T254" t="s">
        <v>198</v>
      </c>
      <c r="U254" t="s">
        <v>108</v>
      </c>
    </row>
    <row r="255" spans="1:21" x14ac:dyDescent="0.3">
      <c r="A255" t="s">
        <v>192</v>
      </c>
      <c r="B255" t="s">
        <v>192</v>
      </c>
      <c r="C255" t="s">
        <v>194</v>
      </c>
      <c r="D255">
        <v>1</v>
      </c>
      <c r="E255" t="s">
        <v>107</v>
      </c>
      <c r="F255">
        <v>1</v>
      </c>
      <c r="G255">
        <v>-2</v>
      </c>
      <c r="H255">
        <v>-2</v>
      </c>
      <c r="I255" t="s">
        <v>119</v>
      </c>
      <c r="J255" t="s">
        <v>58</v>
      </c>
      <c r="K255" t="s">
        <v>277</v>
      </c>
      <c r="L255" t="s">
        <v>276</v>
      </c>
      <c r="M255">
        <v>61</v>
      </c>
      <c r="O255" t="s">
        <v>52</v>
      </c>
      <c r="P255" t="s">
        <v>52</v>
      </c>
      <c r="Q255" t="s">
        <v>197</v>
      </c>
      <c r="R255" t="s">
        <v>53</v>
      </c>
      <c r="S255" t="s">
        <v>116</v>
      </c>
      <c r="T255" t="s">
        <v>198</v>
      </c>
      <c r="U255" t="s">
        <v>108</v>
      </c>
    </row>
    <row r="256" spans="1:21" x14ac:dyDescent="0.3">
      <c r="A256" t="s">
        <v>192</v>
      </c>
      <c r="B256" t="s">
        <v>192</v>
      </c>
      <c r="C256" t="s">
        <v>194</v>
      </c>
      <c r="D256">
        <v>1</v>
      </c>
      <c r="E256" t="s">
        <v>107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278</v>
      </c>
      <c r="L256" t="s">
        <v>273</v>
      </c>
      <c r="M256">
        <v>33</v>
      </c>
      <c r="N256">
        <v>11167</v>
      </c>
      <c r="O256" t="s">
        <v>52</v>
      </c>
      <c r="P256" t="s">
        <v>52</v>
      </c>
      <c r="Q256" t="s">
        <v>197</v>
      </c>
      <c r="R256" t="s">
        <v>53</v>
      </c>
      <c r="S256" t="s">
        <v>116</v>
      </c>
      <c r="T256" t="s">
        <v>198</v>
      </c>
      <c r="U256" t="s">
        <v>108</v>
      </c>
    </row>
    <row r="257" spans="1:21" x14ac:dyDescent="0.3">
      <c r="A257" t="s">
        <v>192</v>
      </c>
      <c r="B257" t="s">
        <v>192</v>
      </c>
      <c r="C257" t="s">
        <v>194</v>
      </c>
      <c r="D257">
        <v>1</v>
      </c>
      <c r="E257" t="s">
        <v>107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279</v>
      </c>
      <c r="L257" t="s">
        <v>273</v>
      </c>
      <c r="M257">
        <v>33</v>
      </c>
      <c r="N257">
        <v>11167</v>
      </c>
      <c r="O257" t="s">
        <v>52</v>
      </c>
      <c r="P257" t="s">
        <v>52</v>
      </c>
      <c r="Q257" t="s">
        <v>197</v>
      </c>
      <c r="R257" t="s">
        <v>53</v>
      </c>
      <c r="S257" t="s">
        <v>116</v>
      </c>
      <c r="T257" t="s">
        <v>198</v>
      </c>
      <c r="U257" t="s">
        <v>108</v>
      </c>
    </row>
    <row r="258" spans="1:21" x14ac:dyDescent="0.3">
      <c r="A258" t="s">
        <v>192</v>
      </c>
      <c r="B258" t="s">
        <v>192</v>
      </c>
      <c r="C258" t="s">
        <v>194</v>
      </c>
      <c r="D258">
        <v>2</v>
      </c>
      <c r="E258" t="s">
        <v>118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278</v>
      </c>
      <c r="L258" t="s">
        <v>273</v>
      </c>
      <c r="M258">
        <v>33</v>
      </c>
      <c r="N258">
        <v>11167</v>
      </c>
      <c r="O258" t="s">
        <v>52</v>
      </c>
      <c r="P258" t="s">
        <v>52</v>
      </c>
      <c r="Q258" t="s">
        <v>197</v>
      </c>
      <c r="R258" t="s">
        <v>53</v>
      </c>
      <c r="S258" t="s">
        <v>116</v>
      </c>
      <c r="T258" t="s">
        <v>198</v>
      </c>
      <c r="U258" t="s">
        <v>108</v>
      </c>
    </row>
    <row r="259" spans="1:21" x14ac:dyDescent="0.3">
      <c r="A259" t="s">
        <v>192</v>
      </c>
      <c r="B259" t="s">
        <v>192</v>
      </c>
      <c r="C259" t="s">
        <v>194</v>
      </c>
      <c r="D259">
        <v>2</v>
      </c>
      <c r="E259" t="s">
        <v>118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274</v>
      </c>
      <c r="L259" t="s">
        <v>273</v>
      </c>
      <c r="M259">
        <v>33</v>
      </c>
      <c r="N259">
        <v>11167</v>
      </c>
      <c r="O259" t="s">
        <v>52</v>
      </c>
      <c r="P259" t="s">
        <v>52</v>
      </c>
      <c r="Q259" t="s">
        <v>197</v>
      </c>
      <c r="R259" t="s">
        <v>53</v>
      </c>
      <c r="S259" t="s">
        <v>116</v>
      </c>
      <c r="T259" t="s">
        <v>198</v>
      </c>
      <c r="U259" t="s">
        <v>108</v>
      </c>
    </row>
    <row r="260" spans="1:21" x14ac:dyDescent="0.3">
      <c r="A260" t="s">
        <v>192</v>
      </c>
      <c r="B260" t="s">
        <v>192</v>
      </c>
      <c r="C260" t="s">
        <v>194</v>
      </c>
      <c r="D260">
        <v>2</v>
      </c>
      <c r="E260" t="s">
        <v>118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272</v>
      </c>
      <c r="L260" t="s">
        <v>273</v>
      </c>
      <c r="M260">
        <v>33</v>
      </c>
      <c r="N260">
        <v>11167</v>
      </c>
      <c r="O260" t="s">
        <v>52</v>
      </c>
      <c r="P260" t="s">
        <v>52</v>
      </c>
      <c r="Q260" t="s">
        <v>197</v>
      </c>
      <c r="R260" t="s">
        <v>53</v>
      </c>
      <c r="S260" t="s">
        <v>116</v>
      </c>
      <c r="T260" t="s">
        <v>198</v>
      </c>
      <c r="U260" t="s">
        <v>108</v>
      </c>
    </row>
    <row r="261" spans="1:21" x14ac:dyDescent="0.3">
      <c r="A261" t="s">
        <v>192</v>
      </c>
      <c r="B261" t="s">
        <v>192</v>
      </c>
      <c r="C261" t="s">
        <v>194</v>
      </c>
      <c r="D261">
        <v>2</v>
      </c>
      <c r="E261" t="s">
        <v>118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279</v>
      </c>
      <c r="L261" t="s">
        <v>273</v>
      </c>
      <c r="M261">
        <v>33</v>
      </c>
      <c r="N261">
        <v>11167</v>
      </c>
      <c r="O261" t="s">
        <v>52</v>
      </c>
      <c r="P261" t="s">
        <v>52</v>
      </c>
      <c r="Q261" t="s">
        <v>197</v>
      </c>
      <c r="R261" t="s">
        <v>53</v>
      </c>
      <c r="S261" t="s">
        <v>116</v>
      </c>
      <c r="T261" t="s">
        <v>198</v>
      </c>
      <c r="U261" t="s">
        <v>108</v>
      </c>
    </row>
    <row r="262" spans="1:21" x14ac:dyDescent="0.3">
      <c r="A262" t="s">
        <v>192</v>
      </c>
      <c r="B262" t="s">
        <v>192</v>
      </c>
      <c r="C262" t="s">
        <v>194</v>
      </c>
      <c r="D262">
        <v>3</v>
      </c>
      <c r="E262" t="s">
        <v>105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272</v>
      </c>
      <c r="L262" t="s">
        <v>273</v>
      </c>
      <c r="M262">
        <v>33</v>
      </c>
      <c r="N262">
        <v>11167</v>
      </c>
      <c r="O262" t="s">
        <v>52</v>
      </c>
      <c r="P262" t="s">
        <v>52</v>
      </c>
      <c r="Q262" t="s">
        <v>197</v>
      </c>
      <c r="R262" t="s">
        <v>53</v>
      </c>
      <c r="S262" t="s">
        <v>116</v>
      </c>
      <c r="T262" t="s">
        <v>198</v>
      </c>
      <c r="U262" t="s">
        <v>108</v>
      </c>
    </row>
    <row r="263" spans="1:21" x14ac:dyDescent="0.3">
      <c r="A263" t="s">
        <v>192</v>
      </c>
      <c r="B263" t="s">
        <v>192</v>
      </c>
      <c r="C263" t="s">
        <v>194</v>
      </c>
      <c r="D263">
        <v>3</v>
      </c>
      <c r="E263" t="s">
        <v>105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278</v>
      </c>
      <c r="L263" t="s">
        <v>273</v>
      </c>
      <c r="M263">
        <v>33</v>
      </c>
      <c r="N263">
        <v>11167</v>
      </c>
      <c r="O263" t="s">
        <v>52</v>
      </c>
      <c r="P263" t="s">
        <v>52</v>
      </c>
      <c r="Q263" t="s">
        <v>197</v>
      </c>
      <c r="R263" t="s">
        <v>53</v>
      </c>
      <c r="S263" t="s">
        <v>116</v>
      </c>
      <c r="T263" t="s">
        <v>198</v>
      </c>
      <c r="U263" t="s">
        <v>108</v>
      </c>
    </row>
    <row r="264" spans="1:21" x14ac:dyDescent="0.3">
      <c r="A264" t="s">
        <v>192</v>
      </c>
      <c r="B264" t="s">
        <v>192</v>
      </c>
      <c r="C264" t="s">
        <v>194</v>
      </c>
      <c r="D264">
        <v>3</v>
      </c>
      <c r="E264" t="s">
        <v>105</v>
      </c>
      <c r="F264">
        <v>1</v>
      </c>
      <c r="G264">
        <v>-25</v>
      </c>
      <c r="H264">
        <v>-25</v>
      </c>
      <c r="I264" t="s">
        <v>117</v>
      </c>
      <c r="J264" t="s">
        <v>51</v>
      </c>
      <c r="K264" t="s">
        <v>275</v>
      </c>
      <c r="L264" t="s">
        <v>276</v>
      </c>
      <c r="M264">
        <v>61</v>
      </c>
      <c r="O264" t="s">
        <v>52</v>
      </c>
      <c r="P264" t="s">
        <v>52</v>
      </c>
      <c r="Q264" t="s">
        <v>197</v>
      </c>
      <c r="R264" t="s">
        <v>53</v>
      </c>
      <c r="S264" t="s">
        <v>116</v>
      </c>
      <c r="T264" t="s">
        <v>198</v>
      </c>
      <c r="U264" t="s">
        <v>108</v>
      </c>
    </row>
    <row r="265" spans="1:21" x14ac:dyDescent="0.3">
      <c r="A265" t="s">
        <v>192</v>
      </c>
      <c r="B265" t="s">
        <v>192</v>
      </c>
      <c r="C265" t="s">
        <v>194</v>
      </c>
      <c r="D265">
        <v>3</v>
      </c>
      <c r="E265" t="s">
        <v>105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274</v>
      </c>
      <c r="L265" t="s">
        <v>273</v>
      </c>
      <c r="M265">
        <v>33</v>
      </c>
      <c r="N265">
        <v>11167</v>
      </c>
      <c r="O265" t="s">
        <v>52</v>
      </c>
      <c r="P265" t="s">
        <v>52</v>
      </c>
      <c r="Q265" t="s">
        <v>197</v>
      </c>
      <c r="R265" t="s">
        <v>53</v>
      </c>
      <c r="S265" t="s">
        <v>116</v>
      </c>
      <c r="T265" t="s">
        <v>198</v>
      </c>
      <c r="U265" t="s">
        <v>108</v>
      </c>
    </row>
    <row r="266" spans="1:21" x14ac:dyDescent="0.3">
      <c r="A266" t="s">
        <v>192</v>
      </c>
      <c r="B266" t="s">
        <v>192</v>
      </c>
      <c r="C266" t="s">
        <v>194</v>
      </c>
      <c r="D266">
        <v>3</v>
      </c>
      <c r="E266" t="s">
        <v>105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279</v>
      </c>
      <c r="L266" t="s">
        <v>273</v>
      </c>
      <c r="M266">
        <v>33</v>
      </c>
      <c r="N266">
        <v>11167</v>
      </c>
      <c r="O266" t="s">
        <v>52</v>
      </c>
      <c r="P266" t="s">
        <v>52</v>
      </c>
      <c r="Q266" t="s">
        <v>197</v>
      </c>
      <c r="R266" t="s">
        <v>53</v>
      </c>
      <c r="S266" t="s">
        <v>116</v>
      </c>
      <c r="T266" t="s">
        <v>198</v>
      </c>
      <c r="U266" t="s">
        <v>108</v>
      </c>
    </row>
    <row r="267" spans="1:21" x14ac:dyDescent="0.3">
      <c r="A267" t="s">
        <v>192</v>
      </c>
      <c r="B267" t="s">
        <v>192</v>
      </c>
      <c r="C267" t="s">
        <v>194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119</v>
      </c>
      <c r="J267" t="s">
        <v>58</v>
      </c>
      <c r="K267" t="s">
        <v>277</v>
      </c>
      <c r="L267" t="s">
        <v>276</v>
      </c>
      <c r="M267">
        <v>61</v>
      </c>
      <c r="O267" t="s">
        <v>52</v>
      </c>
      <c r="P267" t="s">
        <v>52</v>
      </c>
      <c r="Q267" t="s">
        <v>197</v>
      </c>
      <c r="R267" t="s">
        <v>53</v>
      </c>
      <c r="S267" t="s">
        <v>116</v>
      </c>
      <c r="T267" t="s">
        <v>198</v>
      </c>
      <c r="U267" t="s">
        <v>108</v>
      </c>
    </row>
    <row r="268" spans="1:21" x14ac:dyDescent="0.3">
      <c r="A268" t="s">
        <v>192</v>
      </c>
      <c r="B268" t="s">
        <v>192</v>
      </c>
      <c r="C268" t="s">
        <v>194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117</v>
      </c>
      <c r="J268" t="s">
        <v>51</v>
      </c>
      <c r="K268" t="s">
        <v>275</v>
      </c>
      <c r="L268" t="s">
        <v>276</v>
      </c>
      <c r="M268">
        <v>61</v>
      </c>
      <c r="O268" t="s">
        <v>52</v>
      </c>
      <c r="P268" t="s">
        <v>52</v>
      </c>
      <c r="Q268" t="s">
        <v>197</v>
      </c>
      <c r="R268" t="s">
        <v>53</v>
      </c>
      <c r="S268" t="s">
        <v>116</v>
      </c>
      <c r="T268" t="s">
        <v>198</v>
      </c>
      <c r="U268" t="s">
        <v>108</v>
      </c>
    </row>
    <row r="269" spans="1:21" x14ac:dyDescent="0.3">
      <c r="A269" t="s">
        <v>192</v>
      </c>
      <c r="B269" t="s">
        <v>192</v>
      </c>
      <c r="C269" t="s">
        <v>194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278</v>
      </c>
      <c r="L269" t="s">
        <v>273</v>
      </c>
      <c r="M269">
        <v>33</v>
      </c>
      <c r="N269">
        <v>11167</v>
      </c>
      <c r="O269" t="s">
        <v>52</v>
      </c>
      <c r="P269" t="s">
        <v>52</v>
      </c>
      <c r="Q269" t="s">
        <v>197</v>
      </c>
      <c r="R269" t="s">
        <v>53</v>
      </c>
      <c r="S269" t="s">
        <v>116</v>
      </c>
      <c r="T269" t="s">
        <v>198</v>
      </c>
      <c r="U269" t="s">
        <v>108</v>
      </c>
    </row>
    <row r="270" spans="1:21" x14ac:dyDescent="0.3">
      <c r="A270" t="s">
        <v>192</v>
      </c>
      <c r="B270" t="s">
        <v>192</v>
      </c>
      <c r="C270" t="s">
        <v>194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279</v>
      </c>
      <c r="L270" t="s">
        <v>273</v>
      </c>
      <c r="M270">
        <v>33</v>
      </c>
      <c r="N270">
        <v>11167</v>
      </c>
      <c r="O270" t="s">
        <v>52</v>
      </c>
      <c r="P270" t="s">
        <v>52</v>
      </c>
      <c r="Q270" t="s">
        <v>197</v>
      </c>
      <c r="R270" t="s">
        <v>53</v>
      </c>
      <c r="S270" t="s">
        <v>116</v>
      </c>
      <c r="T270" t="s">
        <v>198</v>
      </c>
      <c r="U270" t="s">
        <v>108</v>
      </c>
    </row>
    <row r="271" spans="1:21" x14ac:dyDescent="0.3">
      <c r="A271" t="s">
        <v>192</v>
      </c>
      <c r="B271" t="s">
        <v>192</v>
      </c>
      <c r="C271" t="s">
        <v>194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272</v>
      </c>
      <c r="L271" t="s">
        <v>273</v>
      </c>
      <c r="M271">
        <v>33</v>
      </c>
      <c r="N271">
        <v>11167</v>
      </c>
      <c r="O271" t="s">
        <v>52</v>
      </c>
      <c r="P271" t="s">
        <v>52</v>
      </c>
      <c r="Q271" t="s">
        <v>197</v>
      </c>
      <c r="R271" t="s">
        <v>53</v>
      </c>
      <c r="S271" t="s">
        <v>116</v>
      </c>
      <c r="T271" t="s">
        <v>198</v>
      </c>
      <c r="U271" t="s">
        <v>108</v>
      </c>
    </row>
    <row r="272" spans="1:21" x14ac:dyDescent="0.3">
      <c r="A272" t="s">
        <v>192</v>
      </c>
      <c r="B272" t="s">
        <v>192</v>
      </c>
      <c r="C272" t="s">
        <v>194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274</v>
      </c>
      <c r="L272" t="s">
        <v>273</v>
      </c>
      <c r="M272">
        <v>33</v>
      </c>
      <c r="N272">
        <v>11167</v>
      </c>
      <c r="O272" t="s">
        <v>52</v>
      </c>
      <c r="P272" t="s">
        <v>52</v>
      </c>
      <c r="Q272" t="s">
        <v>197</v>
      </c>
      <c r="R272" t="s">
        <v>53</v>
      </c>
      <c r="S272" t="s">
        <v>116</v>
      </c>
      <c r="T272" t="s">
        <v>198</v>
      </c>
      <c r="U272" t="s">
        <v>108</v>
      </c>
    </row>
    <row r="273" spans="1:21" x14ac:dyDescent="0.3">
      <c r="A273" t="s">
        <v>192</v>
      </c>
      <c r="B273" t="s">
        <v>192</v>
      </c>
      <c r="C273" t="s">
        <v>194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278</v>
      </c>
      <c r="L273" t="s">
        <v>273</v>
      </c>
      <c r="M273">
        <v>33</v>
      </c>
      <c r="N273">
        <v>11167</v>
      </c>
      <c r="O273" t="s">
        <v>52</v>
      </c>
      <c r="P273" t="s">
        <v>52</v>
      </c>
      <c r="Q273" t="s">
        <v>197</v>
      </c>
      <c r="R273" t="s">
        <v>53</v>
      </c>
      <c r="S273" t="s">
        <v>116</v>
      </c>
      <c r="T273" t="s">
        <v>198</v>
      </c>
      <c r="U273" t="s">
        <v>108</v>
      </c>
    </row>
    <row r="274" spans="1:21" x14ac:dyDescent="0.3">
      <c r="A274" t="s">
        <v>192</v>
      </c>
      <c r="B274" t="s">
        <v>192</v>
      </c>
      <c r="C274" t="s">
        <v>194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117</v>
      </c>
      <c r="J274" t="s">
        <v>51</v>
      </c>
      <c r="K274" t="s">
        <v>275</v>
      </c>
      <c r="L274" t="s">
        <v>276</v>
      </c>
      <c r="M274">
        <v>61</v>
      </c>
      <c r="O274" t="s">
        <v>52</v>
      </c>
      <c r="P274" t="s">
        <v>52</v>
      </c>
      <c r="Q274" t="s">
        <v>197</v>
      </c>
      <c r="R274" t="s">
        <v>53</v>
      </c>
      <c r="S274" t="s">
        <v>116</v>
      </c>
      <c r="T274" t="s">
        <v>198</v>
      </c>
      <c r="U274" t="s">
        <v>108</v>
      </c>
    </row>
    <row r="275" spans="1:21" x14ac:dyDescent="0.3">
      <c r="A275" t="s">
        <v>192</v>
      </c>
      <c r="B275" t="s">
        <v>192</v>
      </c>
      <c r="C275" t="s">
        <v>194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272</v>
      </c>
      <c r="L275" t="s">
        <v>273</v>
      </c>
      <c r="M275">
        <v>33</v>
      </c>
      <c r="N275">
        <v>11167</v>
      </c>
      <c r="O275" t="s">
        <v>52</v>
      </c>
      <c r="P275" t="s">
        <v>52</v>
      </c>
      <c r="Q275" t="s">
        <v>197</v>
      </c>
      <c r="R275" t="s">
        <v>53</v>
      </c>
      <c r="S275" t="s">
        <v>116</v>
      </c>
      <c r="T275" t="s">
        <v>198</v>
      </c>
      <c r="U275" t="s">
        <v>108</v>
      </c>
    </row>
    <row r="276" spans="1:21" x14ac:dyDescent="0.3">
      <c r="A276" t="s">
        <v>192</v>
      </c>
      <c r="B276" t="s">
        <v>192</v>
      </c>
      <c r="C276" t="s">
        <v>194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279</v>
      </c>
      <c r="L276" t="s">
        <v>273</v>
      </c>
      <c r="M276">
        <v>33</v>
      </c>
      <c r="N276">
        <v>11167</v>
      </c>
      <c r="O276" t="s">
        <v>52</v>
      </c>
      <c r="P276" t="s">
        <v>52</v>
      </c>
      <c r="Q276" t="s">
        <v>197</v>
      </c>
      <c r="R276" t="s">
        <v>53</v>
      </c>
      <c r="S276" t="s">
        <v>116</v>
      </c>
      <c r="T276" t="s">
        <v>198</v>
      </c>
      <c r="U276" t="s">
        <v>108</v>
      </c>
    </row>
    <row r="277" spans="1:21" x14ac:dyDescent="0.3">
      <c r="A277" t="s">
        <v>192</v>
      </c>
      <c r="B277" t="s">
        <v>192</v>
      </c>
      <c r="C277" t="s">
        <v>194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274</v>
      </c>
      <c r="L277" t="s">
        <v>273</v>
      </c>
      <c r="M277">
        <v>33</v>
      </c>
      <c r="N277">
        <v>11167</v>
      </c>
      <c r="O277" t="s">
        <v>52</v>
      </c>
      <c r="P277" t="s">
        <v>52</v>
      </c>
      <c r="Q277" t="s">
        <v>197</v>
      </c>
      <c r="R277" t="s">
        <v>53</v>
      </c>
      <c r="S277" t="s">
        <v>116</v>
      </c>
      <c r="T277" t="s">
        <v>198</v>
      </c>
      <c r="U277" t="s">
        <v>108</v>
      </c>
    </row>
    <row r="278" spans="1:21" x14ac:dyDescent="0.3">
      <c r="A278" t="s">
        <v>185</v>
      </c>
      <c r="B278" t="s">
        <v>185</v>
      </c>
      <c r="C278" t="s">
        <v>194</v>
      </c>
      <c r="D278">
        <v>1</v>
      </c>
      <c r="E278" t="s">
        <v>107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280</v>
      </c>
      <c r="L278" t="s">
        <v>276</v>
      </c>
      <c r="M278">
        <v>33</v>
      </c>
      <c r="N278">
        <v>11902</v>
      </c>
      <c r="O278" t="s">
        <v>52</v>
      </c>
      <c r="P278" t="s">
        <v>52</v>
      </c>
      <c r="Q278" t="s">
        <v>197</v>
      </c>
      <c r="R278" t="s">
        <v>53</v>
      </c>
      <c r="S278" t="s">
        <v>116</v>
      </c>
      <c r="T278" t="s">
        <v>198</v>
      </c>
      <c r="U278" t="s">
        <v>108</v>
      </c>
    </row>
    <row r="279" spans="1:21" x14ac:dyDescent="0.3">
      <c r="A279" t="s">
        <v>185</v>
      </c>
      <c r="B279" t="s">
        <v>185</v>
      </c>
      <c r="C279" t="s">
        <v>194</v>
      </c>
      <c r="D279">
        <v>1</v>
      </c>
      <c r="E279" t="s">
        <v>107</v>
      </c>
      <c r="F279">
        <v>1</v>
      </c>
      <c r="G279">
        <v>9</v>
      </c>
      <c r="H279">
        <v>9</v>
      </c>
      <c r="I279" t="s">
        <v>119</v>
      </c>
      <c r="J279" t="s">
        <v>58</v>
      </c>
      <c r="K279" t="s">
        <v>281</v>
      </c>
      <c r="L279" t="s">
        <v>282</v>
      </c>
      <c r="M279">
        <v>33</v>
      </c>
      <c r="O279" t="s">
        <v>52</v>
      </c>
      <c r="P279" t="s">
        <v>52</v>
      </c>
      <c r="Q279" t="s">
        <v>197</v>
      </c>
      <c r="R279" t="s">
        <v>53</v>
      </c>
      <c r="S279" t="s">
        <v>116</v>
      </c>
      <c r="T279" t="s">
        <v>198</v>
      </c>
      <c r="U279" t="s">
        <v>108</v>
      </c>
    </row>
    <row r="280" spans="1:21" x14ac:dyDescent="0.3">
      <c r="A280" t="s">
        <v>185</v>
      </c>
      <c r="B280" t="s">
        <v>185</v>
      </c>
      <c r="C280" t="s">
        <v>194</v>
      </c>
      <c r="D280">
        <v>1</v>
      </c>
      <c r="E280" t="s">
        <v>107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283</v>
      </c>
      <c r="L280" t="s">
        <v>276</v>
      </c>
      <c r="M280">
        <v>33</v>
      </c>
      <c r="N280">
        <v>11902</v>
      </c>
      <c r="O280" t="s">
        <v>52</v>
      </c>
      <c r="P280" t="s">
        <v>52</v>
      </c>
      <c r="Q280" t="s">
        <v>197</v>
      </c>
      <c r="R280" t="s">
        <v>53</v>
      </c>
      <c r="S280" t="s">
        <v>116</v>
      </c>
      <c r="T280" t="s">
        <v>198</v>
      </c>
      <c r="U280" t="s">
        <v>108</v>
      </c>
    </row>
    <row r="281" spans="1:21" x14ac:dyDescent="0.3">
      <c r="A281" t="s">
        <v>185</v>
      </c>
      <c r="B281" t="s">
        <v>185</v>
      </c>
      <c r="C281" t="s">
        <v>194</v>
      </c>
      <c r="D281">
        <v>1</v>
      </c>
      <c r="E281" t="s">
        <v>107</v>
      </c>
      <c r="F281">
        <v>1</v>
      </c>
      <c r="G281">
        <v>598</v>
      </c>
      <c r="H281">
        <v>598</v>
      </c>
      <c r="I281" t="s">
        <v>117</v>
      </c>
      <c r="J281" t="s">
        <v>51</v>
      </c>
      <c r="K281" t="s">
        <v>284</v>
      </c>
      <c r="L281" t="s">
        <v>282</v>
      </c>
      <c r="M281">
        <v>33</v>
      </c>
      <c r="O281" t="s">
        <v>52</v>
      </c>
      <c r="P281" t="s">
        <v>52</v>
      </c>
      <c r="Q281" t="s">
        <v>197</v>
      </c>
      <c r="R281" t="s">
        <v>53</v>
      </c>
      <c r="S281" t="s">
        <v>116</v>
      </c>
      <c r="T281" t="s">
        <v>198</v>
      </c>
      <c r="U281" t="s">
        <v>108</v>
      </c>
    </row>
    <row r="282" spans="1:21" x14ac:dyDescent="0.3">
      <c r="A282" t="s">
        <v>185</v>
      </c>
      <c r="B282" t="s">
        <v>185</v>
      </c>
      <c r="C282" t="s">
        <v>194</v>
      </c>
      <c r="D282">
        <v>1</v>
      </c>
      <c r="E282" t="s">
        <v>107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285</v>
      </c>
      <c r="L282" t="s">
        <v>276</v>
      </c>
      <c r="M282">
        <v>33</v>
      </c>
      <c r="N282">
        <v>11902</v>
      </c>
      <c r="O282" t="s">
        <v>52</v>
      </c>
      <c r="P282" t="s">
        <v>52</v>
      </c>
      <c r="Q282" t="s">
        <v>197</v>
      </c>
      <c r="R282" t="s">
        <v>53</v>
      </c>
      <c r="S282" t="s">
        <v>116</v>
      </c>
      <c r="T282" t="s">
        <v>198</v>
      </c>
      <c r="U282" t="s">
        <v>108</v>
      </c>
    </row>
    <row r="283" spans="1:21" x14ac:dyDescent="0.3">
      <c r="A283" t="s">
        <v>185</v>
      </c>
      <c r="B283" t="s">
        <v>185</v>
      </c>
      <c r="C283" t="s">
        <v>194</v>
      </c>
      <c r="D283">
        <v>1</v>
      </c>
      <c r="E283" t="s">
        <v>107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286</v>
      </c>
      <c r="L283" t="s">
        <v>276</v>
      </c>
      <c r="M283">
        <v>33</v>
      </c>
      <c r="N283">
        <v>11902</v>
      </c>
      <c r="O283" t="s">
        <v>52</v>
      </c>
      <c r="P283" t="s">
        <v>52</v>
      </c>
      <c r="Q283" t="s">
        <v>197</v>
      </c>
      <c r="R283" t="s">
        <v>53</v>
      </c>
      <c r="S283" t="s">
        <v>116</v>
      </c>
      <c r="T283" t="s">
        <v>198</v>
      </c>
      <c r="U283" t="s">
        <v>108</v>
      </c>
    </row>
    <row r="284" spans="1:21" x14ac:dyDescent="0.3">
      <c r="A284" t="s">
        <v>185</v>
      </c>
      <c r="B284" t="s">
        <v>185</v>
      </c>
      <c r="C284" t="s">
        <v>194</v>
      </c>
      <c r="D284">
        <v>2</v>
      </c>
      <c r="E284" t="s">
        <v>118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280</v>
      </c>
      <c r="L284" t="s">
        <v>276</v>
      </c>
      <c r="M284">
        <v>33</v>
      </c>
      <c r="N284">
        <v>11902</v>
      </c>
      <c r="O284" t="s">
        <v>52</v>
      </c>
      <c r="P284" t="s">
        <v>52</v>
      </c>
      <c r="Q284" t="s">
        <v>197</v>
      </c>
      <c r="R284" t="s">
        <v>53</v>
      </c>
      <c r="S284" t="s">
        <v>116</v>
      </c>
      <c r="T284" t="s">
        <v>198</v>
      </c>
      <c r="U284" t="s">
        <v>108</v>
      </c>
    </row>
    <row r="285" spans="1:21" x14ac:dyDescent="0.3">
      <c r="A285" t="s">
        <v>185</v>
      </c>
      <c r="B285" t="s">
        <v>185</v>
      </c>
      <c r="C285" t="s">
        <v>194</v>
      </c>
      <c r="D285">
        <v>2</v>
      </c>
      <c r="E285" t="s">
        <v>118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283</v>
      </c>
      <c r="L285" t="s">
        <v>276</v>
      </c>
      <c r="M285">
        <v>33</v>
      </c>
      <c r="N285">
        <v>11902</v>
      </c>
      <c r="O285" t="s">
        <v>52</v>
      </c>
      <c r="P285" t="s">
        <v>52</v>
      </c>
      <c r="Q285" t="s">
        <v>197</v>
      </c>
      <c r="R285" t="s">
        <v>53</v>
      </c>
      <c r="S285" t="s">
        <v>116</v>
      </c>
      <c r="T285" t="s">
        <v>198</v>
      </c>
      <c r="U285" t="s">
        <v>108</v>
      </c>
    </row>
    <row r="286" spans="1:21" x14ac:dyDescent="0.3">
      <c r="A286" t="s">
        <v>185</v>
      </c>
      <c r="B286" t="s">
        <v>185</v>
      </c>
      <c r="C286" t="s">
        <v>194</v>
      </c>
      <c r="D286">
        <v>2</v>
      </c>
      <c r="E286" t="s">
        <v>118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285</v>
      </c>
      <c r="L286" t="s">
        <v>276</v>
      </c>
      <c r="M286">
        <v>33</v>
      </c>
      <c r="N286">
        <v>11902</v>
      </c>
      <c r="O286" t="s">
        <v>52</v>
      </c>
      <c r="P286" t="s">
        <v>52</v>
      </c>
      <c r="Q286" t="s">
        <v>197</v>
      </c>
      <c r="R286" t="s">
        <v>53</v>
      </c>
      <c r="S286" t="s">
        <v>116</v>
      </c>
      <c r="T286" t="s">
        <v>198</v>
      </c>
      <c r="U286" t="s">
        <v>108</v>
      </c>
    </row>
    <row r="287" spans="1:21" x14ac:dyDescent="0.3">
      <c r="A287" t="s">
        <v>185</v>
      </c>
      <c r="B287" t="s">
        <v>185</v>
      </c>
      <c r="C287" t="s">
        <v>194</v>
      </c>
      <c r="D287">
        <v>2</v>
      </c>
      <c r="E287" t="s">
        <v>118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286</v>
      </c>
      <c r="L287" t="s">
        <v>276</v>
      </c>
      <c r="M287">
        <v>33</v>
      </c>
      <c r="N287">
        <v>11902</v>
      </c>
      <c r="O287" t="s">
        <v>52</v>
      </c>
      <c r="P287" t="s">
        <v>52</v>
      </c>
      <c r="Q287" t="s">
        <v>197</v>
      </c>
      <c r="R287" t="s">
        <v>53</v>
      </c>
      <c r="S287" t="s">
        <v>116</v>
      </c>
      <c r="T287" t="s">
        <v>198</v>
      </c>
      <c r="U287" t="s">
        <v>108</v>
      </c>
    </row>
    <row r="288" spans="1:21" x14ac:dyDescent="0.3">
      <c r="A288" t="s">
        <v>185</v>
      </c>
      <c r="B288" t="s">
        <v>185</v>
      </c>
      <c r="C288" t="s">
        <v>194</v>
      </c>
      <c r="D288">
        <v>2</v>
      </c>
      <c r="E288" t="s">
        <v>118</v>
      </c>
      <c r="F288">
        <v>1</v>
      </c>
      <c r="G288">
        <v>2</v>
      </c>
      <c r="H288">
        <v>2</v>
      </c>
      <c r="I288" t="s">
        <v>117</v>
      </c>
      <c r="J288" t="s">
        <v>51</v>
      </c>
      <c r="K288" t="s">
        <v>284</v>
      </c>
      <c r="L288" t="s">
        <v>282</v>
      </c>
      <c r="M288">
        <v>33</v>
      </c>
      <c r="O288" t="s">
        <v>52</v>
      </c>
      <c r="P288" t="s">
        <v>52</v>
      </c>
      <c r="Q288" t="s">
        <v>197</v>
      </c>
      <c r="R288" t="s">
        <v>53</v>
      </c>
      <c r="S288" t="s">
        <v>116</v>
      </c>
      <c r="T288" t="s">
        <v>198</v>
      </c>
      <c r="U288" t="s">
        <v>108</v>
      </c>
    </row>
    <row r="289" spans="1:21" x14ac:dyDescent="0.3">
      <c r="A289" t="s">
        <v>185</v>
      </c>
      <c r="B289" t="s">
        <v>185</v>
      </c>
      <c r="C289" t="s">
        <v>194</v>
      </c>
      <c r="D289">
        <v>3</v>
      </c>
      <c r="E289" t="s">
        <v>105</v>
      </c>
      <c r="F289">
        <v>1</v>
      </c>
      <c r="G289">
        <v>1</v>
      </c>
      <c r="H289">
        <v>1</v>
      </c>
      <c r="I289" t="s">
        <v>119</v>
      </c>
      <c r="J289" t="s">
        <v>58</v>
      </c>
      <c r="K289" t="s">
        <v>281</v>
      </c>
      <c r="L289" t="s">
        <v>282</v>
      </c>
      <c r="M289">
        <v>33</v>
      </c>
      <c r="O289" t="s">
        <v>52</v>
      </c>
      <c r="P289" t="s">
        <v>52</v>
      </c>
      <c r="Q289" t="s">
        <v>197</v>
      </c>
      <c r="R289" t="s">
        <v>53</v>
      </c>
      <c r="S289" t="s">
        <v>116</v>
      </c>
      <c r="T289" t="s">
        <v>198</v>
      </c>
      <c r="U289" t="s">
        <v>108</v>
      </c>
    </row>
    <row r="290" spans="1:21" x14ac:dyDescent="0.3">
      <c r="A290" t="s">
        <v>185</v>
      </c>
      <c r="B290" t="s">
        <v>185</v>
      </c>
      <c r="C290" t="s">
        <v>194</v>
      </c>
      <c r="D290">
        <v>3</v>
      </c>
      <c r="E290" t="s">
        <v>105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286</v>
      </c>
      <c r="L290" t="s">
        <v>276</v>
      </c>
      <c r="M290">
        <v>33</v>
      </c>
      <c r="N290">
        <v>11902</v>
      </c>
      <c r="O290" t="s">
        <v>52</v>
      </c>
      <c r="P290" t="s">
        <v>52</v>
      </c>
      <c r="Q290" t="s">
        <v>197</v>
      </c>
      <c r="R290" t="s">
        <v>53</v>
      </c>
      <c r="S290" t="s">
        <v>116</v>
      </c>
      <c r="T290" t="s">
        <v>198</v>
      </c>
      <c r="U290" t="s">
        <v>108</v>
      </c>
    </row>
    <row r="291" spans="1:21" x14ac:dyDescent="0.3">
      <c r="A291" t="s">
        <v>185</v>
      </c>
      <c r="B291" t="s">
        <v>185</v>
      </c>
      <c r="C291" t="s">
        <v>194</v>
      </c>
      <c r="D291">
        <v>3</v>
      </c>
      <c r="E291" t="s">
        <v>105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280</v>
      </c>
      <c r="L291" t="s">
        <v>276</v>
      </c>
      <c r="M291">
        <v>33</v>
      </c>
      <c r="N291">
        <v>11902</v>
      </c>
      <c r="O291" t="s">
        <v>52</v>
      </c>
      <c r="P291" t="s">
        <v>52</v>
      </c>
      <c r="Q291" t="s">
        <v>197</v>
      </c>
      <c r="R291" t="s">
        <v>53</v>
      </c>
      <c r="S291" t="s">
        <v>116</v>
      </c>
      <c r="T291" t="s">
        <v>198</v>
      </c>
      <c r="U291" t="s">
        <v>108</v>
      </c>
    </row>
    <row r="292" spans="1:21" x14ac:dyDescent="0.3">
      <c r="A292" t="s">
        <v>185</v>
      </c>
      <c r="B292" t="s">
        <v>185</v>
      </c>
      <c r="C292" t="s">
        <v>194</v>
      </c>
      <c r="D292">
        <v>3</v>
      </c>
      <c r="E292" t="s">
        <v>105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283</v>
      </c>
      <c r="L292" t="s">
        <v>276</v>
      </c>
      <c r="M292">
        <v>33</v>
      </c>
      <c r="N292">
        <v>11902</v>
      </c>
      <c r="O292" t="s">
        <v>52</v>
      </c>
      <c r="P292" t="s">
        <v>52</v>
      </c>
      <c r="Q292" t="s">
        <v>197</v>
      </c>
      <c r="R292" t="s">
        <v>53</v>
      </c>
      <c r="S292" t="s">
        <v>116</v>
      </c>
      <c r="T292" t="s">
        <v>198</v>
      </c>
      <c r="U292" t="s">
        <v>108</v>
      </c>
    </row>
    <row r="293" spans="1:21" x14ac:dyDescent="0.3">
      <c r="A293" t="s">
        <v>185</v>
      </c>
      <c r="B293" t="s">
        <v>185</v>
      </c>
      <c r="C293" t="s">
        <v>194</v>
      </c>
      <c r="D293">
        <v>3</v>
      </c>
      <c r="E293" t="s">
        <v>105</v>
      </c>
      <c r="F293">
        <v>1</v>
      </c>
      <c r="G293">
        <v>111</v>
      </c>
      <c r="H293">
        <v>111</v>
      </c>
      <c r="I293" t="s">
        <v>117</v>
      </c>
      <c r="J293" t="s">
        <v>51</v>
      </c>
      <c r="K293" t="s">
        <v>284</v>
      </c>
      <c r="L293" t="s">
        <v>282</v>
      </c>
      <c r="M293">
        <v>33</v>
      </c>
      <c r="O293" t="s">
        <v>52</v>
      </c>
      <c r="P293" t="s">
        <v>52</v>
      </c>
      <c r="Q293" t="s">
        <v>197</v>
      </c>
      <c r="R293" t="s">
        <v>53</v>
      </c>
      <c r="S293" t="s">
        <v>116</v>
      </c>
      <c r="T293" t="s">
        <v>198</v>
      </c>
      <c r="U293" t="s">
        <v>108</v>
      </c>
    </row>
    <row r="294" spans="1:21" x14ac:dyDescent="0.3">
      <c r="A294" t="s">
        <v>185</v>
      </c>
      <c r="B294" t="s">
        <v>185</v>
      </c>
      <c r="C294" t="s">
        <v>194</v>
      </c>
      <c r="D294">
        <v>3</v>
      </c>
      <c r="E294" t="s">
        <v>105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285</v>
      </c>
      <c r="L294" t="s">
        <v>276</v>
      </c>
      <c r="M294">
        <v>33</v>
      </c>
      <c r="N294">
        <v>11902</v>
      </c>
      <c r="O294" t="s">
        <v>52</v>
      </c>
      <c r="P294" t="s">
        <v>52</v>
      </c>
      <c r="Q294" t="s">
        <v>197</v>
      </c>
      <c r="R294" t="s">
        <v>53</v>
      </c>
      <c r="S294" t="s">
        <v>116</v>
      </c>
      <c r="T294" t="s">
        <v>198</v>
      </c>
      <c r="U294" t="s">
        <v>108</v>
      </c>
    </row>
    <row r="295" spans="1:21" x14ac:dyDescent="0.3">
      <c r="A295" t="s">
        <v>185</v>
      </c>
      <c r="B295" t="s">
        <v>185</v>
      </c>
      <c r="C295" t="s">
        <v>194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117</v>
      </c>
      <c r="J295" t="s">
        <v>51</v>
      </c>
      <c r="K295" t="s">
        <v>284</v>
      </c>
      <c r="L295" t="s">
        <v>282</v>
      </c>
      <c r="M295">
        <v>33</v>
      </c>
      <c r="O295" t="s">
        <v>52</v>
      </c>
      <c r="P295" t="s">
        <v>52</v>
      </c>
      <c r="Q295" t="s">
        <v>197</v>
      </c>
      <c r="R295" t="s">
        <v>53</v>
      </c>
      <c r="S295" t="s">
        <v>116</v>
      </c>
      <c r="T295" t="s">
        <v>198</v>
      </c>
      <c r="U295" t="s">
        <v>108</v>
      </c>
    </row>
    <row r="296" spans="1:21" x14ac:dyDescent="0.3">
      <c r="A296" t="s">
        <v>185</v>
      </c>
      <c r="B296" t="s">
        <v>185</v>
      </c>
      <c r="C296" t="s">
        <v>194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283</v>
      </c>
      <c r="L296" t="s">
        <v>276</v>
      </c>
      <c r="M296">
        <v>33</v>
      </c>
      <c r="N296">
        <v>11902</v>
      </c>
      <c r="O296" t="s">
        <v>52</v>
      </c>
      <c r="P296" t="s">
        <v>52</v>
      </c>
      <c r="Q296" t="s">
        <v>197</v>
      </c>
      <c r="R296" t="s">
        <v>53</v>
      </c>
      <c r="S296" t="s">
        <v>116</v>
      </c>
      <c r="T296" t="s">
        <v>198</v>
      </c>
      <c r="U296" t="s">
        <v>108</v>
      </c>
    </row>
    <row r="297" spans="1:21" x14ac:dyDescent="0.3">
      <c r="A297" t="s">
        <v>185</v>
      </c>
      <c r="B297" t="s">
        <v>185</v>
      </c>
      <c r="C297" t="s">
        <v>194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285</v>
      </c>
      <c r="L297" t="s">
        <v>276</v>
      </c>
      <c r="M297">
        <v>33</v>
      </c>
      <c r="N297">
        <v>11902</v>
      </c>
      <c r="O297" t="s">
        <v>52</v>
      </c>
      <c r="P297" t="s">
        <v>52</v>
      </c>
      <c r="Q297" t="s">
        <v>197</v>
      </c>
      <c r="R297" t="s">
        <v>53</v>
      </c>
      <c r="S297" t="s">
        <v>116</v>
      </c>
      <c r="T297" t="s">
        <v>198</v>
      </c>
      <c r="U297" t="s">
        <v>108</v>
      </c>
    </row>
    <row r="298" spans="1:21" x14ac:dyDescent="0.3">
      <c r="A298" t="s">
        <v>185</v>
      </c>
      <c r="B298" t="s">
        <v>185</v>
      </c>
      <c r="C298" t="s">
        <v>194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119</v>
      </c>
      <c r="J298" t="s">
        <v>58</v>
      </c>
      <c r="K298" t="s">
        <v>281</v>
      </c>
      <c r="L298" t="s">
        <v>282</v>
      </c>
      <c r="M298">
        <v>33</v>
      </c>
      <c r="O298" t="s">
        <v>52</v>
      </c>
      <c r="P298" t="s">
        <v>52</v>
      </c>
      <c r="Q298" t="s">
        <v>197</v>
      </c>
      <c r="R298" t="s">
        <v>53</v>
      </c>
      <c r="S298" t="s">
        <v>116</v>
      </c>
      <c r="T298" t="s">
        <v>198</v>
      </c>
      <c r="U298" t="s">
        <v>108</v>
      </c>
    </row>
    <row r="299" spans="1:21" x14ac:dyDescent="0.3">
      <c r="A299" t="s">
        <v>185</v>
      </c>
      <c r="B299" t="s">
        <v>185</v>
      </c>
      <c r="C299" t="s">
        <v>194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280</v>
      </c>
      <c r="L299" t="s">
        <v>276</v>
      </c>
      <c r="M299">
        <v>33</v>
      </c>
      <c r="N299">
        <v>11902</v>
      </c>
      <c r="O299" t="s">
        <v>52</v>
      </c>
      <c r="P299" t="s">
        <v>52</v>
      </c>
      <c r="Q299" t="s">
        <v>197</v>
      </c>
      <c r="R299" t="s">
        <v>53</v>
      </c>
      <c r="S299" t="s">
        <v>116</v>
      </c>
      <c r="T299" t="s">
        <v>198</v>
      </c>
      <c r="U299" t="s">
        <v>108</v>
      </c>
    </row>
    <row r="300" spans="1:21" x14ac:dyDescent="0.3">
      <c r="A300" t="s">
        <v>185</v>
      </c>
      <c r="B300" t="s">
        <v>185</v>
      </c>
      <c r="C300" t="s">
        <v>194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286</v>
      </c>
      <c r="L300" t="s">
        <v>276</v>
      </c>
      <c r="M300">
        <v>33</v>
      </c>
      <c r="N300">
        <v>11902</v>
      </c>
      <c r="O300" t="s">
        <v>52</v>
      </c>
      <c r="P300" t="s">
        <v>52</v>
      </c>
      <c r="Q300" t="s">
        <v>197</v>
      </c>
      <c r="R300" t="s">
        <v>53</v>
      </c>
      <c r="S300" t="s">
        <v>116</v>
      </c>
      <c r="T300" t="s">
        <v>198</v>
      </c>
      <c r="U300" t="s">
        <v>108</v>
      </c>
    </row>
    <row r="301" spans="1:21" x14ac:dyDescent="0.3">
      <c r="A301" t="s">
        <v>185</v>
      </c>
      <c r="B301" t="s">
        <v>185</v>
      </c>
      <c r="C301" t="s">
        <v>194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286</v>
      </c>
      <c r="L301" t="s">
        <v>276</v>
      </c>
      <c r="M301">
        <v>33</v>
      </c>
      <c r="N301">
        <v>11902</v>
      </c>
      <c r="O301" t="s">
        <v>52</v>
      </c>
      <c r="P301" t="s">
        <v>52</v>
      </c>
      <c r="Q301" t="s">
        <v>197</v>
      </c>
      <c r="R301" t="s">
        <v>53</v>
      </c>
      <c r="S301" t="s">
        <v>116</v>
      </c>
      <c r="T301" t="s">
        <v>198</v>
      </c>
      <c r="U301" t="s">
        <v>108</v>
      </c>
    </row>
    <row r="302" spans="1:21" x14ac:dyDescent="0.3">
      <c r="A302" t="s">
        <v>185</v>
      </c>
      <c r="B302" t="s">
        <v>185</v>
      </c>
      <c r="C302" t="s">
        <v>194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283</v>
      </c>
      <c r="L302" t="s">
        <v>276</v>
      </c>
      <c r="M302">
        <v>33</v>
      </c>
      <c r="N302">
        <v>11902</v>
      </c>
      <c r="O302" t="s">
        <v>52</v>
      </c>
      <c r="P302" t="s">
        <v>52</v>
      </c>
      <c r="Q302" t="s">
        <v>197</v>
      </c>
      <c r="R302" t="s">
        <v>53</v>
      </c>
      <c r="S302" t="s">
        <v>116</v>
      </c>
      <c r="T302" t="s">
        <v>198</v>
      </c>
      <c r="U302" t="s">
        <v>108</v>
      </c>
    </row>
    <row r="303" spans="1:21" x14ac:dyDescent="0.3">
      <c r="A303" t="s">
        <v>185</v>
      </c>
      <c r="B303" t="s">
        <v>185</v>
      </c>
      <c r="C303" t="s">
        <v>194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285</v>
      </c>
      <c r="L303" t="s">
        <v>276</v>
      </c>
      <c r="M303">
        <v>33</v>
      </c>
      <c r="N303">
        <v>11902</v>
      </c>
      <c r="O303" t="s">
        <v>52</v>
      </c>
      <c r="P303" t="s">
        <v>52</v>
      </c>
      <c r="Q303" t="s">
        <v>197</v>
      </c>
      <c r="R303" t="s">
        <v>53</v>
      </c>
      <c r="S303" t="s">
        <v>116</v>
      </c>
      <c r="T303" t="s">
        <v>198</v>
      </c>
      <c r="U303" t="s">
        <v>108</v>
      </c>
    </row>
    <row r="304" spans="1:21" x14ac:dyDescent="0.3">
      <c r="A304" t="s">
        <v>185</v>
      </c>
      <c r="B304" t="s">
        <v>185</v>
      </c>
      <c r="C304" t="s">
        <v>194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280</v>
      </c>
      <c r="L304" t="s">
        <v>276</v>
      </c>
      <c r="M304">
        <v>33</v>
      </c>
      <c r="N304">
        <v>11902</v>
      </c>
      <c r="O304" t="s">
        <v>52</v>
      </c>
      <c r="P304" t="s">
        <v>52</v>
      </c>
      <c r="Q304" t="s">
        <v>197</v>
      </c>
      <c r="R304" t="s">
        <v>53</v>
      </c>
      <c r="S304" t="s">
        <v>116</v>
      </c>
      <c r="T304" t="s">
        <v>198</v>
      </c>
      <c r="U304" t="s">
        <v>108</v>
      </c>
    </row>
    <row r="305" spans="1:21" x14ac:dyDescent="0.3">
      <c r="A305" t="s">
        <v>185</v>
      </c>
      <c r="B305" t="s">
        <v>185</v>
      </c>
      <c r="C305" t="s">
        <v>194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117</v>
      </c>
      <c r="J305" t="s">
        <v>51</v>
      </c>
      <c r="K305" t="s">
        <v>284</v>
      </c>
      <c r="L305" t="s">
        <v>282</v>
      </c>
      <c r="M305">
        <v>33</v>
      </c>
      <c r="O305" t="s">
        <v>52</v>
      </c>
      <c r="P305" t="s">
        <v>52</v>
      </c>
      <c r="Q305" t="s">
        <v>197</v>
      </c>
      <c r="R305" t="s">
        <v>53</v>
      </c>
      <c r="S305" t="s">
        <v>116</v>
      </c>
      <c r="T305" t="s">
        <v>198</v>
      </c>
      <c r="U305" t="s">
        <v>108</v>
      </c>
    </row>
    <row r="306" spans="1:21" x14ac:dyDescent="0.3">
      <c r="A306" t="s">
        <v>287</v>
      </c>
      <c r="B306" t="s">
        <v>287</v>
      </c>
      <c r="C306" t="s">
        <v>194</v>
      </c>
      <c r="D306">
        <v>1</v>
      </c>
      <c r="E306" t="s">
        <v>107</v>
      </c>
      <c r="F306">
        <v>1</v>
      </c>
      <c r="G306">
        <v>29633</v>
      </c>
      <c r="H306">
        <v>29633</v>
      </c>
      <c r="I306" t="s">
        <v>117</v>
      </c>
      <c r="J306" t="s">
        <v>51</v>
      </c>
      <c r="K306" t="s">
        <v>288</v>
      </c>
      <c r="L306" t="s">
        <v>289</v>
      </c>
      <c r="M306">
        <v>33</v>
      </c>
      <c r="N306">
        <v>13702</v>
      </c>
      <c r="O306" t="s">
        <v>52</v>
      </c>
      <c r="P306" t="s">
        <v>52</v>
      </c>
      <c r="Q306" t="s">
        <v>197</v>
      </c>
      <c r="R306" t="s">
        <v>53</v>
      </c>
      <c r="S306" t="s">
        <v>116</v>
      </c>
      <c r="T306" t="s">
        <v>198</v>
      </c>
      <c r="U306" t="s">
        <v>108</v>
      </c>
    </row>
    <row r="307" spans="1:21" x14ac:dyDescent="0.3">
      <c r="A307" t="s">
        <v>287</v>
      </c>
      <c r="B307" t="s">
        <v>287</v>
      </c>
      <c r="C307" t="s">
        <v>194</v>
      </c>
      <c r="D307">
        <v>1</v>
      </c>
      <c r="E307" t="s">
        <v>107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290</v>
      </c>
      <c r="L307" t="s">
        <v>291</v>
      </c>
      <c r="M307">
        <v>33</v>
      </c>
      <c r="N307">
        <v>13159</v>
      </c>
      <c r="O307" t="s">
        <v>52</v>
      </c>
      <c r="P307" t="s">
        <v>52</v>
      </c>
      <c r="Q307" t="s">
        <v>197</v>
      </c>
      <c r="R307" t="s">
        <v>53</v>
      </c>
      <c r="S307" t="s">
        <v>116</v>
      </c>
      <c r="T307" t="s">
        <v>198</v>
      </c>
      <c r="U307" t="s">
        <v>108</v>
      </c>
    </row>
    <row r="308" spans="1:21" x14ac:dyDescent="0.3">
      <c r="A308" t="s">
        <v>287</v>
      </c>
      <c r="B308" t="s">
        <v>287</v>
      </c>
      <c r="C308" t="s">
        <v>194</v>
      </c>
      <c r="D308">
        <v>1</v>
      </c>
      <c r="E308" t="s">
        <v>107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292</v>
      </c>
      <c r="L308" t="s">
        <v>291</v>
      </c>
      <c r="M308">
        <v>33</v>
      </c>
      <c r="N308">
        <v>13159</v>
      </c>
      <c r="O308" t="s">
        <v>52</v>
      </c>
      <c r="P308" t="s">
        <v>52</v>
      </c>
      <c r="Q308" t="s">
        <v>197</v>
      </c>
      <c r="R308" t="s">
        <v>53</v>
      </c>
      <c r="S308" t="s">
        <v>116</v>
      </c>
      <c r="T308" t="s">
        <v>198</v>
      </c>
      <c r="U308" t="s">
        <v>108</v>
      </c>
    </row>
    <row r="309" spans="1:21" x14ac:dyDescent="0.3">
      <c r="A309" t="s">
        <v>287</v>
      </c>
      <c r="B309" t="s">
        <v>287</v>
      </c>
      <c r="C309" t="s">
        <v>194</v>
      </c>
      <c r="D309">
        <v>1</v>
      </c>
      <c r="E309" t="s">
        <v>107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293</v>
      </c>
      <c r="L309" t="s">
        <v>291</v>
      </c>
      <c r="M309">
        <v>33</v>
      </c>
      <c r="N309">
        <v>13159</v>
      </c>
      <c r="O309" t="s">
        <v>52</v>
      </c>
      <c r="P309" t="s">
        <v>52</v>
      </c>
      <c r="Q309" t="s">
        <v>197</v>
      </c>
      <c r="R309" t="s">
        <v>53</v>
      </c>
      <c r="S309" t="s">
        <v>116</v>
      </c>
      <c r="T309" t="s">
        <v>198</v>
      </c>
      <c r="U309" t="s">
        <v>108</v>
      </c>
    </row>
    <row r="310" spans="1:21" x14ac:dyDescent="0.3">
      <c r="A310" t="s">
        <v>287</v>
      </c>
      <c r="B310" t="s">
        <v>287</v>
      </c>
      <c r="C310" t="s">
        <v>194</v>
      </c>
      <c r="D310">
        <v>1</v>
      </c>
      <c r="E310" t="s">
        <v>107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294</v>
      </c>
      <c r="L310" t="s">
        <v>291</v>
      </c>
      <c r="M310">
        <v>33</v>
      </c>
      <c r="N310">
        <v>13159</v>
      </c>
      <c r="O310" t="s">
        <v>52</v>
      </c>
      <c r="P310" t="s">
        <v>52</v>
      </c>
      <c r="Q310" t="s">
        <v>197</v>
      </c>
      <c r="R310" t="s">
        <v>53</v>
      </c>
      <c r="S310" t="s">
        <v>116</v>
      </c>
      <c r="T310" t="s">
        <v>198</v>
      </c>
      <c r="U310" t="s">
        <v>108</v>
      </c>
    </row>
    <row r="311" spans="1:21" x14ac:dyDescent="0.3">
      <c r="A311" t="s">
        <v>287</v>
      </c>
      <c r="B311" t="s">
        <v>287</v>
      </c>
      <c r="C311" t="s">
        <v>194</v>
      </c>
      <c r="D311">
        <v>1</v>
      </c>
      <c r="E311" t="s">
        <v>107</v>
      </c>
      <c r="F311">
        <v>1</v>
      </c>
      <c r="G311">
        <v>1</v>
      </c>
      <c r="H311">
        <v>1</v>
      </c>
      <c r="I311" t="s">
        <v>119</v>
      </c>
      <c r="J311" t="s">
        <v>58</v>
      </c>
      <c r="K311" t="s">
        <v>295</v>
      </c>
      <c r="L311" t="s">
        <v>289</v>
      </c>
      <c r="M311">
        <v>33</v>
      </c>
      <c r="N311">
        <v>13702</v>
      </c>
      <c r="O311" t="s">
        <v>52</v>
      </c>
      <c r="P311" t="s">
        <v>52</v>
      </c>
      <c r="Q311" t="s">
        <v>197</v>
      </c>
      <c r="R311" t="s">
        <v>53</v>
      </c>
      <c r="S311" t="s">
        <v>116</v>
      </c>
      <c r="T311" t="s">
        <v>198</v>
      </c>
      <c r="U311" t="s">
        <v>108</v>
      </c>
    </row>
    <row r="312" spans="1:21" x14ac:dyDescent="0.3">
      <c r="A312" t="s">
        <v>287</v>
      </c>
      <c r="B312" t="s">
        <v>287</v>
      </c>
      <c r="C312" t="s">
        <v>194</v>
      </c>
      <c r="D312">
        <v>2</v>
      </c>
      <c r="E312" t="s">
        <v>118</v>
      </c>
      <c r="F312">
        <v>1</v>
      </c>
      <c r="G312">
        <v>68</v>
      </c>
      <c r="H312">
        <v>68</v>
      </c>
      <c r="I312" t="s">
        <v>117</v>
      </c>
      <c r="J312" t="s">
        <v>51</v>
      </c>
      <c r="K312" t="s">
        <v>288</v>
      </c>
      <c r="L312" t="s">
        <v>289</v>
      </c>
      <c r="M312">
        <v>33</v>
      </c>
      <c r="N312">
        <v>13702</v>
      </c>
      <c r="O312" t="s">
        <v>52</v>
      </c>
      <c r="P312" t="s">
        <v>52</v>
      </c>
      <c r="Q312" t="s">
        <v>197</v>
      </c>
      <c r="R312" t="s">
        <v>53</v>
      </c>
      <c r="S312" t="s">
        <v>116</v>
      </c>
      <c r="T312" t="s">
        <v>198</v>
      </c>
      <c r="U312" t="s">
        <v>108</v>
      </c>
    </row>
    <row r="313" spans="1:21" x14ac:dyDescent="0.3">
      <c r="A313" t="s">
        <v>287</v>
      </c>
      <c r="B313" t="s">
        <v>287</v>
      </c>
      <c r="C313" t="s">
        <v>194</v>
      </c>
      <c r="D313">
        <v>2</v>
      </c>
      <c r="E313" t="s">
        <v>118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292</v>
      </c>
      <c r="L313" t="s">
        <v>291</v>
      </c>
      <c r="M313">
        <v>33</v>
      </c>
      <c r="N313">
        <v>13159</v>
      </c>
      <c r="O313" t="s">
        <v>52</v>
      </c>
      <c r="P313" t="s">
        <v>52</v>
      </c>
      <c r="Q313" t="s">
        <v>197</v>
      </c>
      <c r="R313" t="s">
        <v>53</v>
      </c>
      <c r="S313" t="s">
        <v>116</v>
      </c>
      <c r="T313" t="s">
        <v>198</v>
      </c>
      <c r="U313" t="s">
        <v>108</v>
      </c>
    </row>
    <row r="314" spans="1:21" x14ac:dyDescent="0.3">
      <c r="A314" t="s">
        <v>287</v>
      </c>
      <c r="B314" t="s">
        <v>287</v>
      </c>
      <c r="C314" t="s">
        <v>194</v>
      </c>
      <c r="D314">
        <v>2</v>
      </c>
      <c r="E314" t="s">
        <v>118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294</v>
      </c>
      <c r="L314" t="s">
        <v>291</v>
      </c>
      <c r="M314">
        <v>33</v>
      </c>
      <c r="N314">
        <v>13159</v>
      </c>
      <c r="O314" t="s">
        <v>52</v>
      </c>
      <c r="P314" t="s">
        <v>52</v>
      </c>
      <c r="Q314" t="s">
        <v>197</v>
      </c>
      <c r="R314" t="s">
        <v>53</v>
      </c>
      <c r="S314" t="s">
        <v>116</v>
      </c>
      <c r="T314" t="s">
        <v>198</v>
      </c>
      <c r="U314" t="s">
        <v>108</v>
      </c>
    </row>
    <row r="315" spans="1:21" x14ac:dyDescent="0.3">
      <c r="A315" t="s">
        <v>287</v>
      </c>
      <c r="B315" t="s">
        <v>287</v>
      </c>
      <c r="C315" t="s">
        <v>194</v>
      </c>
      <c r="D315">
        <v>2</v>
      </c>
      <c r="E315" t="s">
        <v>118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293</v>
      </c>
      <c r="L315" t="s">
        <v>291</v>
      </c>
      <c r="M315">
        <v>33</v>
      </c>
      <c r="N315">
        <v>13159</v>
      </c>
      <c r="O315" t="s">
        <v>52</v>
      </c>
      <c r="P315" t="s">
        <v>52</v>
      </c>
      <c r="Q315" t="s">
        <v>197</v>
      </c>
      <c r="R315" t="s">
        <v>53</v>
      </c>
      <c r="S315" t="s">
        <v>116</v>
      </c>
      <c r="T315" t="s">
        <v>198</v>
      </c>
      <c r="U315" t="s">
        <v>108</v>
      </c>
    </row>
    <row r="316" spans="1:21" x14ac:dyDescent="0.3">
      <c r="A316" t="s">
        <v>287</v>
      </c>
      <c r="B316" t="s">
        <v>287</v>
      </c>
      <c r="C316" t="s">
        <v>194</v>
      </c>
      <c r="D316">
        <v>2</v>
      </c>
      <c r="E316" t="s">
        <v>118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290</v>
      </c>
      <c r="L316" t="s">
        <v>291</v>
      </c>
      <c r="M316">
        <v>33</v>
      </c>
      <c r="N316">
        <v>13159</v>
      </c>
      <c r="O316" t="s">
        <v>52</v>
      </c>
      <c r="P316" t="s">
        <v>52</v>
      </c>
      <c r="Q316" t="s">
        <v>197</v>
      </c>
      <c r="R316" t="s">
        <v>53</v>
      </c>
      <c r="S316" t="s">
        <v>116</v>
      </c>
      <c r="T316" t="s">
        <v>198</v>
      </c>
      <c r="U316" t="s">
        <v>108</v>
      </c>
    </row>
    <row r="317" spans="1:21" x14ac:dyDescent="0.3">
      <c r="A317" t="s">
        <v>287</v>
      </c>
      <c r="B317" t="s">
        <v>287</v>
      </c>
      <c r="C317" t="s">
        <v>194</v>
      </c>
      <c r="D317">
        <v>3</v>
      </c>
      <c r="E317" t="s">
        <v>105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293</v>
      </c>
      <c r="L317" t="s">
        <v>291</v>
      </c>
      <c r="M317">
        <v>33</v>
      </c>
      <c r="N317">
        <v>13159</v>
      </c>
      <c r="O317" t="s">
        <v>52</v>
      </c>
      <c r="P317" t="s">
        <v>52</v>
      </c>
      <c r="Q317" t="s">
        <v>197</v>
      </c>
      <c r="R317" t="s">
        <v>53</v>
      </c>
      <c r="S317" t="s">
        <v>116</v>
      </c>
      <c r="T317" t="s">
        <v>198</v>
      </c>
      <c r="U317" t="s">
        <v>108</v>
      </c>
    </row>
    <row r="318" spans="1:21" x14ac:dyDescent="0.3">
      <c r="A318" t="s">
        <v>287</v>
      </c>
      <c r="B318" t="s">
        <v>287</v>
      </c>
      <c r="C318" t="s">
        <v>194</v>
      </c>
      <c r="D318">
        <v>3</v>
      </c>
      <c r="E318" t="s">
        <v>105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292</v>
      </c>
      <c r="L318" t="s">
        <v>291</v>
      </c>
      <c r="M318">
        <v>33</v>
      </c>
      <c r="N318">
        <v>13159</v>
      </c>
      <c r="O318" t="s">
        <v>52</v>
      </c>
      <c r="P318" t="s">
        <v>52</v>
      </c>
      <c r="Q318" t="s">
        <v>197</v>
      </c>
      <c r="R318" t="s">
        <v>53</v>
      </c>
      <c r="S318" t="s">
        <v>116</v>
      </c>
      <c r="T318" t="s">
        <v>198</v>
      </c>
      <c r="U318" t="s">
        <v>108</v>
      </c>
    </row>
    <row r="319" spans="1:21" x14ac:dyDescent="0.3">
      <c r="A319" t="s">
        <v>287</v>
      </c>
      <c r="B319" t="s">
        <v>287</v>
      </c>
      <c r="C319" t="s">
        <v>194</v>
      </c>
      <c r="D319">
        <v>3</v>
      </c>
      <c r="E319" t="s">
        <v>105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290</v>
      </c>
      <c r="L319" t="s">
        <v>291</v>
      </c>
      <c r="M319">
        <v>33</v>
      </c>
      <c r="N319">
        <v>13159</v>
      </c>
      <c r="O319" t="s">
        <v>52</v>
      </c>
      <c r="P319" t="s">
        <v>52</v>
      </c>
      <c r="Q319" t="s">
        <v>197</v>
      </c>
      <c r="R319" t="s">
        <v>53</v>
      </c>
      <c r="S319" t="s">
        <v>116</v>
      </c>
      <c r="T319" t="s">
        <v>198</v>
      </c>
      <c r="U319" t="s">
        <v>108</v>
      </c>
    </row>
    <row r="320" spans="1:21" x14ac:dyDescent="0.3">
      <c r="A320" t="s">
        <v>287</v>
      </c>
      <c r="B320" t="s">
        <v>287</v>
      </c>
      <c r="C320" t="s">
        <v>194</v>
      </c>
      <c r="D320">
        <v>3</v>
      </c>
      <c r="E320" t="s">
        <v>105</v>
      </c>
      <c r="F320">
        <v>1</v>
      </c>
      <c r="G320">
        <v>4168</v>
      </c>
      <c r="H320">
        <v>4168</v>
      </c>
      <c r="I320" t="s">
        <v>117</v>
      </c>
      <c r="J320" t="s">
        <v>51</v>
      </c>
      <c r="K320" t="s">
        <v>288</v>
      </c>
      <c r="L320" t="s">
        <v>289</v>
      </c>
      <c r="M320">
        <v>33</v>
      </c>
      <c r="N320">
        <v>13702</v>
      </c>
      <c r="O320" t="s">
        <v>52</v>
      </c>
      <c r="P320" t="s">
        <v>52</v>
      </c>
      <c r="Q320" t="s">
        <v>197</v>
      </c>
      <c r="R320" t="s">
        <v>53</v>
      </c>
      <c r="S320" t="s">
        <v>116</v>
      </c>
      <c r="T320" t="s">
        <v>198</v>
      </c>
      <c r="U320" t="s">
        <v>108</v>
      </c>
    </row>
    <row r="321" spans="1:21" x14ac:dyDescent="0.3">
      <c r="A321" t="s">
        <v>287</v>
      </c>
      <c r="B321" t="s">
        <v>287</v>
      </c>
      <c r="C321" t="s">
        <v>194</v>
      </c>
      <c r="D321">
        <v>3</v>
      </c>
      <c r="E321" t="s">
        <v>105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294</v>
      </c>
      <c r="L321" t="s">
        <v>291</v>
      </c>
      <c r="M321">
        <v>33</v>
      </c>
      <c r="N321">
        <v>13159</v>
      </c>
      <c r="O321" t="s">
        <v>52</v>
      </c>
      <c r="P321" t="s">
        <v>52</v>
      </c>
      <c r="Q321" t="s">
        <v>197</v>
      </c>
      <c r="R321" t="s">
        <v>53</v>
      </c>
      <c r="S321" t="s">
        <v>116</v>
      </c>
      <c r="T321" t="s">
        <v>198</v>
      </c>
      <c r="U321" t="s">
        <v>108</v>
      </c>
    </row>
    <row r="322" spans="1:21" x14ac:dyDescent="0.3">
      <c r="A322" t="s">
        <v>287</v>
      </c>
      <c r="B322" t="s">
        <v>287</v>
      </c>
      <c r="C322" t="s">
        <v>194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119</v>
      </c>
      <c r="J322" t="s">
        <v>58</v>
      </c>
      <c r="K322" t="s">
        <v>295</v>
      </c>
      <c r="L322" t="s">
        <v>289</v>
      </c>
      <c r="M322">
        <v>33</v>
      </c>
      <c r="N322">
        <v>13702</v>
      </c>
      <c r="O322" t="s">
        <v>52</v>
      </c>
      <c r="P322" t="s">
        <v>52</v>
      </c>
      <c r="Q322" t="s">
        <v>197</v>
      </c>
      <c r="R322" t="s">
        <v>53</v>
      </c>
      <c r="S322" t="s">
        <v>116</v>
      </c>
      <c r="T322" t="s">
        <v>198</v>
      </c>
      <c r="U322" t="s">
        <v>108</v>
      </c>
    </row>
    <row r="323" spans="1:21" x14ac:dyDescent="0.3">
      <c r="A323" t="s">
        <v>287</v>
      </c>
      <c r="B323" t="s">
        <v>287</v>
      </c>
      <c r="C323" t="s">
        <v>194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290</v>
      </c>
      <c r="L323" t="s">
        <v>291</v>
      </c>
      <c r="M323">
        <v>33</v>
      </c>
      <c r="N323">
        <v>13159</v>
      </c>
      <c r="O323" t="s">
        <v>52</v>
      </c>
      <c r="P323" t="s">
        <v>52</v>
      </c>
      <c r="Q323" t="s">
        <v>197</v>
      </c>
      <c r="R323" t="s">
        <v>53</v>
      </c>
      <c r="S323" t="s">
        <v>116</v>
      </c>
      <c r="T323" t="s">
        <v>198</v>
      </c>
      <c r="U323" t="s">
        <v>108</v>
      </c>
    </row>
    <row r="324" spans="1:21" x14ac:dyDescent="0.3">
      <c r="A324" t="s">
        <v>287</v>
      </c>
      <c r="B324" t="s">
        <v>287</v>
      </c>
      <c r="C324" t="s">
        <v>194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117</v>
      </c>
      <c r="J324" t="s">
        <v>51</v>
      </c>
      <c r="K324" t="s">
        <v>288</v>
      </c>
      <c r="L324" t="s">
        <v>289</v>
      </c>
      <c r="M324">
        <v>33</v>
      </c>
      <c r="N324">
        <v>13702</v>
      </c>
      <c r="O324" t="s">
        <v>52</v>
      </c>
      <c r="P324" t="s">
        <v>52</v>
      </c>
      <c r="Q324" t="s">
        <v>197</v>
      </c>
      <c r="R324" t="s">
        <v>53</v>
      </c>
      <c r="S324" t="s">
        <v>116</v>
      </c>
      <c r="T324" t="s">
        <v>198</v>
      </c>
      <c r="U324" t="s">
        <v>108</v>
      </c>
    </row>
    <row r="325" spans="1:21" x14ac:dyDescent="0.3">
      <c r="A325" t="s">
        <v>287</v>
      </c>
      <c r="B325" t="s">
        <v>287</v>
      </c>
      <c r="C325" t="s">
        <v>194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292</v>
      </c>
      <c r="L325" t="s">
        <v>291</v>
      </c>
      <c r="M325">
        <v>33</v>
      </c>
      <c r="N325">
        <v>13159</v>
      </c>
      <c r="O325" t="s">
        <v>52</v>
      </c>
      <c r="P325" t="s">
        <v>52</v>
      </c>
      <c r="Q325" t="s">
        <v>197</v>
      </c>
      <c r="R325" t="s">
        <v>53</v>
      </c>
      <c r="S325" t="s">
        <v>116</v>
      </c>
      <c r="T325" t="s">
        <v>198</v>
      </c>
      <c r="U325" t="s">
        <v>108</v>
      </c>
    </row>
    <row r="326" spans="1:21" x14ac:dyDescent="0.3">
      <c r="A326" t="s">
        <v>287</v>
      </c>
      <c r="B326" t="s">
        <v>287</v>
      </c>
      <c r="C326" t="s">
        <v>194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293</v>
      </c>
      <c r="L326" t="s">
        <v>291</v>
      </c>
      <c r="M326">
        <v>33</v>
      </c>
      <c r="N326">
        <v>13159</v>
      </c>
      <c r="O326" t="s">
        <v>52</v>
      </c>
      <c r="P326" t="s">
        <v>52</v>
      </c>
      <c r="Q326" t="s">
        <v>197</v>
      </c>
      <c r="R326" t="s">
        <v>53</v>
      </c>
      <c r="S326" t="s">
        <v>116</v>
      </c>
      <c r="T326" t="s">
        <v>198</v>
      </c>
      <c r="U326" t="s">
        <v>108</v>
      </c>
    </row>
    <row r="327" spans="1:21" x14ac:dyDescent="0.3">
      <c r="A327" t="s">
        <v>287</v>
      </c>
      <c r="B327" t="s">
        <v>287</v>
      </c>
      <c r="C327" t="s">
        <v>194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294</v>
      </c>
      <c r="L327" t="s">
        <v>291</v>
      </c>
      <c r="M327">
        <v>33</v>
      </c>
      <c r="N327">
        <v>13159</v>
      </c>
      <c r="O327" t="s">
        <v>52</v>
      </c>
      <c r="P327" t="s">
        <v>52</v>
      </c>
      <c r="Q327" t="s">
        <v>197</v>
      </c>
      <c r="R327" t="s">
        <v>53</v>
      </c>
      <c r="S327" t="s">
        <v>116</v>
      </c>
      <c r="T327" t="s">
        <v>198</v>
      </c>
      <c r="U327" t="s">
        <v>108</v>
      </c>
    </row>
    <row r="328" spans="1:21" x14ac:dyDescent="0.3">
      <c r="A328" t="s">
        <v>287</v>
      </c>
      <c r="B328" t="s">
        <v>287</v>
      </c>
      <c r="C328" t="s">
        <v>194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290</v>
      </c>
      <c r="L328" t="s">
        <v>291</v>
      </c>
      <c r="M328">
        <v>33</v>
      </c>
      <c r="N328">
        <v>13159</v>
      </c>
      <c r="O328" t="s">
        <v>52</v>
      </c>
      <c r="P328" t="s">
        <v>52</v>
      </c>
      <c r="Q328" t="s">
        <v>197</v>
      </c>
      <c r="R328" t="s">
        <v>53</v>
      </c>
      <c r="S328" t="s">
        <v>116</v>
      </c>
      <c r="T328" t="s">
        <v>198</v>
      </c>
      <c r="U328" t="s">
        <v>108</v>
      </c>
    </row>
    <row r="329" spans="1:21" x14ac:dyDescent="0.3">
      <c r="A329" t="s">
        <v>287</v>
      </c>
      <c r="B329" t="s">
        <v>287</v>
      </c>
      <c r="C329" t="s">
        <v>194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117</v>
      </c>
      <c r="J329" t="s">
        <v>51</v>
      </c>
      <c r="K329" t="s">
        <v>288</v>
      </c>
      <c r="L329" t="s">
        <v>289</v>
      </c>
      <c r="M329">
        <v>33</v>
      </c>
      <c r="N329">
        <v>13702</v>
      </c>
      <c r="O329" t="s">
        <v>52</v>
      </c>
      <c r="P329" t="s">
        <v>52</v>
      </c>
      <c r="Q329" t="s">
        <v>197</v>
      </c>
      <c r="R329" t="s">
        <v>53</v>
      </c>
      <c r="S329" t="s">
        <v>116</v>
      </c>
      <c r="T329" t="s">
        <v>198</v>
      </c>
      <c r="U329" t="s">
        <v>108</v>
      </c>
    </row>
    <row r="330" spans="1:21" x14ac:dyDescent="0.3">
      <c r="A330" t="s">
        <v>287</v>
      </c>
      <c r="B330" t="s">
        <v>287</v>
      </c>
      <c r="C330" t="s">
        <v>194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292</v>
      </c>
      <c r="L330" t="s">
        <v>291</v>
      </c>
      <c r="M330">
        <v>33</v>
      </c>
      <c r="N330">
        <v>13159</v>
      </c>
      <c r="O330" t="s">
        <v>52</v>
      </c>
      <c r="P330" t="s">
        <v>52</v>
      </c>
      <c r="Q330" t="s">
        <v>197</v>
      </c>
      <c r="R330" t="s">
        <v>53</v>
      </c>
      <c r="S330" t="s">
        <v>116</v>
      </c>
      <c r="T330" t="s">
        <v>198</v>
      </c>
      <c r="U330" t="s">
        <v>108</v>
      </c>
    </row>
    <row r="331" spans="1:21" x14ac:dyDescent="0.3">
      <c r="A331" t="s">
        <v>287</v>
      </c>
      <c r="B331" t="s">
        <v>287</v>
      </c>
      <c r="C331" t="s">
        <v>194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293</v>
      </c>
      <c r="L331" t="s">
        <v>291</v>
      </c>
      <c r="M331">
        <v>33</v>
      </c>
      <c r="N331">
        <v>13159</v>
      </c>
      <c r="O331" t="s">
        <v>52</v>
      </c>
      <c r="P331" t="s">
        <v>52</v>
      </c>
      <c r="Q331" t="s">
        <v>197</v>
      </c>
      <c r="R331" t="s">
        <v>53</v>
      </c>
      <c r="S331" t="s">
        <v>116</v>
      </c>
      <c r="T331" t="s">
        <v>198</v>
      </c>
      <c r="U331" t="s">
        <v>108</v>
      </c>
    </row>
    <row r="332" spans="1:21" x14ac:dyDescent="0.3">
      <c r="A332" t="s">
        <v>287</v>
      </c>
      <c r="B332" t="s">
        <v>287</v>
      </c>
      <c r="C332" t="s">
        <v>194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294</v>
      </c>
      <c r="L332" t="s">
        <v>291</v>
      </c>
      <c r="M332">
        <v>33</v>
      </c>
      <c r="N332">
        <v>13159</v>
      </c>
      <c r="O332" t="s">
        <v>52</v>
      </c>
      <c r="P332" t="s">
        <v>52</v>
      </c>
      <c r="Q332" t="s">
        <v>197</v>
      </c>
      <c r="R332" t="s">
        <v>53</v>
      </c>
      <c r="S332" t="s">
        <v>116</v>
      </c>
      <c r="T332" t="s">
        <v>198</v>
      </c>
      <c r="U332" t="s">
        <v>108</v>
      </c>
    </row>
    <row r="333" spans="1:21" x14ac:dyDescent="0.3">
      <c r="A333" t="s">
        <v>296</v>
      </c>
      <c r="B333" t="s">
        <v>296</v>
      </c>
      <c r="C333" t="s">
        <v>194</v>
      </c>
      <c r="D333">
        <v>1</v>
      </c>
      <c r="E333" t="s">
        <v>107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297</v>
      </c>
      <c r="L333" t="s">
        <v>298</v>
      </c>
      <c r="M333">
        <v>33</v>
      </c>
      <c r="N333">
        <v>13209</v>
      </c>
      <c r="O333" t="s">
        <v>52</v>
      </c>
      <c r="P333" t="s">
        <v>52</v>
      </c>
      <c r="Q333" t="s">
        <v>197</v>
      </c>
      <c r="R333" t="s">
        <v>53</v>
      </c>
      <c r="S333" t="s">
        <v>116</v>
      </c>
      <c r="T333" t="s">
        <v>198</v>
      </c>
      <c r="U333" t="s">
        <v>108</v>
      </c>
    </row>
    <row r="334" spans="1:21" x14ac:dyDescent="0.3">
      <c r="A334" t="s">
        <v>296</v>
      </c>
      <c r="B334" t="s">
        <v>296</v>
      </c>
      <c r="C334" t="s">
        <v>194</v>
      </c>
      <c r="D334">
        <v>1</v>
      </c>
      <c r="E334" t="s">
        <v>107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299</v>
      </c>
      <c r="L334" t="s">
        <v>298</v>
      </c>
      <c r="M334">
        <v>33</v>
      </c>
      <c r="N334">
        <v>13209</v>
      </c>
      <c r="O334" t="s">
        <v>52</v>
      </c>
      <c r="P334" t="s">
        <v>52</v>
      </c>
      <c r="Q334" t="s">
        <v>197</v>
      </c>
      <c r="R334" t="s">
        <v>53</v>
      </c>
      <c r="S334" t="s">
        <v>116</v>
      </c>
      <c r="T334" t="s">
        <v>198</v>
      </c>
      <c r="U334" t="s">
        <v>108</v>
      </c>
    </row>
    <row r="335" spans="1:21" x14ac:dyDescent="0.3">
      <c r="A335" t="s">
        <v>296</v>
      </c>
      <c r="B335" t="s">
        <v>296</v>
      </c>
      <c r="C335" t="s">
        <v>194</v>
      </c>
      <c r="D335">
        <v>1</v>
      </c>
      <c r="E335" t="s">
        <v>107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300</v>
      </c>
      <c r="L335" t="s">
        <v>298</v>
      </c>
      <c r="M335">
        <v>33</v>
      </c>
      <c r="N335">
        <v>13209</v>
      </c>
      <c r="O335" t="s">
        <v>52</v>
      </c>
      <c r="P335" t="s">
        <v>52</v>
      </c>
      <c r="Q335" t="s">
        <v>197</v>
      </c>
      <c r="R335" t="s">
        <v>53</v>
      </c>
      <c r="S335" t="s">
        <v>116</v>
      </c>
      <c r="T335" t="s">
        <v>198</v>
      </c>
      <c r="U335" t="s">
        <v>108</v>
      </c>
    </row>
    <row r="336" spans="1:21" x14ac:dyDescent="0.3">
      <c r="A336" t="s">
        <v>296</v>
      </c>
      <c r="B336" t="s">
        <v>296</v>
      </c>
      <c r="C336" t="s">
        <v>194</v>
      </c>
      <c r="D336">
        <v>1</v>
      </c>
      <c r="E336" t="s">
        <v>107</v>
      </c>
      <c r="F336">
        <v>1</v>
      </c>
      <c r="G336">
        <v>698</v>
      </c>
      <c r="H336">
        <v>698</v>
      </c>
      <c r="I336" t="s">
        <v>117</v>
      </c>
      <c r="J336" t="s">
        <v>51</v>
      </c>
      <c r="K336" t="s">
        <v>301</v>
      </c>
      <c r="L336" t="s">
        <v>302</v>
      </c>
      <c r="M336">
        <v>33</v>
      </c>
      <c r="N336">
        <v>13670</v>
      </c>
      <c r="O336" t="s">
        <v>52</v>
      </c>
      <c r="P336" t="s">
        <v>52</v>
      </c>
      <c r="Q336" t="s">
        <v>197</v>
      </c>
      <c r="R336" t="s">
        <v>53</v>
      </c>
      <c r="S336" t="s">
        <v>116</v>
      </c>
      <c r="T336" t="s">
        <v>198</v>
      </c>
      <c r="U336" t="s">
        <v>108</v>
      </c>
    </row>
    <row r="337" spans="1:21" x14ac:dyDescent="0.3">
      <c r="A337" t="s">
        <v>296</v>
      </c>
      <c r="B337" t="s">
        <v>296</v>
      </c>
      <c r="C337" t="s">
        <v>194</v>
      </c>
      <c r="D337">
        <v>1</v>
      </c>
      <c r="E337" t="s">
        <v>107</v>
      </c>
      <c r="F337">
        <v>1</v>
      </c>
      <c r="G337">
        <v>11</v>
      </c>
      <c r="H337">
        <v>11</v>
      </c>
      <c r="I337" t="s">
        <v>119</v>
      </c>
      <c r="J337" t="s">
        <v>58</v>
      </c>
      <c r="K337" t="s">
        <v>303</v>
      </c>
      <c r="L337" t="s">
        <v>302</v>
      </c>
      <c r="M337">
        <v>33</v>
      </c>
      <c r="N337">
        <v>13670</v>
      </c>
      <c r="O337" t="s">
        <v>52</v>
      </c>
      <c r="P337" t="s">
        <v>52</v>
      </c>
      <c r="Q337" t="s">
        <v>197</v>
      </c>
      <c r="R337" t="s">
        <v>53</v>
      </c>
      <c r="S337" t="s">
        <v>116</v>
      </c>
      <c r="T337" t="s">
        <v>198</v>
      </c>
      <c r="U337" t="s">
        <v>108</v>
      </c>
    </row>
    <row r="338" spans="1:21" x14ac:dyDescent="0.3">
      <c r="A338" t="s">
        <v>296</v>
      </c>
      <c r="B338" t="s">
        <v>296</v>
      </c>
      <c r="C338" t="s">
        <v>194</v>
      </c>
      <c r="D338">
        <v>1</v>
      </c>
      <c r="E338" t="s">
        <v>107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304</v>
      </c>
      <c r="L338" t="s">
        <v>298</v>
      </c>
      <c r="M338">
        <v>33</v>
      </c>
      <c r="N338">
        <v>13209</v>
      </c>
      <c r="O338" t="s">
        <v>52</v>
      </c>
      <c r="P338" t="s">
        <v>52</v>
      </c>
      <c r="Q338" t="s">
        <v>197</v>
      </c>
      <c r="R338" t="s">
        <v>53</v>
      </c>
      <c r="S338" t="s">
        <v>116</v>
      </c>
      <c r="T338" t="s">
        <v>198</v>
      </c>
      <c r="U338" t="s">
        <v>108</v>
      </c>
    </row>
    <row r="339" spans="1:21" x14ac:dyDescent="0.3">
      <c r="A339" t="s">
        <v>296</v>
      </c>
      <c r="B339" t="s">
        <v>296</v>
      </c>
      <c r="C339" t="s">
        <v>194</v>
      </c>
      <c r="D339">
        <v>2</v>
      </c>
      <c r="E339" t="s">
        <v>118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304</v>
      </c>
      <c r="L339" t="s">
        <v>298</v>
      </c>
      <c r="M339">
        <v>33</v>
      </c>
      <c r="N339">
        <v>13209</v>
      </c>
      <c r="O339" t="s">
        <v>52</v>
      </c>
      <c r="P339" t="s">
        <v>52</v>
      </c>
      <c r="Q339" t="s">
        <v>197</v>
      </c>
      <c r="R339" t="s">
        <v>53</v>
      </c>
      <c r="S339" t="s">
        <v>116</v>
      </c>
      <c r="T339" t="s">
        <v>198</v>
      </c>
      <c r="U339" t="s">
        <v>108</v>
      </c>
    </row>
    <row r="340" spans="1:21" x14ac:dyDescent="0.3">
      <c r="A340" t="s">
        <v>296</v>
      </c>
      <c r="B340" t="s">
        <v>296</v>
      </c>
      <c r="C340" t="s">
        <v>194</v>
      </c>
      <c r="D340">
        <v>2</v>
      </c>
      <c r="E340" t="s">
        <v>118</v>
      </c>
      <c r="F340">
        <v>1</v>
      </c>
      <c r="G340">
        <v>2</v>
      </c>
      <c r="H340">
        <v>2</v>
      </c>
      <c r="I340" t="s">
        <v>117</v>
      </c>
      <c r="J340" t="s">
        <v>51</v>
      </c>
      <c r="K340" t="s">
        <v>301</v>
      </c>
      <c r="L340" t="s">
        <v>302</v>
      </c>
      <c r="M340">
        <v>33</v>
      </c>
      <c r="N340">
        <v>13670</v>
      </c>
      <c r="O340" t="s">
        <v>52</v>
      </c>
      <c r="P340" t="s">
        <v>52</v>
      </c>
      <c r="Q340" t="s">
        <v>197</v>
      </c>
      <c r="R340" t="s">
        <v>53</v>
      </c>
      <c r="S340" t="s">
        <v>116</v>
      </c>
      <c r="T340" t="s">
        <v>198</v>
      </c>
      <c r="U340" t="s">
        <v>108</v>
      </c>
    </row>
    <row r="341" spans="1:21" x14ac:dyDescent="0.3">
      <c r="A341" t="s">
        <v>296</v>
      </c>
      <c r="B341" t="s">
        <v>296</v>
      </c>
      <c r="C341" t="s">
        <v>194</v>
      </c>
      <c r="D341">
        <v>2</v>
      </c>
      <c r="E341" t="s">
        <v>118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299</v>
      </c>
      <c r="L341" t="s">
        <v>298</v>
      </c>
      <c r="M341">
        <v>33</v>
      </c>
      <c r="N341">
        <v>13209</v>
      </c>
      <c r="O341" t="s">
        <v>52</v>
      </c>
      <c r="P341" t="s">
        <v>52</v>
      </c>
      <c r="Q341" t="s">
        <v>197</v>
      </c>
      <c r="R341" t="s">
        <v>53</v>
      </c>
      <c r="S341" t="s">
        <v>116</v>
      </c>
      <c r="T341" t="s">
        <v>198</v>
      </c>
      <c r="U341" t="s">
        <v>108</v>
      </c>
    </row>
    <row r="342" spans="1:21" x14ac:dyDescent="0.3">
      <c r="A342" t="s">
        <v>296</v>
      </c>
      <c r="B342" t="s">
        <v>296</v>
      </c>
      <c r="C342" t="s">
        <v>194</v>
      </c>
      <c r="D342">
        <v>2</v>
      </c>
      <c r="E342" t="s">
        <v>118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297</v>
      </c>
      <c r="L342" t="s">
        <v>298</v>
      </c>
      <c r="M342">
        <v>33</v>
      </c>
      <c r="N342">
        <v>13209</v>
      </c>
      <c r="O342" t="s">
        <v>52</v>
      </c>
      <c r="P342" t="s">
        <v>52</v>
      </c>
      <c r="Q342" t="s">
        <v>197</v>
      </c>
      <c r="R342" t="s">
        <v>53</v>
      </c>
      <c r="S342" t="s">
        <v>116</v>
      </c>
      <c r="T342" t="s">
        <v>198</v>
      </c>
      <c r="U342" t="s">
        <v>108</v>
      </c>
    </row>
    <row r="343" spans="1:21" x14ac:dyDescent="0.3">
      <c r="A343" t="s">
        <v>296</v>
      </c>
      <c r="B343" t="s">
        <v>296</v>
      </c>
      <c r="C343" t="s">
        <v>194</v>
      </c>
      <c r="D343">
        <v>2</v>
      </c>
      <c r="E343" t="s">
        <v>118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300</v>
      </c>
      <c r="L343" t="s">
        <v>298</v>
      </c>
      <c r="M343">
        <v>33</v>
      </c>
      <c r="N343">
        <v>13209</v>
      </c>
      <c r="O343" t="s">
        <v>52</v>
      </c>
      <c r="P343" t="s">
        <v>52</v>
      </c>
      <c r="Q343" t="s">
        <v>197</v>
      </c>
      <c r="R343" t="s">
        <v>53</v>
      </c>
      <c r="S343" t="s">
        <v>116</v>
      </c>
      <c r="T343" t="s">
        <v>198</v>
      </c>
      <c r="U343" t="s">
        <v>108</v>
      </c>
    </row>
    <row r="344" spans="1:21" x14ac:dyDescent="0.3">
      <c r="A344" t="s">
        <v>296</v>
      </c>
      <c r="B344" t="s">
        <v>296</v>
      </c>
      <c r="C344" t="s">
        <v>194</v>
      </c>
      <c r="D344">
        <v>3</v>
      </c>
      <c r="E344" t="s">
        <v>105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304</v>
      </c>
      <c r="L344" t="s">
        <v>298</v>
      </c>
      <c r="M344">
        <v>33</v>
      </c>
      <c r="N344">
        <v>13209</v>
      </c>
      <c r="O344" t="s">
        <v>52</v>
      </c>
      <c r="P344" t="s">
        <v>52</v>
      </c>
      <c r="Q344" t="s">
        <v>197</v>
      </c>
      <c r="R344" t="s">
        <v>53</v>
      </c>
      <c r="S344" t="s">
        <v>116</v>
      </c>
      <c r="T344" t="s">
        <v>198</v>
      </c>
      <c r="U344" t="s">
        <v>108</v>
      </c>
    </row>
    <row r="345" spans="1:21" x14ac:dyDescent="0.3">
      <c r="A345" t="s">
        <v>296</v>
      </c>
      <c r="B345" t="s">
        <v>296</v>
      </c>
      <c r="C345" t="s">
        <v>194</v>
      </c>
      <c r="D345">
        <v>3</v>
      </c>
      <c r="E345" t="s">
        <v>105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300</v>
      </c>
      <c r="L345" t="s">
        <v>298</v>
      </c>
      <c r="M345">
        <v>33</v>
      </c>
      <c r="N345">
        <v>13209</v>
      </c>
      <c r="O345" t="s">
        <v>52</v>
      </c>
      <c r="P345" t="s">
        <v>52</v>
      </c>
      <c r="Q345" t="s">
        <v>197</v>
      </c>
      <c r="R345" t="s">
        <v>53</v>
      </c>
      <c r="S345" t="s">
        <v>116</v>
      </c>
      <c r="T345" t="s">
        <v>198</v>
      </c>
      <c r="U345" t="s">
        <v>108</v>
      </c>
    </row>
    <row r="346" spans="1:21" x14ac:dyDescent="0.3">
      <c r="A346" t="s">
        <v>296</v>
      </c>
      <c r="B346" t="s">
        <v>296</v>
      </c>
      <c r="C346" t="s">
        <v>194</v>
      </c>
      <c r="D346">
        <v>3</v>
      </c>
      <c r="E346" t="s">
        <v>105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297</v>
      </c>
      <c r="L346" t="s">
        <v>298</v>
      </c>
      <c r="M346">
        <v>33</v>
      </c>
      <c r="N346">
        <v>13209</v>
      </c>
      <c r="O346" t="s">
        <v>52</v>
      </c>
      <c r="P346" t="s">
        <v>52</v>
      </c>
      <c r="Q346" t="s">
        <v>197</v>
      </c>
      <c r="R346" t="s">
        <v>53</v>
      </c>
      <c r="S346" t="s">
        <v>116</v>
      </c>
      <c r="T346" t="s">
        <v>198</v>
      </c>
      <c r="U346" t="s">
        <v>108</v>
      </c>
    </row>
    <row r="347" spans="1:21" x14ac:dyDescent="0.3">
      <c r="A347" t="s">
        <v>296</v>
      </c>
      <c r="B347" t="s">
        <v>296</v>
      </c>
      <c r="C347" t="s">
        <v>194</v>
      </c>
      <c r="D347">
        <v>3</v>
      </c>
      <c r="E347" t="s">
        <v>105</v>
      </c>
      <c r="F347">
        <v>1</v>
      </c>
      <c r="G347">
        <v>94</v>
      </c>
      <c r="H347">
        <v>94</v>
      </c>
      <c r="I347" t="s">
        <v>117</v>
      </c>
      <c r="J347" t="s">
        <v>51</v>
      </c>
      <c r="K347" t="s">
        <v>301</v>
      </c>
      <c r="L347" t="s">
        <v>302</v>
      </c>
      <c r="M347">
        <v>33</v>
      </c>
      <c r="N347">
        <v>13670</v>
      </c>
      <c r="O347" t="s">
        <v>52</v>
      </c>
      <c r="P347" t="s">
        <v>52</v>
      </c>
      <c r="Q347" t="s">
        <v>197</v>
      </c>
      <c r="R347" t="s">
        <v>53</v>
      </c>
      <c r="S347" t="s">
        <v>116</v>
      </c>
      <c r="T347" t="s">
        <v>198</v>
      </c>
      <c r="U347" t="s">
        <v>108</v>
      </c>
    </row>
    <row r="348" spans="1:21" x14ac:dyDescent="0.3">
      <c r="A348" t="s">
        <v>296</v>
      </c>
      <c r="B348" t="s">
        <v>296</v>
      </c>
      <c r="C348" t="s">
        <v>194</v>
      </c>
      <c r="D348">
        <v>3</v>
      </c>
      <c r="E348" t="s">
        <v>105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299</v>
      </c>
      <c r="L348" t="s">
        <v>298</v>
      </c>
      <c r="M348">
        <v>33</v>
      </c>
      <c r="N348">
        <v>13209</v>
      </c>
      <c r="O348" t="s">
        <v>52</v>
      </c>
      <c r="P348" t="s">
        <v>52</v>
      </c>
      <c r="Q348" t="s">
        <v>197</v>
      </c>
      <c r="R348" t="s">
        <v>53</v>
      </c>
      <c r="S348" t="s">
        <v>116</v>
      </c>
      <c r="T348" t="s">
        <v>198</v>
      </c>
      <c r="U348" t="s">
        <v>108</v>
      </c>
    </row>
    <row r="349" spans="1:21" x14ac:dyDescent="0.3">
      <c r="A349" t="s">
        <v>296</v>
      </c>
      <c r="B349" t="s">
        <v>296</v>
      </c>
      <c r="C349" t="s">
        <v>194</v>
      </c>
      <c r="D349">
        <v>3</v>
      </c>
      <c r="E349" t="s">
        <v>105</v>
      </c>
      <c r="F349">
        <v>1</v>
      </c>
      <c r="G349">
        <v>2</v>
      </c>
      <c r="H349">
        <v>2</v>
      </c>
      <c r="I349" t="s">
        <v>119</v>
      </c>
      <c r="J349" t="s">
        <v>58</v>
      </c>
      <c r="K349" t="s">
        <v>303</v>
      </c>
      <c r="L349" t="s">
        <v>302</v>
      </c>
      <c r="M349">
        <v>33</v>
      </c>
      <c r="N349">
        <v>13670</v>
      </c>
      <c r="O349" t="s">
        <v>52</v>
      </c>
      <c r="P349" t="s">
        <v>52</v>
      </c>
      <c r="Q349" t="s">
        <v>197</v>
      </c>
      <c r="R349" t="s">
        <v>53</v>
      </c>
      <c r="S349" t="s">
        <v>116</v>
      </c>
      <c r="T349" t="s">
        <v>198</v>
      </c>
      <c r="U349" t="s">
        <v>108</v>
      </c>
    </row>
    <row r="350" spans="1:21" x14ac:dyDescent="0.3">
      <c r="A350" t="s">
        <v>296</v>
      </c>
      <c r="B350" t="s">
        <v>296</v>
      </c>
      <c r="C350" t="s">
        <v>194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300</v>
      </c>
      <c r="L350" t="s">
        <v>298</v>
      </c>
      <c r="M350">
        <v>33</v>
      </c>
      <c r="N350">
        <v>13209</v>
      </c>
      <c r="O350" t="s">
        <v>52</v>
      </c>
      <c r="P350" t="s">
        <v>52</v>
      </c>
      <c r="Q350" t="s">
        <v>197</v>
      </c>
      <c r="R350" t="s">
        <v>53</v>
      </c>
      <c r="S350" t="s">
        <v>116</v>
      </c>
      <c r="T350" t="s">
        <v>198</v>
      </c>
      <c r="U350" t="s">
        <v>108</v>
      </c>
    </row>
    <row r="351" spans="1:21" x14ac:dyDescent="0.3">
      <c r="A351" t="s">
        <v>296</v>
      </c>
      <c r="B351" t="s">
        <v>296</v>
      </c>
      <c r="C351" t="s">
        <v>194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119</v>
      </c>
      <c r="J351" t="s">
        <v>58</v>
      </c>
      <c r="K351" t="s">
        <v>303</v>
      </c>
      <c r="L351" t="s">
        <v>302</v>
      </c>
      <c r="M351">
        <v>33</v>
      </c>
      <c r="N351">
        <v>13670</v>
      </c>
      <c r="O351" t="s">
        <v>52</v>
      </c>
      <c r="P351" t="s">
        <v>52</v>
      </c>
      <c r="Q351" t="s">
        <v>197</v>
      </c>
      <c r="R351" t="s">
        <v>53</v>
      </c>
      <c r="S351" t="s">
        <v>116</v>
      </c>
      <c r="T351" t="s">
        <v>198</v>
      </c>
      <c r="U351" t="s">
        <v>108</v>
      </c>
    </row>
    <row r="352" spans="1:21" x14ac:dyDescent="0.3">
      <c r="A352" t="s">
        <v>296</v>
      </c>
      <c r="B352" t="s">
        <v>296</v>
      </c>
      <c r="C352" t="s">
        <v>194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297</v>
      </c>
      <c r="L352" t="s">
        <v>298</v>
      </c>
      <c r="M352">
        <v>33</v>
      </c>
      <c r="N352">
        <v>13209</v>
      </c>
      <c r="O352" t="s">
        <v>52</v>
      </c>
      <c r="P352" t="s">
        <v>52</v>
      </c>
      <c r="Q352" t="s">
        <v>197</v>
      </c>
      <c r="R352" t="s">
        <v>53</v>
      </c>
      <c r="S352" t="s">
        <v>116</v>
      </c>
      <c r="T352" t="s">
        <v>198</v>
      </c>
      <c r="U352" t="s">
        <v>108</v>
      </c>
    </row>
    <row r="353" spans="1:21" x14ac:dyDescent="0.3">
      <c r="A353" t="s">
        <v>296</v>
      </c>
      <c r="B353" t="s">
        <v>296</v>
      </c>
      <c r="C353" t="s">
        <v>194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117</v>
      </c>
      <c r="J353" t="s">
        <v>51</v>
      </c>
      <c r="K353" t="s">
        <v>301</v>
      </c>
      <c r="L353" t="s">
        <v>302</v>
      </c>
      <c r="M353">
        <v>33</v>
      </c>
      <c r="N353">
        <v>13670</v>
      </c>
      <c r="O353" t="s">
        <v>52</v>
      </c>
      <c r="P353" t="s">
        <v>52</v>
      </c>
      <c r="Q353" t="s">
        <v>197</v>
      </c>
      <c r="R353" t="s">
        <v>53</v>
      </c>
      <c r="S353" t="s">
        <v>116</v>
      </c>
      <c r="T353" t="s">
        <v>198</v>
      </c>
      <c r="U353" t="s">
        <v>108</v>
      </c>
    </row>
    <row r="354" spans="1:21" x14ac:dyDescent="0.3">
      <c r="A354" t="s">
        <v>296</v>
      </c>
      <c r="B354" t="s">
        <v>296</v>
      </c>
      <c r="C354" t="s">
        <v>194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299</v>
      </c>
      <c r="L354" t="s">
        <v>298</v>
      </c>
      <c r="M354">
        <v>33</v>
      </c>
      <c r="N354">
        <v>13209</v>
      </c>
      <c r="O354" t="s">
        <v>52</v>
      </c>
      <c r="P354" t="s">
        <v>52</v>
      </c>
      <c r="Q354" t="s">
        <v>197</v>
      </c>
      <c r="R354" t="s">
        <v>53</v>
      </c>
      <c r="S354" t="s">
        <v>116</v>
      </c>
      <c r="T354" t="s">
        <v>198</v>
      </c>
      <c r="U354" t="s">
        <v>108</v>
      </c>
    </row>
    <row r="355" spans="1:21" x14ac:dyDescent="0.3">
      <c r="A355" t="s">
        <v>296</v>
      </c>
      <c r="B355" t="s">
        <v>296</v>
      </c>
      <c r="C355" t="s">
        <v>194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304</v>
      </c>
      <c r="L355" t="s">
        <v>298</v>
      </c>
      <c r="M355">
        <v>33</v>
      </c>
      <c r="N355">
        <v>13209</v>
      </c>
      <c r="O355" t="s">
        <v>52</v>
      </c>
      <c r="P355" t="s">
        <v>52</v>
      </c>
      <c r="Q355" t="s">
        <v>197</v>
      </c>
      <c r="R355" t="s">
        <v>53</v>
      </c>
      <c r="S355" t="s">
        <v>116</v>
      </c>
      <c r="T355" t="s">
        <v>198</v>
      </c>
      <c r="U355" t="s">
        <v>108</v>
      </c>
    </row>
    <row r="356" spans="1:21" x14ac:dyDescent="0.3">
      <c r="A356" t="s">
        <v>296</v>
      </c>
      <c r="B356" t="s">
        <v>296</v>
      </c>
      <c r="C356" t="s">
        <v>194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117</v>
      </c>
      <c r="J356" t="s">
        <v>51</v>
      </c>
      <c r="K356" t="s">
        <v>301</v>
      </c>
      <c r="L356" t="s">
        <v>302</v>
      </c>
      <c r="M356">
        <v>33</v>
      </c>
      <c r="N356">
        <v>13670</v>
      </c>
      <c r="O356" t="s">
        <v>52</v>
      </c>
      <c r="P356" t="s">
        <v>52</v>
      </c>
      <c r="Q356" t="s">
        <v>197</v>
      </c>
      <c r="R356" t="s">
        <v>53</v>
      </c>
      <c r="S356" t="s">
        <v>116</v>
      </c>
      <c r="T356" t="s">
        <v>198</v>
      </c>
      <c r="U356" t="s">
        <v>108</v>
      </c>
    </row>
    <row r="357" spans="1:21" x14ac:dyDescent="0.3">
      <c r="A357" t="s">
        <v>296</v>
      </c>
      <c r="B357" t="s">
        <v>296</v>
      </c>
      <c r="C357" t="s">
        <v>194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299</v>
      </c>
      <c r="L357" t="s">
        <v>298</v>
      </c>
      <c r="M357">
        <v>33</v>
      </c>
      <c r="N357">
        <v>13209</v>
      </c>
      <c r="O357" t="s">
        <v>52</v>
      </c>
      <c r="P357" t="s">
        <v>52</v>
      </c>
      <c r="Q357" t="s">
        <v>197</v>
      </c>
      <c r="R357" t="s">
        <v>53</v>
      </c>
      <c r="S357" t="s">
        <v>116</v>
      </c>
      <c r="T357" t="s">
        <v>198</v>
      </c>
      <c r="U357" t="s">
        <v>108</v>
      </c>
    </row>
    <row r="358" spans="1:21" x14ac:dyDescent="0.3">
      <c r="A358" t="s">
        <v>296</v>
      </c>
      <c r="B358" t="s">
        <v>296</v>
      </c>
      <c r="C358" t="s">
        <v>194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300</v>
      </c>
      <c r="L358" t="s">
        <v>298</v>
      </c>
      <c r="M358">
        <v>33</v>
      </c>
      <c r="N358">
        <v>13209</v>
      </c>
      <c r="O358" t="s">
        <v>52</v>
      </c>
      <c r="P358" t="s">
        <v>52</v>
      </c>
      <c r="Q358" t="s">
        <v>197</v>
      </c>
      <c r="R358" t="s">
        <v>53</v>
      </c>
      <c r="S358" t="s">
        <v>116</v>
      </c>
      <c r="T358" t="s">
        <v>198</v>
      </c>
      <c r="U358" t="s">
        <v>108</v>
      </c>
    </row>
    <row r="359" spans="1:21" x14ac:dyDescent="0.3">
      <c r="A359" t="s">
        <v>296</v>
      </c>
      <c r="B359" t="s">
        <v>296</v>
      </c>
      <c r="C359" t="s">
        <v>194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297</v>
      </c>
      <c r="L359" t="s">
        <v>298</v>
      </c>
      <c r="M359">
        <v>33</v>
      </c>
      <c r="N359">
        <v>13209</v>
      </c>
      <c r="O359" t="s">
        <v>52</v>
      </c>
      <c r="P359" t="s">
        <v>52</v>
      </c>
      <c r="Q359" t="s">
        <v>197</v>
      </c>
      <c r="R359" t="s">
        <v>53</v>
      </c>
      <c r="S359" t="s">
        <v>116</v>
      </c>
      <c r="T359" t="s">
        <v>198</v>
      </c>
      <c r="U359" t="s">
        <v>108</v>
      </c>
    </row>
    <row r="360" spans="1:21" x14ac:dyDescent="0.3">
      <c r="A360" t="s">
        <v>296</v>
      </c>
      <c r="B360" t="s">
        <v>296</v>
      </c>
      <c r="C360" t="s">
        <v>194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304</v>
      </c>
      <c r="L360" t="s">
        <v>298</v>
      </c>
      <c r="M360">
        <v>33</v>
      </c>
      <c r="N360">
        <v>13209</v>
      </c>
      <c r="O360" t="s">
        <v>52</v>
      </c>
      <c r="P360" t="s">
        <v>52</v>
      </c>
      <c r="Q360" t="s">
        <v>197</v>
      </c>
      <c r="R360" t="s">
        <v>53</v>
      </c>
      <c r="S360" t="s">
        <v>116</v>
      </c>
      <c r="T360" t="s">
        <v>198</v>
      </c>
      <c r="U360" t="s">
        <v>108</v>
      </c>
    </row>
    <row r="361" spans="1:21" x14ac:dyDescent="0.3">
      <c r="A361" t="s">
        <v>305</v>
      </c>
      <c r="B361" t="s">
        <v>305</v>
      </c>
      <c r="C361" t="s">
        <v>194</v>
      </c>
      <c r="D361">
        <v>1</v>
      </c>
      <c r="E361" t="s">
        <v>107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306</v>
      </c>
      <c r="L361" t="s">
        <v>307</v>
      </c>
      <c r="M361">
        <v>33</v>
      </c>
      <c r="N361">
        <v>13219</v>
      </c>
      <c r="O361" t="s">
        <v>52</v>
      </c>
      <c r="P361" t="s">
        <v>52</v>
      </c>
      <c r="Q361" t="s">
        <v>197</v>
      </c>
      <c r="R361" t="s">
        <v>53</v>
      </c>
      <c r="S361" t="s">
        <v>116</v>
      </c>
      <c r="T361" t="s">
        <v>198</v>
      </c>
      <c r="U361" t="s">
        <v>108</v>
      </c>
    </row>
    <row r="362" spans="1:21" x14ac:dyDescent="0.3">
      <c r="A362" t="s">
        <v>305</v>
      </c>
      <c r="B362" t="s">
        <v>305</v>
      </c>
      <c r="C362" t="s">
        <v>194</v>
      </c>
      <c r="D362">
        <v>1</v>
      </c>
      <c r="E362" t="s">
        <v>107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308</v>
      </c>
      <c r="L362" t="s">
        <v>307</v>
      </c>
      <c r="M362">
        <v>33</v>
      </c>
      <c r="N362">
        <v>13219</v>
      </c>
      <c r="O362" t="s">
        <v>52</v>
      </c>
      <c r="P362" t="s">
        <v>52</v>
      </c>
      <c r="Q362" t="s">
        <v>197</v>
      </c>
      <c r="R362" t="s">
        <v>53</v>
      </c>
      <c r="S362" t="s">
        <v>116</v>
      </c>
      <c r="T362" t="s">
        <v>198</v>
      </c>
      <c r="U362" t="s">
        <v>108</v>
      </c>
    </row>
    <row r="363" spans="1:21" x14ac:dyDescent="0.3">
      <c r="A363" t="s">
        <v>305</v>
      </c>
      <c r="B363" t="s">
        <v>305</v>
      </c>
      <c r="C363" t="s">
        <v>194</v>
      </c>
      <c r="D363">
        <v>1</v>
      </c>
      <c r="E363" t="s">
        <v>107</v>
      </c>
      <c r="F363">
        <v>1</v>
      </c>
      <c r="G363">
        <v>3</v>
      </c>
      <c r="H363">
        <v>3</v>
      </c>
      <c r="I363" t="s">
        <v>119</v>
      </c>
      <c r="J363" t="s">
        <v>58</v>
      </c>
      <c r="K363" t="s">
        <v>309</v>
      </c>
      <c r="L363" t="s">
        <v>310</v>
      </c>
      <c r="M363">
        <v>33</v>
      </c>
      <c r="O363" t="s">
        <v>52</v>
      </c>
      <c r="P363" t="s">
        <v>52</v>
      </c>
      <c r="Q363" t="s">
        <v>197</v>
      </c>
      <c r="R363" t="s">
        <v>53</v>
      </c>
      <c r="S363" t="s">
        <v>116</v>
      </c>
      <c r="T363" t="s">
        <v>198</v>
      </c>
      <c r="U363" t="s">
        <v>108</v>
      </c>
    </row>
    <row r="364" spans="1:21" x14ac:dyDescent="0.3">
      <c r="A364" t="s">
        <v>305</v>
      </c>
      <c r="B364" t="s">
        <v>305</v>
      </c>
      <c r="C364" t="s">
        <v>194</v>
      </c>
      <c r="D364">
        <v>1</v>
      </c>
      <c r="E364" t="s">
        <v>107</v>
      </c>
      <c r="F364">
        <v>1</v>
      </c>
      <c r="G364">
        <v>7163</v>
      </c>
      <c r="H364">
        <v>7163</v>
      </c>
      <c r="I364" t="s">
        <v>117</v>
      </c>
      <c r="J364" t="s">
        <v>51</v>
      </c>
      <c r="K364" t="s">
        <v>311</v>
      </c>
      <c r="L364" t="s">
        <v>310</v>
      </c>
      <c r="M364">
        <v>33</v>
      </c>
      <c r="O364" t="s">
        <v>52</v>
      </c>
      <c r="P364" t="s">
        <v>52</v>
      </c>
      <c r="Q364" t="s">
        <v>197</v>
      </c>
      <c r="R364" t="s">
        <v>53</v>
      </c>
      <c r="S364" t="s">
        <v>116</v>
      </c>
      <c r="T364" t="s">
        <v>198</v>
      </c>
      <c r="U364" t="s">
        <v>108</v>
      </c>
    </row>
    <row r="365" spans="1:21" x14ac:dyDescent="0.3">
      <c r="A365" t="s">
        <v>305</v>
      </c>
      <c r="B365" t="s">
        <v>305</v>
      </c>
      <c r="C365" t="s">
        <v>194</v>
      </c>
      <c r="D365">
        <v>1</v>
      </c>
      <c r="E365" t="s">
        <v>107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312</v>
      </c>
      <c r="L365" t="s">
        <v>307</v>
      </c>
      <c r="M365">
        <v>33</v>
      </c>
      <c r="N365">
        <v>13219</v>
      </c>
      <c r="O365" t="s">
        <v>52</v>
      </c>
      <c r="P365" t="s">
        <v>52</v>
      </c>
      <c r="Q365" t="s">
        <v>197</v>
      </c>
      <c r="R365" t="s">
        <v>53</v>
      </c>
      <c r="S365" t="s">
        <v>116</v>
      </c>
      <c r="T365" t="s">
        <v>198</v>
      </c>
      <c r="U365" t="s">
        <v>108</v>
      </c>
    </row>
    <row r="366" spans="1:21" x14ac:dyDescent="0.3">
      <c r="A366" t="s">
        <v>305</v>
      </c>
      <c r="B366" t="s">
        <v>305</v>
      </c>
      <c r="C366" t="s">
        <v>194</v>
      </c>
      <c r="D366">
        <v>1</v>
      </c>
      <c r="E366" t="s">
        <v>107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313</v>
      </c>
      <c r="L366" t="s">
        <v>307</v>
      </c>
      <c r="M366">
        <v>33</v>
      </c>
      <c r="N366">
        <v>13219</v>
      </c>
      <c r="O366" t="s">
        <v>52</v>
      </c>
      <c r="P366" t="s">
        <v>52</v>
      </c>
      <c r="Q366" t="s">
        <v>197</v>
      </c>
      <c r="R366" t="s">
        <v>53</v>
      </c>
      <c r="S366" t="s">
        <v>116</v>
      </c>
      <c r="T366" t="s">
        <v>198</v>
      </c>
      <c r="U366" t="s">
        <v>108</v>
      </c>
    </row>
    <row r="367" spans="1:21" x14ac:dyDescent="0.3">
      <c r="A367" t="s">
        <v>305</v>
      </c>
      <c r="B367" t="s">
        <v>305</v>
      </c>
      <c r="C367" t="s">
        <v>194</v>
      </c>
      <c r="D367">
        <v>2</v>
      </c>
      <c r="E367" t="s">
        <v>118</v>
      </c>
      <c r="F367">
        <v>1</v>
      </c>
      <c r="G367">
        <v>14</v>
      </c>
      <c r="H367">
        <v>14</v>
      </c>
      <c r="I367" t="s">
        <v>117</v>
      </c>
      <c r="J367" t="s">
        <v>51</v>
      </c>
      <c r="K367" t="s">
        <v>311</v>
      </c>
      <c r="L367" t="s">
        <v>310</v>
      </c>
      <c r="M367">
        <v>33</v>
      </c>
      <c r="O367" t="s">
        <v>52</v>
      </c>
      <c r="P367" t="s">
        <v>52</v>
      </c>
      <c r="Q367" t="s">
        <v>197</v>
      </c>
      <c r="R367" t="s">
        <v>53</v>
      </c>
      <c r="S367" t="s">
        <v>116</v>
      </c>
      <c r="T367" t="s">
        <v>198</v>
      </c>
      <c r="U367" t="s">
        <v>108</v>
      </c>
    </row>
    <row r="368" spans="1:21" x14ac:dyDescent="0.3">
      <c r="A368" t="s">
        <v>305</v>
      </c>
      <c r="B368" t="s">
        <v>305</v>
      </c>
      <c r="C368" t="s">
        <v>194</v>
      </c>
      <c r="D368">
        <v>2</v>
      </c>
      <c r="E368" t="s">
        <v>118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312</v>
      </c>
      <c r="L368" t="s">
        <v>307</v>
      </c>
      <c r="M368">
        <v>33</v>
      </c>
      <c r="N368">
        <v>13219</v>
      </c>
      <c r="O368" t="s">
        <v>52</v>
      </c>
      <c r="P368" t="s">
        <v>52</v>
      </c>
      <c r="Q368" t="s">
        <v>197</v>
      </c>
      <c r="R368" t="s">
        <v>53</v>
      </c>
      <c r="S368" t="s">
        <v>116</v>
      </c>
      <c r="T368" t="s">
        <v>198</v>
      </c>
      <c r="U368" t="s">
        <v>108</v>
      </c>
    </row>
    <row r="369" spans="1:21" x14ac:dyDescent="0.3">
      <c r="A369" t="s">
        <v>305</v>
      </c>
      <c r="B369" t="s">
        <v>305</v>
      </c>
      <c r="C369" t="s">
        <v>194</v>
      </c>
      <c r="D369">
        <v>2</v>
      </c>
      <c r="E369" t="s">
        <v>118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308</v>
      </c>
      <c r="L369" t="s">
        <v>307</v>
      </c>
      <c r="M369">
        <v>33</v>
      </c>
      <c r="N369">
        <v>13219</v>
      </c>
      <c r="O369" t="s">
        <v>52</v>
      </c>
      <c r="P369" t="s">
        <v>52</v>
      </c>
      <c r="Q369" t="s">
        <v>197</v>
      </c>
      <c r="R369" t="s">
        <v>53</v>
      </c>
      <c r="S369" t="s">
        <v>116</v>
      </c>
      <c r="T369" t="s">
        <v>198</v>
      </c>
      <c r="U369" t="s">
        <v>108</v>
      </c>
    </row>
    <row r="370" spans="1:21" x14ac:dyDescent="0.3">
      <c r="A370" t="s">
        <v>305</v>
      </c>
      <c r="B370" t="s">
        <v>305</v>
      </c>
      <c r="C370" t="s">
        <v>194</v>
      </c>
      <c r="D370">
        <v>2</v>
      </c>
      <c r="E370" t="s">
        <v>118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313</v>
      </c>
      <c r="L370" t="s">
        <v>307</v>
      </c>
      <c r="M370">
        <v>33</v>
      </c>
      <c r="N370">
        <v>13219</v>
      </c>
      <c r="O370" t="s">
        <v>52</v>
      </c>
      <c r="P370" t="s">
        <v>52</v>
      </c>
      <c r="Q370" t="s">
        <v>197</v>
      </c>
      <c r="R370" t="s">
        <v>53</v>
      </c>
      <c r="S370" t="s">
        <v>116</v>
      </c>
      <c r="T370" t="s">
        <v>198</v>
      </c>
      <c r="U370" t="s">
        <v>108</v>
      </c>
    </row>
    <row r="371" spans="1:21" x14ac:dyDescent="0.3">
      <c r="A371" t="s">
        <v>305</v>
      </c>
      <c r="B371" t="s">
        <v>305</v>
      </c>
      <c r="C371" t="s">
        <v>194</v>
      </c>
      <c r="D371">
        <v>2</v>
      </c>
      <c r="E371" t="s">
        <v>118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306</v>
      </c>
      <c r="L371" t="s">
        <v>307</v>
      </c>
      <c r="M371">
        <v>33</v>
      </c>
      <c r="N371">
        <v>13219</v>
      </c>
      <c r="O371" t="s">
        <v>52</v>
      </c>
      <c r="P371" t="s">
        <v>52</v>
      </c>
      <c r="Q371" t="s">
        <v>197</v>
      </c>
      <c r="R371" t="s">
        <v>53</v>
      </c>
      <c r="S371" t="s">
        <v>116</v>
      </c>
      <c r="T371" t="s">
        <v>198</v>
      </c>
      <c r="U371" t="s">
        <v>108</v>
      </c>
    </row>
    <row r="372" spans="1:21" x14ac:dyDescent="0.3">
      <c r="A372" t="s">
        <v>305</v>
      </c>
      <c r="B372" t="s">
        <v>305</v>
      </c>
      <c r="C372" t="s">
        <v>194</v>
      </c>
      <c r="D372">
        <v>3</v>
      </c>
      <c r="E372" t="s">
        <v>105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313</v>
      </c>
      <c r="L372" t="s">
        <v>307</v>
      </c>
      <c r="M372">
        <v>33</v>
      </c>
      <c r="N372">
        <v>13219</v>
      </c>
      <c r="O372" t="s">
        <v>52</v>
      </c>
      <c r="P372" t="s">
        <v>52</v>
      </c>
      <c r="Q372" t="s">
        <v>197</v>
      </c>
      <c r="R372" t="s">
        <v>53</v>
      </c>
      <c r="S372" t="s">
        <v>116</v>
      </c>
      <c r="T372" t="s">
        <v>198</v>
      </c>
      <c r="U372" t="s">
        <v>108</v>
      </c>
    </row>
    <row r="373" spans="1:21" x14ac:dyDescent="0.3">
      <c r="A373" t="s">
        <v>305</v>
      </c>
      <c r="B373" t="s">
        <v>305</v>
      </c>
      <c r="C373" t="s">
        <v>194</v>
      </c>
      <c r="D373">
        <v>3</v>
      </c>
      <c r="E373" t="s">
        <v>105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312</v>
      </c>
      <c r="L373" t="s">
        <v>307</v>
      </c>
      <c r="M373">
        <v>33</v>
      </c>
      <c r="N373">
        <v>13219</v>
      </c>
      <c r="O373" t="s">
        <v>52</v>
      </c>
      <c r="P373" t="s">
        <v>52</v>
      </c>
      <c r="Q373" t="s">
        <v>197</v>
      </c>
      <c r="R373" t="s">
        <v>53</v>
      </c>
      <c r="S373" t="s">
        <v>116</v>
      </c>
      <c r="T373" t="s">
        <v>198</v>
      </c>
      <c r="U373" t="s">
        <v>108</v>
      </c>
    </row>
    <row r="374" spans="1:21" x14ac:dyDescent="0.3">
      <c r="A374" t="s">
        <v>305</v>
      </c>
      <c r="B374" t="s">
        <v>305</v>
      </c>
      <c r="C374" t="s">
        <v>194</v>
      </c>
      <c r="D374">
        <v>3</v>
      </c>
      <c r="E374" t="s">
        <v>105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306</v>
      </c>
      <c r="L374" t="s">
        <v>307</v>
      </c>
      <c r="M374">
        <v>33</v>
      </c>
      <c r="N374">
        <v>13219</v>
      </c>
      <c r="O374" t="s">
        <v>52</v>
      </c>
      <c r="P374" t="s">
        <v>52</v>
      </c>
      <c r="Q374" t="s">
        <v>197</v>
      </c>
      <c r="R374" t="s">
        <v>53</v>
      </c>
      <c r="S374" t="s">
        <v>116</v>
      </c>
      <c r="T374" t="s">
        <v>198</v>
      </c>
      <c r="U374" t="s">
        <v>108</v>
      </c>
    </row>
    <row r="375" spans="1:21" x14ac:dyDescent="0.3">
      <c r="A375" t="s">
        <v>305</v>
      </c>
      <c r="B375" t="s">
        <v>305</v>
      </c>
      <c r="C375" t="s">
        <v>194</v>
      </c>
      <c r="D375">
        <v>3</v>
      </c>
      <c r="E375" t="s">
        <v>105</v>
      </c>
      <c r="F375">
        <v>1</v>
      </c>
      <c r="G375">
        <v>965</v>
      </c>
      <c r="H375">
        <v>965</v>
      </c>
      <c r="I375" t="s">
        <v>117</v>
      </c>
      <c r="J375" t="s">
        <v>51</v>
      </c>
      <c r="K375" t="s">
        <v>311</v>
      </c>
      <c r="L375" t="s">
        <v>310</v>
      </c>
      <c r="M375">
        <v>33</v>
      </c>
      <c r="O375" t="s">
        <v>52</v>
      </c>
      <c r="P375" t="s">
        <v>52</v>
      </c>
      <c r="Q375" t="s">
        <v>197</v>
      </c>
      <c r="R375" t="s">
        <v>53</v>
      </c>
      <c r="S375" t="s">
        <v>116</v>
      </c>
      <c r="T375" t="s">
        <v>198</v>
      </c>
      <c r="U375" t="s">
        <v>108</v>
      </c>
    </row>
    <row r="376" spans="1:21" x14ac:dyDescent="0.3">
      <c r="A376" t="s">
        <v>305</v>
      </c>
      <c r="B376" t="s">
        <v>305</v>
      </c>
      <c r="C376" t="s">
        <v>194</v>
      </c>
      <c r="D376">
        <v>3</v>
      </c>
      <c r="E376" t="s">
        <v>105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308</v>
      </c>
      <c r="L376" t="s">
        <v>307</v>
      </c>
      <c r="M376">
        <v>33</v>
      </c>
      <c r="N376">
        <v>13219</v>
      </c>
      <c r="O376" t="s">
        <v>52</v>
      </c>
      <c r="P376" t="s">
        <v>52</v>
      </c>
      <c r="Q376" t="s">
        <v>197</v>
      </c>
      <c r="R376" t="s">
        <v>53</v>
      </c>
      <c r="S376" t="s">
        <v>116</v>
      </c>
      <c r="T376" t="s">
        <v>198</v>
      </c>
      <c r="U376" t="s">
        <v>108</v>
      </c>
    </row>
    <row r="377" spans="1:21" x14ac:dyDescent="0.3">
      <c r="A377" t="s">
        <v>305</v>
      </c>
      <c r="B377" t="s">
        <v>305</v>
      </c>
      <c r="C377" t="s">
        <v>194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117</v>
      </c>
      <c r="J377" t="s">
        <v>51</v>
      </c>
      <c r="K377" t="s">
        <v>311</v>
      </c>
      <c r="L377" t="s">
        <v>310</v>
      </c>
      <c r="M377">
        <v>33</v>
      </c>
      <c r="O377" t="s">
        <v>52</v>
      </c>
      <c r="P377" t="s">
        <v>52</v>
      </c>
      <c r="Q377" t="s">
        <v>197</v>
      </c>
      <c r="R377" t="s">
        <v>53</v>
      </c>
      <c r="S377" t="s">
        <v>116</v>
      </c>
      <c r="T377" t="s">
        <v>198</v>
      </c>
      <c r="U377" t="s">
        <v>108</v>
      </c>
    </row>
    <row r="378" spans="1:21" x14ac:dyDescent="0.3">
      <c r="A378" t="s">
        <v>305</v>
      </c>
      <c r="B378" t="s">
        <v>305</v>
      </c>
      <c r="C378" t="s">
        <v>194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313</v>
      </c>
      <c r="L378" t="s">
        <v>307</v>
      </c>
      <c r="M378">
        <v>33</v>
      </c>
      <c r="N378">
        <v>13219</v>
      </c>
      <c r="O378" t="s">
        <v>52</v>
      </c>
      <c r="P378" t="s">
        <v>52</v>
      </c>
      <c r="Q378" t="s">
        <v>197</v>
      </c>
      <c r="R378" t="s">
        <v>53</v>
      </c>
      <c r="S378" t="s">
        <v>116</v>
      </c>
      <c r="T378" t="s">
        <v>198</v>
      </c>
      <c r="U378" t="s">
        <v>108</v>
      </c>
    </row>
    <row r="379" spans="1:21" x14ac:dyDescent="0.3">
      <c r="A379" t="s">
        <v>305</v>
      </c>
      <c r="B379" t="s">
        <v>305</v>
      </c>
      <c r="C379" t="s">
        <v>194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312</v>
      </c>
      <c r="L379" t="s">
        <v>307</v>
      </c>
      <c r="M379">
        <v>33</v>
      </c>
      <c r="N379">
        <v>13219</v>
      </c>
      <c r="O379" t="s">
        <v>52</v>
      </c>
      <c r="P379" t="s">
        <v>52</v>
      </c>
      <c r="Q379" t="s">
        <v>197</v>
      </c>
      <c r="R379" t="s">
        <v>53</v>
      </c>
      <c r="S379" t="s">
        <v>116</v>
      </c>
      <c r="T379" t="s">
        <v>198</v>
      </c>
      <c r="U379" t="s">
        <v>108</v>
      </c>
    </row>
    <row r="380" spans="1:21" x14ac:dyDescent="0.3">
      <c r="A380" t="s">
        <v>305</v>
      </c>
      <c r="B380" t="s">
        <v>305</v>
      </c>
      <c r="C380" t="s">
        <v>194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308</v>
      </c>
      <c r="L380" t="s">
        <v>307</v>
      </c>
      <c r="M380">
        <v>33</v>
      </c>
      <c r="N380">
        <v>13219</v>
      </c>
      <c r="O380" t="s">
        <v>52</v>
      </c>
      <c r="P380" t="s">
        <v>52</v>
      </c>
      <c r="Q380" t="s">
        <v>197</v>
      </c>
      <c r="R380" t="s">
        <v>53</v>
      </c>
      <c r="S380" t="s">
        <v>116</v>
      </c>
      <c r="T380" t="s">
        <v>198</v>
      </c>
      <c r="U380" t="s">
        <v>108</v>
      </c>
    </row>
    <row r="381" spans="1:21" x14ac:dyDescent="0.3">
      <c r="A381" t="s">
        <v>305</v>
      </c>
      <c r="B381" t="s">
        <v>305</v>
      </c>
      <c r="C381" t="s">
        <v>194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119</v>
      </c>
      <c r="J381" t="s">
        <v>58</v>
      </c>
      <c r="K381" t="s">
        <v>309</v>
      </c>
      <c r="L381" t="s">
        <v>310</v>
      </c>
      <c r="M381">
        <v>33</v>
      </c>
      <c r="O381" t="s">
        <v>52</v>
      </c>
      <c r="P381" t="s">
        <v>52</v>
      </c>
      <c r="Q381" t="s">
        <v>197</v>
      </c>
      <c r="R381" t="s">
        <v>53</v>
      </c>
      <c r="S381" t="s">
        <v>116</v>
      </c>
      <c r="T381" t="s">
        <v>198</v>
      </c>
      <c r="U381" t="s">
        <v>108</v>
      </c>
    </row>
    <row r="382" spans="1:21" x14ac:dyDescent="0.3">
      <c r="A382" t="s">
        <v>305</v>
      </c>
      <c r="B382" t="s">
        <v>305</v>
      </c>
      <c r="C382" t="s">
        <v>194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306</v>
      </c>
      <c r="L382" t="s">
        <v>307</v>
      </c>
      <c r="M382">
        <v>33</v>
      </c>
      <c r="N382">
        <v>13219</v>
      </c>
      <c r="O382" t="s">
        <v>52</v>
      </c>
      <c r="P382" t="s">
        <v>52</v>
      </c>
      <c r="Q382" t="s">
        <v>197</v>
      </c>
      <c r="R382" t="s">
        <v>53</v>
      </c>
      <c r="S382" t="s">
        <v>116</v>
      </c>
      <c r="T382" t="s">
        <v>198</v>
      </c>
      <c r="U382" t="s">
        <v>108</v>
      </c>
    </row>
    <row r="383" spans="1:21" x14ac:dyDescent="0.3">
      <c r="A383" t="s">
        <v>305</v>
      </c>
      <c r="B383" t="s">
        <v>305</v>
      </c>
      <c r="C383" t="s">
        <v>194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308</v>
      </c>
      <c r="L383" t="s">
        <v>307</v>
      </c>
      <c r="M383">
        <v>33</v>
      </c>
      <c r="N383">
        <v>13219</v>
      </c>
      <c r="O383" t="s">
        <v>52</v>
      </c>
      <c r="P383" t="s">
        <v>52</v>
      </c>
      <c r="Q383" t="s">
        <v>197</v>
      </c>
      <c r="R383" t="s">
        <v>53</v>
      </c>
      <c r="S383" t="s">
        <v>116</v>
      </c>
      <c r="T383" t="s">
        <v>198</v>
      </c>
      <c r="U383" t="s">
        <v>108</v>
      </c>
    </row>
    <row r="384" spans="1:21" x14ac:dyDescent="0.3">
      <c r="A384" t="s">
        <v>305</v>
      </c>
      <c r="B384" t="s">
        <v>305</v>
      </c>
      <c r="C384" t="s">
        <v>194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306</v>
      </c>
      <c r="L384" t="s">
        <v>307</v>
      </c>
      <c r="M384">
        <v>33</v>
      </c>
      <c r="N384">
        <v>13219</v>
      </c>
      <c r="O384" t="s">
        <v>52</v>
      </c>
      <c r="P384" t="s">
        <v>52</v>
      </c>
      <c r="Q384" t="s">
        <v>197</v>
      </c>
      <c r="R384" t="s">
        <v>53</v>
      </c>
      <c r="S384" t="s">
        <v>116</v>
      </c>
      <c r="T384" t="s">
        <v>198</v>
      </c>
      <c r="U384" t="s">
        <v>108</v>
      </c>
    </row>
    <row r="385" spans="1:21" x14ac:dyDescent="0.3">
      <c r="A385" t="s">
        <v>305</v>
      </c>
      <c r="B385" t="s">
        <v>305</v>
      </c>
      <c r="C385" t="s">
        <v>194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312</v>
      </c>
      <c r="L385" t="s">
        <v>307</v>
      </c>
      <c r="M385">
        <v>33</v>
      </c>
      <c r="N385">
        <v>13219</v>
      </c>
      <c r="O385" t="s">
        <v>52</v>
      </c>
      <c r="P385" t="s">
        <v>52</v>
      </c>
      <c r="Q385" t="s">
        <v>197</v>
      </c>
      <c r="R385" t="s">
        <v>53</v>
      </c>
      <c r="S385" t="s">
        <v>116</v>
      </c>
      <c r="T385" t="s">
        <v>198</v>
      </c>
      <c r="U385" t="s">
        <v>108</v>
      </c>
    </row>
    <row r="386" spans="1:21" x14ac:dyDescent="0.3">
      <c r="A386" t="s">
        <v>305</v>
      </c>
      <c r="B386" t="s">
        <v>305</v>
      </c>
      <c r="C386" t="s">
        <v>194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313</v>
      </c>
      <c r="L386" t="s">
        <v>307</v>
      </c>
      <c r="M386">
        <v>33</v>
      </c>
      <c r="N386">
        <v>13219</v>
      </c>
      <c r="O386" t="s">
        <v>52</v>
      </c>
      <c r="P386" t="s">
        <v>52</v>
      </c>
      <c r="Q386" t="s">
        <v>197</v>
      </c>
      <c r="R386" t="s">
        <v>53</v>
      </c>
      <c r="S386" t="s">
        <v>116</v>
      </c>
      <c r="T386" t="s">
        <v>198</v>
      </c>
      <c r="U386" t="s">
        <v>108</v>
      </c>
    </row>
    <row r="387" spans="1:21" x14ac:dyDescent="0.3">
      <c r="A387" t="s">
        <v>305</v>
      </c>
      <c r="B387" t="s">
        <v>305</v>
      </c>
      <c r="C387" t="s">
        <v>194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117</v>
      </c>
      <c r="J387" t="s">
        <v>51</v>
      </c>
      <c r="K387" t="s">
        <v>311</v>
      </c>
      <c r="L387" t="s">
        <v>310</v>
      </c>
      <c r="M387">
        <v>33</v>
      </c>
      <c r="O387" t="s">
        <v>52</v>
      </c>
      <c r="P387" t="s">
        <v>52</v>
      </c>
      <c r="Q387" t="s">
        <v>197</v>
      </c>
      <c r="R387" t="s">
        <v>53</v>
      </c>
      <c r="S387" t="s">
        <v>116</v>
      </c>
      <c r="T387" t="s">
        <v>198</v>
      </c>
      <c r="U387" t="s">
        <v>108</v>
      </c>
    </row>
    <row r="388" spans="1:21" x14ac:dyDescent="0.3">
      <c r="A388" t="s">
        <v>314</v>
      </c>
      <c r="B388" t="s">
        <v>314</v>
      </c>
      <c r="C388" t="s">
        <v>194</v>
      </c>
      <c r="D388">
        <v>1</v>
      </c>
      <c r="E388" t="s">
        <v>107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315</v>
      </c>
      <c r="L388" t="s">
        <v>316</v>
      </c>
      <c r="M388">
        <v>33</v>
      </c>
      <c r="N388">
        <v>13722</v>
      </c>
      <c r="O388" t="s">
        <v>52</v>
      </c>
      <c r="P388" t="s">
        <v>52</v>
      </c>
      <c r="Q388" t="s">
        <v>197</v>
      </c>
      <c r="R388" t="s">
        <v>53</v>
      </c>
      <c r="S388" t="s">
        <v>116</v>
      </c>
      <c r="T388" t="s">
        <v>198</v>
      </c>
      <c r="U388" t="s">
        <v>108</v>
      </c>
    </row>
    <row r="389" spans="1:21" x14ac:dyDescent="0.3">
      <c r="A389" t="s">
        <v>314</v>
      </c>
      <c r="B389" t="s">
        <v>314</v>
      </c>
      <c r="C389" t="s">
        <v>194</v>
      </c>
      <c r="D389">
        <v>1</v>
      </c>
      <c r="E389" t="s">
        <v>107</v>
      </c>
      <c r="F389">
        <v>1</v>
      </c>
      <c r="G389">
        <v>3814</v>
      </c>
      <c r="H389">
        <v>3814</v>
      </c>
      <c r="I389" t="s">
        <v>117</v>
      </c>
      <c r="J389" t="s">
        <v>51</v>
      </c>
      <c r="K389" t="s">
        <v>317</v>
      </c>
      <c r="L389" t="s">
        <v>318</v>
      </c>
      <c r="M389">
        <v>33</v>
      </c>
      <c r="O389" t="s">
        <v>52</v>
      </c>
      <c r="P389" t="s">
        <v>52</v>
      </c>
      <c r="Q389" t="s">
        <v>197</v>
      </c>
      <c r="R389" t="s">
        <v>53</v>
      </c>
      <c r="S389" t="s">
        <v>116</v>
      </c>
      <c r="T389" t="s">
        <v>198</v>
      </c>
      <c r="U389" t="s">
        <v>108</v>
      </c>
    </row>
    <row r="390" spans="1:21" x14ac:dyDescent="0.3">
      <c r="A390" t="s">
        <v>314</v>
      </c>
      <c r="B390" t="s">
        <v>314</v>
      </c>
      <c r="C390" t="s">
        <v>194</v>
      </c>
      <c r="D390">
        <v>1</v>
      </c>
      <c r="E390" t="s">
        <v>107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319</v>
      </c>
      <c r="L390" t="s">
        <v>316</v>
      </c>
      <c r="M390">
        <v>33</v>
      </c>
      <c r="N390">
        <v>13722</v>
      </c>
      <c r="O390" t="s">
        <v>52</v>
      </c>
      <c r="P390" t="s">
        <v>52</v>
      </c>
      <c r="Q390" t="s">
        <v>197</v>
      </c>
      <c r="R390" t="s">
        <v>53</v>
      </c>
      <c r="S390" t="s">
        <v>116</v>
      </c>
      <c r="T390" t="s">
        <v>198</v>
      </c>
      <c r="U390" t="s">
        <v>108</v>
      </c>
    </row>
    <row r="391" spans="1:21" x14ac:dyDescent="0.3">
      <c r="A391" t="s">
        <v>314</v>
      </c>
      <c r="B391" t="s">
        <v>314</v>
      </c>
      <c r="C391" t="s">
        <v>194</v>
      </c>
      <c r="D391">
        <v>1</v>
      </c>
      <c r="E391" t="s">
        <v>107</v>
      </c>
      <c r="F391">
        <v>1</v>
      </c>
      <c r="G391">
        <v>57</v>
      </c>
      <c r="H391">
        <v>57</v>
      </c>
      <c r="I391" t="s">
        <v>119</v>
      </c>
      <c r="J391" t="s">
        <v>58</v>
      </c>
      <c r="K391" t="s">
        <v>320</v>
      </c>
      <c r="L391" t="s">
        <v>318</v>
      </c>
      <c r="M391">
        <v>33</v>
      </c>
      <c r="O391" t="s">
        <v>52</v>
      </c>
      <c r="P391" t="s">
        <v>52</v>
      </c>
      <c r="Q391" t="s">
        <v>197</v>
      </c>
      <c r="R391" t="s">
        <v>53</v>
      </c>
      <c r="S391" t="s">
        <v>116</v>
      </c>
      <c r="T391" t="s">
        <v>198</v>
      </c>
      <c r="U391" t="s">
        <v>108</v>
      </c>
    </row>
    <row r="392" spans="1:21" x14ac:dyDescent="0.3">
      <c r="A392" t="s">
        <v>314</v>
      </c>
      <c r="B392" t="s">
        <v>314</v>
      </c>
      <c r="C392" t="s">
        <v>194</v>
      </c>
      <c r="D392">
        <v>1</v>
      </c>
      <c r="E392" t="s">
        <v>107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321</v>
      </c>
      <c r="L392" t="s">
        <v>316</v>
      </c>
      <c r="M392">
        <v>33</v>
      </c>
      <c r="N392">
        <v>13722</v>
      </c>
      <c r="O392" t="s">
        <v>52</v>
      </c>
      <c r="P392" t="s">
        <v>52</v>
      </c>
      <c r="Q392" t="s">
        <v>197</v>
      </c>
      <c r="R392" t="s">
        <v>53</v>
      </c>
      <c r="S392" t="s">
        <v>116</v>
      </c>
      <c r="T392" t="s">
        <v>198</v>
      </c>
      <c r="U392" t="s">
        <v>108</v>
      </c>
    </row>
    <row r="393" spans="1:21" x14ac:dyDescent="0.3">
      <c r="A393" t="s">
        <v>314</v>
      </c>
      <c r="B393" t="s">
        <v>314</v>
      </c>
      <c r="C393" t="s">
        <v>194</v>
      </c>
      <c r="D393">
        <v>1</v>
      </c>
      <c r="E393" t="s">
        <v>107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322</v>
      </c>
      <c r="L393" t="s">
        <v>316</v>
      </c>
      <c r="M393">
        <v>33</v>
      </c>
      <c r="N393">
        <v>13722</v>
      </c>
      <c r="O393" t="s">
        <v>52</v>
      </c>
      <c r="P393" t="s">
        <v>52</v>
      </c>
      <c r="Q393" t="s">
        <v>197</v>
      </c>
      <c r="R393" t="s">
        <v>53</v>
      </c>
      <c r="S393" t="s">
        <v>116</v>
      </c>
      <c r="T393" t="s">
        <v>198</v>
      </c>
      <c r="U393" t="s">
        <v>108</v>
      </c>
    </row>
    <row r="394" spans="1:21" x14ac:dyDescent="0.3">
      <c r="A394" t="s">
        <v>314</v>
      </c>
      <c r="B394" t="s">
        <v>314</v>
      </c>
      <c r="C394" t="s">
        <v>194</v>
      </c>
      <c r="D394">
        <v>2</v>
      </c>
      <c r="E394" t="s">
        <v>118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321</v>
      </c>
      <c r="L394" t="s">
        <v>316</v>
      </c>
      <c r="M394">
        <v>33</v>
      </c>
      <c r="N394">
        <v>13722</v>
      </c>
      <c r="O394" t="s">
        <v>52</v>
      </c>
      <c r="P394" t="s">
        <v>52</v>
      </c>
      <c r="Q394" t="s">
        <v>197</v>
      </c>
      <c r="R394" t="s">
        <v>53</v>
      </c>
      <c r="S394" t="s">
        <v>116</v>
      </c>
      <c r="T394" t="s">
        <v>198</v>
      </c>
      <c r="U394" t="s">
        <v>108</v>
      </c>
    </row>
    <row r="395" spans="1:21" x14ac:dyDescent="0.3">
      <c r="A395" t="s">
        <v>314</v>
      </c>
      <c r="B395" t="s">
        <v>314</v>
      </c>
      <c r="C395" t="s">
        <v>194</v>
      </c>
      <c r="D395">
        <v>2</v>
      </c>
      <c r="E395" t="s">
        <v>118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322</v>
      </c>
      <c r="L395" t="s">
        <v>316</v>
      </c>
      <c r="M395">
        <v>33</v>
      </c>
      <c r="N395">
        <v>13722</v>
      </c>
      <c r="O395" t="s">
        <v>52</v>
      </c>
      <c r="P395" t="s">
        <v>52</v>
      </c>
      <c r="Q395" t="s">
        <v>197</v>
      </c>
      <c r="R395" t="s">
        <v>53</v>
      </c>
      <c r="S395" t="s">
        <v>116</v>
      </c>
      <c r="T395" t="s">
        <v>198</v>
      </c>
      <c r="U395" t="s">
        <v>108</v>
      </c>
    </row>
    <row r="396" spans="1:21" x14ac:dyDescent="0.3">
      <c r="A396" t="s">
        <v>314</v>
      </c>
      <c r="B396" t="s">
        <v>314</v>
      </c>
      <c r="C396" t="s">
        <v>194</v>
      </c>
      <c r="D396">
        <v>2</v>
      </c>
      <c r="E396" t="s">
        <v>118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315</v>
      </c>
      <c r="L396" t="s">
        <v>316</v>
      </c>
      <c r="M396">
        <v>33</v>
      </c>
      <c r="N396">
        <v>13722</v>
      </c>
      <c r="O396" t="s">
        <v>52</v>
      </c>
      <c r="P396" t="s">
        <v>52</v>
      </c>
      <c r="Q396" t="s">
        <v>197</v>
      </c>
      <c r="R396" t="s">
        <v>53</v>
      </c>
      <c r="S396" t="s">
        <v>116</v>
      </c>
      <c r="T396" t="s">
        <v>198</v>
      </c>
      <c r="U396" t="s">
        <v>108</v>
      </c>
    </row>
    <row r="397" spans="1:21" x14ac:dyDescent="0.3">
      <c r="A397" t="s">
        <v>314</v>
      </c>
      <c r="B397" t="s">
        <v>314</v>
      </c>
      <c r="C397" t="s">
        <v>194</v>
      </c>
      <c r="D397">
        <v>2</v>
      </c>
      <c r="E397" t="s">
        <v>118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319</v>
      </c>
      <c r="L397" t="s">
        <v>316</v>
      </c>
      <c r="M397">
        <v>33</v>
      </c>
      <c r="N397">
        <v>13722</v>
      </c>
      <c r="O397" t="s">
        <v>52</v>
      </c>
      <c r="P397" t="s">
        <v>52</v>
      </c>
      <c r="Q397" t="s">
        <v>197</v>
      </c>
      <c r="R397" t="s">
        <v>53</v>
      </c>
      <c r="S397" t="s">
        <v>116</v>
      </c>
      <c r="T397" t="s">
        <v>198</v>
      </c>
      <c r="U397" t="s">
        <v>108</v>
      </c>
    </row>
    <row r="398" spans="1:21" x14ac:dyDescent="0.3">
      <c r="A398" t="s">
        <v>314</v>
      </c>
      <c r="B398" t="s">
        <v>314</v>
      </c>
      <c r="C398" t="s">
        <v>194</v>
      </c>
      <c r="D398">
        <v>2</v>
      </c>
      <c r="E398" t="s">
        <v>118</v>
      </c>
      <c r="F398">
        <v>1</v>
      </c>
      <c r="G398">
        <v>8</v>
      </c>
      <c r="H398">
        <v>8</v>
      </c>
      <c r="I398" t="s">
        <v>117</v>
      </c>
      <c r="J398" t="s">
        <v>51</v>
      </c>
      <c r="K398" t="s">
        <v>317</v>
      </c>
      <c r="L398" t="s">
        <v>318</v>
      </c>
      <c r="M398">
        <v>33</v>
      </c>
      <c r="O398" t="s">
        <v>52</v>
      </c>
      <c r="P398" t="s">
        <v>52</v>
      </c>
      <c r="Q398" t="s">
        <v>197</v>
      </c>
      <c r="R398" t="s">
        <v>53</v>
      </c>
      <c r="S398" t="s">
        <v>116</v>
      </c>
      <c r="T398" t="s">
        <v>198</v>
      </c>
      <c r="U398" t="s">
        <v>108</v>
      </c>
    </row>
    <row r="399" spans="1:21" x14ac:dyDescent="0.3">
      <c r="A399" t="s">
        <v>314</v>
      </c>
      <c r="B399" t="s">
        <v>314</v>
      </c>
      <c r="C399" t="s">
        <v>194</v>
      </c>
      <c r="D399">
        <v>3</v>
      </c>
      <c r="E399" t="s">
        <v>105</v>
      </c>
      <c r="F399">
        <v>1</v>
      </c>
      <c r="G399">
        <v>531</v>
      </c>
      <c r="H399">
        <v>531</v>
      </c>
      <c r="I399" t="s">
        <v>117</v>
      </c>
      <c r="J399" t="s">
        <v>51</v>
      </c>
      <c r="K399" t="s">
        <v>317</v>
      </c>
      <c r="L399" t="s">
        <v>318</v>
      </c>
      <c r="M399">
        <v>33</v>
      </c>
      <c r="O399" t="s">
        <v>52</v>
      </c>
      <c r="P399" t="s">
        <v>52</v>
      </c>
      <c r="Q399" t="s">
        <v>197</v>
      </c>
      <c r="R399" t="s">
        <v>53</v>
      </c>
      <c r="S399" t="s">
        <v>116</v>
      </c>
      <c r="T399" t="s">
        <v>198</v>
      </c>
      <c r="U399" t="s">
        <v>108</v>
      </c>
    </row>
    <row r="400" spans="1:21" x14ac:dyDescent="0.3">
      <c r="A400" t="s">
        <v>314</v>
      </c>
      <c r="B400" t="s">
        <v>314</v>
      </c>
      <c r="C400" t="s">
        <v>194</v>
      </c>
      <c r="D400">
        <v>3</v>
      </c>
      <c r="E400" t="s">
        <v>105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321</v>
      </c>
      <c r="L400" t="s">
        <v>316</v>
      </c>
      <c r="M400">
        <v>33</v>
      </c>
      <c r="N400">
        <v>13722</v>
      </c>
      <c r="O400" t="s">
        <v>52</v>
      </c>
      <c r="P400" t="s">
        <v>52</v>
      </c>
      <c r="Q400" t="s">
        <v>197</v>
      </c>
      <c r="R400" t="s">
        <v>53</v>
      </c>
      <c r="S400" t="s">
        <v>116</v>
      </c>
      <c r="T400" t="s">
        <v>198</v>
      </c>
      <c r="U400" t="s">
        <v>108</v>
      </c>
    </row>
    <row r="401" spans="1:21" x14ac:dyDescent="0.3">
      <c r="A401" t="s">
        <v>314</v>
      </c>
      <c r="B401" t="s">
        <v>314</v>
      </c>
      <c r="C401" t="s">
        <v>194</v>
      </c>
      <c r="D401">
        <v>3</v>
      </c>
      <c r="E401" t="s">
        <v>105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315</v>
      </c>
      <c r="L401" t="s">
        <v>316</v>
      </c>
      <c r="M401">
        <v>33</v>
      </c>
      <c r="N401">
        <v>13722</v>
      </c>
      <c r="O401" t="s">
        <v>52</v>
      </c>
      <c r="P401" t="s">
        <v>52</v>
      </c>
      <c r="Q401" t="s">
        <v>197</v>
      </c>
      <c r="R401" t="s">
        <v>53</v>
      </c>
      <c r="S401" t="s">
        <v>116</v>
      </c>
      <c r="T401" t="s">
        <v>198</v>
      </c>
      <c r="U401" t="s">
        <v>108</v>
      </c>
    </row>
    <row r="402" spans="1:21" x14ac:dyDescent="0.3">
      <c r="A402" t="s">
        <v>314</v>
      </c>
      <c r="B402" t="s">
        <v>314</v>
      </c>
      <c r="C402" t="s">
        <v>194</v>
      </c>
      <c r="D402">
        <v>3</v>
      </c>
      <c r="E402" t="s">
        <v>105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319</v>
      </c>
      <c r="L402" t="s">
        <v>316</v>
      </c>
      <c r="M402">
        <v>33</v>
      </c>
      <c r="N402">
        <v>13722</v>
      </c>
      <c r="O402" t="s">
        <v>52</v>
      </c>
      <c r="P402" t="s">
        <v>52</v>
      </c>
      <c r="Q402" t="s">
        <v>197</v>
      </c>
      <c r="R402" t="s">
        <v>53</v>
      </c>
      <c r="S402" t="s">
        <v>116</v>
      </c>
      <c r="T402" t="s">
        <v>198</v>
      </c>
      <c r="U402" t="s">
        <v>108</v>
      </c>
    </row>
    <row r="403" spans="1:21" x14ac:dyDescent="0.3">
      <c r="A403" t="s">
        <v>314</v>
      </c>
      <c r="B403" t="s">
        <v>314</v>
      </c>
      <c r="C403" t="s">
        <v>194</v>
      </c>
      <c r="D403">
        <v>3</v>
      </c>
      <c r="E403" t="s">
        <v>105</v>
      </c>
      <c r="F403">
        <v>1</v>
      </c>
      <c r="G403">
        <v>8</v>
      </c>
      <c r="H403">
        <v>8</v>
      </c>
      <c r="I403" t="s">
        <v>119</v>
      </c>
      <c r="J403" t="s">
        <v>58</v>
      </c>
      <c r="K403" t="s">
        <v>320</v>
      </c>
      <c r="L403" t="s">
        <v>318</v>
      </c>
      <c r="M403">
        <v>33</v>
      </c>
      <c r="O403" t="s">
        <v>52</v>
      </c>
      <c r="P403" t="s">
        <v>52</v>
      </c>
      <c r="Q403" t="s">
        <v>197</v>
      </c>
      <c r="R403" t="s">
        <v>53</v>
      </c>
      <c r="S403" t="s">
        <v>116</v>
      </c>
      <c r="T403" t="s">
        <v>198</v>
      </c>
      <c r="U403" t="s">
        <v>108</v>
      </c>
    </row>
    <row r="404" spans="1:21" x14ac:dyDescent="0.3">
      <c r="A404" t="s">
        <v>314</v>
      </c>
      <c r="B404" t="s">
        <v>314</v>
      </c>
      <c r="C404" t="s">
        <v>194</v>
      </c>
      <c r="D404">
        <v>3</v>
      </c>
      <c r="E404" t="s">
        <v>105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322</v>
      </c>
      <c r="L404" t="s">
        <v>316</v>
      </c>
      <c r="M404">
        <v>33</v>
      </c>
      <c r="N404">
        <v>13722</v>
      </c>
      <c r="O404" t="s">
        <v>52</v>
      </c>
      <c r="P404" t="s">
        <v>52</v>
      </c>
      <c r="Q404" t="s">
        <v>197</v>
      </c>
      <c r="R404" t="s">
        <v>53</v>
      </c>
      <c r="S404" t="s">
        <v>116</v>
      </c>
      <c r="T404" t="s">
        <v>198</v>
      </c>
      <c r="U404" t="s">
        <v>108</v>
      </c>
    </row>
    <row r="405" spans="1:21" x14ac:dyDescent="0.3">
      <c r="A405" t="s">
        <v>314</v>
      </c>
      <c r="B405" t="s">
        <v>314</v>
      </c>
      <c r="C405" t="s">
        <v>194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321</v>
      </c>
      <c r="L405" t="s">
        <v>316</v>
      </c>
      <c r="M405">
        <v>33</v>
      </c>
      <c r="N405">
        <v>13722</v>
      </c>
      <c r="O405" t="s">
        <v>52</v>
      </c>
      <c r="P405" t="s">
        <v>52</v>
      </c>
      <c r="Q405" t="s">
        <v>197</v>
      </c>
      <c r="R405" t="s">
        <v>53</v>
      </c>
      <c r="S405" t="s">
        <v>116</v>
      </c>
      <c r="T405" t="s">
        <v>198</v>
      </c>
      <c r="U405" t="s">
        <v>108</v>
      </c>
    </row>
    <row r="406" spans="1:21" x14ac:dyDescent="0.3">
      <c r="A406" t="s">
        <v>314</v>
      </c>
      <c r="B406" t="s">
        <v>314</v>
      </c>
      <c r="C406" t="s">
        <v>194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315</v>
      </c>
      <c r="L406" t="s">
        <v>316</v>
      </c>
      <c r="M406">
        <v>33</v>
      </c>
      <c r="N406">
        <v>13722</v>
      </c>
      <c r="O406" t="s">
        <v>52</v>
      </c>
      <c r="P406" t="s">
        <v>52</v>
      </c>
      <c r="Q406" t="s">
        <v>197</v>
      </c>
      <c r="R406" t="s">
        <v>53</v>
      </c>
      <c r="S406" t="s">
        <v>116</v>
      </c>
      <c r="T406" t="s">
        <v>198</v>
      </c>
      <c r="U406" t="s">
        <v>108</v>
      </c>
    </row>
    <row r="407" spans="1:21" x14ac:dyDescent="0.3">
      <c r="A407" t="s">
        <v>314</v>
      </c>
      <c r="B407" t="s">
        <v>314</v>
      </c>
      <c r="C407" t="s">
        <v>194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117</v>
      </c>
      <c r="J407" t="s">
        <v>51</v>
      </c>
      <c r="K407" t="s">
        <v>317</v>
      </c>
      <c r="L407" t="s">
        <v>318</v>
      </c>
      <c r="M407">
        <v>33</v>
      </c>
      <c r="O407" t="s">
        <v>52</v>
      </c>
      <c r="P407" t="s">
        <v>52</v>
      </c>
      <c r="Q407" t="s">
        <v>197</v>
      </c>
      <c r="R407" t="s">
        <v>53</v>
      </c>
      <c r="S407" t="s">
        <v>116</v>
      </c>
      <c r="T407" t="s">
        <v>198</v>
      </c>
      <c r="U407" t="s">
        <v>108</v>
      </c>
    </row>
    <row r="408" spans="1:21" x14ac:dyDescent="0.3">
      <c r="A408" t="s">
        <v>314</v>
      </c>
      <c r="B408" t="s">
        <v>314</v>
      </c>
      <c r="C408" t="s">
        <v>194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319</v>
      </c>
      <c r="L408" t="s">
        <v>316</v>
      </c>
      <c r="M408">
        <v>33</v>
      </c>
      <c r="N408">
        <v>13722</v>
      </c>
      <c r="O408" t="s">
        <v>52</v>
      </c>
      <c r="P408" t="s">
        <v>52</v>
      </c>
      <c r="Q408" t="s">
        <v>197</v>
      </c>
      <c r="R408" t="s">
        <v>53</v>
      </c>
      <c r="S408" t="s">
        <v>116</v>
      </c>
      <c r="T408" t="s">
        <v>198</v>
      </c>
      <c r="U408" t="s">
        <v>108</v>
      </c>
    </row>
    <row r="409" spans="1:21" x14ac:dyDescent="0.3">
      <c r="A409" t="s">
        <v>314</v>
      </c>
      <c r="B409" t="s">
        <v>314</v>
      </c>
      <c r="C409" t="s">
        <v>194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119</v>
      </c>
      <c r="J409" t="s">
        <v>58</v>
      </c>
      <c r="K409" t="s">
        <v>320</v>
      </c>
      <c r="L409" t="s">
        <v>318</v>
      </c>
      <c r="M409">
        <v>33</v>
      </c>
      <c r="O409" t="s">
        <v>52</v>
      </c>
      <c r="P409" t="s">
        <v>52</v>
      </c>
      <c r="Q409" t="s">
        <v>197</v>
      </c>
      <c r="R409" t="s">
        <v>53</v>
      </c>
      <c r="S409" t="s">
        <v>116</v>
      </c>
      <c r="T409" t="s">
        <v>198</v>
      </c>
      <c r="U409" t="s">
        <v>108</v>
      </c>
    </row>
    <row r="410" spans="1:21" x14ac:dyDescent="0.3">
      <c r="A410" t="s">
        <v>314</v>
      </c>
      <c r="B410" t="s">
        <v>314</v>
      </c>
      <c r="C410" t="s">
        <v>194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322</v>
      </c>
      <c r="L410" t="s">
        <v>316</v>
      </c>
      <c r="M410">
        <v>33</v>
      </c>
      <c r="N410">
        <v>13722</v>
      </c>
      <c r="O410" t="s">
        <v>52</v>
      </c>
      <c r="P410" t="s">
        <v>52</v>
      </c>
      <c r="Q410" t="s">
        <v>197</v>
      </c>
      <c r="R410" t="s">
        <v>53</v>
      </c>
      <c r="S410" t="s">
        <v>116</v>
      </c>
      <c r="T410" t="s">
        <v>198</v>
      </c>
      <c r="U410" t="s">
        <v>108</v>
      </c>
    </row>
    <row r="411" spans="1:21" x14ac:dyDescent="0.3">
      <c r="A411" t="s">
        <v>314</v>
      </c>
      <c r="B411" t="s">
        <v>314</v>
      </c>
      <c r="C411" t="s">
        <v>194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319</v>
      </c>
      <c r="L411" t="s">
        <v>316</v>
      </c>
      <c r="M411">
        <v>33</v>
      </c>
      <c r="N411">
        <v>13722</v>
      </c>
      <c r="O411" t="s">
        <v>52</v>
      </c>
      <c r="P411" t="s">
        <v>52</v>
      </c>
      <c r="Q411" t="s">
        <v>197</v>
      </c>
      <c r="R411" t="s">
        <v>53</v>
      </c>
      <c r="S411" t="s">
        <v>116</v>
      </c>
      <c r="T411" t="s">
        <v>198</v>
      </c>
      <c r="U411" t="s">
        <v>108</v>
      </c>
    </row>
    <row r="412" spans="1:21" x14ac:dyDescent="0.3">
      <c r="A412" t="s">
        <v>314</v>
      </c>
      <c r="B412" t="s">
        <v>314</v>
      </c>
      <c r="C412" t="s">
        <v>194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322</v>
      </c>
      <c r="L412" t="s">
        <v>316</v>
      </c>
      <c r="M412">
        <v>33</v>
      </c>
      <c r="N412">
        <v>13722</v>
      </c>
      <c r="O412" t="s">
        <v>52</v>
      </c>
      <c r="P412" t="s">
        <v>52</v>
      </c>
      <c r="Q412" t="s">
        <v>197</v>
      </c>
      <c r="R412" t="s">
        <v>53</v>
      </c>
      <c r="S412" t="s">
        <v>116</v>
      </c>
      <c r="T412" t="s">
        <v>198</v>
      </c>
      <c r="U412" t="s">
        <v>108</v>
      </c>
    </row>
    <row r="413" spans="1:21" x14ac:dyDescent="0.3">
      <c r="A413" t="s">
        <v>314</v>
      </c>
      <c r="B413" t="s">
        <v>314</v>
      </c>
      <c r="C413" t="s">
        <v>194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315</v>
      </c>
      <c r="L413" t="s">
        <v>316</v>
      </c>
      <c r="M413">
        <v>33</v>
      </c>
      <c r="N413">
        <v>13722</v>
      </c>
      <c r="O413" t="s">
        <v>52</v>
      </c>
      <c r="P413" t="s">
        <v>52</v>
      </c>
      <c r="Q413" t="s">
        <v>197</v>
      </c>
      <c r="R413" t="s">
        <v>53</v>
      </c>
      <c r="S413" t="s">
        <v>116</v>
      </c>
      <c r="T413" t="s">
        <v>198</v>
      </c>
      <c r="U413" t="s">
        <v>108</v>
      </c>
    </row>
    <row r="414" spans="1:21" x14ac:dyDescent="0.3">
      <c r="A414" t="s">
        <v>314</v>
      </c>
      <c r="B414" t="s">
        <v>314</v>
      </c>
      <c r="C414" t="s">
        <v>194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119</v>
      </c>
      <c r="J414" t="s">
        <v>58</v>
      </c>
      <c r="K414" t="s">
        <v>320</v>
      </c>
      <c r="L414" t="s">
        <v>318</v>
      </c>
      <c r="M414">
        <v>33</v>
      </c>
      <c r="O414" t="s">
        <v>52</v>
      </c>
      <c r="P414" t="s">
        <v>52</v>
      </c>
      <c r="Q414" t="s">
        <v>197</v>
      </c>
      <c r="R414" t="s">
        <v>53</v>
      </c>
      <c r="S414" t="s">
        <v>116</v>
      </c>
      <c r="T414" t="s">
        <v>198</v>
      </c>
      <c r="U414" t="s">
        <v>108</v>
      </c>
    </row>
    <row r="415" spans="1:21" x14ac:dyDescent="0.3">
      <c r="A415" t="s">
        <v>314</v>
      </c>
      <c r="B415" t="s">
        <v>314</v>
      </c>
      <c r="C415" t="s">
        <v>194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117</v>
      </c>
      <c r="J415" t="s">
        <v>51</v>
      </c>
      <c r="K415" t="s">
        <v>317</v>
      </c>
      <c r="L415" t="s">
        <v>318</v>
      </c>
      <c r="M415">
        <v>33</v>
      </c>
      <c r="O415" t="s">
        <v>52</v>
      </c>
      <c r="P415" t="s">
        <v>52</v>
      </c>
      <c r="Q415" t="s">
        <v>197</v>
      </c>
      <c r="R415" t="s">
        <v>53</v>
      </c>
      <c r="S415" t="s">
        <v>116</v>
      </c>
      <c r="T415" t="s">
        <v>198</v>
      </c>
      <c r="U415" t="s">
        <v>108</v>
      </c>
    </row>
    <row r="416" spans="1:21" x14ac:dyDescent="0.3">
      <c r="A416" t="s">
        <v>314</v>
      </c>
      <c r="B416" t="s">
        <v>314</v>
      </c>
      <c r="C416" t="s">
        <v>194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321</v>
      </c>
      <c r="L416" t="s">
        <v>316</v>
      </c>
      <c r="M416">
        <v>33</v>
      </c>
      <c r="N416">
        <v>13722</v>
      </c>
      <c r="O416" t="s">
        <v>52</v>
      </c>
      <c r="P416" t="s">
        <v>52</v>
      </c>
      <c r="Q416" t="s">
        <v>197</v>
      </c>
      <c r="R416" t="s">
        <v>53</v>
      </c>
      <c r="S416" t="s">
        <v>116</v>
      </c>
      <c r="T416" t="s">
        <v>198</v>
      </c>
      <c r="U416" t="s">
        <v>108</v>
      </c>
    </row>
    <row r="417" spans="1:21" x14ac:dyDescent="0.3">
      <c r="A417" t="s">
        <v>323</v>
      </c>
      <c r="B417" t="s">
        <v>323</v>
      </c>
      <c r="C417" t="s">
        <v>194</v>
      </c>
      <c r="D417">
        <v>1</v>
      </c>
      <c r="E417" t="s">
        <v>107</v>
      </c>
      <c r="F417">
        <v>1</v>
      </c>
      <c r="G417">
        <v>269</v>
      </c>
      <c r="H417">
        <v>269</v>
      </c>
      <c r="I417" t="s">
        <v>117</v>
      </c>
      <c r="J417" t="s">
        <v>51</v>
      </c>
      <c r="K417" t="s">
        <v>324</v>
      </c>
      <c r="L417" t="s">
        <v>325</v>
      </c>
      <c r="M417">
        <v>33</v>
      </c>
      <c r="N417">
        <v>14695</v>
      </c>
      <c r="O417" t="s">
        <v>52</v>
      </c>
      <c r="P417" t="s">
        <v>52</v>
      </c>
      <c r="Q417" t="s">
        <v>197</v>
      </c>
      <c r="R417" t="s">
        <v>53</v>
      </c>
      <c r="S417" t="s">
        <v>116</v>
      </c>
      <c r="T417" t="s">
        <v>198</v>
      </c>
      <c r="U417" t="s">
        <v>108</v>
      </c>
    </row>
    <row r="418" spans="1:21" x14ac:dyDescent="0.3">
      <c r="A418" t="s">
        <v>323</v>
      </c>
      <c r="B418" t="s">
        <v>323</v>
      </c>
      <c r="C418" t="s">
        <v>194</v>
      </c>
      <c r="D418">
        <v>1</v>
      </c>
      <c r="E418" t="s">
        <v>107</v>
      </c>
      <c r="F418">
        <v>1</v>
      </c>
      <c r="G418">
        <v>4</v>
      </c>
      <c r="H418">
        <v>4</v>
      </c>
      <c r="I418" t="s">
        <v>119</v>
      </c>
      <c r="J418" t="s">
        <v>58</v>
      </c>
      <c r="K418" t="s">
        <v>326</v>
      </c>
      <c r="L418" t="s">
        <v>325</v>
      </c>
      <c r="M418">
        <v>33</v>
      </c>
      <c r="N418">
        <v>14695</v>
      </c>
      <c r="O418" t="s">
        <v>52</v>
      </c>
      <c r="P418" t="s">
        <v>52</v>
      </c>
      <c r="Q418" t="s">
        <v>197</v>
      </c>
      <c r="R418" t="s">
        <v>53</v>
      </c>
      <c r="S418" t="s">
        <v>116</v>
      </c>
      <c r="T418" t="s">
        <v>198</v>
      </c>
      <c r="U418" t="s">
        <v>108</v>
      </c>
    </row>
    <row r="419" spans="1:21" x14ac:dyDescent="0.3">
      <c r="A419" t="s">
        <v>323</v>
      </c>
      <c r="B419" t="s">
        <v>323</v>
      </c>
      <c r="C419" t="s">
        <v>194</v>
      </c>
      <c r="D419">
        <v>1</v>
      </c>
      <c r="E419" t="s">
        <v>107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327</v>
      </c>
      <c r="L419" t="s">
        <v>328</v>
      </c>
      <c r="M419">
        <v>33</v>
      </c>
      <c r="N419">
        <v>14013</v>
      </c>
      <c r="O419" t="s">
        <v>52</v>
      </c>
      <c r="P419" t="s">
        <v>52</v>
      </c>
      <c r="Q419" t="s">
        <v>197</v>
      </c>
      <c r="R419" t="s">
        <v>53</v>
      </c>
      <c r="S419" t="s">
        <v>116</v>
      </c>
      <c r="T419" t="s">
        <v>198</v>
      </c>
      <c r="U419" t="s">
        <v>108</v>
      </c>
    </row>
    <row r="420" spans="1:21" x14ac:dyDescent="0.3">
      <c r="A420" t="s">
        <v>323</v>
      </c>
      <c r="B420" t="s">
        <v>323</v>
      </c>
      <c r="C420" t="s">
        <v>194</v>
      </c>
      <c r="D420">
        <v>1</v>
      </c>
      <c r="E420" t="s">
        <v>107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329</v>
      </c>
      <c r="L420" t="s">
        <v>328</v>
      </c>
      <c r="M420">
        <v>33</v>
      </c>
      <c r="N420">
        <v>14013</v>
      </c>
      <c r="O420" t="s">
        <v>52</v>
      </c>
      <c r="P420" t="s">
        <v>52</v>
      </c>
      <c r="Q420" t="s">
        <v>197</v>
      </c>
      <c r="R420" t="s">
        <v>53</v>
      </c>
      <c r="S420" t="s">
        <v>116</v>
      </c>
      <c r="T420" t="s">
        <v>198</v>
      </c>
      <c r="U420" t="s">
        <v>108</v>
      </c>
    </row>
    <row r="421" spans="1:21" x14ac:dyDescent="0.3">
      <c r="A421" t="s">
        <v>323</v>
      </c>
      <c r="B421" t="s">
        <v>323</v>
      </c>
      <c r="C421" t="s">
        <v>194</v>
      </c>
      <c r="D421">
        <v>1</v>
      </c>
      <c r="E421" t="s">
        <v>107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330</v>
      </c>
      <c r="L421" t="s">
        <v>328</v>
      </c>
      <c r="M421">
        <v>33</v>
      </c>
      <c r="N421">
        <v>14013</v>
      </c>
      <c r="O421" t="s">
        <v>52</v>
      </c>
      <c r="P421" t="s">
        <v>52</v>
      </c>
      <c r="Q421" t="s">
        <v>197</v>
      </c>
      <c r="R421" t="s">
        <v>53</v>
      </c>
      <c r="S421" t="s">
        <v>116</v>
      </c>
      <c r="T421" t="s">
        <v>198</v>
      </c>
      <c r="U421" t="s">
        <v>108</v>
      </c>
    </row>
    <row r="422" spans="1:21" x14ac:dyDescent="0.3">
      <c r="A422" t="s">
        <v>323</v>
      </c>
      <c r="B422" t="s">
        <v>323</v>
      </c>
      <c r="C422" t="s">
        <v>194</v>
      </c>
      <c r="D422">
        <v>1</v>
      </c>
      <c r="E422" t="s">
        <v>107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331</v>
      </c>
      <c r="L422" t="s">
        <v>328</v>
      </c>
      <c r="M422">
        <v>33</v>
      </c>
      <c r="N422">
        <v>14013</v>
      </c>
      <c r="O422" t="s">
        <v>52</v>
      </c>
      <c r="P422" t="s">
        <v>52</v>
      </c>
      <c r="Q422" t="s">
        <v>197</v>
      </c>
      <c r="R422" t="s">
        <v>53</v>
      </c>
      <c r="S422" t="s">
        <v>116</v>
      </c>
      <c r="T422" t="s">
        <v>198</v>
      </c>
      <c r="U422" t="s">
        <v>108</v>
      </c>
    </row>
    <row r="423" spans="1:21" x14ac:dyDescent="0.3">
      <c r="A423" t="s">
        <v>323</v>
      </c>
      <c r="B423" t="s">
        <v>323</v>
      </c>
      <c r="C423" t="s">
        <v>194</v>
      </c>
      <c r="D423">
        <v>2</v>
      </c>
      <c r="E423" t="s">
        <v>118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329</v>
      </c>
      <c r="L423" t="s">
        <v>328</v>
      </c>
      <c r="M423">
        <v>33</v>
      </c>
      <c r="N423">
        <v>14013</v>
      </c>
      <c r="O423" t="s">
        <v>52</v>
      </c>
      <c r="P423" t="s">
        <v>52</v>
      </c>
      <c r="Q423" t="s">
        <v>197</v>
      </c>
      <c r="R423" t="s">
        <v>53</v>
      </c>
      <c r="S423" t="s">
        <v>116</v>
      </c>
      <c r="T423" t="s">
        <v>198</v>
      </c>
      <c r="U423" t="s">
        <v>108</v>
      </c>
    </row>
    <row r="424" spans="1:21" x14ac:dyDescent="0.3">
      <c r="A424" t="s">
        <v>323</v>
      </c>
      <c r="B424" t="s">
        <v>323</v>
      </c>
      <c r="C424" t="s">
        <v>194</v>
      </c>
      <c r="D424">
        <v>2</v>
      </c>
      <c r="E424" t="s">
        <v>118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327</v>
      </c>
      <c r="L424" t="s">
        <v>328</v>
      </c>
      <c r="M424">
        <v>33</v>
      </c>
      <c r="N424">
        <v>14013</v>
      </c>
      <c r="O424" t="s">
        <v>52</v>
      </c>
      <c r="P424" t="s">
        <v>52</v>
      </c>
      <c r="Q424" t="s">
        <v>197</v>
      </c>
      <c r="R424" t="s">
        <v>53</v>
      </c>
      <c r="S424" t="s">
        <v>116</v>
      </c>
      <c r="T424" t="s">
        <v>198</v>
      </c>
      <c r="U424" t="s">
        <v>108</v>
      </c>
    </row>
    <row r="425" spans="1:21" x14ac:dyDescent="0.3">
      <c r="A425" t="s">
        <v>323</v>
      </c>
      <c r="B425" t="s">
        <v>323</v>
      </c>
      <c r="C425" t="s">
        <v>194</v>
      </c>
      <c r="D425">
        <v>2</v>
      </c>
      <c r="E425" t="s">
        <v>118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330</v>
      </c>
      <c r="L425" t="s">
        <v>328</v>
      </c>
      <c r="M425">
        <v>33</v>
      </c>
      <c r="N425">
        <v>14013</v>
      </c>
      <c r="O425" t="s">
        <v>52</v>
      </c>
      <c r="P425" t="s">
        <v>52</v>
      </c>
      <c r="Q425" t="s">
        <v>197</v>
      </c>
      <c r="R425" t="s">
        <v>53</v>
      </c>
      <c r="S425" t="s">
        <v>116</v>
      </c>
      <c r="T425" t="s">
        <v>198</v>
      </c>
      <c r="U425" t="s">
        <v>108</v>
      </c>
    </row>
    <row r="426" spans="1:21" x14ac:dyDescent="0.3">
      <c r="A426" t="s">
        <v>323</v>
      </c>
      <c r="B426" t="s">
        <v>323</v>
      </c>
      <c r="C426" t="s">
        <v>194</v>
      </c>
      <c r="D426">
        <v>2</v>
      </c>
      <c r="E426" t="s">
        <v>118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331</v>
      </c>
      <c r="L426" t="s">
        <v>328</v>
      </c>
      <c r="M426">
        <v>33</v>
      </c>
      <c r="N426">
        <v>14013</v>
      </c>
      <c r="O426" t="s">
        <v>52</v>
      </c>
      <c r="P426" t="s">
        <v>52</v>
      </c>
      <c r="Q426" t="s">
        <v>197</v>
      </c>
      <c r="R426" t="s">
        <v>53</v>
      </c>
      <c r="S426" t="s">
        <v>116</v>
      </c>
      <c r="T426" t="s">
        <v>198</v>
      </c>
      <c r="U426" t="s">
        <v>108</v>
      </c>
    </row>
    <row r="427" spans="1:21" x14ac:dyDescent="0.3">
      <c r="A427" t="s">
        <v>323</v>
      </c>
      <c r="B427" t="s">
        <v>323</v>
      </c>
      <c r="C427" t="s">
        <v>194</v>
      </c>
      <c r="D427">
        <v>3</v>
      </c>
      <c r="E427" t="s">
        <v>105</v>
      </c>
      <c r="F427">
        <v>1</v>
      </c>
      <c r="G427">
        <v>1</v>
      </c>
      <c r="H427">
        <v>1</v>
      </c>
      <c r="I427" t="s">
        <v>119</v>
      </c>
      <c r="J427" t="s">
        <v>58</v>
      </c>
      <c r="K427" t="s">
        <v>326</v>
      </c>
      <c r="L427" t="s">
        <v>325</v>
      </c>
      <c r="M427">
        <v>33</v>
      </c>
      <c r="N427">
        <v>14695</v>
      </c>
      <c r="O427" t="s">
        <v>52</v>
      </c>
      <c r="P427" t="s">
        <v>52</v>
      </c>
      <c r="Q427" t="s">
        <v>197</v>
      </c>
      <c r="R427" t="s">
        <v>53</v>
      </c>
      <c r="S427" t="s">
        <v>116</v>
      </c>
      <c r="T427" t="s">
        <v>198</v>
      </c>
      <c r="U427" t="s">
        <v>108</v>
      </c>
    </row>
    <row r="428" spans="1:21" x14ac:dyDescent="0.3">
      <c r="A428" t="s">
        <v>323</v>
      </c>
      <c r="B428" t="s">
        <v>323</v>
      </c>
      <c r="C428" t="s">
        <v>194</v>
      </c>
      <c r="D428">
        <v>3</v>
      </c>
      <c r="E428" t="s">
        <v>105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327</v>
      </c>
      <c r="L428" t="s">
        <v>328</v>
      </c>
      <c r="M428">
        <v>33</v>
      </c>
      <c r="N428">
        <v>14013</v>
      </c>
      <c r="O428" t="s">
        <v>52</v>
      </c>
      <c r="P428" t="s">
        <v>52</v>
      </c>
      <c r="Q428" t="s">
        <v>197</v>
      </c>
      <c r="R428" t="s">
        <v>53</v>
      </c>
      <c r="S428" t="s">
        <v>116</v>
      </c>
      <c r="T428" t="s">
        <v>198</v>
      </c>
      <c r="U428" t="s">
        <v>108</v>
      </c>
    </row>
    <row r="429" spans="1:21" x14ac:dyDescent="0.3">
      <c r="A429" t="s">
        <v>323</v>
      </c>
      <c r="B429" t="s">
        <v>323</v>
      </c>
      <c r="C429" t="s">
        <v>194</v>
      </c>
      <c r="D429">
        <v>3</v>
      </c>
      <c r="E429" t="s">
        <v>105</v>
      </c>
      <c r="F429">
        <v>1</v>
      </c>
      <c r="G429">
        <v>38</v>
      </c>
      <c r="H429">
        <v>38</v>
      </c>
      <c r="I429" t="s">
        <v>117</v>
      </c>
      <c r="J429" t="s">
        <v>51</v>
      </c>
      <c r="K429" t="s">
        <v>324</v>
      </c>
      <c r="L429" t="s">
        <v>325</v>
      </c>
      <c r="M429">
        <v>33</v>
      </c>
      <c r="N429">
        <v>14695</v>
      </c>
      <c r="O429" t="s">
        <v>52</v>
      </c>
      <c r="P429" t="s">
        <v>52</v>
      </c>
      <c r="Q429" t="s">
        <v>197</v>
      </c>
      <c r="R429" t="s">
        <v>53</v>
      </c>
      <c r="S429" t="s">
        <v>116</v>
      </c>
      <c r="T429" t="s">
        <v>198</v>
      </c>
      <c r="U429" t="s">
        <v>108</v>
      </c>
    </row>
    <row r="430" spans="1:21" x14ac:dyDescent="0.3">
      <c r="A430" t="s">
        <v>323</v>
      </c>
      <c r="B430" t="s">
        <v>323</v>
      </c>
      <c r="C430" t="s">
        <v>194</v>
      </c>
      <c r="D430">
        <v>3</v>
      </c>
      <c r="E430" t="s">
        <v>105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330</v>
      </c>
      <c r="L430" t="s">
        <v>328</v>
      </c>
      <c r="M430">
        <v>33</v>
      </c>
      <c r="N430">
        <v>14013</v>
      </c>
      <c r="O430" t="s">
        <v>52</v>
      </c>
      <c r="P430" t="s">
        <v>52</v>
      </c>
      <c r="Q430" t="s">
        <v>197</v>
      </c>
      <c r="R430" t="s">
        <v>53</v>
      </c>
      <c r="S430" t="s">
        <v>116</v>
      </c>
      <c r="T430" t="s">
        <v>198</v>
      </c>
      <c r="U430" t="s">
        <v>108</v>
      </c>
    </row>
    <row r="431" spans="1:21" x14ac:dyDescent="0.3">
      <c r="A431" t="s">
        <v>323</v>
      </c>
      <c r="B431" t="s">
        <v>323</v>
      </c>
      <c r="C431" t="s">
        <v>194</v>
      </c>
      <c r="D431">
        <v>3</v>
      </c>
      <c r="E431" t="s">
        <v>105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331</v>
      </c>
      <c r="L431" t="s">
        <v>328</v>
      </c>
      <c r="M431">
        <v>33</v>
      </c>
      <c r="N431">
        <v>14013</v>
      </c>
      <c r="O431" t="s">
        <v>52</v>
      </c>
      <c r="P431" t="s">
        <v>52</v>
      </c>
      <c r="Q431" t="s">
        <v>197</v>
      </c>
      <c r="R431" t="s">
        <v>53</v>
      </c>
      <c r="S431" t="s">
        <v>116</v>
      </c>
      <c r="T431" t="s">
        <v>198</v>
      </c>
      <c r="U431" t="s">
        <v>108</v>
      </c>
    </row>
    <row r="432" spans="1:21" x14ac:dyDescent="0.3">
      <c r="A432" t="s">
        <v>323</v>
      </c>
      <c r="B432" t="s">
        <v>323</v>
      </c>
      <c r="C432" t="s">
        <v>194</v>
      </c>
      <c r="D432">
        <v>3</v>
      </c>
      <c r="E432" t="s">
        <v>105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329</v>
      </c>
      <c r="L432" t="s">
        <v>328</v>
      </c>
      <c r="M432">
        <v>33</v>
      </c>
      <c r="N432">
        <v>14013</v>
      </c>
      <c r="O432" t="s">
        <v>52</v>
      </c>
      <c r="P432" t="s">
        <v>52</v>
      </c>
      <c r="Q432" t="s">
        <v>197</v>
      </c>
      <c r="R432" t="s">
        <v>53</v>
      </c>
      <c r="S432" t="s">
        <v>116</v>
      </c>
      <c r="T432" t="s">
        <v>198</v>
      </c>
      <c r="U432" t="s">
        <v>108</v>
      </c>
    </row>
    <row r="433" spans="1:21" x14ac:dyDescent="0.3">
      <c r="A433" t="s">
        <v>323</v>
      </c>
      <c r="B433" t="s">
        <v>323</v>
      </c>
      <c r="C433" t="s">
        <v>194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331</v>
      </c>
      <c r="L433" t="s">
        <v>328</v>
      </c>
      <c r="M433">
        <v>33</v>
      </c>
      <c r="N433">
        <v>14013</v>
      </c>
      <c r="O433" t="s">
        <v>52</v>
      </c>
      <c r="P433" t="s">
        <v>52</v>
      </c>
      <c r="Q433" t="s">
        <v>197</v>
      </c>
      <c r="R433" t="s">
        <v>53</v>
      </c>
      <c r="S433" t="s">
        <v>116</v>
      </c>
      <c r="T433" t="s">
        <v>198</v>
      </c>
      <c r="U433" t="s">
        <v>108</v>
      </c>
    </row>
    <row r="434" spans="1:21" x14ac:dyDescent="0.3">
      <c r="A434" t="s">
        <v>323</v>
      </c>
      <c r="B434" t="s">
        <v>323</v>
      </c>
      <c r="C434" t="s">
        <v>194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327</v>
      </c>
      <c r="L434" t="s">
        <v>328</v>
      </c>
      <c r="M434">
        <v>33</v>
      </c>
      <c r="N434">
        <v>14013</v>
      </c>
      <c r="O434" t="s">
        <v>52</v>
      </c>
      <c r="P434" t="s">
        <v>52</v>
      </c>
      <c r="Q434" t="s">
        <v>197</v>
      </c>
      <c r="R434" t="s">
        <v>53</v>
      </c>
      <c r="S434" t="s">
        <v>116</v>
      </c>
      <c r="T434" t="s">
        <v>198</v>
      </c>
      <c r="U434" t="s">
        <v>108</v>
      </c>
    </row>
    <row r="435" spans="1:21" x14ac:dyDescent="0.3">
      <c r="A435" t="s">
        <v>323</v>
      </c>
      <c r="B435" t="s">
        <v>323</v>
      </c>
      <c r="C435" t="s">
        <v>194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119</v>
      </c>
      <c r="J435" t="s">
        <v>58</v>
      </c>
      <c r="K435" t="s">
        <v>326</v>
      </c>
      <c r="L435" t="s">
        <v>325</v>
      </c>
      <c r="M435">
        <v>33</v>
      </c>
      <c r="N435">
        <v>14695</v>
      </c>
      <c r="O435" t="s">
        <v>52</v>
      </c>
      <c r="P435" t="s">
        <v>52</v>
      </c>
      <c r="Q435" t="s">
        <v>197</v>
      </c>
      <c r="R435" t="s">
        <v>53</v>
      </c>
      <c r="S435" t="s">
        <v>116</v>
      </c>
      <c r="T435" t="s">
        <v>198</v>
      </c>
      <c r="U435" t="s">
        <v>108</v>
      </c>
    </row>
    <row r="436" spans="1:21" x14ac:dyDescent="0.3">
      <c r="A436" t="s">
        <v>323</v>
      </c>
      <c r="B436" t="s">
        <v>323</v>
      </c>
      <c r="C436" t="s">
        <v>194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117</v>
      </c>
      <c r="J436" t="s">
        <v>51</v>
      </c>
      <c r="K436" t="s">
        <v>324</v>
      </c>
      <c r="L436" t="s">
        <v>325</v>
      </c>
      <c r="M436">
        <v>33</v>
      </c>
      <c r="N436">
        <v>14695</v>
      </c>
      <c r="O436" t="s">
        <v>52</v>
      </c>
      <c r="P436" t="s">
        <v>52</v>
      </c>
      <c r="Q436" t="s">
        <v>197</v>
      </c>
      <c r="R436" t="s">
        <v>53</v>
      </c>
      <c r="S436" t="s">
        <v>116</v>
      </c>
      <c r="T436" t="s">
        <v>198</v>
      </c>
      <c r="U436" t="s">
        <v>108</v>
      </c>
    </row>
    <row r="437" spans="1:21" x14ac:dyDescent="0.3">
      <c r="A437" t="s">
        <v>323</v>
      </c>
      <c r="B437" t="s">
        <v>323</v>
      </c>
      <c r="C437" t="s">
        <v>194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329</v>
      </c>
      <c r="L437" t="s">
        <v>328</v>
      </c>
      <c r="M437">
        <v>33</v>
      </c>
      <c r="N437">
        <v>14013</v>
      </c>
      <c r="O437" t="s">
        <v>52</v>
      </c>
      <c r="P437" t="s">
        <v>52</v>
      </c>
      <c r="Q437" t="s">
        <v>197</v>
      </c>
      <c r="R437" t="s">
        <v>53</v>
      </c>
      <c r="S437" t="s">
        <v>116</v>
      </c>
      <c r="T437" t="s">
        <v>198</v>
      </c>
      <c r="U437" t="s">
        <v>108</v>
      </c>
    </row>
    <row r="438" spans="1:21" x14ac:dyDescent="0.3">
      <c r="A438" t="s">
        <v>323</v>
      </c>
      <c r="B438" t="s">
        <v>323</v>
      </c>
      <c r="C438" t="s">
        <v>194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330</v>
      </c>
      <c r="L438" t="s">
        <v>328</v>
      </c>
      <c r="M438">
        <v>33</v>
      </c>
      <c r="N438">
        <v>14013</v>
      </c>
      <c r="O438" t="s">
        <v>52</v>
      </c>
      <c r="P438" t="s">
        <v>52</v>
      </c>
      <c r="Q438" t="s">
        <v>197</v>
      </c>
      <c r="R438" t="s">
        <v>53</v>
      </c>
      <c r="S438" t="s">
        <v>116</v>
      </c>
      <c r="T438" t="s">
        <v>198</v>
      </c>
      <c r="U438" t="s">
        <v>108</v>
      </c>
    </row>
    <row r="439" spans="1:21" x14ac:dyDescent="0.3">
      <c r="A439" t="s">
        <v>323</v>
      </c>
      <c r="B439" t="s">
        <v>323</v>
      </c>
      <c r="C439" t="s">
        <v>194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331</v>
      </c>
      <c r="L439" t="s">
        <v>328</v>
      </c>
      <c r="M439">
        <v>33</v>
      </c>
      <c r="N439">
        <v>14013</v>
      </c>
      <c r="O439" t="s">
        <v>52</v>
      </c>
      <c r="P439" t="s">
        <v>52</v>
      </c>
      <c r="Q439" t="s">
        <v>197</v>
      </c>
      <c r="R439" t="s">
        <v>53</v>
      </c>
      <c r="S439" t="s">
        <v>116</v>
      </c>
      <c r="T439" t="s">
        <v>198</v>
      </c>
      <c r="U439" t="s">
        <v>108</v>
      </c>
    </row>
    <row r="440" spans="1:21" x14ac:dyDescent="0.3">
      <c r="A440" t="s">
        <v>323</v>
      </c>
      <c r="B440" t="s">
        <v>323</v>
      </c>
      <c r="C440" t="s">
        <v>194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330</v>
      </c>
      <c r="L440" t="s">
        <v>328</v>
      </c>
      <c r="M440">
        <v>33</v>
      </c>
      <c r="N440">
        <v>14013</v>
      </c>
      <c r="O440" t="s">
        <v>52</v>
      </c>
      <c r="P440" t="s">
        <v>52</v>
      </c>
      <c r="Q440" t="s">
        <v>197</v>
      </c>
      <c r="R440" t="s">
        <v>53</v>
      </c>
      <c r="S440" t="s">
        <v>116</v>
      </c>
      <c r="T440" t="s">
        <v>198</v>
      </c>
      <c r="U440" t="s">
        <v>108</v>
      </c>
    </row>
    <row r="441" spans="1:21" x14ac:dyDescent="0.3">
      <c r="A441" t="s">
        <v>323</v>
      </c>
      <c r="B441" t="s">
        <v>323</v>
      </c>
      <c r="C441" t="s">
        <v>194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327</v>
      </c>
      <c r="L441" t="s">
        <v>328</v>
      </c>
      <c r="M441">
        <v>33</v>
      </c>
      <c r="N441">
        <v>14013</v>
      </c>
      <c r="O441" t="s">
        <v>52</v>
      </c>
      <c r="P441" t="s">
        <v>52</v>
      </c>
      <c r="Q441" t="s">
        <v>197</v>
      </c>
      <c r="R441" t="s">
        <v>53</v>
      </c>
      <c r="S441" t="s">
        <v>116</v>
      </c>
      <c r="T441" t="s">
        <v>198</v>
      </c>
      <c r="U441" t="s">
        <v>108</v>
      </c>
    </row>
    <row r="442" spans="1:21" x14ac:dyDescent="0.3">
      <c r="A442" t="s">
        <v>323</v>
      </c>
      <c r="B442" t="s">
        <v>323</v>
      </c>
      <c r="C442" t="s">
        <v>194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117</v>
      </c>
      <c r="J442" t="s">
        <v>51</v>
      </c>
      <c r="K442" t="s">
        <v>324</v>
      </c>
      <c r="L442" t="s">
        <v>325</v>
      </c>
      <c r="M442">
        <v>33</v>
      </c>
      <c r="N442">
        <v>14695</v>
      </c>
      <c r="O442" t="s">
        <v>52</v>
      </c>
      <c r="P442" t="s">
        <v>52</v>
      </c>
      <c r="Q442" t="s">
        <v>197</v>
      </c>
      <c r="R442" t="s">
        <v>53</v>
      </c>
      <c r="S442" t="s">
        <v>116</v>
      </c>
      <c r="T442" t="s">
        <v>198</v>
      </c>
      <c r="U442" t="s">
        <v>108</v>
      </c>
    </row>
    <row r="443" spans="1:21" x14ac:dyDescent="0.3">
      <c r="A443" t="s">
        <v>323</v>
      </c>
      <c r="B443" t="s">
        <v>323</v>
      </c>
      <c r="C443" t="s">
        <v>194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329</v>
      </c>
      <c r="L443" t="s">
        <v>328</v>
      </c>
      <c r="M443">
        <v>33</v>
      </c>
      <c r="N443">
        <v>14013</v>
      </c>
      <c r="O443" t="s">
        <v>52</v>
      </c>
      <c r="P443" t="s">
        <v>52</v>
      </c>
      <c r="Q443" t="s">
        <v>197</v>
      </c>
      <c r="R443" t="s">
        <v>53</v>
      </c>
      <c r="S443" t="s">
        <v>116</v>
      </c>
      <c r="T443" t="s">
        <v>198</v>
      </c>
      <c r="U443" t="s">
        <v>108</v>
      </c>
    </row>
    <row r="444" spans="1:21" x14ac:dyDescent="0.3">
      <c r="A444" t="s">
        <v>332</v>
      </c>
      <c r="B444" t="s">
        <v>332</v>
      </c>
      <c r="C444" t="s">
        <v>194</v>
      </c>
      <c r="D444">
        <v>1</v>
      </c>
      <c r="E444" t="s">
        <v>107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333</v>
      </c>
      <c r="L444" t="s">
        <v>334</v>
      </c>
      <c r="M444">
        <v>33</v>
      </c>
      <c r="N444">
        <v>14392</v>
      </c>
      <c r="O444" t="s">
        <v>52</v>
      </c>
      <c r="P444" t="s">
        <v>52</v>
      </c>
      <c r="Q444" t="s">
        <v>197</v>
      </c>
      <c r="R444" t="s">
        <v>53</v>
      </c>
      <c r="S444" t="s">
        <v>116</v>
      </c>
      <c r="T444" t="s">
        <v>198</v>
      </c>
      <c r="U444" t="s">
        <v>108</v>
      </c>
    </row>
    <row r="445" spans="1:21" x14ac:dyDescent="0.3">
      <c r="A445" t="s">
        <v>332</v>
      </c>
      <c r="B445" t="s">
        <v>332</v>
      </c>
      <c r="C445" t="s">
        <v>194</v>
      </c>
      <c r="D445">
        <v>1</v>
      </c>
      <c r="E445" t="s">
        <v>107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335</v>
      </c>
      <c r="L445" t="s">
        <v>334</v>
      </c>
      <c r="M445">
        <v>33</v>
      </c>
      <c r="N445">
        <v>14392</v>
      </c>
      <c r="O445" t="s">
        <v>52</v>
      </c>
      <c r="P445" t="s">
        <v>52</v>
      </c>
      <c r="Q445" t="s">
        <v>197</v>
      </c>
      <c r="R445" t="s">
        <v>53</v>
      </c>
      <c r="S445" t="s">
        <v>116</v>
      </c>
      <c r="T445" t="s">
        <v>198</v>
      </c>
      <c r="U445" t="s">
        <v>108</v>
      </c>
    </row>
    <row r="446" spans="1:21" x14ac:dyDescent="0.3">
      <c r="A446" t="s">
        <v>332</v>
      </c>
      <c r="B446" t="s">
        <v>332</v>
      </c>
      <c r="C446" t="s">
        <v>194</v>
      </c>
      <c r="D446">
        <v>1</v>
      </c>
      <c r="E446" t="s">
        <v>107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336</v>
      </c>
      <c r="L446" t="s">
        <v>334</v>
      </c>
      <c r="M446">
        <v>33</v>
      </c>
      <c r="N446">
        <v>14392</v>
      </c>
      <c r="O446" t="s">
        <v>52</v>
      </c>
      <c r="P446" t="s">
        <v>52</v>
      </c>
      <c r="Q446" t="s">
        <v>197</v>
      </c>
      <c r="R446" t="s">
        <v>53</v>
      </c>
      <c r="S446" t="s">
        <v>116</v>
      </c>
      <c r="T446" t="s">
        <v>198</v>
      </c>
      <c r="U446" t="s">
        <v>108</v>
      </c>
    </row>
    <row r="447" spans="1:21" x14ac:dyDescent="0.3">
      <c r="A447" t="s">
        <v>332</v>
      </c>
      <c r="B447" t="s">
        <v>332</v>
      </c>
      <c r="C447" t="s">
        <v>194</v>
      </c>
      <c r="D447">
        <v>1</v>
      </c>
      <c r="E447" t="s">
        <v>107</v>
      </c>
      <c r="F447">
        <v>1</v>
      </c>
      <c r="G447">
        <v>-21</v>
      </c>
      <c r="H447">
        <v>-21</v>
      </c>
      <c r="I447" t="s">
        <v>119</v>
      </c>
      <c r="J447" t="s">
        <v>58</v>
      </c>
      <c r="K447" t="s">
        <v>337</v>
      </c>
      <c r="L447" t="s">
        <v>338</v>
      </c>
      <c r="M447">
        <v>61</v>
      </c>
      <c r="O447" t="s">
        <v>52</v>
      </c>
      <c r="P447" t="s">
        <v>52</v>
      </c>
      <c r="Q447" t="s">
        <v>197</v>
      </c>
      <c r="R447" t="s">
        <v>53</v>
      </c>
      <c r="S447" t="s">
        <v>116</v>
      </c>
      <c r="T447" t="s">
        <v>198</v>
      </c>
      <c r="U447" t="s">
        <v>108</v>
      </c>
    </row>
    <row r="448" spans="1:21" x14ac:dyDescent="0.3">
      <c r="A448" t="s">
        <v>332</v>
      </c>
      <c r="B448" t="s">
        <v>332</v>
      </c>
      <c r="C448" t="s">
        <v>194</v>
      </c>
      <c r="D448">
        <v>1</v>
      </c>
      <c r="E448" t="s">
        <v>107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339</v>
      </c>
      <c r="L448" t="s">
        <v>334</v>
      </c>
      <c r="M448">
        <v>33</v>
      </c>
      <c r="N448">
        <v>14392</v>
      </c>
      <c r="O448" t="s">
        <v>52</v>
      </c>
      <c r="P448" t="s">
        <v>52</v>
      </c>
      <c r="Q448" t="s">
        <v>197</v>
      </c>
      <c r="R448" t="s">
        <v>53</v>
      </c>
      <c r="S448" t="s">
        <v>116</v>
      </c>
      <c r="T448" t="s">
        <v>198</v>
      </c>
      <c r="U448" t="s">
        <v>108</v>
      </c>
    </row>
    <row r="449" spans="1:21" x14ac:dyDescent="0.3">
      <c r="A449" t="s">
        <v>332</v>
      </c>
      <c r="B449" t="s">
        <v>332</v>
      </c>
      <c r="C449" t="s">
        <v>194</v>
      </c>
      <c r="D449">
        <v>1</v>
      </c>
      <c r="E449" t="s">
        <v>107</v>
      </c>
      <c r="F449">
        <v>1</v>
      </c>
      <c r="G449">
        <v>-1449</v>
      </c>
      <c r="H449">
        <v>-1449</v>
      </c>
      <c r="I449" t="s">
        <v>117</v>
      </c>
      <c r="J449" t="s">
        <v>51</v>
      </c>
      <c r="K449" t="s">
        <v>340</v>
      </c>
      <c r="L449" t="s">
        <v>338</v>
      </c>
      <c r="M449">
        <v>61</v>
      </c>
      <c r="O449" t="s">
        <v>52</v>
      </c>
      <c r="P449" t="s">
        <v>52</v>
      </c>
      <c r="Q449" t="s">
        <v>197</v>
      </c>
      <c r="R449" t="s">
        <v>53</v>
      </c>
      <c r="S449" t="s">
        <v>116</v>
      </c>
      <c r="T449" t="s">
        <v>198</v>
      </c>
      <c r="U449" t="s">
        <v>108</v>
      </c>
    </row>
    <row r="450" spans="1:21" x14ac:dyDescent="0.3">
      <c r="A450" t="s">
        <v>332</v>
      </c>
      <c r="B450" t="s">
        <v>332</v>
      </c>
      <c r="C450" t="s">
        <v>194</v>
      </c>
      <c r="D450">
        <v>2</v>
      </c>
      <c r="E450" t="s">
        <v>118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339</v>
      </c>
      <c r="L450" t="s">
        <v>334</v>
      </c>
      <c r="M450">
        <v>33</v>
      </c>
      <c r="N450">
        <v>14392</v>
      </c>
      <c r="O450" t="s">
        <v>52</v>
      </c>
      <c r="P450" t="s">
        <v>52</v>
      </c>
      <c r="Q450" t="s">
        <v>197</v>
      </c>
      <c r="R450" t="s">
        <v>53</v>
      </c>
      <c r="S450" t="s">
        <v>116</v>
      </c>
      <c r="T450" t="s">
        <v>198</v>
      </c>
      <c r="U450" t="s">
        <v>108</v>
      </c>
    </row>
    <row r="451" spans="1:21" x14ac:dyDescent="0.3">
      <c r="A451" t="s">
        <v>332</v>
      </c>
      <c r="B451" t="s">
        <v>332</v>
      </c>
      <c r="C451" t="s">
        <v>194</v>
      </c>
      <c r="D451">
        <v>2</v>
      </c>
      <c r="E451" t="s">
        <v>118</v>
      </c>
      <c r="F451">
        <v>1</v>
      </c>
      <c r="G451">
        <v>-3</v>
      </c>
      <c r="H451">
        <v>-3</v>
      </c>
      <c r="I451" t="s">
        <v>117</v>
      </c>
      <c r="J451" t="s">
        <v>51</v>
      </c>
      <c r="K451" t="s">
        <v>340</v>
      </c>
      <c r="L451" t="s">
        <v>338</v>
      </c>
      <c r="M451">
        <v>61</v>
      </c>
      <c r="O451" t="s">
        <v>52</v>
      </c>
      <c r="P451" t="s">
        <v>52</v>
      </c>
      <c r="Q451" t="s">
        <v>197</v>
      </c>
      <c r="R451" t="s">
        <v>53</v>
      </c>
      <c r="S451" t="s">
        <v>116</v>
      </c>
      <c r="T451" t="s">
        <v>198</v>
      </c>
      <c r="U451" t="s">
        <v>108</v>
      </c>
    </row>
    <row r="452" spans="1:21" x14ac:dyDescent="0.3">
      <c r="A452" t="s">
        <v>332</v>
      </c>
      <c r="B452" t="s">
        <v>332</v>
      </c>
      <c r="C452" t="s">
        <v>194</v>
      </c>
      <c r="D452">
        <v>2</v>
      </c>
      <c r="E452" t="s">
        <v>118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333</v>
      </c>
      <c r="L452" t="s">
        <v>334</v>
      </c>
      <c r="M452">
        <v>33</v>
      </c>
      <c r="N452">
        <v>14392</v>
      </c>
      <c r="O452" t="s">
        <v>52</v>
      </c>
      <c r="P452" t="s">
        <v>52</v>
      </c>
      <c r="Q452" t="s">
        <v>197</v>
      </c>
      <c r="R452" t="s">
        <v>53</v>
      </c>
      <c r="S452" t="s">
        <v>116</v>
      </c>
      <c r="T452" t="s">
        <v>198</v>
      </c>
      <c r="U452" t="s">
        <v>108</v>
      </c>
    </row>
    <row r="453" spans="1:21" x14ac:dyDescent="0.3">
      <c r="A453" t="s">
        <v>332</v>
      </c>
      <c r="B453" t="s">
        <v>332</v>
      </c>
      <c r="C453" t="s">
        <v>194</v>
      </c>
      <c r="D453">
        <v>2</v>
      </c>
      <c r="E453" t="s">
        <v>118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336</v>
      </c>
      <c r="L453" t="s">
        <v>334</v>
      </c>
      <c r="M453">
        <v>33</v>
      </c>
      <c r="N453">
        <v>14392</v>
      </c>
      <c r="O453" t="s">
        <v>52</v>
      </c>
      <c r="P453" t="s">
        <v>52</v>
      </c>
      <c r="Q453" t="s">
        <v>197</v>
      </c>
      <c r="R453" t="s">
        <v>53</v>
      </c>
      <c r="S453" t="s">
        <v>116</v>
      </c>
      <c r="T453" t="s">
        <v>198</v>
      </c>
      <c r="U453" t="s">
        <v>108</v>
      </c>
    </row>
    <row r="454" spans="1:21" x14ac:dyDescent="0.3">
      <c r="A454" t="s">
        <v>332</v>
      </c>
      <c r="B454" t="s">
        <v>332</v>
      </c>
      <c r="C454" t="s">
        <v>194</v>
      </c>
      <c r="D454">
        <v>2</v>
      </c>
      <c r="E454" t="s">
        <v>118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335</v>
      </c>
      <c r="L454" t="s">
        <v>334</v>
      </c>
      <c r="M454">
        <v>33</v>
      </c>
      <c r="N454">
        <v>14392</v>
      </c>
      <c r="O454" t="s">
        <v>52</v>
      </c>
      <c r="P454" t="s">
        <v>52</v>
      </c>
      <c r="Q454" t="s">
        <v>197</v>
      </c>
      <c r="R454" t="s">
        <v>53</v>
      </c>
      <c r="S454" t="s">
        <v>116</v>
      </c>
      <c r="T454" t="s">
        <v>198</v>
      </c>
      <c r="U454" t="s">
        <v>108</v>
      </c>
    </row>
    <row r="455" spans="1:21" x14ac:dyDescent="0.3">
      <c r="A455" t="s">
        <v>332</v>
      </c>
      <c r="B455" t="s">
        <v>332</v>
      </c>
      <c r="C455" t="s">
        <v>194</v>
      </c>
      <c r="D455">
        <v>3</v>
      </c>
      <c r="E455" t="s">
        <v>105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335</v>
      </c>
      <c r="L455" t="s">
        <v>334</v>
      </c>
      <c r="M455">
        <v>33</v>
      </c>
      <c r="N455">
        <v>14392</v>
      </c>
      <c r="O455" t="s">
        <v>52</v>
      </c>
      <c r="P455" t="s">
        <v>52</v>
      </c>
      <c r="Q455" t="s">
        <v>197</v>
      </c>
      <c r="R455" t="s">
        <v>53</v>
      </c>
      <c r="S455" t="s">
        <v>116</v>
      </c>
      <c r="T455" t="s">
        <v>198</v>
      </c>
      <c r="U455" t="s">
        <v>108</v>
      </c>
    </row>
    <row r="456" spans="1:21" x14ac:dyDescent="0.3">
      <c r="A456" t="s">
        <v>332</v>
      </c>
      <c r="B456" t="s">
        <v>332</v>
      </c>
      <c r="C456" t="s">
        <v>194</v>
      </c>
      <c r="D456">
        <v>3</v>
      </c>
      <c r="E456" t="s">
        <v>105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333</v>
      </c>
      <c r="L456" t="s">
        <v>334</v>
      </c>
      <c r="M456">
        <v>33</v>
      </c>
      <c r="N456">
        <v>14392</v>
      </c>
      <c r="O456" t="s">
        <v>52</v>
      </c>
      <c r="P456" t="s">
        <v>52</v>
      </c>
      <c r="Q456" t="s">
        <v>197</v>
      </c>
      <c r="R456" t="s">
        <v>53</v>
      </c>
      <c r="S456" t="s">
        <v>116</v>
      </c>
      <c r="T456" t="s">
        <v>198</v>
      </c>
      <c r="U456" t="s">
        <v>108</v>
      </c>
    </row>
    <row r="457" spans="1:21" x14ac:dyDescent="0.3">
      <c r="A457" t="s">
        <v>332</v>
      </c>
      <c r="B457" t="s">
        <v>332</v>
      </c>
      <c r="C457" t="s">
        <v>194</v>
      </c>
      <c r="D457">
        <v>3</v>
      </c>
      <c r="E457" t="s">
        <v>105</v>
      </c>
      <c r="F457">
        <v>1</v>
      </c>
      <c r="G457">
        <v>-200</v>
      </c>
      <c r="H457">
        <v>-200</v>
      </c>
      <c r="I457" t="s">
        <v>117</v>
      </c>
      <c r="J457" t="s">
        <v>51</v>
      </c>
      <c r="K457" t="s">
        <v>340</v>
      </c>
      <c r="L457" t="s">
        <v>338</v>
      </c>
      <c r="M457">
        <v>61</v>
      </c>
      <c r="O457" t="s">
        <v>52</v>
      </c>
      <c r="P457" t="s">
        <v>52</v>
      </c>
      <c r="Q457" t="s">
        <v>197</v>
      </c>
      <c r="R457" t="s">
        <v>53</v>
      </c>
      <c r="S457" t="s">
        <v>116</v>
      </c>
      <c r="T457" t="s">
        <v>198</v>
      </c>
      <c r="U457" t="s">
        <v>108</v>
      </c>
    </row>
    <row r="458" spans="1:21" x14ac:dyDescent="0.3">
      <c r="A458" t="s">
        <v>332</v>
      </c>
      <c r="B458" t="s">
        <v>332</v>
      </c>
      <c r="C458" t="s">
        <v>194</v>
      </c>
      <c r="D458">
        <v>3</v>
      </c>
      <c r="E458" t="s">
        <v>105</v>
      </c>
      <c r="F458">
        <v>1</v>
      </c>
      <c r="G458">
        <v>-3</v>
      </c>
      <c r="H458">
        <v>-3</v>
      </c>
      <c r="I458" t="s">
        <v>119</v>
      </c>
      <c r="J458" t="s">
        <v>58</v>
      </c>
      <c r="K458" t="s">
        <v>337</v>
      </c>
      <c r="L458" t="s">
        <v>338</v>
      </c>
      <c r="M458">
        <v>61</v>
      </c>
      <c r="O458" t="s">
        <v>52</v>
      </c>
      <c r="P458" t="s">
        <v>52</v>
      </c>
      <c r="Q458" t="s">
        <v>197</v>
      </c>
      <c r="R458" t="s">
        <v>53</v>
      </c>
      <c r="S458" t="s">
        <v>116</v>
      </c>
      <c r="T458" t="s">
        <v>198</v>
      </c>
      <c r="U458" t="s">
        <v>108</v>
      </c>
    </row>
    <row r="459" spans="1:21" x14ac:dyDescent="0.3">
      <c r="A459" t="s">
        <v>332</v>
      </c>
      <c r="B459" t="s">
        <v>332</v>
      </c>
      <c r="C459" t="s">
        <v>194</v>
      </c>
      <c r="D459">
        <v>3</v>
      </c>
      <c r="E459" t="s">
        <v>105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336</v>
      </c>
      <c r="L459" t="s">
        <v>334</v>
      </c>
      <c r="M459">
        <v>33</v>
      </c>
      <c r="N459">
        <v>14392</v>
      </c>
      <c r="O459" t="s">
        <v>52</v>
      </c>
      <c r="P459" t="s">
        <v>52</v>
      </c>
      <c r="Q459" t="s">
        <v>197</v>
      </c>
      <c r="R459" t="s">
        <v>53</v>
      </c>
      <c r="S459" t="s">
        <v>116</v>
      </c>
      <c r="T459" t="s">
        <v>198</v>
      </c>
      <c r="U459" t="s">
        <v>108</v>
      </c>
    </row>
    <row r="460" spans="1:21" x14ac:dyDescent="0.3">
      <c r="A460" t="s">
        <v>332</v>
      </c>
      <c r="B460" t="s">
        <v>332</v>
      </c>
      <c r="C460" t="s">
        <v>194</v>
      </c>
      <c r="D460">
        <v>3</v>
      </c>
      <c r="E460" t="s">
        <v>105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339</v>
      </c>
      <c r="L460" t="s">
        <v>334</v>
      </c>
      <c r="M460">
        <v>33</v>
      </c>
      <c r="N460">
        <v>14392</v>
      </c>
      <c r="O460" t="s">
        <v>52</v>
      </c>
      <c r="P460" t="s">
        <v>52</v>
      </c>
      <c r="Q460" t="s">
        <v>197</v>
      </c>
      <c r="R460" t="s">
        <v>53</v>
      </c>
      <c r="S460" t="s">
        <v>116</v>
      </c>
      <c r="T460" t="s">
        <v>198</v>
      </c>
      <c r="U460" t="s">
        <v>108</v>
      </c>
    </row>
    <row r="461" spans="1:21" x14ac:dyDescent="0.3">
      <c r="A461" t="s">
        <v>332</v>
      </c>
      <c r="B461" t="s">
        <v>332</v>
      </c>
      <c r="C461" t="s">
        <v>194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335</v>
      </c>
      <c r="L461" t="s">
        <v>334</v>
      </c>
      <c r="M461">
        <v>33</v>
      </c>
      <c r="N461">
        <v>14392</v>
      </c>
      <c r="O461" t="s">
        <v>52</v>
      </c>
      <c r="P461" t="s">
        <v>52</v>
      </c>
      <c r="Q461" t="s">
        <v>197</v>
      </c>
      <c r="R461" t="s">
        <v>53</v>
      </c>
      <c r="S461" t="s">
        <v>116</v>
      </c>
      <c r="T461" t="s">
        <v>198</v>
      </c>
      <c r="U461" t="s">
        <v>108</v>
      </c>
    </row>
    <row r="462" spans="1:21" x14ac:dyDescent="0.3">
      <c r="A462" t="s">
        <v>332</v>
      </c>
      <c r="B462" t="s">
        <v>332</v>
      </c>
      <c r="C462" t="s">
        <v>194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336</v>
      </c>
      <c r="L462" t="s">
        <v>334</v>
      </c>
      <c r="M462">
        <v>33</v>
      </c>
      <c r="N462">
        <v>14392</v>
      </c>
      <c r="O462" t="s">
        <v>52</v>
      </c>
      <c r="P462" t="s">
        <v>52</v>
      </c>
      <c r="Q462" t="s">
        <v>197</v>
      </c>
      <c r="R462" t="s">
        <v>53</v>
      </c>
      <c r="S462" t="s">
        <v>116</v>
      </c>
      <c r="T462" t="s">
        <v>198</v>
      </c>
      <c r="U462" t="s">
        <v>108</v>
      </c>
    </row>
    <row r="463" spans="1:21" x14ac:dyDescent="0.3">
      <c r="A463" t="s">
        <v>332</v>
      </c>
      <c r="B463" t="s">
        <v>332</v>
      </c>
      <c r="C463" t="s">
        <v>194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117</v>
      </c>
      <c r="J463" t="s">
        <v>51</v>
      </c>
      <c r="K463" t="s">
        <v>340</v>
      </c>
      <c r="L463" t="s">
        <v>338</v>
      </c>
      <c r="M463">
        <v>61</v>
      </c>
      <c r="O463" t="s">
        <v>52</v>
      </c>
      <c r="P463" t="s">
        <v>52</v>
      </c>
      <c r="Q463" t="s">
        <v>197</v>
      </c>
      <c r="R463" t="s">
        <v>53</v>
      </c>
      <c r="S463" t="s">
        <v>116</v>
      </c>
      <c r="T463" t="s">
        <v>198</v>
      </c>
      <c r="U463" t="s">
        <v>108</v>
      </c>
    </row>
    <row r="464" spans="1:21" x14ac:dyDescent="0.3">
      <c r="A464" t="s">
        <v>332</v>
      </c>
      <c r="B464" t="s">
        <v>332</v>
      </c>
      <c r="C464" t="s">
        <v>194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333</v>
      </c>
      <c r="L464" t="s">
        <v>334</v>
      </c>
      <c r="M464">
        <v>33</v>
      </c>
      <c r="N464">
        <v>14392</v>
      </c>
      <c r="O464" t="s">
        <v>52</v>
      </c>
      <c r="P464" t="s">
        <v>52</v>
      </c>
      <c r="Q464" t="s">
        <v>197</v>
      </c>
      <c r="R464" t="s">
        <v>53</v>
      </c>
      <c r="S464" t="s">
        <v>116</v>
      </c>
      <c r="T464" t="s">
        <v>198</v>
      </c>
      <c r="U464" t="s">
        <v>108</v>
      </c>
    </row>
    <row r="465" spans="1:21" x14ac:dyDescent="0.3">
      <c r="A465" t="s">
        <v>332</v>
      </c>
      <c r="B465" t="s">
        <v>332</v>
      </c>
      <c r="C465" t="s">
        <v>194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119</v>
      </c>
      <c r="J465" t="s">
        <v>58</v>
      </c>
      <c r="K465" t="s">
        <v>337</v>
      </c>
      <c r="L465" t="s">
        <v>338</v>
      </c>
      <c r="M465">
        <v>61</v>
      </c>
      <c r="O465" t="s">
        <v>52</v>
      </c>
      <c r="P465" t="s">
        <v>52</v>
      </c>
      <c r="Q465" t="s">
        <v>197</v>
      </c>
      <c r="R465" t="s">
        <v>53</v>
      </c>
      <c r="S465" t="s">
        <v>116</v>
      </c>
      <c r="T465" t="s">
        <v>198</v>
      </c>
      <c r="U465" t="s">
        <v>108</v>
      </c>
    </row>
    <row r="466" spans="1:21" x14ac:dyDescent="0.3">
      <c r="A466" t="s">
        <v>332</v>
      </c>
      <c r="B466" t="s">
        <v>332</v>
      </c>
      <c r="C466" t="s">
        <v>194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339</v>
      </c>
      <c r="L466" t="s">
        <v>334</v>
      </c>
      <c r="M466">
        <v>33</v>
      </c>
      <c r="N466">
        <v>14392</v>
      </c>
      <c r="O466" t="s">
        <v>52</v>
      </c>
      <c r="P466" t="s">
        <v>52</v>
      </c>
      <c r="Q466" t="s">
        <v>197</v>
      </c>
      <c r="R466" t="s">
        <v>53</v>
      </c>
      <c r="S466" t="s">
        <v>116</v>
      </c>
      <c r="T466" t="s">
        <v>198</v>
      </c>
      <c r="U466" t="s">
        <v>108</v>
      </c>
    </row>
    <row r="467" spans="1:21" x14ac:dyDescent="0.3">
      <c r="A467" t="s">
        <v>332</v>
      </c>
      <c r="B467" t="s">
        <v>332</v>
      </c>
      <c r="C467" t="s">
        <v>194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339</v>
      </c>
      <c r="L467" t="s">
        <v>334</v>
      </c>
      <c r="M467">
        <v>33</v>
      </c>
      <c r="N467">
        <v>14392</v>
      </c>
      <c r="O467" t="s">
        <v>52</v>
      </c>
      <c r="P467" t="s">
        <v>52</v>
      </c>
      <c r="Q467" t="s">
        <v>197</v>
      </c>
      <c r="R467" t="s">
        <v>53</v>
      </c>
      <c r="S467" t="s">
        <v>116</v>
      </c>
      <c r="T467" t="s">
        <v>198</v>
      </c>
      <c r="U467" t="s">
        <v>108</v>
      </c>
    </row>
    <row r="468" spans="1:21" x14ac:dyDescent="0.3">
      <c r="A468" t="s">
        <v>332</v>
      </c>
      <c r="B468" t="s">
        <v>332</v>
      </c>
      <c r="C468" t="s">
        <v>194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336</v>
      </c>
      <c r="L468" t="s">
        <v>334</v>
      </c>
      <c r="M468">
        <v>33</v>
      </c>
      <c r="N468">
        <v>14392</v>
      </c>
      <c r="O468" t="s">
        <v>52</v>
      </c>
      <c r="P468" t="s">
        <v>52</v>
      </c>
      <c r="Q468" t="s">
        <v>197</v>
      </c>
      <c r="R468" t="s">
        <v>53</v>
      </c>
      <c r="S468" t="s">
        <v>116</v>
      </c>
      <c r="T468" t="s">
        <v>198</v>
      </c>
      <c r="U468" t="s">
        <v>108</v>
      </c>
    </row>
    <row r="469" spans="1:21" x14ac:dyDescent="0.3">
      <c r="A469" t="s">
        <v>332</v>
      </c>
      <c r="B469" t="s">
        <v>332</v>
      </c>
      <c r="C469" t="s">
        <v>194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117</v>
      </c>
      <c r="J469" t="s">
        <v>51</v>
      </c>
      <c r="K469" t="s">
        <v>340</v>
      </c>
      <c r="L469" t="s">
        <v>338</v>
      </c>
      <c r="M469">
        <v>61</v>
      </c>
      <c r="O469" t="s">
        <v>52</v>
      </c>
      <c r="P469" t="s">
        <v>52</v>
      </c>
      <c r="Q469" t="s">
        <v>197</v>
      </c>
      <c r="R469" t="s">
        <v>53</v>
      </c>
      <c r="S469" t="s">
        <v>116</v>
      </c>
      <c r="T469" t="s">
        <v>198</v>
      </c>
      <c r="U469" t="s">
        <v>108</v>
      </c>
    </row>
    <row r="470" spans="1:21" x14ac:dyDescent="0.3">
      <c r="A470" t="s">
        <v>332</v>
      </c>
      <c r="B470" t="s">
        <v>332</v>
      </c>
      <c r="C470" t="s">
        <v>194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333</v>
      </c>
      <c r="L470" t="s">
        <v>334</v>
      </c>
      <c r="M470">
        <v>33</v>
      </c>
      <c r="N470">
        <v>14392</v>
      </c>
      <c r="O470" t="s">
        <v>52</v>
      </c>
      <c r="P470" t="s">
        <v>52</v>
      </c>
      <c r="Q470" t="s">
        <v>197</v>
      </c>
      <c r="R470" t="s">
        <v>53</v>
      </c>
      <c r="S470" t="s">
        <v>116</v>
      </c>
      <c r="T470" t="s">
        <v>198</v>
      </c>
      <c r="U470" t="s">
        <v>108</v>
      </c>
    </row>
    <row r="471" spans="1:21" x14ac:dyDescent="0.3">
      <c r="A471" t="s">
        <v>332</v>
      </c>
      <c r="B471" t="s">
        <v>332</v>
      </c>
      <c r="C471" t="s">
        <v>194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335</v>
      </c>
      <c r="L471" t="s">
        <v>334</v>
      </c>
      <c r="M471">
        <v>33</v>
      </c>
      <c r="N471">
        <v>14392</v>
      </c>
      <c r="O471" t="s">
        <v>52</v>
      </c>
      <c r="P471" t="s">
        <v>52</v>
      </c>
      <c r="Q471" t="s">
        <v>197</v>
      </c>
      <c r="R471" t="s">
        <v>53</v>
      </c>
      <c r="S471" t="s">
        <v>116</v>
      </c>
      <c r="T471" t="s">
        <v>198</v>
      </c>
      <c r="U471" t="s">
        <v>108</v>
      </c>
    </row>
    <row r="472" spans="1:21" x14ac:dyDescent="0.3">
      <c r="A472" t="s">
        <v>341</v>
      </c>
      <c r="B472" t="s">
        <v>341</v>
      </c>
      <c r="C472" t="s">
        <v>194</v>
      </c>
      <c r="D472">
        <v>1</v>
      </c>
      <c r="E472" t="s">
        <v>107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342</v>
      </c>
      <c r="L472" t="s">
        <v>343</v>
      </c>
      <c r="M472">
        <v>33</v>
      </c>
      <c r="N472">
        <v>14796</v>
      </c>
      <c r="O472" t="s">
        <v>52</v>
      </c>
      <c r="P472" t="s">
        <v>52</v>
      </c>
      <c r="Q472" t="s">
        <v>197</v>
      </c>
      <c r="R472" t="s">
        <v>53</v>
      </c>
      <c r="S472" t="s">
        <v>116</v>
      </c>
      <c r="T472" t="s">
        <v>198</v>
      </c>
      <c r="U472" t="s">
        <v>108</v>
      </c>
    </row>
    <row r="473" spans="1:21" x14ac:dyDescent="0.3">
      <c r="A473" t="s">
        <v>341</v>
      </c>
      <c r="B473" t="s">
        <v>341</v>
      </c>
      <c r="C473" t="s">
        <v>194</v>
      </c>
      <c r="D473">
        <v>1</v>
      </c>
      <c r="E473" t="s">
        <v>107</v>
      </c>
      <c r="F473">
        <v>1</v>
      </c>
      <c r="G473">
        <v>-4</v>
      </c>
      <c r="H473">
        <v>-4</v>
      </c>
      <c r="I473" t="s">
        <v>119</v>
      </c>
      <c r="J473" t="s">
        <v>58</v>
      </c>
      <c r="K473" t="s">
        <v>344</v>
      </c>
      <c r="L473" t="s">
        <v>345</v>
      </c>
      <c r="M473">
        <v>33</v>
      </c>
      <c r="O473" t="s">
        <v>52</v>
      </c>
      <c r="P473" t="s">
        <v>52</v>
      </c>
      <c r="Q473" t="s">
        <v>197</v>
      </c>
      <c r="R473" t="s">
        <v>53</v>
      </c>
      <c r="S473" t="s">
        <v>116</v>
      </c>
      <c r="T473" t="s">
        <v>198</v>
      </c>
      <c r="U473" t="s">
        <v>108</v>
      </c>
    </row>
    <row r="474" spans="1:21" x14ac:dyDescent="0.3">
      <c r="A474" t="s">
        <v>341</v>
      </c>
      <c r="B474" t="s">
        <v>341</v>
      </c>
      <c r="C474" t="s">
        <v>194</v>
      </c>
      <c r="D474">
        <v>1</v>
      </c>
      <c r="E474" t="s">
        <v>107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346</v>
      </c>
      <c r="L474" t="s">
        <v>343</v>
      </c>
      <c r="M474">
        <v>33</v>
      </c>
      <c r="N474">
        <v>14796</v>
      </c>
      <c r="O474" t="s">
        <v>52</v>
      </c>
      <c r="P474" t="s">
        <v>52</v>
      </c>
      <c r="Q474" t="s">
        <v>197</v>
      </c>
      <c r="R474" t="s">
        <v>53</v>
      </c>
      <c r="S474" t="s">
        <v>116</v>
      </c>
      <c r="T474" t="s">
        <v>198</v>
      </c>
      <c r="U474" t="s">
        <v>108</v>
      </c>
    </row>
    <row r="475" spans="1:21" x14ac:dyDescent="0.3">
      <c r="A475" t="s">
        <v>341</v>
      </c>
      <c r="B475" t="s">
        <v>341</v>
      </c>
      <c r="C475" t="s">
        <v>194</v>
      </c>
      <c r="D475">
        <v>1</v>
      </c>
      <c r="E475" t="s">
        <v>107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347</v>
      </c>
      <c r="L475" t="s">
        <v>343</v>
      </c>
      <c r="M475">
        <v>33</v>
      </c>
      <c r="N475">
        <v>14796</v>
      </c>
      <c r="O475" t="s">
        <v>52</v>
      </c>
      <c r="P475" t="s">
        <v>52</v>
      </c>
      <c r="Q475" t="s">
        <v>197</v>
      </c>
      <c r="R475" t="s">
        <v>53</v>
      </c>
      <c r="S475" t="s">
        <v>116</v>
      </c>
      <c r="T475" t="s">
        <v>198</v>
      </c>
      <c r="U475" t="s">
        <v>108</v>
      </c>
    </row>
    <row r="476" spans="1:21" x14ac:dyDescent="0.3">
      <c r="A476" t="s">
        <v>341</v>
      </c>
      <c r="B476" t="s">
        <v>341</v>
      </c>
      <c r="C476" t="s">
        <v>194</v>
      </c>
      <c r="D476">
        <v>1</v>
      </c>
      <c r="E476" t="s">
        <v>107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348</v>
      </c>
      <c r="L476" t="s">
        <v>343</v>
      </c>
      <c r="M476">
        <v>33</v>
      </c>
      <c r="N476">
        <v>14796</v>
      </c>
      <c r="O476" t="s">
        <v>52</v>
      </c>
      <c r="P476" t="s">
        <v>52</v>
      </c>
      <c r="Q476" t="s">
        <v>197</v>
      </c>
      <c r="R476" t="s">
        <v>53</v>
      </c>
      <c r="S476" t="s">
        <v>116</v>
      </c>
      <c r="T476" t="s">
        <v>198</v>
      </c>
      <c r="U476" t="s">
        <v>108</v>
      </c>
    </row>
    <row r="477" spans="1:21" x14ac:dyDescent="0.3">
      <c r="A477" t="s">
        <v>341</v>
      </c>
      <c r="B477" t="s">
        <v>341</v>
      </c>
      <c r="C477" t="s">
        <v>194</v>
      </c>
      <c r="D477">
        <v>1</v>
      </c>
      <c r="E477" t="s">
        <v>107</v>
      </c>
      <c r="F477">
        <v>1</v>
      </c>
      <c r="G477">
        <v>7664</v>
      </c>
      <c r="H477">
        <v>7664</v>
      </c>
      <c r="I477" t="s">
        <v>117</v>
      </c>
      <c r="J477" t="s">
        <v>51</v>
      </c>
      <c r="K477" t="s">
        <v>349</v>
      </c>
      <c r="L477" t="s">
        <v>345</v>
      </c>
      <c r="M477">
        <v>33</v>
      </c>
      <c r="O477" t="s">
        <v>52</v>
      </c>
      <c r="P477" t="s">
        <v>52</v>
      </c>
      <c r="Q477" t="s">
        <v>197</v>
      </c>
      <c r="R477" t="s">
        <v>53</v>
      </c>
      <c r="S477" t="s">
        <v>116</v>
      </c>
      <c r="T477" t="s">
        <v>198</v>
      </c>
      <c r="U477" t="s">
        <v>108</v>
      </c>
    </row>
    <row r="478" spans="1:21" x14ac:dyDescent="0.3">
      <c r="A478" t="s">
        <v>341</v>
      </c>
      <c r="B478" t="s">
        <v>341</v>
      </c>
      <c r="C478" t="s">
        <v>194</v>
      </c>
      <c r="D478">
        <v>2</v>
      </c>
      <c r="E478" t="s">
        <v>118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342</v>
      </c>
      <c r="L478" t="s">
        <v>343</v>
      </c>
      <c r="M478">
        <v>33</v>
      </c>
      <c r="N478">
        <v>14796</v>
      </c>
      <c r="O478" t="s">
        <v>52</v>
      </c>
      <c r="P478" t="s">
        <v>52</v>
      </c>
      <c r="Q478" t="s">
        <v>197</v>
      </c>
      <c r="R478" t="s">
        <v>53</v>
      </c>
      <c r="S478" t="s">
        <v>116</v>
      </c>
      <c r="T478" t="s">
        <v>198</v>
      </c>
      <c r="U478" t="s">
        <v>108</v>
      </c>
    </row>
    <row r="479" spans="1:21" x14ac:dyDescent="0.3">
      <c r="A479" t="s">
        <v>341</v>
      </c>
      <c r="B479" t="s">
        <v>341</v>
      </c>
      <c r="C479" t="s">
        <v>194</v>
      </c>
      <c r="D479">
        <v>2</v>
      </c>
      <c r="E479" t="s">
        <v>118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348</v>
      </c>
      <c r="L479" t="s">
        <v>343</v>
      </c>
      <c r="M479">
        <v>33</v>
      </c>
      <c r="N479">
        <v>14796</v>
      </c>
      <c r="O479" t="s">
        <v>52</v>
      </c>
      <c r="P479" t="s">
        <v>52</v>
      </c>
      <c r="Q479" t="s">
        <v>197</v>
      </c>
      <c r="R479" t="s">
        <v>53</v>
      </c>
      <c r="S479" t="s">
        <v>116</v>
      </c>
      <c r="T479" t="s">
        <v>198</v>
      </c>
      <c r="U479" t="s">
        <v>108</v>
      </c>
    </row>
    <row r="480" spans="1:21" x14ac:dyDescent="0.3">
      <c r="A480" t="s">
        <v>341</v>
      </c>
      <c r="B480" t="s">
        <v>341</v>
      </c>
      <c r="C480" t="s">
        <v>194</v>
      </c>
      <c r="D480">
        <v>2</v>
      </c>
      <c r="E480" t="s">
        <v>118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346</v>
      </c>
      <c r="L480" t="s">
        <v>343</v>
      </c>
      <c r="M480">
        <v>33</v>
      </c>
      <c r="N480">
        <v>14796</v>
      </c>
      <c r="O480" t="s">
        <v>52</v>
      </c>
      <c r="P480" t="s">
        <v>52</v>
      </c>
      <c r="Q480" t="s">
        <v>197</v>
      </c>
      <c r="R480" t="s">
        <v>53</v>
      </c>
      <c r="S480" t="s">
        <v>116</v>
      </c>
      <c r="T480" t="s">
        <v>198</v>
      </c>
      <c r="U480" t="s">
        <v>108</v>
      </c>
    </row>
    <row r="481" spans="1:21" x14ac:dyDescent="0.3">
      <c r="A481" t="s">
        <v>341</v>
      </c>
      <c r="B481" t="s">
        <v>341</v>
      </c>
      <c r="C481" t="s">
        <v>194</v>
      </c>
      <c r="D481">
        <v>2</v>
      </c>
      <c r="E481" t="s">
        <v>118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347</v>
      </c>
      <c r="L481" t="s">
        <v>343</v>
      </c>
      <c r="M481">
        <v>33</v>
      </c>
      <c r="N481">
        <v>14796</v>
      </c>
      <c r="O481" t="s">
        <v>52</v>
      </c>
      <c r="P481" t="s">
        <v>52</v>
      </c>
      <c r="Q481" t="s">
        <v>197</v>
      </c>
      <c r="R481" t="s">
        <v>53</v>
      </c>
      <c r="S481" t="s">
        <v>116</v>
      </c>
      <c r="T481" t="s">
        <v>198</v>
      </c>
      <c r="U481" t="s">
        <v>108</v>
      </c>
    </row>
    <row r="482" spans="1:21" x14ac:dyDescent="0.3">
      <c r="A482" t="s">
        <v>341</v>
      </c>
      <c r="B482" t="s">
        <v>341</v>
      </c>
      <c r="C482" t="s">
        <v>194</v>
      </c>
      <c r="D482">
        <v>2</v>
      </c>
      <c r="E482" t="s">
        <v>118</v>
      </c>
      <c r="F482">
        <v>1</v>
      </c>
      <c r="G482">
        <v>35</v>
      </c>
      <c r="H482">
        <v>35</v>
      </c>
      <c r="I482" t="s">
        <v>117</v>
      </c>
      <c r="J482" t="s">
        <v>51</v>
      </c>
      <c r="K482" t="s">
        <v>349</v>
      </c>
      <c r="L482" t="s">
        <v>345</v>
      </c>
      <c r="M482">
        <v>33</v>
      </c>
      <c r="O482" t="s">
        <v>52</v>
      </c>
      <c r="P482" t="s">
        <v>52</v>
      </c>
      <c r="Q482" t="s">
        <v>197</v>
      </c>
      <c r="R482" t="s">
        <v>53</v>
      </c>
      <c r="S482" t="s">
        <v>116</v>
      </c>
      <c r="T482" t="s">
        <v>198</v>
      </c>
      <c r="U482" t="s">
        <v>108</v>
      </c>
    </row>
    <row r="483" spans="1:21" x14ac:dyDescent="0.3">
      <c r="A483" t="s">
        <v>341</v>
      </c>
      <c r="B483" t="s">
        <v>341</v>
      </c>
      <c r="C483" t="s">
        <v>194</v>
      </c>
      <c r="D483">
        <v>3</v>
      </c>
      <c r="E483" t="s">
        <v>105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348</v>
      </c>
      <c r="L483" t="s">
        <v>343</v>
      </c>
      <c r="M483">
        <v>33</v>
      </c>
      <c r="N483">
        <v>14796</v>
      </c>
      <c r="O483" t="s">
        <v>52</v>
      </c>
      <c r="P483" t="s">
        <v>52</v>
      </c>
      <c r="Q483" t="s">
        <v>197</v>
      </c>
      <c r="R483" t="s">
        <v>53</v>
      </c>
      <c r="S483" t="s">
        <v>116</v>
      </c>
      <c r="T483" t="s">
        <v>198</v>
      </c>
      <c r="U483" t="s">
        <v>108</v>
      </c>
    </row>
    <row r="484" spans="1:21" x14ac:dyDescent="0.3">
      <c r="A484" t="s">
        <v>341</v>
      </c>
      <c r="B484" t="s">
        <v>341</v>
      </c>
      <c r="C484" t="s">
        <v>194</v>
      </c>
      <c r="D484">
        <v>3</v>
      </c>
      <c r="E484" t="s">
        <v>105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347</v>
      </c>
      <c r="L484" t="s">
        <v>343</v>
      </c>
      <c r="M484">
        <v>33</v>
      </c>
      <c r="N484">
        <v>14796</v>
      </c>
      <c r="O484" t="s">
        <v>52</v>
      </c>
      <c r="P484" t="s">
        <v>52</v>
      </c>
      <c r="Q484" t="s">
        <v>197</v>
      </c>
      <c r="R484" t="s">
        <v>53</v>
      </c>
      <c r="S484" t="s">
        <v>116</v>
      </c>
      <c r="T484" t="s">
        <v>198</v>
      </c>
      <c r="U484" t="s">
        <v>108</v>
      </c>
    </row>
    <row r="485" spans="1:21" x14ac:dyDescent="0.3">
      <c r="A485" t="s">
        <v>341</v>
      </c>
      <c r="B485" t="s">
        <v>341</v>
      </c>
      <c r="C485" t="s">
        <v>194</v>
      </c>
      <c r="D485">
        <v>3</v>
      </c>
      <c r="E485" t="s">
        <v>105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346</v>
      </c>
      <c r="L485" t="s">
        <v>343</v>
      </c>
      <c r="M485">
        <v>33</v>
      </c>
      <c r="N485">
        <v>14796</v>
      </c>
      <c r="O485" t="s">
        <v>52</v>
      </c>
      <c r="P485" t="s">
        <v>52</v>
      </c>
      <c r="Q485" t="s">
        <v>197</v>
      </c>
      <c r="R485" t="s">
        <v>53</v>
      </c>
      <c r="S485" t="s">
        <v>116</v>
      </c>
      <c r="T485" t="s">
        <v>198</v>
      </c>
      <c r="U485" t="s">
        <v>108</v>
      </c>
    </row>
    <row r="486" spans="1:21" x14ac:dyDescent="0.3">
      <c r="A486" t="s">
        <v>341</v>
      </c>
      <c r="B486" t="s">
        <v>341</v>
      </c>
      <c r="C486" t="s">
        <v>194</v>
      </c>
      <c r="D486">
        <v>3</v>
      </c>
      <c r="E486" t="s">
        <v>105</v>
      </c>
      <c r="F486">
        <v>1</v>
      </c>
      <c r="G486">
        <v>1075</v>
      </c>
      <c r="H486">
        <v>1075</v>
      </c>
      <c r="I486" t="s">
        <v>117</v>
      </c>
      <c r="J486" t="s">
        <v>51</v>
      </c>
      <c r="K486" t="s">
        <v>349</v>
      </c>
      <c r="L486" t="s">
        <v>345</v>
      </c>
      <c r="M486">
        <v>33</v>
      </c>
      <c r="O486" t="s">
        <v>52</v>
      </c>
      <c r="P486" t="s">
        <v>52</v>
      </c>
      <c r="Q486" t="s">
        <v>197</v>
      </c>
      <c r="R486" t="s">
        <v>53</v>
      </c>
      <c r="S486" t="s">
        <v>116</v>
      </c>
      <c r="T486" t="s">
        <v>198</v>
      </c>
      <c r="U486" t="s">
        <v>108</v>
      </c>
    </row>
    <row r="487" spans="1:21" x14ac:dyDescent="0.3">
      <c r="A487" t="s">
        <v>341</v>
      </c>
      <c r="B487" t="s">
        <v>341</v>
      </c>
      <c r="C487" t="s">
        <v>194</v>
      </c>
      <c r="D487">
        <v>3</v>
      </c>
      <c r="E487" t="s">
        <v>105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342</v>
      </c>
      <c r="L487" t="s">
        <v>343</v>
      </c>
      <c r="M487">
        <v>33</v>
      </c>
      <c r="N487">
        <v>14796</v>
      </c>
      <c r="O487" t="s">
        <v>52</v>
      </c>
      <c r="P487" t="s">
        <v>52</v>
      </c>
      <c r="Q487" t="s">
        <v>197</v>
      </c>
      <c r="R487" t="s">
        <v>53</v>
      </c>
      <c r="S487" t="s">
        <v>116</v>
      </c>
      <c r="T487" t="s">
        <v>198</v>
      </c>
      <c r="U487" t="s">
        <v>108</v>
      </c>
    </row>
    <row r="488" spans="1:21" x14ac:dyDescent="0.3">
      <c r="A488" t="s">
        <v>341</v>
      </c>
      <c r="B488" t="s">
        <v>341</v>
      </c>
      <c r="C488" t="s">
        <v>194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348</v>
      </c>
      <c r="L488" t="s">
        <v>343</v>
      </c>
      <c r="M488">
        <v>33</v>
      </c>
      <c r="N488">
        <v>14796</v>
      </c>
      <c r="O488" t="s">
        <v>52</v>
      </c>
      <c r="P488" t="s">
        <v>52</v>
      </c>
      <c r="Q488" t="s">
        <v>197</v>
      </c>
      <c r="R488" t="s">
        <v>53</v>
      </c>
      <c r="S488" t="s">
        <v>116</v>
      </c>
      <c r="T488" t="s">
        <v>198</v>
      </c>
      <c r="U488" t="s">
        <v>108</v>
      </c>
    </row>
    <row r="489" spans="1:21" x14ac:dyDescent="0.3">
      <c r="A489" t="s">
        <v>341</v>
      </c>
      <c r="B489" t="s">
        <v>341</v>
      </c>
      <c r="C489" t="s">
        <v>194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346</v>
      </c>
      <c r="L489" t="s">
        <v>343</v>
      </c>
      <c r="M489">
        <v>33</v>
      </c>
      <c r="N489">
        <v>14796</v>
      </c>
      <c r="O489" t="s">
        <v>52</v>
      </c>
      <c r="P489" t="s">
        <v>52</v>
      </c>
      <c r="Q489" t="s">
        <v>197</v>
      </c>
      <c r="R489" t="s">
        <v>53</v>
      </c>
      <c r="S489" t="s">
        <v>116</v>
      </c>
      <c r="T489" t="s">
        <v>198</v>
      </c>
      <c r="U489" t="s">
        <v>108</v>
      </c>
    </row>
    <row r="490" spans="1:21" x14ac:dyDescent="0.3">
      <c r="A490" t="s">
        <v>341</v>
      </c>
      <c r="B490" t="s">
        <v>341</v>
      </c>
      <c r="C490" t="s">
        <v>194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342</v>
      </c>
      <c r="L490" t="s">
        <v>343</v>
      </c>
      <c r="M490">
        <v>33</v>
      </c>
      <c r="N490">
        <v>14796</v>
      </c>
      <c r="O490" t="s">
        <v>52</v>
      </c>
      <c r="P490" t="s">
        <v>52</v>
      </c>
      <c r="Q490" t="s">
        <v>197</v>
      </c>
      <c r="R490" t="s">
        <v>53</v>
      </c>
      <c r="S490" t="s">
        <v>116</v>
      </c>
      <c r="T490" t="s">
        <v>198</v>
      </c>
      <c r="U490" t="s">
        <v>108</v>
      </c>
    </row>
    <row r="491" spans="1:21" x14ac:dyDescent="0.3">
      <c r="A491" t="s">
        <v>341</v>
      </c>
      <c r="B491" t="s">
        <v>341</v>
      </c>
      <c r="C491" t="s">
        <v>194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347</v>
      </c>
      <c r="L491" t="s">
        <v>343</v>
      </c>
      <c r="M491">
        <v>33</v>
      </c>
      <c r="N491">
        <v>14796</v>
      </c>
      <c r="O491" t="s">
        <v>52</v>
      </c>
      <c r="P491" t="s">
        <v>52</v>
      </c>
      <c r="Q491" t="s">
        <v>197</v>
      </c>
      <c r="R491" t="s">
        <v>53</v>
      </c>
      <c r="S491" t="s">
        <v>116</v>
      </c>
      <c r="T491" t="s">
        <v>198</v>
      </c>
      <c r="U491" t="s">
        <v>108</v>
      </c>
    </row>
    <row r="492" spans="1:21" x14ac:dyDescent="0.3">
      <c r="A492" t="s">
        <v>341</v>
      </c>
      <c r="B492" t="s">
        <v>341</v>
      </c>
      <c r="C492" t="s">
        <v>194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119</v>
      </c>
      <c r="J492" t="s">
        <v>58</v>
      </c>
      <c r="K492" t="s">
        <v>344</v>
      </c>
      <c r="L492" t="s">
        <v>345</v>
      </c>
      <c r="M492">
        <v>33</v>
      </c>
      <c r="O492" t="s">
        <v>52</v>
      </c>
      <c r="P492" t="s">
        <v>52</v>
      </c>
      <c r="Q492" t="s">
        <v>197</v>
      </c>
      <c r="R492" t="s">
        <v>53</v>
      </c>
      <c r="S492" t="s">
        <v>116</v>
      </c>
      <c r="T492" t="s">
        <v>198</v>
      </c>
      <c r="U492" t="s">
        <v>108</v>
      </c>
    </row>
    <row r="493" spans="1:21" x14ac:dyDescent="0.3">
      <c r="A493" t="s">
        <v>341</v>
      </c>
      <c r="B493" t="s">
        <v>341</v>
      </c>
      <c r="C493" t="s">
        <v>194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117</v>
      </c>
      <c r="J493" t="s">
        <v>51</v>
      </c>
      <c r="K493" t="s">
        <v>349</v>
      </c>
      <c r="L493" t="s">
        <v>345</v>
      </c>
      <c r="M493">
        <v>33</v>
      </c>
      <c r="O493" t="s">
        <v>52</v>
      </c>
      <c r="P493" t="s">
        <v>52</v>
      </c>
      <c r="Q493" t="s">
        <v>197</v>
      </c>
      <c r="R493" t="s">
        <v>53</v>
      </c>
      <c r="S493" t="s">
        <v>116</v>
      </c>
      <c r="T493" t="s">
        <v>198</v>
      </c>
      <c r="U493" t="s">
        <v>108</v>
      </c>
    </row>
    <row r="494" spans="1:21" x14ac:dyDescent="0.3">
      <c r="A494" t="s">
        <v>341</v>
      </c>
      <c r="B494" t="s">
        <v>341</v>
      </c>
      <c r="C494" t="s">
        <v>194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342</v>
      </c>
      <c r="L494" t="s">
        <v>343</v>
      </c>
      <c r="M494">
        <v>33</v>
      </c>
      <c r="N494">
        <v>14796</v>
      </c>
      <c r="O494" t="s">
        <v>52</v>
      </c>
      <c r="P494" t="s">
        <v>52</v>
      </c>
      <c r="Q494" t="s">
        <v>197</v>
      </c>
      <c r="R494" t="s">
        <v>53</v>
      </c>
      <c r="S494" t="s">
        <v>116</v>
      </c>
      <c r="T494" t="s">
        <v>198</v>
      </c>
      <c r="U494" t="s">
        <v>108</v>
      </c>
    </row>
    <row r="495" spans="1:21" x14ac:dyDescent="0.3">
      <c r="A495" t="s">
        <v>341</v>
      </c>
      <c r="B495" t="s">
        <v>341</v>
      </c>
      <c r="C495" t="s">
        <v>194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117</v>
      </c>
      <c r="J495" t="s">
        <v>51</v>
      </c>
      <c r="K495" t="s">
        <v>349</v>
      </c>
      <c r="L495" t="s">
        <v>345</v>
      </c>
      <c r="M495">
        <v>33</v>
      </c>
      <c r="O495" t="s">
        <v>52</v>
      </c>
      <c r="P495" t="s">
        <v>52</v>
      </c>
      <c r="Q495" t="s">
        <v>197</v>
      </c>
      <c r="R495" t="s">
        <v>53</v>
      </c>
      <c r="S495" t="s">
        <v>116</v>
      </c>
      <c r="T495" t="s">
        <v>198</v>
      </c>
      <c r="U495" t="s">
        <v>108</v>
      </c>
    </row>
    <row r="496" spans="1:21" x14ac:dyDescent="0.3">
      <c r="A496" t="s">
        <v>341</v>
      </c>
      <c r="B496" t="s">
        <v>341</v>
      </c>
      <c r="C496" t="s">
        <v>194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346</v>
      </c>
      <c r="L496" t="s">
        <v>343</v>
      </c>
      <c r="M496">
        <v>33</v>
      </c>
      <c r="N496">
        <v>14796</v>
      </c>
      <c r="O496" t="s">
        <v>52</v>
      </c>
      <c r="P496" t="s">
        <v>52</v>
      </c>
      <c r="Q496" t="s">
        <v>197</v>
      </c>
      <c r="R496" t="s">
        <v>53</v>
      </c>
      <c r="S496" t="s">
        <v>116</v>
      </c>
      <c r="T496" t="s">
        <v>198</v>
      </c>
      <c r="U496" t="s">
        <v>108</v>
      </c>
    </row>
    <row r="497" spans="1:21" x14ac:dyDescent="0.3">
      <c r="A497" t="s">
        <v>341</v>
      </c>
      <c r="B497" t="s">
        <v>341</v>
      </c>
      <c r="C497" t="s">
        <v>194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347</v>
      </c>
      <c r="L497" t="s">
        <v>343</v>
      </c>
      <c r="M497">
        <v>33</v>
      </c>
      <c r="N497">
        <v>14796</v>
      </c>
      <c r="O497" t="s">
        <v>52</v>
      </c>
      <c r="P497" t="s">
        <v>52</v>
      </c>
      <c r="Q497" t="s">
        <v>197</v>
      </c>
      <c r="R497" t="s">
        <v>53</v>
      </c>
      <c r="S497" t="s">
        <v>116</v>
      </c>
      <c r="T497" t="s">
        <v>198</v>
      </c>
      <c r="U497" t="s">
        <v>108</v>
      </c>
    </row>
    <row r="498" spans="1:21" x14ac:dyDescent="0.3">
      <c r="A498" t="s">
        <v>341</v>
      </c>
      <c r="B498" t="s">
        <v>341</v>
      </c>
      <c r="C498" t="s">
        <v>194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348</v>
      </c>
      <c r="L498" t="s">
        <v>343</v>
      </c>
      <c r="M498">
        <v>33</v>
      </c>
      <c r="N498">
        <v>14796</v>
      </c>
      <c r="O498" t="s">
        <v>52</v>
      </c>
      <c r="P498" t="s">
        <v>52</v>
      </c>
      <c r="Q498" t="s">
        <v>197</v>
      </c>
      <c r="R498" t="s">
        <v>53</v>
      </c>
      <c r="S498" t="s">
        <v>116</v>
      </c>
      <c r="T498" t="s">
        <v>198</v>
      </c>
      <c r="U498" t="s">
        <v>108</v>
      </c>
    </row>
    <row r="499" spans="1:21" x14ac:dyDescent="0.3">
      <c r="A499" t="s">
        <v>350</v>
      </c>
      <c r="B499" t="s">
        <v>350</v>
      </c>
      <c r="C499" t="s">
        <v>194</v>
      </c>
      <c r="D499">
        <v>1</v>
      </c>
      <c r="E499" t="s">
        <v>107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351</v>
      </c>
      <c r="L499" t="s">
        <v>352</v>
      </c>
      <c r="M499">
        <v>33</v>
      </c>
      <c r="N499">
        <v>15128</v>
      </c>
      <c r="O499" t="s">
        <v>52</v>
      </c>
      <c r="P499" t="s">
        <v>52</v>
      </c>
      <c r="Q499" t="s">
        <v>197</v>
      </c>
      <c r="R499" t="s">
        <v>53</v>
      </c>
      <c r="S499" t="s">
        <v>116</v>
      </c>
      <c r="T499" t="s">
        <v>198</v>
      </c>
      <c r="U499" t="s">
        <v>108</v>
      </c>
    </row>
    <row r="500" spans="1:21" x14ac:dyDescent="0.3">
      <c r="A500" t="s">
        <v>350</v>
      </c>
      <c r="B500" t="s">
        <v>350</v>
      </c>
      <c r="C500" t="s">
        <v>194</v>
      </c>
      <c r="D500">
        <v>1</v>
      </c>
      <c r="E500" t="s">
        <v>107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353</v>
      </c>
      <c r="L500" t="s">
        <v>352</v>
      </c>
      <c r="M500">
        <v>33</v>
      </c>
      <c r="N500">
        <v>15128</v>
      </c>
      <c r="O500" t="s">
        <v>52</v>
      </c>
      <c r="P500" t="s">
        <v>52</v>
      </c>
      <c r="Q500" t="s">
        <v>197</v>
      </c>
      <c r="R500" t="s">
        <v>53</v>
      </c>
      <c r="S500" t="s">
        <v>116</v>
      </c>
      <c r="T500" t="s">
        <v>198</v>
      </c>
      <c r="U500" t="s">
        <v>108</v>
      </c>
    </row>
    <row r="501" spans="1:21" x14ac:dyDescent="0.3">
      <c r="A501" t="s">
        <v>350</v>
      </c>
      <c r="B501" t="s">
        <v>350</v>
      </c>
      <c r="C501" t="s">
        <v>194</v>
      </c>
      <c r="D501">
        <v>1</v>
      </c>
      <c r="E501" t="s">
        <v>107</v>
      </c>
      <c r="F501">
        <v>1</v>
      </c>
      <c r="G501">
        <v>8</v>
      </c>
      <c r="H501">
        <v>8</v>
      </c>
      <c r="I501" t="s">
        <v>119</v>
      </c>
      <c r="J501" t="s">
        <v>58</v>
      </c>
      <c r="K501" t="s">
        <v>354</v>
      </c>
      <c r="L501" t="s">
        <v>355</v>
      </c>
      <c r="M501">
        <v>33</v>
      </c>
      <c r="O501" t="s">
        <v>52</v>
      </c>
      <c r="P501" t="s">
        <v>52</v>
      </c>
      <c r="Q501" t="s">
        <v>197</v>
      </c>
      <c r="R501" t="s">
        <v>53</v>
      </c>
      <c r="S501" t="s">
        <v>116</v>
      </c>
      <c r="T501" t="s">
        <v>198</v>
      </c>
      <c r="U501" t="s">
        <v>108</v>
      </c>
    </row>
    <row r="502" spans="1:21" x14ac:dyDescent="0.3">
      <c r="A502" t="s">
        <v>350</v>
      </c>
      <c r="B502" t="s">
        <v>350</v>
      </c>
      <c r="C502" t="s">
        <v>194</v>
      </c>
      <c r="D502">
        <v>1</v>
      </c>
      <c r="E502" t="s">
        <v>107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356</v>
      </c>
      <c r="L502" t="s">
        <v>352</v>
      </c>
      <c r="M502">
        <v>33</v>
      </c>
      <c r="N502">
        <v>15128</v>
      </c>
      <c r="O502" t="s">
        <v>52</v>
      </c>
      <c r="P502" t="s">
        <v>52</v>
      </c>
      <c r="Q502" t="s">
        <v>197</v>
      </c>
      <c r="R502" t="s">
        <v>53</v>
      </c>
      <c r="S502" t="s">
        <v>116</v>
      </c>
      <c r="T502" t="s">
        <v>198</v>
      </c>
      <c r="U502" t="s">
        <v>108</v>
      </c>
    </row>
    <row r="503" spans="1:21" x14ac:dyDescent="0.3">
      <c r="A503" t="s">
        <v>350</v>
      </c>
      <c r="B503" t="s">
        <v>350</v>
      </c>
      <c r="C503" t="s">
        <v>194</v>
      </c>
      <c r="D503">
        <v>1</v>
      </c>
      <c r="E503" t="s">
        <v>107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357</v>
      </c>
      <c r="L503" t="s">
        <v>352</v>
      </c>
      <c r="M503">
        <v>33</v>
      </c>
      <c r="N503">
        <v>15128</v>
      </c>
      <c r="O503" t="s">
        <v>52</v>
      </c>
      <c r="P503" t="s">
        <v>52</v>
      </c>
      <c r="Q503" t="s">
        <v>197</v>
      </c>
      <c r="R503" t="s">
        <v>53</v>
      </c>
      <c r="S503" t="s">
        <v>116</v>
      </c>
      <c r="T503" t="s">
        <v>198</v>
      </c>
      <c r="U503" t="s">
        <v>108</v>
      </c>
    </row>
    <row r="504" spans="1:21" x14ac:dyDescent="0.3">
      <c r="A504" t="s">
        <v>350</v>
      </c>
      <c r="B504" t="s">
        <v>350</v>
      </c>
      <c r="C504" t="s">
        <v>194</v>
      </c>
      <c r="D504">
        <v>1</v>
      </c>
      <c r="E504" t="s">
        <v>107</v>
      </c>
      <c r="F504">
        <v>1</v>
      </c>
      <c r="G504">
        <v>689</v>
      </c>
      <c r="H504">
        <v>689</v>
      </c>
      <c r="I504" t="s">
        <v>117</v>
      </c>
      <c r="J504" t="s">
        <v>51</v>
      </c>
      <c r="K504" t="s">
        <v>358</v>
      </c>
      <c r="L504" t="s">
        <v>355</v>
      </c>
      <c r="M504">
        <v>33</v>
      </c>
      <c r="O504" t="s">
        <v>52</v>
      </c>
      <c r="P504" t="s">
        <v>52</v>
      </c>
      <c r="Q504" t="s">
        <v>197</v>
      </c>
      <c r="R504" t="s">
        <v>53</v>
      </c>
      <c r="S504" t="s">
        <v>116</v>
      </c>
      <c r="T504" t="s">
        <v>198</v>
      </c>
      <c r="U504" t="s">
        <v>108</v>
      </c>
    </row>
    <row r="505" spans="1:21" x14ac:dyDescent="0.3">
      <c r="A505" t="s">
        <v>350</v>
      </c>
      <c r="B505" t="s">
        <v>350</v>
      </c>
      <c r="C505" t="s">
        <v>194</v>
      </c>
      <c r="D505">
        <v>2</v>
      </c>
      <c r="E505" t="s">
        <v>118</v>
      </c>
      <c r="F505">
        <v>1</v>
      </c>
      <c r="G505">
        <v>2</v>
      </c>
      <c r="H505">
        <v>2</v>
      </c>
      <c r="I505" t="s">
        <v>117</v>
      </c>
      <c r="J505" t="s">
        <v>51</v>
      </c>
      <c r="K505" t="s">
        <v>358</v>
      </c>
      <c r="L505" t="s">
        <v>355</v>
      </c>
      <c r="M505">
        <v>33</v>
      </c>
      <c r="O505" t="s">
        <v>52</v>
      </c>
      <c r="P505" t="s">
        <v>52</v>
      </c>
      <c r="Q505" t="s">
        <v>197</v>
      </c>
      <c r="R505" t="s">
        <v>53</v>
      </c>
      <c r="S505" t="s">
        <v>116</v>
      </c>
      <c r="T505" t="s">
        <v>198</v>
      </c>
      <c r="U505" t="s">
        <v>108</v>
      </c>
    </row>
    <row r="506" spans="1:21" x14ac:dyDescent="0.3">
      <c r="A506" t="s">
        <v>350</v>
      </c>
      <c r="B506" t="s">
        <v>350</v>
      </c>
      <c r="C506" t="s">
        <v>194</v>
      </c>
      <c r="D506">
        <v>2</v>
      </c>
      <c r="E506" t="s">
        <v>118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357</v>
      </c>
      <c r="L506" t="s">
        <v>352</v>
      </c>
      <c r="M506">
        <v>33</v>
      </c>
      <c r="N506">
        <v>15128</v>
      </c>
      <c r="O506" t="s">
        <v>52</v>
      </c>
      <c r="P506" t="s">
        <v>52</v>
      </c>
      <c r="Q506" t="s">
        <v>197</v>
      </c>
      <c r="R506" t="s">
        <v>53</v>
      </c>
      <c r="S506" t="s">
        <v>116</v>
      </c>
      <c r="T506" t="s">
        <v>198</v>
      </c>
      <c r="U506" t="s">
        <v>108</v>
      </c>
    </row>
    <row r="507" spans="1:21" x14ac:dyDescent="0.3">
      <c r="A507" t="s">
        <v>350</v>
      </c>
      <c r="B507" t="s">
        <v>350</v>
      </c>
      <c r="C507" t="s">
        <v>194</v>
      </c>
      <c r="D507">
        <v>2</v>
      </c>
      <c r="E507" t="s">
        <v>118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356</v>
      </c>
      <c r="L507" t="s">
        <v>352</v>
      </c>
      <c r="M507">
        <v>33</v>
      </c>
      <c r="N507">
        <v>15128</v>
      </c>
      <c r="O507" t="s">
        <v>52</v>
      </c>
      <c r="P507" t="s">
        <v>52</v>
      </c>
      <c r="Q507" t="s">
        <v>197</v>
      </c>
      <c r="R507" t="s">
        <v>53</v>
      </c>
      <c r="S507" t="s">
        <v>116</v>
      </c>
      <c r="T507" t="s">
        <v>198</v>
      </c>
      <c r="U507" t="s">
        <v>108</v>
      </c>
    </row>
    <row r="508" spans="1:21" x14ac:dyDescent="0.3">
      <c r="A508" t="s">
        <v>350</v>
      </c>
      <c r="B508" t="s">
        <v>350</v>
      </c>
      <c r="C508" t="s">
        <v>194</v>
      </c>
      <c r="D508">
        <v>2</v>
      </c>
      <c r="E508" t="s">
        <v>118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351</v>
      </c>
      <c r="L508" t="s">
        <v>352</v>
      </c>
      <c r="M508">
        <v>33</v>
      </c>
      <c r="N508">
        <v>15128</v>
      </c>
      <c r="O508" t="s">
        <v>52</v>
      </c>
      <c r="P508" t="s">
        <v>52</v>
      </c>
      <c r="Q508" t="s">
        <v>197</v>
      </c>
      <c r="R508" t="s">
        <v>53</v>
      </c>
      <c r="S508" t="s">
        <v>116</v>
      </c>
      <c r="T508" t="s">
        <v>198</v>
      </c>
      <c r="U508" t="s">
        <v>108</v>
      </c>
    </row>
    <row r="509" spans="1:21" x14ac:dyDescent="0.3">
      <c r="A509" t="s">
        <v>350</v>
      </c>
      <c r="B509" t="s">
        <v>350</v>
      </c>
      <c r="C509" t="s">
        <v>194</v>
      </c>
      <c r="D509">
        <v>2</v>
      </c>
      <c r="E509" t="s">
        <v>118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353</v>
      </c>
      <c r="L509" t="s">
        <v>352</v>
      </c>
      <c r="M509">
        <v>33</v>
      </c>
      <c r="N509">
        <v>15128</v>
      </c>
      <c r="O509" t="s">
        <v>52</v>
      </c>
      <c r="P509" t="s">
        <v>52</v>
      </c>
      <c r="Q509" t="s">
        <v>197</v>
      </c>
      <c r="R509" t="s">
        <v>53</v>
      </c>
      <c r="S509" t="s">
        <v>116</v>
      </c>
      <c r="T509" t="s">
        <v>198</v>
      </c>
      <c r="U509" t="s">
        <v>108</v>
      </c>
    </row>
    <row r="510" spans="1:21" x14ac:dyDescent="0.3">
      <c r="A510" t="s">
        <v>350</v>
      </c>
      <c r="B510" t="s">
        <v>350</v>
      </c>
      <c r="C510" t="s">
        <v>194</v>
      </c>
      <c r="D510">
        <v>3</v>
      </c>
      <c r="E510" t="s">
        <v>105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357</v>
      </c>
      <c r="L510" t="s">
        <v>352</v>
      </c>
      <c r="M510">
        <v>33</v>
      </c>
      <c r="N510">
        <v>15128</v>
      </c>
      <c r="O510" t="s">
        <v>52</v>
      </c>
      <c r="P510" t="s">
        <v>52</v>
      </c>
      <c r="Q510" t="s">
        <v>197</v>
      </c>
      <c r="R510" t="s">
        <v>53</v>
      </c>
      <c r="S510" t="s">
        <v>116</v>
      </c>
      <c r="T510" t="s">
        <v>198</v>
      </c>
      <c r="U510" t="s">
        <v>108</v>
      </c>
    </row>
    <row r="511" spans="1:21" x14ac:dyDescent="0.3">
      <c r="A511" t="s">
        <v>350</v>
      </c>
      <c r="B511" t="s">
        <v>350</v>
      </c>
      <c r="C511" t="s">
        <v>194</v>
      </c>
      <c r="D511">
        <v>3</v>
      </c>
      <c r="E511" t="s">
        <v>105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356</v>
      </c>
      <c r="L511" t="s">
        <v>352</v>
      </c>
      <c r="M511">
        <v>33</v>
      </c>
      <c r="N511">
        <v>15128</v>
      </c>
      <c r="O511" t="s">
        <v>52</v>
      </c>
      <c r="P511" t="s">
        <v>52</v>
      </c>
      <c r="Q511" t="s">
        <v>197</v>
      </c>
      <c r="R511" t="s">
        <v>53</v>
      </c>
      <c r="S511" t="s">
        <v>116</v>
      </c>
      <c r="T511" t="s">
        <v>198</v>
      </c>
      <c r="U511" t="s">
        <v>108</v>
      </c>
    </row>
    <row r="512" spans="1:21" x14ac:dyDescent="0.3">
      <c r="A512" t="s">
        <v>350</v>
      </c>
      <c r="B512" t="s">
        <v>350</v>
      </c>
      <c r="C512" t="s">
        <v>194</v>
      </c>
      <c r="D512">
        <v>3</v>
      </c>
      <c r="E512" t="s">
        <v>105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353</v>
      </c>
      <c r="L512" t="s">
        <v>352</v>
      </c>
      <c r="M512">
        <v>33</v>
      </c>
      <c r="N512">
        <v>15128</v>
      </c>
      <c r="O512" t="s">
        <v>52</v>
      </c>
      <c r="P512" t="s">
        <v>52</v>
      </c>
      <c r="Q512" t="s">
        <v>197</v>
      </c>
      <c r="R512" t="s">
        <v>53</v>
      </c>
      <c r="S512" t="s">
        <v>116</v>
      </c>
      <c r="T512" t="s">
        <v>198</v>
      </c>
      <c r="U512" t="s">
        <v>108</v>
      </c>
    </row>
    <row r="513" spans="1:21" x14ac:dyDescent="0.3">
      <c r="A513" t="s">
        <v>350</v>
      </c>
      <c r="B513" t="s">
        <v>350</v>
      </c>
      <c r="C513" t="s">
        <v>194</v>
      </c>
      <c r="D513">
        <v>3</v>
      </c>
      <c r="E513" t="s">
        <v>105</v>
      </c>
      <c r="F513">
        <v>1</v>
      </c>
      <c r="G513">
        <v>2</v>
      </c>
      <c r="H513">
        <v>2</v>
      </c>
      <c r="I513" t="s">
        <v>119</v>
      </c>
      <c r="J513" t="s">
        <v>58</v>
      </c>
      <c r="K513" t="s">
        <v>354</v>
      </c>
      <c r="L513" t="s">
        <v>355</v>
      </c>
      <c r="M513">
        <v>33</v>
      </c>
      <c r="O513" t="s">
        <v>52</v>
      </c>
      <c r="P513" t="s">
        <v>52</v>
      </c>
      <c r="Q513" t="s">
        <v>197</v>
      </c>
      <c r="R513" t="s">
        <v>53</v>
      </c>
      <c r="S513" t="s">
        <v>116</v>
      </c>
      <c r="T513" t="s">
        <v>198</v>
      </c>
      <c r="U513" t="s">
        <v>108</v>
      </c>
    </row>
    <row r="514" spans="1:21" x14ac:dyDescent="0.3">
      <c r="A514" t="s">
        <v>350</v>
      </c>
      <c r="B514" t="s">
        <v>350</v>
      </c>
      <c r="C514" t="s">
        <v>194</v>
      </c>
      <c r="D514">
        <v>3</v>
      </c>
      <c r="E514" t="s">
        <v>105</v>
      </c>
      <c r="F514">
        <v>1</v>
      </c>
      <c r="G514">
        <v>99</v>
      </c>
      <c r="H514">
        <v>99</v>
      </c>
      <c r="I514" t="s">
        <v>117</v>
      </c>
      <c r="J514" t="s">
        <v>51</v>
      </c>
      <c r="K514" t="s">
        <v>358</v>
      </c>
      <c r="L514" t="s">
        <v>355</v>
      </c>
      <c r="M514">
        <v>33</v>
      </c>
      <c r="O514" t="s">
        <v>52</v>
      </c>
      <c r="P514" t="s">
        <v>52</v>
      </c>
      <c r="Q514" t="s">
        <v>197</v>
      </c>
      <c r="R514" t="s">
        <v>53</v>
      </c>
      <c r="S514" t="s">
        <v>116</v>
      </c>
      <c r="T514" t="s">
        <v>198</v>
      </c>
      <c r="U514" t="s">
        <v>108</v>
      </c>
    </row>
    <row r="515" spans="1:21" x14ac:dyDescent="0.3">
      <c r="A515" t="s">
        <v>350</v>
      </c>
      <c r="B515" t="s">
        <v>350</v>
      </c>
      <c r="C515" t="s">
        <v>194</v>
      </c>
      <c r="D515">
        <v>3</v>
      </c>
      <c r="E515" t="s">
        <v>105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351</v>
      </c>
      <c r="L515" t="s">
        <v>352</v>
      </c>
      <c r="M515">
        <v>33</v>
      </c>
      <c r="N515">
        <v>15128</v>
      </c>
      <c r="O515" t="s">
        <v>52</v>
      </c>
      <c r="P515" t="s">
        <v>52</v>
      </c>
      <c r="Q515" t="s">
        <v>197</v>
      </c>
      <c r="R515" t="s">
        <v>53</v>
      </c>
      <c r="S515" t="s">
        <v>116</v>
      </c>
      <c r="T515" t="s">
        <v>198</v>
      </c>
      <c r="U515" t="s">
        <v>108</v>
      </c>
    </row>
    <row r="516" spans="1:21" x14ac:dyDescent="0.3">
      <c r="A516" t="s">
        <v>350</v>
      </c>
      <c r="B516" t="s">
        <v>350</v>
      </c>
      <c r="C516" t="s">
        <v>194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356</v>
      </c>
      <c r="L516" t="s">
        <v>352</v>
      </c>
      <c r="M516">
        <v>33</v>
      </c>
      <c r="N516">
        <v>15128</v>
      </c>
      <c r="O516" t="s">
        <v>52</v>
      </c>
      <c r="P516" t="s">
        <v>52</v>
      </c>
      <c r="Q516" t="s">
        <v>197</v>
      </c>
      <c r="R516" t="s">
        <v>53</v>
      </c>
      <c r="S516" t="s">
        <v>116</v>
      </c>
      <c r="T516" t="s">
        <v>198</v>
      </c>
      <c r="U516" t="s">
        <v>108</v>
      </c>
    </row>
    <row r="517" spans="1:21" x14ac:dyDescent="0.3">
      <c r="A517" t="s">
        <v>350</v>
      </c>
      <c r="B517" t="s">
        <v>350</v>
      </c>
      <c r="C517" t="s">
        <v>194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353</v>
      </c>
      <c r="L517" t="s">
        <v>352</v>
      </c>
      <c r="M517">
        <v>33</v>
      </c>
      <c r="N517">
        <v>15128</v>
      </c>
      <c r="O517" t="s">
        <v>52</v>
      </c>
      <c r="P517" t="s">
        <v>52</v>
      </c>
      <c r="Q517" t="s">
        <v>197</v>
      </c>
      <c r="R517" t="s">
        <v>53</v>
      </c>
      <c r="S517" t="s">
        <v>116</v>
      </c>
      <c r="T517" t="s">
        <v>198</v>
      </c>
      <c r="U517" t="s">
        <v>108</v>
      </c>
    </row>
    <row r="518" spans="1:21" x14ac:dyDescent="0.3">
      <c r="A518" t="s">
        <v>350</v>
      </c>
      <c r="B518" t="s">
        <v>350</v>
      </c>
      <c r="C518" t="s">
        <v>194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119</v>
      </c>
      <c r="J518" t="s">
        <v>58</v>
      </c>
      <c r="K518" t="s">
        <v>354</v>
      </c>
      <c r="L518" t="s">
        <v>355</v>
      </c>
      <c r="M518">
        <v>33</v>
      </c>
      <c r="O518" t="s">
        <v>52</v>
      </c>
      <c r="P518" t="s">
        <v>52</v>
      </c>
      <c r="Q518" t="s">
        <v>197</v>
      </c>
      <c r="R518" t="s">
        <v>53</v>
      </c>
      <c r="S518" t="s">
        <v>116</v>
      </c>
      <c r="T518" t="s">
        <v>198</v>
      </c>
      <c r="U518" t="s">
        <v>108</v>
      </c>
    </row>
    <row r="519" spans="1:21" x14ac:dyDescent="0.3">
      <c r="A519" t="s">
        <v>350</v>
      </c>
      <c r="B519" t="s">
        <v>350</v>
      </c>
      <c r="C519" t="s">
        <v>194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357</v>
      </c>
      <c r="L519" t="s">
        <v>352</v>
      </c>
      <c r="M519">
        <v>33</v>
      </c>
      <c r="N519">
        <v>15128</v>
      </c>
      <c r="O519" t="s">
        <v>52</v>
      </c>
      <c r="P519" t="s">
        <v>52</v>
      </c>
      <c r="Q519" t="s">
        <v>197</v>
      </c>
      <c r="R519" t="s">
        <v>53</v>
      </c>
      <c r="S519" t="s">
        <v>116</v>
      </c>
      <c r="T519" t="s">
        <v>198</v>
      </c>
      <c r="U519" t="s">
        <v>108</v>
      </c>
    </row>
    <row r="520" spans="1:21" x14ac:dyDescent="0.3">
      <c r="A520" t="s">
        <v>350</v>
      </c>
      <c r="B520" t="s">
        <v>350</v>
      </c>
      <c r="C520" t="s">
        <v>194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117</v>
      </c>
      <c r="J520" t="s">
        <v>51</v>
      </c>
      <c r="K520" t="s">
        <v>358</v>
      </c>
      <c r="L520" t="s">
        <v>355</v>
      </c>
      <c r="M520">
        <v>33</v>
      </c>
      <c r="O520" t="s">
        <v>52</v>
      </c>
      <c r="P520" t="s">
        <v>52</v>
      </c>
      <c r="Q520" t="s">
        <v>197</v>
      </c>
      <c r="R520" t="s">
        <v>53</v>
      </c>
      <c r="S520" t="s">
        <v>116</v>
      </c>
      <c r="T520" t="s">
        <v>198</v>
      </c>
      <c r="U520" t="s">
        <v>108</v>
      </c>
    </row>
    <row r="521" spans="1:21" x14ac:dyDescent="0.3">
      <c r="A521" t="s">
        <v>350</v>
      </c>
      <c r="B521" t="s">
        <v>350</v>
      </c>
      <c r="C521" t="s">
        <v>194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351</v>
      </c>
      <c r="L521" t="s">
        <v>352</v>
      </c>
      <c r="M521">
        <v>33</v>
      </c>
      <c r="N521">
        <v>15128</v>
      </c>
      <c r="O521" t="s">
        <v>52</v>
      </c>
      <c r="P521" t="s">
        <v>52</v>
      </c>
      <c r="Q521" t="s">
        <v>197</v>
      </c>
      <c r="R521" t="s">
        <v>53</v>
      </c>
      <c r="S521" t="s">
        <v>116</v>
      </c>
      <c r="T521" t="s">
        <v>198</v>
      </c>
      <c r="U521" t="s">
        <v>108</v>
      </c>
    </row>
    <row r="522" spans="1:21" x14ac:dyDescent="0.3">
      <c r="A522" t="s">
        <v>350</v>
      </c>
      <c r="B522" t="s">
        <v>350</v>
      </c>
      <c r="C522" t="s">
        <v>194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357</v>
      </c>
      <c r="L522" t="s">
        <v>352</v>
      </c>
      <c r="M522">
        <v>33</v>
      </c>
      <c r="N522">
        <v>15128</v>
      </c>
      <c r="O522" t="s">
        <v>52</v>
      </c>
      <c r="P522" t="s">
        <v>52</v>
      </c>
      <c r="Q522" t="s">
        <v>197</v>
      </c>
      <c r="R522" t="s">
        <v>53</v>
      </c>
      <c r="S522" t="s">
        <v>116</v>
      </c>
      <c r="T522" t="s">
        <v>198</v>
      </c>
      <c r="U522" t="s">
        <v>108</v>
      </c>
    </row>
    <row r="523" spans="1:21" x14ac:dyDescent="0.3">
      <c r="A523" t="s">
        <v>350</v>
      </c>
      <c r="B523" t="s">
        <v>350</v>
      </c>
      <c r="C523" t="s">
        <v>194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117</v>
      </c>
      <c r="J523" t="s">
        <v>51</v>
      </c>
      <c r="K523" t="s">
        <v>358</v>
      </c>
      <c r="L523" t="s">
        <v>355</v>
      </c>
      <c r="M523">
        <v>33</v>
      </c>
      <c r="O523" t="s">
        <v>52</v>
      </c>
      <c r="P523" t="s">
        <v>52</v>
      </c>
      <c r="Q523" t="s">
        <v>197</v>
      </c>
      <c r="R523" t="s">
        <v>53</v>
      </c>
      <c r="S523" t="s">
        <v>116</v>
      </c>
      <c r="T523" t="s">
        <v>198</v>
      </c>
      <c r="U523" t="s">
        <v>108</v>
      </c>
    </row>
    <row r="524" spans="1:21" x14ac:dyDescent="0.3">
      <c r="A524" t="s">
        <v>350</v>
      </c>
      <c r="B524" t="s">
        <v>350</v>
      </c>
      <c r="C524" t="s">
        <v>194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353</v>
      </c>
      <c r="L524" t="s">
        <v>352</v>
      </c>
      <c r="M524">
        <v>33</v>
      </c>
      <c r="N524">
        <v>15128</v>
      </c>
      <c r="O524" t="s">
        <v>52</v>
      </c>
      <c r="P524" t="s">
        <v>52</v>
      </c>
      <c r="Q524" t="s">
        <v>197</v>
      </c>
      <c r="R524" t="s">
        <v>53</v>
      </c>
      <c r="S524" t="s">
        <v>116</v>
      </c>
      <c r="T524" t="s">
        <v>198</v>
      </c>
      <c r="U524" t="s">
        <v>108</v>
      </c>
    </row>
    <row r="525" spans="1:21" x14ac:dyDescent="0.3">
      <c r="A525" t="s">
        <v>350</v>
      </c>
      <c r="B525" t="s">
        <v>350</v>
      </c>
      <c r="C525" t="s">
        <v>194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351</v>
      </c>
      <c r="L525" t="s">
        <v>352</v>
      </c>
      <c r="M525">
        <v>33</v>
      </c>
      <c r="N525">
        <v>15128</v>
      </c>
      <c r="O525" t="s">
        <v>52</v>
      </c>
      <c r="P525" t="s">
        <v>52</v>
      </c>
      <c r="Q525" t="s">
        <v>197</v>
      </c>
      <c r="R525" t="s">
        <v>53</v>
      </c>
      <c r="S525" t="s">
        <v>116</v>
      </c>
      <c r="T525" t="s">
        <v>198</v>
      </c>
      <c r="U525" t="s">
        <v>108</v>
      </c>
    </row>
    <row r="526" spans="1:21" x14ac:dyDescent="0.3">
      <c r="A526" t="s">
        <v>350</v>
      </c>
      <c r="B526" t="s">
        <v>350</v>
      </c>
      <c r="C526" t="s">
        <v>194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356</v>
      </c>
      <c r="L526" t="s">
        <v>352</v>
      </c>
      <c r="M526">
        <v>33</v>
      </c>
      <c r="N526">
        <v>15128</v>
      </c>
      <c r="O526" t="s">
        <v>52</v>
      </c>
      <c r="P526" t="s">
        <v>52</v>
      </c>
      <c r="Q526" t="s">
        <v>197</v>
      </c>
      <c r="R526" t="s">
        <v>53</v>
      </c>
      <c r="S526" t="s">
        <v>116</v>
      </c>
      <c r="T526" t="s">
        <v>198</v>
      </c>
      <c r="U526" t="s">
        <v>108</v>
      </c>
    </row>
    <row r="527" spans="1:21" x14ac:dyDescent="0.3">
      <c r="A527" t="s">
        <v>359</v>
      </c>
      <c r="B527" t="s">
        <v>359</v>
      </c>
      <c r="C527" t="s">
        <v>194</v>
      </c>
      <c r="D527">
        <v>1</v>
      </c>
      <c r="E527" t="s">
        <v>107</v>
      </c>
      <c r="F527">
        <v>1</v>
      </c>
      <c r="G527">
        <v>-323</v>
      </c>
      <c r="H527">
        <v>-323</v>
      </c>
      <c r="I527" t="s">
        <v>117</v>
      </c>
      <c r="J527" t="s">
        <v>51</v>
      </c>
      <c r="K527" t="s">
        <v>360</v>
      </c>
      <c r="L527" t="s">
        <v>361</v>
      </c>
      <c r="M527">
        <v>61</v>
      </c>
      <c r="O527" t="s">
        <v>52</v>
      </c>
      <c r="P527" t="s">
        <v>52</v>
      </c>
      <c r="Q527" t="s">
        <v>197</v>
      </c>
      <c r="R527" t="s">
        <v>53</v>
      </c>
      <c r="S527" t="s">
        <v>116</v>
      </c>
      <c r="T527" t="s">
        <v>198</v>
      </c>
      <c r="U527" t="s">
        <v>108</v>
      </c>
    </row>
    <row r="528" spans="1:21" x14ac:dyDescent="0.3">
      <c r="A528" t="s">
        <v>359</v>
      </c>
      <c r="B528" t="s">
        <v>359</v>
      </c>
      <c r="C528" t="s">
        <v>194</v>
      </c>
      <c r="D528">
        <v>1</v>
      </c>
      <c r="E528" t="s">
        <v>107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362</v>
      </c>
      <c r="L528" t="s">
        <v>363</v>
      </c>
      <c r="M528">
        <v>33</v>
      </c>
      <c r="N528">
        <v>15552</v>
      </c>
      <c r="O528" t="s">
        <v>52</v>
      </c>
      <c r="P528" t="s">
        <v>52</v>
      </c>
      <c r="Q528" t="s">
        <v>197</v>
      </c>
      <c r="R528" t="s">
        <v>53</v>
      </c>
      <c r="S528" t="s">
        <v>116</v>
      </c>
      <c r="T528" t="s">
        <v>198</v>
      </c>
      <c r="U528" t="s">
        <v>108</v>
      </c>
    </row>
    <row r="529" spans="1:21" x14ac:dyDescent="0.3">
      <c r="A529" t="s">
        <v>359</v>
      </c>
      <c r="B529" t="s">
        <v>359</v>
      </c>
      <c r="C529" t="s">
        <v>194</v>
      </c>
      <c r="D529">
        <v>1</v>
      </c>
      <c r="E529" t="s">
        <v>107</v>
      </c>
      <c r="F529">
        <v>1</v>
      </c>
      <c r="G529">
        <v>-5</v>
      </c>
      <c r="H529">
        <v>-5</v>
      </c>
      <c r="I529" t="s">
        <v>119</v>
      </c>
      <c r="J529" t="s">
        <v>58</v>
      </c>
      <c r="K529" t="s">
        <v>364</v>
      </c>
      <c r="L529" t="s">
        <v>361</v>
      </c>
      <c r="M529">
        <v>61</v>
      </c>
      <c r="O529" t="s">
        <v>52</v>
      </c>
      <c r="P529" t="s">
        <v>52</v>
      </c>
      <c r="Q529" t="s">
        <v>197</v>
      </c>
      <c r="R529" t="s">
        <v>53</v>
      </c>
      <c r="S529" t="s">
        <v>116</v>
      </c>
      <c r="T529" t="s">
        <v>198</v>
      </c>
      <c r="U529" t="s">
        <v>108</v>
      </c>
    </row>
    <row r="530" spans="1:21" x14ac:dyDescent="0.3">
      <c r="A530" t="s">
        <v>359</v>
      </c>
      <c r="B530" t="s">
        <v>359</v>
      </c>
      <c r="C530" t="s">
        <v>194</v>
      </c>
      <c r="D530">
        <v>1</v>
      </c>
      <c r="E530" t="s">
        <v>107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365</v>
      </c>
      <c r="L530" t="s">
        <v>363</v>
      </c>
      <c r="M530">
        <v>33</v>
      </c>
      <c r="N530">
        <v>15552</v>
      </c>
      <c r="O530" t="s">
        <v>52</v>
      </c>
      <c r="P530" t="s">
        <v>52</v>
      </c>
      <c r="Q530" t="s">
        <v>197</v>
      </c>
      <c r="R530" t="s">
        <v>53</v>
      </c>
      <c r="S530" t="s">
        <v>116</v>
      </c>
      <c r="T530" t="s">
        <v>198</v>
      </c>
      <c r="U530" t="s">
        <v>108</v>
      </c>
    </row>
    <row r="531" spans="1:21" x14ac:dyDescent="0.3">
      <c r="A531" t="s">
        <v>359</v>
      </c>
      <c r="B531" t="s">
        <v>359</v>
      </c>
      <c r="C531" t="s">
        <v>194</v>
      </c>
      <c r="D531">
        <v>1</v>
      </c>
      <c r="E531" t="s">
        <v>107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366</v>
      </c>
      <c r="L531" t="s">
        <v>363</v>
      </c>
      <c r="M531">
        <v>33</v>
      </c>
      <c r="N531">
        <v>15552</v>
      </c>
      <c r="O531" t="s">
        <v>52</v>
      </c>
      <c r="P531" t="s">
        <v>52</v>
      </c>
      <c r="Q531" t="s">
        <v>197</v>
      </c>
      <c r="R531" t="s">
        <v>53</v>
      </c>
      <c r="S531" t="s">
        <v>116</v>
      </c>
      <c r="T531" t="s">
        <v>198</v>
      </c>
      <c r="U531" t="s">
        <v>108</v>
      </c>
    </row>
    <row r="532" spans="1:21" x14ac:dyDescent="0.3">
      <c r="A532" t="s">
        <v>359</v>
      </c>
      <c r="B532" t="s">
        <v>359</v>
      </c>
      <c r="C532" t="s">
        <v>194</v>
      </c>
      <c r="D532">
        <v>1</v>
      </c>
      <c r="E532" t="s">
        <v>107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367</v>
      </c>
      <c r="L532" t="s">
        <v>363</v>
      </c>
      <c r="M532">
        <v>33</v>
      </c>
      <c r="N532">
        <v>15552</v>
      </c>
      <c r="O532" t="s">
        <v>52</v>
      </c>
      <c r="P532" t="s">
        <v>52</v>
      </c>
      <c r="Q532" t="s">
        <v>197</v>
      </c>
      <c r="R532" t="s">
        <v>53</v>
      </c>
      <c r="S532" t="s">
        <v>116</v>
      </c>
      <c r="T532" t="s">
        <v>198</v>
      </c>
      <c r="U532" t="s">
        <v>108</v>
      </c>
    </row>
    <row r="533" spans="1:21" x14ac:dyDescent="0.3">
      <c r="A533" t="s">
        <v>359</v>
      </c>
      <c r="B533" t="s">
        <v>359</v>
      </c>
      <c r="C533" t="s">
        <v>194</v>
      </c>
      <c r="D533">
        <v>2</v>
      </c>
      <c r="E533" t="s">
        <v>118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365</v>
      </c>
      <c r="L533" t="s">
        <v>363</v>
      </c>
      <c r="M533">
        <v>33</v>
      </c>
      <c r="N533">
        <v>15552</v>
      </c>
      <c r="O533" t="s">
        <v>52</v>
      </c>
      <c r="P533" t="s">
        <v>52</v>
      </c>
      <c r="Q533" t="s">
        <v>197</v>
      </c>
      <c r="R533" t="s">
        <v>53</v>
      </c>
      <c r="S533" t="s">
        <v>116</v>
      </c>
      <c r="T533" t="s">
        <v>198</v>
      </c>
      <c r="U533" t="s">
        <v>108</v>
      </c>
    </row>
    <row r="534" spans="1:21" x14ac:dyDescent="0.3">
      <c r="A534" t="s">
        <v>359</v>
      </c>
      <c r="B534" t="s">
        <v>359</v>
      </c>
      <c r="C534" t="s">
        <v>194</v>
      </c>
      <c r="D534">
        <v>2</v>
      </c>
      <c r="E534" t="s">
        <v>118</v>
      </c>
      <c r="F534">
        <v>1</v>
      </c>
      <c r="G534">
        <v>-2</v>
      </c>
      <c r="H534">
        <v>-2</v>
      </c>
      <c r="I534" t="s">
        <v>117</v>
      </c>
      <c r="J534" t="s">
        <v>51</v>
      </c>
      <c r="K534" t="s">
        <v>360</v>
      </c>
      <c r="L534" t="s">
        <v>361</v>
      </c>
      <c r="M534">
        <v>61</v>
      </c>
      <c r="O534" t="s">
        <v>52</v>
      </c>
      <c r="P534" t="s">
        <v>52</v>
      </c>
      <c r="Q534" t="s">
        <v>197</v>
      </c>
      <c r="R534" t="s">
        <v>53</v>
      </c>
      <c r="S534" t="s">
        <v>116</v>
      </c>
      <c r="T534" t="s">
        <v>198</v>
      </c>
      <c r="U534" t="s">
        <v>108</v>
      </c>
    </row>
    <row r="535" spans="1:21" x14ac:dyDescent="0.3">
      <c r="A535" t="s">
        <v>359</v>
      </c>
      <c r="B535" t="s">
        <v>359</v>
      </c>
      <c r="C535" t="s">
        <v>194</v>
      </c>
      <c r="D535">
        <v>2</v>
      </c>
      <c r="E535" t="s">
        <v>118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362</v>
      </c>
      <c r="L535" t="s">
        <v>363</v>
      </c>
      <c r="M535">
        <v>33</v>
      </c>
      <c r="N535">
        <v>15552</v>
      </c>
      <c r="O535" t="s">
        <v>52</v>
      </c>
      <c r="P535" t="s">
        <v>52</v>
      </c>
      <c r="Q535" t="s">
        <v>197</v>
      </c>
      <c r="R535" t="s">
        <v>53</v>
      </c>
      <c r="S535" t="s">
        <v>116</v>
      </c>
      <c r="T535" t="s">
        <v>198</v>
      </c>
      <c r="U535" t="s">
        <v>108</v>
      </c>
    </row>
    <row r="536" spans="1:21" x14ac:dyDescent="0.3">
      <c r="A536" t="s">
        <v>359</v>
      </c>
      <c r="B536" t="s">
        <v>359</v>
      </c>
      <c r="C536" t="s">
        <v>194</v>
      </c>
      <c r="D536">
        <v>2</v>
      </c>
      <c r="E536" t="s">
        <v>118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366</v>
      </c>
      <c r="L536" t="s">
        <v>363</v>
      </c>
      <c r="M536">
        <v>33</v>
      </c>
      <c r="N536">
        <v>15552</v>
      </c>
      <c r="O536" t="s">
        <v>52</v>
      </c>
      <c r="P536" t="s">
        <v>52</v>
      </c>
      <c r="Q536" t="s">
        <v>197</v>
      </c>
      <c r="R536" t="s">
        <v>53</v>
      </c>
      <c r="S536" t="s">
        <v>116</v>
      </c>
      <c r="T536" t="s">
        <v>198</v>
      </c>
      <c r="U536" t="s">
        <v>108</v>
      </c>
    </row>
    <row r="537" spans="1:21" x14ac:dyDescent="0.3">
      <c r="A537" t="s">
        <v>359</v>
      </c>
      <c r="B537" t="s">
        <v>359</v>
      </c>
      <c r="C537" t="s">
        <v>194</v>
      </c>
      <c r="D537">
        <v>2</v>
      </c>
      <c r="E537" t="s">
        <v>118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367</v>
      </c>
      <c r="L537" t="s">
        <v>363</v>
      </c>
      <c r="M537">
        <v>33</v>
      </c>
      <c r="N537">
        <v>15552</v>
      </c>
      <c r="O537" t="s">
        <v>52</v>
      </c>
      <c r="P537" t="s">
        <v>52</v>
      </c>
      <c r="Q537" t="s">
        <v>197</v>
      </c>
      <c r="R537" t="s">
        <v>53</v>
      </c>
      <c r="S537" t="s">
        <v>116</v>
      </c>
      <c r="T537" t="s">
        <v>198</v>
      </c>
      <c r="U537" t="s">
        <v>108</v>
      </c>
    </row>
    <row r="538" spans="1:21" x14ac:dyDescent="0.3">
      <c r="A538" t="s">
        <v>359</v>
      </c>
      <c r="B538" t="s">
        <v>359</v>
      </c>
      <c r="C538" t="s">
        <v>194</v>
      </c>
      <c r="D538">
        <v>3</v>
      </c>
      <c r="E538" t="s">
        <v>105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367</v>
      </c>
      <c r="L538" t="s">
        <v>363</v>
      </c>
      <c r="M538">
        <v>33</v>
      </c>
      <c r="N538">
        <v>15552</v>
      </c>
      <c r="O538" t="s">
        <v>52</v>
      </c>
      <c r="P538" t="s">
        <v>52</v>
      </c>
      <c r="Q538" t="s">
        <v>197</v>
      </c>
      <c r="R538" t="s">
        <v>53</v>
      </c>
      <c r="S538" t="s">
        <v>116</v>
      </c>
      <c r="T538" t="s">
        <v>198</v>
      </c>
      <c r="U538" t="s">
        <v>108</v>
      </c>
    </row>
    <row r="539" spans="1:21" x14ac:dyDescent="0.3">
      <c r="A539" t="s">
        <v>359</v>
      </c>
      <c r="B539" t="s">
        <v>359</v>
      </c>
      <c r="C539" t="s">
        <v>194</v>
      </c>
      <c r="D539">
        <v>3</v>
      </c>
      <c r="E539" t="s">
        <v>105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362</v>
      </c>
      <c r="L539" t="s">
        <v>363</v>
      </c>
      <c r="M539">
        <v>33</v>
      </c>
      <c r="N539">
        <v>15552</v>
      </c>
      <c r="O539" t="s">
        <v>52</v>
      </c>
      <c r="P539" t="s">
        <v>52</v>
      </c>
      <c r="Q539" t="s">
        <v>197</v>
      </c>
      <c r="R539" t="s">
        <v>53</v>
      </c>
      <c r="S539" t="s">
        <v>116</v>
      </c>
      <c r="T539" t="s">
        <v>198</v>
      </c>
      <c r="U539" t="s">
        <v>108</v>
      </c>
    </row>
    <row r="540" spans="1:21" x14ac:dyDescent="0.3">
      <c r="A540" t="s">
        <v>359</v>
      </c>
      <c r="B540" t="s">
        <v>359</v>
      </c>
      <c r="C540" t="s">
        <v>194</v>
      </c>
      <c r="D540">
        <v>3</v>
      </c>
      <c r="E540" t="s">
        <v>105</v>
      </c>
      <c r="F540">
        <v>1</v>
      </c>
      <c r="G540">
        <v>-44</v>
      </c>
      <c r="H540">
        <v>-44</v>
      </c>
      <c r="I540" t="s">
        <v>117</v>
      </c>
      <c r="J540" t="s">
        <v>51</v>
      </c>
      <c r="K540" t="s">
        <v>360</v>
      </c>
      <c r="L540" t="s">
        <v>361</v>
      </c>
      <c r="M540">
        <v>61</v>
      </c>
      <c r="O540" t="s">
        <v>52</v>
      </c>
      <c r="P540" t="s">
        <v>52</v>
      </c>
      <c r="Q540" t="s">
        <v>197</v>
      </c>
      <c r="R540" t="s">
        <v>53</v>
      </c>
      <c r="S540" t="s">
        <v>116</v>
      </c>
      <c r="T540" t="s">
        <v>198</v>
      </c>
      <c r="U540" t="s">
        <v>108</v>
      </c>
    </row>
    <row r="541" spans="1:21" x14ac:dyDescent="0.3">
      <c r="A541" t="s">
        <v>359</v>
      </c>
      <c r="B541" t="s">
        <v>359</v>
      </c>
      <c r="C541" t="s">
        <v>194</v>
      </c>
      <c r="D541">
        <v>3</v>
      </c>
      <c r="E541" t="s">
        <v>105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366</v>
      </c>
      <c r="L541" t="s">
        <v>363</v>
      </c>
      <c r="M541">
        <v>33</v>
      </c>
      <c r="N541">
        <v>15552</v>
      </c>
      <c r="O541" t="s">
        <v>52</v>
      </c>
      <c r="P541" t="s">
        <v>52</v>
      </c>
      <c r="Q541" t="s">
        <v>197</v>
      </c>
      <c r="R541" t="s">
        <v>53</v>
      </c>
      <c r="S541" t="s">
        <v>116</v>
      </c>
      <c r="T541" t="s">
        <v>198</v>
      </c>
      <c r="U541" t="s">
        <v>108</v>
      </c>
    </row>
    <row r="542" spans="1:21" x14ac:dyDescent="0.3">
      <c r="A542" t="s">
        <v>359</v>
      </c>
      <c r="B542" t="s">
        <v>359</v>
      </c>
      <c r="C542" t="s">
        <v>194</v>
      </c>
      <c r="D542">
        <v>3</v>
      </c>
      <c r="E542" t="s">
        <v>105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365</v>
      </c>
      <c r="L542" t="s">
        <v>363</v>
      </c>
      <c r="M542">
        <v>33</v>
      </c>
      <c r="N542">
        <v>15552</v>
      </c>
      <c r="O542" t="s">
        <v>52</v>
      </c>
      <c r="P542" t="s">
        <v>52</v>
      </c>
      <c r="Q542" t="s">
        <v>197</v>
      </c>
      <c r="R542" t="s">
        <v>53</v>
      </c>
      <c r="S542" t="s">
        <v>116</v>
      </c>
      <c r="T542" t="s">
        <v>198</v>
      </c>
      <c r="U542" t="s">
        <v>108</v>
      </c>
    </row>
    <row r="543" spans="1:21" x14ac:dyDescent="0.3">
      <c r="A543" t="s">
        <v>359</v>
      </c>
      <c r="B543" t="s">
        <v>359</v>
      </c>
      <c r="C543" t="s">
        <v>194</v>
      </c>
      <c r="D543">
        <v>3</v>
      </c>
      <c r="E543" t="s">
        <v>105</v>
      </c>
      <c r="F543">
        <v>1</v>
      </c>
      <c r="G543">
        <v>-1</v>
      </c>
      <c r="H543">
        <v>-1</v>
      </c>
      <c r="I543" t="s">
        <v>119</v>
      </c>
      <c r="J543" t="s">
        <v>58</v>
      </c>
      <c r="K543" t="s">
        <v>364</v>
      </c>
      <c r="L543" t="s">
        <v>361</v>
      </c>
      <c r="M543">
        <v>61</v>
      </c>
      <c r="O543" t="s">
        <v>52</v>
      </c>
      <c r="P543" t="s">
        <v>52</v>
      </c>
      <c r="Q543" t="s">
        <v>197</v>
      </c>
      <c r="R543" t="s">
        <v>53</v>
      </c>
      <c r="S543" t="s">
        <v>116</v>
      </c>
      <c r="T543" t="s">
        <v>198</v>
      </c>
      <c r="U543" t="s">
        <v>108</v>
      </c>
    </row>
    <row r="544" spans="1:21" x14ac:dyDescent="0.3">
      <c r="A544" t="s">
        <v>359</v>
      </c>
      <c r="B544" t="s">
        <v>359</v>
      </c>
      <c r="C544" t="s">
        <v>194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362</v>
      </c>
      <c r="L544" t="s">
        <v>363</v>
      </c>
      <c r="M544">
        <v>33</v>
      </c>
      <c r="N544">
        <v>15552</v>
      </c>
      <c r="O544" t="s">
        <v>52</v>
      </c>
      <c r="P544" t="s">
        <v>52</v>
      </c>
      <c r="Q544" t="s">
        <v>197</v>
      </c>
      <c r="R544" t="s">
        <v>53</v>
      </c>
      <c r="S544" t="s">
        <v>116</v>
      </c>
      <c r="T544" t="s">
        <v>198</v>
      </c>
      <c r="U544" t="s">
        <v>108</v>
      </c>
    </row>
    <row r="545" spans="1:21" x14ac:dyDescent="0.3">
      <c r="A545" t="s">
        <v>359</v>
      </c>
      <c r="B545" t="s">
        <v>359</v>
      </c>
      <c r="C545" t="s">
        <v>194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365</v>
      </c>
      <c r="L545" t="s">
        <v>363</v>
      </c>
      <c r="M545">
        <v>33</v>
      </c>
      <c r="N545">
        <v>15552</v>
      </c>
      <c r="O545" t="s">
        <v>52</v>
      </c>
      <c r="P545" t="s">
        <v>52</v>
      </c>
      <c r="Q545" t="s">
        <v>197</v>
      </c>
      <c r="R545" t="s">
        <v>53</v>
      </c>
      <c r="S545" t="s">
        <v>116</v>
      </c>
      <c r="T545" t="s">
        <v>198</v>
      </c>
      <c r="U545" t="s">
        <v>108</v>
      </c>
    </row>
    <row r="546" spans="1:21" x14ac:dyDescent="0.3">
      <c r="A546" t="s">
        <v>359</v>
      </c>
      <c r="B546" t="s">
        <v>359</v>
      </c>
      <c r="C546" t="s">
        <v>194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119</v>
      </c>
      <c r="J546" t="s">
        <v>58</v>
      </c>
      <c r="K546" t="s">
        <v>364</v>
      </c>
      <c r="L546" t="s">
        <v>361</v>
      </c>
      <c r="M546">
        <v>61</v>
      </c>
      <c r="O546" t="s">
        <v>52</v>
      </c>
      <c r="P546" t="s">
        <v>52</v>
      </c>
      <c r="Q546" t="s">
        <v>197</v>
      </c>
      <c r="R546" t="s">
        <v>53</v>
      </c>
      <c r="S546" t="s">
        <v>116</v>
      </c>
      <c r="T546" t="s">
        <v>198</v>
      </c>
      <c r="U546" t="s">
        <v>108</v>
      </c>
    </row>
    <row r="547" spans="1:21" x14ac:dyDescent="0.3">
      <c r="A547" t="s">
        <v>359</v>
      </c>
      <c r="B547" t="s">
        <v>359</v>
      </c>
      <c r="C547" t="s">
        <v>194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367</v>
      </c>
      <c r="L547" t="s">
        <v>363</v>
      </c>
      <c r="M547">
        <v>33</v>
      </c>
      <c r="N547">
        <v>15552</v>
      </c>
      <c r="O547" t="s">
        <v>52</v>
      </c>
      <c r="P547" t="s">
        <v>52</v>
      </c>
      <c r="Q547" t="s">
        <v>197</v>
      </c>
      <c r="R547" t="s">
        <v>53</v>
      </c>
      <c r="S547" t="s">
        <v>116</v>
      </c>
      <c r="T547" t="s">
        <v>198</v>
      </c>
      <c r="U547" t="s">
        <v>108</v>
      </c>
    </row>
    <row r="548" spans="1:21" x14ac:dyDescent="0.3">
      <c r="A548" t="s">
        <v>359</v>
      </c>
      <c r="B548" t="s">
        <v>359</v>
      </c>
      <c r="C548" t="s">
        <v>194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117</v>
      </c>
      <c r="J548" t="s">
        <v>51</v>
      </c>
      <c r="K548" t="s">
        <v>360</v>
      </c>
      <c r="L548" t="s">
        <v>361</v>
      </c>
      <c r="M548">
        <v>61</v>
      </c>
      <c r="O548" t="s">
        <v>52</v>
      </c>
      <c r="P548" t="s">
        <v>52</v>
      </c>
      <c r="Q548" t="s">
        <v>197</v>
      </c>
      <c r="R548" t="s">
        <v>53</v>
      </c>
      <c r="S548" t="s">
        <v>116</v>
      </c>
      <c r="T548" t="s">
        <v>198</v>
      </c>
      <c r="U548" t="s">
        <v>108</v>
      </c>
    </row>
    <row r="549" spans="1:21" x14ac:dyDescent="0.3">
      <c r="A549" t="s">
        <v>359</v>
      </c>
      <c r="B549" t="s">
        <v>359</v>
      </c>
      <c r="C549" t="s">
        <v>194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366</v>
      </c>
      <c r="L549" t="s">
        <v>363</v>
      </c>
      <c r="M549">
        <v>33</v>
      </c>
      <c r="N549">
        <v>15552</v>
      </c>
      <c r="O549" t="s">
        <v>52</v>
      </c>
      <c r="P549" t="s">
        <v>52</v>
      </c>
      <c r="Q549" t="s">
        <v>197</v>
      </c>
      <c r="R549" t="s">
        <v>53</v>
      </c>
      <c r="S549" t="s">
        <v>116</v>
      </c>
      <c r="T549" t="s">
        <v>198</v>
      </c>
      <c r="U549" t="s">
        <v>108</v>
      </c>
    </row>
    <row r="550" spans="1:21" x14ac:dyDescent="0.3">
      <c r="A550" t="s">
        <v>359</v>
      </c>
      <c r="B550" t="s">
        <v>359</v>
      </c>
      <c r="C550" t="s">
        <v>194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367</v>
      </c>
      <c r="L550" t="s">
        <v>363</v>
      </c>
      <c r="M550">
        <v>33</v>
      </c>
      <c r="N550">
        <v>15552</v>
      </c>
      <c r="O550" t="s">
        <v>52</v>
      </c>
      <c r="P550" t="s">
        <v>52</v>
      </c>
      <c r="Q550" t="s">
        <v>197</v>
      </c>
      <c r="R550" t="s">
        <v>53</v>
      </c>
      <c r="S550" t="s">
        <v>116</v>
      </c>
      <c r="T550" t="s">
        <v>198</v>
      </c>
      <c r="U550" t="s">
        <v>108</v>
      </c>
    </row>
    <row r="551" spans="1:21" x14ac:dyDescent="0.3">
      <c r="A551" t="s">
        <v>359</v>
      </c>
      <c r="B551" t="s">
        <v>359</v>
      </c>
      <c r="C551" t="s">
        <v>194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365</v>
      </c>
      <c r="L551" t="s">
        <v>363</v>
      </c>
      <c r="M551">
        <v>33</v>
      </c>
      <c r="N551">
        <v>15552</v>
      </c>
      <c r="O551" t="s">
        <v>52</v>
      </c>
      <c r="P551" t="s">
        <v>52</v>
      </c>
      <c r="Q551" t="s">
        <v>197</v>
      </c>
      <c r="R551" t="s">
        <v>53</v>
      </c>
      <c r="S551" t="s">
        <v>116</v>
      </c>
      <c r="T551" t="s">
        <v>198</v>
      </c>
      <c r="U551" t="s">
        <v>108</v>
      </c>
    </row>
    <row r="552" spans="1:21" x14ac:dyDescent="0.3">
      <c r="A552" t="s">
        <v>359</v>
      </c>
      <c r="B552" t="s">
        <v>359</v>
      </c>
      <c r="C552" t="s">
        <v>194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117</v>
      </c>
      <c r="J552" t="s">
        <v>51</v>
      </c>
      <c r="K552" t="s">
        <v>360</v>
      </c>
      <c r="L552" t="s">
        <v>361</v>
      </c>
      <c r="M552">
        <v>61</v>
      </c>
      <c r="O552" t="s">
        <v>52</v>
      </c>
      <c r="P552" t="s">
        <v>52</v>
      </c>
      <c r="Q552" t="s">
        <v>197</v>
      </c>
      <c r="R552" t="s">
        <v>53</v>
      </c>
      <c r="S552" t="s">
        <v>116</v>
      </c>
      <c r="T552" t="s">
        <v>198</v>
      </c>
      <c r="U552" t="s">
        <v>108</v>
      </c>
    </row>
    <row r="553" spans="1:21" x14ac:dyDescent="0.3">
      <c r="A553" t="s">
        <v>359</v>
      </c>
      <c r="B553" t="s">
        <v>359</v>
      </c>
      <c r="C553" t="s">
        <v>194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362</v>
      </c>
      <c r="L553" t="s">
        <v>363</v>
      </c>
      <c r="M553">
        <v>33</v>
      </c>
      <c r="N553">
        <v>15552</v>
      </c>
      <c r="O553" t="s">
        <v>52</v>
      </c>
      <c r="P553" t="s">
        <v>52</v>
      </c>
      <c r="Q553" t="s">
        <v>197</v>
      </c>
      <c r="R553" t="s">
        <v>53</v>
      </c>
      <c r="S553" t="s">
        <v>116</v>
      </c>
      <c r="T553" t="s">
        <v>198</v>
      </c>
      <c r="U553" t="s">
        <v>108</v>
      </c>
    </row>
    <row r="554" spans="1:21" x14ac:dyDescent="0.3">
      <c r="A554" t="s">
        <v>359</v>
      </c>
      <c r="B554" t="s">
        <v>359</v>
      </c>
      <c r="C554" t="s">
        <v>194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366</v>
      </c>
      <c r="L554" t="s">
        <v>363</v>
      </c>
      <c r="M554">
        <v>33</v>
      </c>
      <c r="N554">
        <v>15552</v>
      </c>
      <c r="O554" t="s">
        <v>52</v>
      </c>
      <c r="P554" t="s">
        <v>52</v>
      </c>
      <c r="Q554" t="s">
        <v>197</v>
      </c>
      <c r="R554" t="s">
        <v>53</v>
      </c>
      <c r="S554" t="s">
        <v>116</v>
      </c>
      <c r="T554" t="s">
        <v>198</v>
      </c>
      <c r="U554" t="s">
        <v>108</v>
      </c>
    </row>
    <row r="555" spans="1:21" x14ac:dyDescent="0.3">
      <c r="A555" t="s">
        <v>368</v>
      </c>
      <c r="B555" t="s">
        <v>368</v>
      </c>
      <c r="C555" t="s">
        <v>194</v>
      </c>
      <c r="D555">
        <v>1</v>
      </c>
      <c r="E555" t="s">
        <v>107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369</v>
      </c>
      <c r="L555" t="s">
        <v>370</v>
      </c>
      <c r="M555">
        <v>33</v>
      </c>
      <c r="N555">
        <v>15894</v>
      </c>
      <c r="O555" t="s">
        <v>52</v>
      </c>
      <c r="P555" t="s">
        <v>52</v>
      </c>
      <c r="Q555" t="s">
        <v>197</v>
      </c>
      <c r="R555" t="s">
        <v>53</v>
      </c>
      <c r="S555" t="s">
        <v>116</v>
      </c>
      <c r="T555" t="s">
        <v>198</v>
      </c>
      <c r="U555" t="s">
        <v>108</v>
      </c>
    </row>
    <row r="556" spans="1:21" x14ac:dyDescent="0.3">
      <c r="A556" t="s">
        <v>368</v>
      </c>
      <c r="B556" t="s">
        <v>368</v>
      </c>
      <c r="C556" t="s">
        <v>194</v>
      </c>
      <c r="D556">
        <v>1</v>
      </c>
      <c r="E556" t="s">
        <v>107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371</v>
      </c>
      <c r="L556" t="s">
        <v>370</v>
      </c>
      <c r="M556">
        <v>33</v>
      </c>
      <c r="N556">
        <v>15894</v>
      </c>
      <c r="O556" t="s">
        <v>52</v>
      </c>
      <c r="P556" t="s">
        <v>52</v>
      </c>
      <c r="Q556" t="s">
        <v>197</v>
      </c>
      <c r="R556" t="s">
        <v>53</v>
      </c>
      <c r="S556" t="s">
        <v>116</v>
      </c>
      <c r="T556" t="s">
        <v>198</v>
      </c>
      <c r="U556" t="s">
        <v>108</v>
      </c>
    </row>
    <row r="557" spans="1:21" x14ac:dyDescent="0.3">
      <c r="A557" t="s">
        <v>368</v>
      </c>
      <c r="B557" t="s">
        <v>368</v>
      </c>
      <c r="C557" t="s">
        <v>194</v>
      </c>
      <c r="D557">
        <v>1</v>
      </c>
      <c r="E557" t="s">
        <v>107</v>
      </c>
      <c r="F557">
        <v>1</v>
      </c>
      <c r="G557">
        <v>-570</v>
      </c>
      <c r="H557">
        <v>-570</v>
      </c>
      <c r="I557" t="s">
        <v>117</v>
      </c>
      <c r="J557" t="s">
        <v>51</v>
      </c>
      <c r="K557" t="s">
        <v>372</v>
      </c>
      <c r="L557" t="s">
        <v>373</v>
      </c>
      <c r="M557">
        <v>61</v>
      </c>
      <c r="O557" t="s">
        <v>52</v>
      </c>
      <c r="P557" t="s">
        <v>52</v>
      </c>
      <c r="Q557" t="s">
        <v>197</v>
      </c>
      <c r="R557" t="s">
        <v>53</v>
      </c>
      <c r="S557" t="s">
        <v>116</v>
      </c>
      <c r="T557" t="s">
        <v>198</v>
      </c>
      <c r="U557" t="s">
        <v>108</v>
      </c>
    </row>
    <row r="558" spans="1:21" x14ac:dyDescent="0.3">
      <c r="A558" t="s">
        <v>368</v>
      </c>
      <c r="B558" t="s">
        <v>368</v>
      </c>
      <c r="C558" t="s">
        <v>194</v>
      </c>
      <c r="D558">
        <v>1</v>
      </c>
      <c r="E558" t="s">
        <v>107</v>
      </c>
      <c r="F558">
        <v>1</v>
      </c>
      <c r="G558">
        <v>-2594</v>
      </c>
      <c r="H558">
        <v>-2594</v>
      </c>
      <c r="I558" t="s">
        <v>119</v>
      </c>
      <c r="J558" t="s">
        <v>58</v>
      </c>
      <c r="K558" t="s">
        <v>374</v>
      </c>
      <c r="L558" t="s">
        <v>373</v>
      </c>
      <c r="M558">
        <v>61</v>
      </c>
      <c r="O558" t="s">
        <v>52</v>
      </c>
      <c r="P558" t="s">
        <v>52</v>
      </c>
      <c r="Q558" t="s">
        <v>197</v>
      </c>
      <c r="R558" t="s">
        <v>53</v>
      </c>
      <c r="S558" t="s">
        <v>116</v>
      </c>
      <c r="T558" t="s">
        <v>198</v>
      </c>
      <c r="U558" t="s">
        <v>108</v>
      </c>
    </row>
    <row r="559" spans="1:21" x14ac:dyDescent="0.3">
      <c r="A559" t="s">
        <v>368</v>
      </c>
      <c r="B559" t="s">
        <v>368</v>
      </c>
      <c r="C559" t="s">
        <v>194</v>
      </c>
      <c r="D559">
        <v>1</v>
      </c>
      <c r="E559" t="s">
        <v>107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375</v>
      </c>
      <c r="L559" t="s">
        <v>370</v>
      </c>
      <c r="M559">
        <v>33</v>
      </c>
      <c r="N559">
        <v>15894</v>
      </c>
      <c r="O559" t="s">
        <v>52</v>
      </c>
      <c r="P559" t="s">
        <v>52</v>
      </c>
      <c r="Q559" t="s">
        <v>197</v>
      </c>
      <c r="R559" t="s">
        <v>53</v>
      </c>
      <c r="S559" t="s">
        <v>116</v>
      </c>
      <c r="T559" t="s">
        <v>198</v>
      </c>
      <c r="U559" t="s">
        <v>108</v>
      </c>
    </row>
    <row r="560" spans="1:21" x14ac:dyDescent="0.3">
      <c r="A560" t="s">
        <v>368</v>
      </c>
      <c r="B560" t="s">
        <v>368</v>
      </c>
      <c r="C560" t="s">
        <v>194</v>
      </c>
      <c r="D560">
        <v>1</v>
      </c>
      <c r="E560" t="s">
        <v>107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376</v>
      </c>
      <c r="L560" t="s">
        <v>370</v>
      </c>
      <c r="M560">
        <v>33</v>
      </c>
      <c r="N560">
        <v>15894</v>
      </c>
      <c r="O560" t="s">
        <v>52</v>
      </c>
      <c r="P560" t="s">
        <v>52</v>
      </c>
      <c r="Q560" t="s">
        <v>197</v>
      </c>
      <c r="R560" t="s">
        <v>53</v>
      </c>
      <c r="S560" t="s">
        <v>116</v>
      </c>
      <c r="T560" t="s">
        <v>198</v>
      </c>
      <c r="U560" t="s">
        <v>108</v>
      </c>
    </row>
    <row r="561" spans="1:21" x14ac:dyDescent="0.3">
      <c r="A561" t="s">
        <v>368</v>
      </c>
      <c r="B561" t="s">
        <v>368</v>
      </c>
      <c r="C561" t="s">
        <v>194</v>
      </c>
      <c r="D561">
        <v>2</v>
      </c>
      <c r="E561" t="s">
        <v>118</v>
      </c>
      <c r="F561">
        <v>1</v>
      </c>
      <c r="G561">
        <v>-11</v>
      </c>
      <c r="H561">
        <v>-11</v>
      </c>
      <c r="I561" t="s">
        <v>119</v>
      </c>
      <c r="J561" t="s">
        <v>58</v>
      </c>
      <c r="K561" t="s">
        <v>374</v>
      </c>
      <c r="L561" t="s">
        <v>373</v>
      </c>
      <c r="M561">
        <v>61</v>
      </c>
      <c r="O561" t="s">
        <v>52</v>
      </c>
      <c r="P561" t="s">
        <v>52</v>
      </c>
      <c r="Q561" t="s">
        <v>197</v>
      </c>
      <c r="R561" t="s">
        <v>53</v>
      </c>
      <c r="S561" t="s">
        <v>116</v>
      </c>
      <c r="T561" t="s">
        <v>198</v>
      </c>
      <c r="U561" t="s">
        <v>108</v>
      </c>
    </row>
    <row r="562" spans="1:21" x14ac:dyDescent="0.3">
      <c r="A562" t="s">
        <v>368</v>
      </c>
      <c r="B562" t="s">
        <v>368</v>
      </c>
      <c r="C562" t="s">
        <v>194</v>
      </c>
      <c r="D562">
        <v>2</v>
      </c>
      <c r="E562" t="s">
        <v>118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369</v>
      </c>
      <c r="L562" t="s">
        <v>370</v>
      </c>
      <c r="M562">
        <v>33</v>
      </c>
      <c r="N562">
        <v>15894</v>
      </c>
      <c r="O562" t="s">
        <v>52</v>
      </c>
      <c r="P562" t="s">
        <v>52</v>
      </c>
      <c r="Q562" t="s">
        <v>197</v>
      </c>
      <c r="R562" t="s">
        <v>53</v>
      </c>
      <c r="S562" t="s">
        <v>116</v>
      </c>
      <c r="T562" t="s">
        <v>198</v>
      </c>
      <c r="U562" t="s">
        <v>108</v>
      </c>
    </row>
    <row r="563" spans="1:21" x14ac:dyDescent="0.3">
      <c r="A563" t="s">
        <v>368</v>
      </c>
      <c r="B563" t="s">
        <v>368</v>
      </c>
      <c r="C563" t="s">
        <v>194</v>
      </c>
      <c r="D563">
        <v>2</v>
      </c>
      <c r="E563" t="s">
        <v>118</v>
      </c>
      <c r="F563">
        <v>1</v>
      </c>
      <c r="G563">
        <v>-3</v>
      </c>
      <c r="H563">
        <v>-3</v>
      </c>
      <c r="I563" t="s">
        <v>117</v>
      </c>
      <c r="J563" t="s">
        <v>51</v>
      </c>
      <c r="K563" t="s">
        <v>372</v>
      </c>
      <c r="L563" t="s">
        <v>373</v>
      </c>
      <c r="M563">
        <v>61</v>
      </c>
      <c r="O563" t="s">
        <v>52</v>
      </c>
      <c r="P563" t="s">
        <v>52</v>
      </c>
      <c r="Q563" t="s">
        <v>197</v>
      </c>
      <c r="R563" t="s">
        <v>53</v>
      </c>
      <c r="S563" t="s">
        <v>116</v>
      </c>
      <c r="T563" t="s">
        <v>198</v>
      </c>
      <c r="U563" t="s">
        <v>108</v>
      </c>
    </row>
    <row r="564" spans="1:21" x14ac:dyDescent="0.3">
      <c r="A564" t="s">
        <v>368</v>
      </c>
      <c r="B564" t="s">
        <v>368</v>
      </c>
      <c r="C564" t="s">
        <v>194</v>
      </c>
      <c r="D564">
        <v>2</v>
      </c>
      <c r="E564" t="s">
        <v>118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371</v>
      </c>
      <c r="L564" t="s">
        <v>370</v>
      </c>
      <c r="M564">
        <v>33</v>
      </c>
      <c r="N564">
        <v>15894</v>
      </c>
      <c r="O564" t="s">
        <v>52</v>
      </c>
      <c r="P564" t="s">
        <v>52</v>
      </c>
      <c r="Q564" t="s">
        <v>197</v>
      </c>
      <c r="R564" t="s">
        <v>53</v>
      </c>
      <c r="S564" t="s">
        <v>116</v>
      </c>
      <c r="T564" t="s">
        <v>198</v>
      </c>
      <c r="U564" t="s">
        <v>108</v>
      </c>
    </row>
    <row r="565" spans="1:21" x14ac:dyDescent="0.3">
      <c r="A565" t="s">
        <v>368</v>
      </c>
      <c r="B565" t="s">
        <v>368</v>
      </c>
      <c r="C565" t="s">
        <v>194</v>
      </c>
      <c r="D565">
        <v>2</v>
      </c>
      <c r="E565" t="s">
        <v>118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376</v>
      </c>
      <c r="L565" t="s">
        <v>370</v>
      </c>
      <c r="M565">
        <v>33</v>
      </c>
      <c r="N565">
        <v>15894</v>
      </c>
      <c r="O565" t="s">
        <v>52</v>
      </c>
      <c r="P565" t="s">
        <v>52</v>
      </c>
      <c r="Q565" t="s">
        <v>197</v>
      </c>
      <c r="R565" t="s">
        <v>53</v>
      </c>
      <c r="S565" t="s">
        <v>116</v>
      </c>
      <c r="T565" t="s">
        <v>198</v>
      </c>
      <c r="U565" t="s">
        <v>108</v>
      </c>
    </row>
    <row r="566" spans="1:21" x14ac:dyDescent="0.3">
      <c r="A566" t="s">
        <v>368</v>
      </c>
      <c r="B566" t="s">
        <v>368</v>
      </c>
      <c r="C566" t="s">
        <v>194</v>
      </c>
      <c r="D566">
        <v>2</v>
      </c>
      <c r="E566" t="s">
        <v>118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375</v>
      </c>
      <c r="L566" t="s">
        <v>370</v>
      </c>
      <c r="M566">
        <v>33</v>
      </c>
      <c r="N566">
        <v>15894</v>
      </c>
      <c r="O566" t="s">
        <v>52</v>
      </c>
      <c r="P566" t="s">
        <v>52</v>
      </c>
      <c r="Q566" t="s">
        <v>197</v>
      </c>
      <c r="R566" t="s">
        <v>53</v>
      </c>
      <c r="S566" t="s">
        <v>116</v>
      </c>
      <c r="T566" t="s">
        <v>198</v>
      </c>
      <c r="U566" t="s">
        <v>108</v>
      </c>
    </row>
    <row r="567" spans="1:21" x14ac:dyDescent="0.3">
      <c r="A567" t="s">
        <v>368</v>
      </c>
      <c r="B567" t="s">
        <v>368</v>
      </c>
      <c r="C567" t="s">
        <v>194</v>
      </c>
      <c r="D567">
        <v>3</v>
      </c>
      <c r="E567" t="s">
        <v>105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371</v>
      </c>
      <c r="L567" t="s">
        <v>370</v>
      </c>
      <c r="M567">
        <v>33</v>
      </c>
      <c r="N567">
        <v>15894</v>
      </c>
      <c r="O567" t="s">
        <v>52</v>
      </c>
      <c r="P567" t="s">
        <v>52</v>
      </c>
      <c r="Q567" t="s">
        <v>197</v>
      </c>
      <c r="R567" t="s">
        <v>53</v>
      </c>
      <c r="S567" t="s">
        <v>116</v>
      </c>
      <c r="T567" t="s">
        <v>198</v>
      </c>
      <c r="U567" t="s">
        <v>108</v>
      </c>
    </row>
    <row r="568" spans="1:21" x14ac:dyDescent="0.3">
      <c r="A568" t="s">
        <v>368</v>
      </c>
      <c r="B568" t="s">
        <v>368</v>
      </c>
      <c r="C568" t="s">
        <v>194</v>
      </c>
      <c r="D568">
        <v>3</v>
      </c>
      <c r="E568" t="s">
        <v>105</v>
      </c>
      <c r="F568">
        <v>1</v>
      </c>
      <c r="G568">
        <v>-383</v>
      </c>
      <c r="H568">
        <v>-383</v>
      </c>
      <c r="I568" t="s">
        <v>119</v>
      </c>
      <c r="J568" t="s">
        <v>58</v>
      </c>
      <c r="K568" t="s">
        <v>374</v>
      </c>
      <c r="L568" t="s">
        <v>373</v>
      </c>
      <c r="M568">
        <v>61</v>
      </c>
      <c r="O568" t="s">
        <v>52</v>
      </c>
      <c r="P568" t="s">
        <v>52</v>
      </c>
      <c r="Q568" t="s">
        <v>197</v>
      </c>
      <c r="R568" t="s">
        <v>53</v>
      </c>
      <c r="S568" t="s">
        <v>116</v>
      </c>
      <c r="T568" t="s">
        <v>198</v>
      </c>
      <c r="U568" t="s">
        <v>108</v>
      </c>
    </row>
    <row r="569" spans="1:21" x14ac:dyDescent="0.3">
      <c r="A569" t="s">
        <v>368</v>
      </c>
      <c r="B569" t="s">
        <v>368</v>
      </c>
      <c r="C569" t="s">
        <v>194</v>
      </c>
      <c r="D569">
        <v>3</v>
      </c>
      <c r="E569" t="s">
        <v>105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375</v>
      </c>
      <c r="L569" t="s">
        <v>370</v>
      </c>
      <c r="M569">
        <v>33</v>
      </c>
      <c r="N569">
        <v>15894</v>
      </c>
      <c r="O569" t="s">
        <v>52</v>
      </c>
      <c r="P569" t="s">
        <v>52</v>
      </c>
      <c r="Q569" t="s">
        <v>197</v>
      </c>
      <c r="R569" t="s">
        <v>53</v>
      </c>
      <c r="S569" t="s">
        <v>116</v>
      </c>
      <c r="T569" t="s">
        <v>198</v>
      </c>
      <c r="U569" t="s">
        <v>108</v>
      </c>
    </row>
    <row r="570" spans="1:21" x14ac:dyDescent="0.3">
      <c r="A570" t="s">
        <v>368</v>
      </c>
      <c r="B570" t="s">
        <v>368</v>
      </c>
      <c r="C570" t="s">
        <v>194</v>
      </c>
      <c r="D570">
        <v>3</v>
      </c>
      <c r="E570" t="s">
        <v>105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376</v>
      </c>
      <c r="L570" t="s">
        <v>370</v>
      </c>
      <c r="M570">
        <v>33</v>
      </c>
      <c r="N570">
        <v>15894</v>
      </c>
      <c r="O570" t="s">
        <v>52</v>
      </c>
      <c r="P570" t="s">
        <v>52</v>
      </c>
      <c r="Q570" t="s">
        <v>197</v>
      </c>
      <c r="R570" t="s">
        <v>53</v>
      </c>
      <c r="S570" t="s">
        <v>116</v>
      </c>
      <c r="T570" t="s">
        <v>198</v>
      </c>
      <c r="U570" t="s">
        <v>108</v>
      </c>
    </row>
    <row r="571" spans="1:21" x14ac:dyDescent="0.3">
      <c r="A571" t="s">
        <v>368</v>
      </c>
      <c r="B571" t="s">
        <v>368</v>
      </c>
      <c r="C571" t="s">
        <v>194</v>
      </c>
      <c r="D571">
        <v>3</v>
      </c>
      <c r="E571" t="s">
        <v>105</v>
      </c>
      <c r="F571">
        <v>1</v>
      </c>
      <c r="G571">
        <v>-80</v>
      </c>
      <c r="H571">
        <v>-80</v>
      </c>
      <c r="I571" t="s">
        <v>117</v>
      </c>
      <c r="J571" t="s">
        <v>51</v>
      </c>
      <c r="K571" t="s">
        <v>372</v>
      </c>
      <c r="L571" t="s">
        <v>373</v>
      </c>
      <c r="M571">
        <v>61</v>
      </c>
      <c r="O571" t="s">
        <v>52</v>
      </c>
      <c r="P571" t="s">
        <v>52</v>
      </c>
      <c r="Q571" t="s">
        <v>197</v>
      </c>
      <c r="R571" t="s">
        <v>53</v>
      </c>
      <c r="S571" t="s">
        <v>116</v>
      </c>
      <c r="T571" t="s">
        <v>198</v>
      </c>
      <c r="U571" t="s">
        <v>108</v>
      </c>
    </row>
    <row r="572" spans="1:21" x14ac:dyDescent="0.3">
      <c r="A572" t="s">
        <v>368</v>
      </c>
      <c r="B572" t="s">
        <v>368</v>
      </c>
      <c r="C572" t="s">
        <v>194</v>
      </c>
      <c r="D572">
        <v>3</v>
      </c>
      <c r="E572" t="s">
        <v>105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369</v>
      </c>
      <c r="L572" t="s">
        <v>370</v>
      </c>
      <c r="M572">
        <v>33</v>
      </c>
      <c r="N572">
        <v>15894</v>
      </c>
      <c r="O572" t="s">
        <v>52</v>
      </c>
      <c r="P572" t="s">
        <v>52</v>
      </c>
      <c r="Q572" t="s">
        <v>197</v>
      </c>
      <c r="R572" t="s">
        <v>53</v>
      </c>
      <c r="S572" t="s">
        <v>116</v>
      </c>
      <c r="T572" t="s">
        <v>198</v>
      </c>
      <c r="U572" t="s">
        <v>108</v>
      </c>
    </row>
    <row r="573" spans="1:21" x14ac:dyDescent="0.3">
      <c r="A573" t="s">
        <v>368</v>
      </c>
      <c r="B573" t="s">
        <v>368</v>
      </c>
      <c r="C573" t="s">
        <v>194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371</v>
      </c>
      <c r="L573" t="s">
        <v>370</v>
      </c>
      <c r="M573">
        <v>33</v>
      </c>
      <c r="N573">
        <v>15894</v>
      </c>
      <c r="O573" t="s">
        <v>52</v>
      </c>
      <c r="P573" t="s">
        <v>52</v>
      </c>
      <c r="Q573" t="s">
        <v>197</v>
      </c>
      <c r="R573" t="s">
        <v>53</v>
      </c>
      <c r="S573" t="s">
        <v>116</v>
      </c>
      <c r="T573" t="s">
        <v>198</v>
      </c>
      <c r="U573" t="s">
        <v>108</v>
      </c>
    </row>
    <row r="574" spans="1:21" x14ac:dyDescent="0.3">
      <c r="A574" t="s">
        <v>368</v>
      </c>
      <c r="B574" t="s">
        <v>368</v>
      </c>
      <c r="C574" t="s">
        <v>194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369</v>
      </c>
      <c r="L574" t="s">
        <v>370</v>
      </c>
      <c r="M574">
        <v>33</v>
      </c>
      <c r="N574">
        <v>15894</v>
      </c>
      <c r="O574" t="s">
        <v>52</v>
      </c>
      <c r="P574" t="s">
        <v>52</v>
      </c>
      <c r="Q574" t="s">
        <v>197</v>
      </c>
      <c r="R574" t="s">
        <v>53</v>
      </c>
      <c r="S574" t="s">
        <v>116</v>
      </c>
      <c r="T574" t="s">
        <v>198</v>
      </c>
      <c r="U574" t="s">
        <v>108</v>
      </c>
    </row>
    <row r="575" spans="1:21" x14ac:dyDescent="0.3">
      <c r="A575" t="s">
        <v>368</v>
      </c>
      <c r="B575" t="s">
        <v>368</v>
      </c>
      <c r="C575" t="s">
        <v>194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376</v>
      </c>
      <c r="L575" t="s">
        <v>370</v>
      </c>
      <c r="M575">
        <v>33</v>
      </c>
      <c r="N575">
        <v>15894</v>
      </c>
      <c r="O575" t="s">
        <v>52</v>
      </c>
      <c r="P575" t="s">
        <v>52</v>
      </c>
      <c r="Q575" t="s">
        <v>197</v>
      </c>
      <c r="R575" t="s">
        <v>53</v>
      </c>
      <c r="S575" t="s">
        <v>116</v>
      </c>
      <c r="T575" t="s">
        <v>198</v>
      </c>
      <c r="U575" t="s">
        <v>108</v>
      </c>
    </row>
    <row r="576" spans="1:21" x14ac:dyDescent="0.3">
      <c r="A576" t="s">
        <v>368</v>
      </c>
      <c r="B576" t="s">
        <v>368</v>
      </c>
      <c r="C576" t="s">
        <v>194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119</v>
      </c>
      <c r="J576" t="s">
        <v>58</v>
      </c>
      <c r="K576" t="s">
        <v>374</v>
      </c>
      <c r="L576" t="s">
        <v>373</v>
      </c>
      <c r="M576">
        <v>61</v>
      </c>
      <c r="O576" t="s">
        <v>52</v>
      </c>
      <c r="P576" t="s">
        <v>52</v>
      </c>
      <c r="Q576" t="s">
        <v>197</v>
      </c>
      <c r="R576" t="s">
        <v>53</v>
      </c>
      <c r="S576" t="s">
        <v>116</v>
      </c>
      <c r="T576" t="s">
        <v>198</v>
      </c>
      <c r="U576" t="s">
        <v>108</v>
      </c>
    </row>
    <row r="577" spans="1:21" x14ac:dyDescent="0.3">
      <c r="A577" t="s">
        <v>368</v>
      </c>
      <c r="B577" t="s">
        <v>368</v>
      </c>
      <c r="C577" t="s">
        <v>194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117</v>
      </c>
      <c r="J577" t="s">
        <v>51</v>
      </c>
      <c r="K577" t="s">
        <v>372</v>
      </c>
      <c r="L577" t="s">
        <v>373</v>
      </c>
      <c r="M577">
        <v>61</v>
      </c>
      <c r="O577" t="s">
        <v>52</v>
      </c>
      <c r="P577" t="s">
        <v>52</v>
      </c>
      <c r="Q577" t="s">
        <v>197</v>
      </c>
      <c r="R577" t="s">
        <v>53</v>
      </c>
      <c r="S577" t="s">
        <v>116</v>
      </c>
      <c r="T577" t="s">
        <v>198</v>
      </c>
      <c r="U577" t="s">
        <v>108</v>
      </c>
    </row>
    <row r="578" spans="1:21" x14ac:dyDescent="0.3">
      <c r="A578" t="s">
        <v>368</v>
      </c>
      <c r="B578" t="s">
        <v>368</v>
      </c>
      <c r="C578" t="s">
        <v>194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375</v>
      </c>
      <c r="L578" t="s">
        <v>370</v>
      </c>
      <c r="M578">
        <v>33</v>
      </c>
      <c r="N578">
        <v>15894</v>
      </c>
      <c r="O578" t="s">
        <v>52</v>
      </c>
      <c r="P578" t="s">
        <v>52</v>
      </c>
      <c r="Q578" t="s">
        <v>197</v>
      </c>
      <c r="R578" t="s">
        <v>53</v>
      </c>
      <c r="S578" t="s">
        <v>116</v>
      </c>
      <c r="T578" t="s">
        <v>198</v>
      </c>
      <c r="U578" t="s">
        <v>108</v>
      </c>
    </row>
    <row r="579" spans="1:21" x14ac:dyDescent="0.3">
      <c r="A579" t="s">
        <v>368</v>
      </c>
      <c r="B579" t="s">
        <v>368</v>
      </c>
      <c r="C579" t="s">
        <v>194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369</v>
      </c>
      <c r="L579" t="s">
        <v>370</v>
      </c>
      <c r="M579">
        <v>33</v>
      </c>
      <c r="N579">
        <v>15894</v>
      </c>
      <c r="O579" t="s">
        <v>52</v>
      </c>
      <c r="P579" t="s">
        <v>52</v>
      </c>
      <c r="Q579" t="s">
        <v>197</v>
      </c>
      <c r="R579" t="s">
        <v>53</v>
      </c>
      <c r="S579" t="s">
        <v>116</v>
      </c>
      <c r="T579" t="s">
        <v>198</v>
      </c>
      <c r="U579" t="s">
        <v>108</v>
      </c>
    </row>
    <row r="580" spans="1:21" x14ac:dyDescent="0.3">
      <c r="A580" t="s">
        <v>368</v>
      </c>
      <c r="B580" t="s">
        <v>368</v>
      </c>
      <c r="C580" t="s">
        <v>194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371</v>
      </c>
      <c r="L580" t="s">
        <v>370</v>
      </c>
      <c r="M580">
        <v>33</v>
      </c>
      <c r="N580">
        <v>15894</v>
      </c>
      <c r="O580" t="s">
        <v>52</v>
      </c>
      <c r="P580" t="s">
        <v>52</v>
      </c>
      <c r="Q580" t="s">
        <v>197</v>
      </c>
      <c r="R580" t="s">
        <v>53</v>
      </c>
      <c r="S580" t="s">
        <v>116</v>
      </c>
      <c r="T580" t="s">
        <v>198</v>
      </c>
      <c r="U580" t="s">
        <v>108</v>
      </c>
    </row>
    <row r="581" spans="1:21" x14ac:dyDescent="0.3">
      <c r="A581" t="s">
        <v>368</v>
      </c>
      <c r="B581" t="s">
        <v>368</v>
      </c>
      <c r="C581" t="s">
        <v>194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376</v>
      </c>
      <c r="L581" t="s">
        <v>370</v>
      </c>
      <c r="M581">
        <v>33</v>
      </c>
      <c r="N581">
        <v>15894</v>
      </c>
      <c r="O581" t="s">
        <v>52</v>
      </c>
      <c r="P581" t="s">
        <v>52</v>
      </c>
      <c r="Q581" t="s">
        <v>197</v>
      </c>
      <c r="R581" t="s">
        <v>53</v>
      </c>
      <c r="S581" t="s">
        <v>116</v>
      </c>
      <c r="T581" t="s">
        <v>198</v>
      </c>
      <c r="U581" t="s">
        <v>108</v>
      </c>
    </row>
    <row r="582" spans="1:21" x14ac:dyDescent="0.3">
      <c r="A582" t="s">
        <v>368</v>
      </c>
      <c r="B582" t="s">
        <v>368</v>
      </c>
      <c r="C582" t="s">
        <v>194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119</v>
      </c>
      <c r="J582" t="s">
        <v>58</v>
      </c>
      <c r="K582" t="s">
        <v>374</v>
      </c>
      <c r="L582" t="s">
        <v>373</v>
      </c>
      <c r="M582">
        <v>61</v>
      </c>
      <c r="O582" t="s">
        <v>52</v>
      </c>
      <c r="P582" t="s">
        <v>52</v>
      </c>
      <c r="Q582" t="s">
        <v>197</v>
      </c>
      <c r="R582" t="s">
        <v>53</v>
      </c>
      <c r="S582" t="s">
        <v>116</v>
      </c>
      <c r="T582" t="s">
        <v>198</v>
      </c>
      <c r="U582" t="s">
        <v>108</v>
      </c>
    </row>
    <row r="583" spans="1:21" x14ac:dyDescent="0.3">
      <c r="A583" t="s">
        <v>368</v>
      </c>
      <c r="B583" t="s">
        <v>368</v>
      </c>
      <c r="C583" t="s">
        <v>194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375</v>
      </c>
      <c r="L583" t="s">
        <v>370</v>
      </c>
      <c r="M583">
        <v>33</v>
      </c>
      <c r="N583">
        <v>15894</v>
      </c>
      <c r="O583" t="s">
        <v>52</v>
      </c>
      <c r="P583" t="s">
        <v>52</v>
      </c>
      <c r="Q583" t="s">
        <v>197</v>
      </c>
      <c r="R583" t="s">
        <v>53</v>
      </c>
      <c r="S583" t="s">
        <v>116</v>
      </c>
      <c r="T583" t="s">
        <v>198</v>
      </c>
      <c r="U583" t="s">
        <v>108</v>
      </c>
    </row>
    <row r="584" spans="1:21" x14ac:dyDescent="0.3">
      <c r="A584" t="s">
        <v>368</v>
      </c>
      <c r="B584" t="s">
        <v>368</v>
      </c>
      <c r="C584" t="s">
        <v>194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117</v>
      </c>
      <c r="J584" t="s">
        <v>51</v>
      </c>
      <c r="K584" t="s">
        <v>372</v>
      </c>
      <c r="L584" t="s">
        <v>373</v>
      </c>
      <c r="M584">
        <v>61</v>
      </c>
      <c r="O584" t="s">
        <v>52</v>
      </c>
      <c r="P584" t="s">
        <v>52</v>
      </c>
      <c r="Q584" t="s">
        <v>197</v>
      </c>
      <c r="R584" t="s">
        <v>53</v>
      </c>
      <c r="S584" t="s">
        <v>116</v>
      </c>
      <c r="T584" t="s">
        <v>198</v>
      </c>
      <c r="U584" t="s">
        <v>108</v>
      </c>
    </row>
    <row r="585" spans="1:21" x14ac:dyDescent="0.3">
      <c r="A585" t="s">
        <v>377</v>
      </c>
      <c r="B585" t="s">
        <v>377</v>
      </c>
      <c r="C585" t="s">
        <v>194</v>
      </c>
      <c r="D585">
        <v>1</v>
      </c>
      <c r="E585" t="s">
        <v>107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378</v>
      </c>
      <c r="L585" t="s">
        <v>379</v>
      </c>
      <c r="M585">
        <v>33</v>
      </c>
      <c r="N585">
        <v>16653</v>
      </c>
      <c r="O585" t="s">
        <v>52</v>
      </c>
      <c r="P585" t="s">
        <v>52</v>
      </c>
      <c r="Q585" t="s">
        <v>197</v>
      </c>
      <c r="R585" t="s">
        <v>53</v>
      </c>
      <c r="S585" t="s">
        <v>116</v>
      </c>
      <c r="T585" t="s">
        <v>198</v>
      </c>
      <c r="U585" t="s">
        <v>108</v>
      </c>
    </row>
    <row r="586" spans="1:21" x14ac:dyDescent="0.3">
      <c r="A586" t="s">
        <v>377</v>
      </c>
      <c r="B586" t="s">
        <v>377</v>
      </c>
      <c r="C586" t="s">
        <v>194</v>
      </c>
      <c r="D586">
        <v>1</v>
      </c>
      <c r="E586" t="s">
        <v>107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380</v>
      </c>
      <c r="L586" t="s">
        <v>379</v>
      </c>
      <c r="M586">
        <v>33</v>
      </c>
      <c r="N586">
        <v>16653</v>
      </c>
      <c r="O586" t="s">
        <v>52</v>
      </c>
      <c r="P586" t="s">
        <v>52</v>
      </c>
      <c r="Q586" t="s">
        <v>197</v>
      </c>
      <c r="R586" t="s">
        <v>53</v>
      </c>
      <c r="S586" t="s">
        <v>116</v>
      </c>
      <c r="T586" t="s">
        <v>198</v>
      </c>
      <c r="U586" t="s">
        <v>108</v>
      </c>
    </row>
    <row r="587" spans="1:21" x14ac:dyDescent="0.3">
      <c r="A587" t="s">
        <v>377</v>
      </c>
      <c r="B587" t="s">
        <v>377</v>
      </c>
      <c r="C587" t="s">
        <v>194</v>
      </c>
      <c r="D587">
        <v>1</v>
      </c>
      <c r="E587" t="s">
        <v>107</v>
      </c>
      <c r="F587">
        <v>1</v>
      </c>
      <c r="G587">
        <v>-1312</v>
      </c>
      <c r="H587">
        <v>-1312</v>
      </c>
      <c r="I587" t="s">
        <v>117</v>
      </c>
      <c r="J587" t="s">
        <v>51</v>
      </c>
      <c r="K587" t="s">
        <v>381</v>
      </c>
      <c r="L587" t="s">
        <v>382</v>
      </c>
      <c r="M587">
        <v>61</v>
      </c>
      <c r="O587" t="s">
        <v>52</v>
      </c>
      <c r="P587" t="s">
        <v>52</v>
      </c>
      <c r="Q587" t="s">
        <v>197</v>
      </c>
      <c r="R587" t="s">
        <v>53</v>
      </c>
      <c r="S587" t="s">
        <v>116</v>
      </c>
      <c r="T587" t="s">
        <v>198</v>
      </c>
      <c r="U587" t="s">
        <v>108</v>
      </c>
    </row>
    <row r="588" spans="1:21" x14ac:dyDescent="0.3">
      <c r="A588" t="s">
        <v>377</v>
      </c>
      <c r="B588" t="s">
        <v>377</v>
      </c>
      <c r="C588" t="s">
        <v>194</v>
      </c>
      <c r="D588">
        <v>1</v>
      </c>
      <c r="E588" t="s">
        <v>107</v>
      </c>
      <c r="F588">
        <v>1</v>
      </c>
      <c r="G588">
        <v>-3027</v>
      </c>
      <c r="H588">
        <v>-3027</v>
      </c>
      <c r="I588" t="s">
        <v>119</v>
      </c>
      <c r="J588" t="s">
        <v>58</v>
      </c>
      <c r="K588" t="s">
        <v>383</v>
      </c>
      <c r="L588" t="s">
        <v>384</v>
      </c>
      <c r="M588">
        <v>61</v>
      </c>
      <c r="O588" t="s">
        <v>52</v>
      </c>
      <c r="P588" t="s">
        <v>52</v>
      </c>
      <c r="Q588" t="s">
        <v>197</v>
      </c>
      <c r="R588" t="s">
        <v>53</v>
      </c>
      <c r="S588" t="s">
        <v>116</v>
      </c>
      <c r="T588" t="s">
        <v>198</v>
      </c>
      <c r="U588" t="s">
        <v>108</v>
      </c>
    </row>
    <row r="589" spans="1:21" x14ac:dyDescent="0.3">
      <c r="A589" t="s">
        <v>377</v>
      </c>
      <c r="B589" t="s">
        <v>377</v>
      </c>
      <c r="C589" t="s">
        <v>194</v>
      </c>
      <c r="D589">
        <v>1</v>
      </c>
      <c r="E589" t="s">
        <v>107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385</v>
      </c>
      <c r="L589" t="s">
        <v>379</v>
      </c>
      <c r="M589">
        <v>33</v>
      </c>
      <c r="N589">
        <v>16653</v>
      </c>
      <c r="O589" t="s">
        <v>52</v>
      </c>
      <c r="P589" t="s">
        <v>52</v>
      </c>
      <c r="Q589" t="s">
        <v>197</v>
      </c>
      <c r="R589" t="s">
        <v>53</v>
      </c>
      <c r="S589" t="s">
        <v>116</v>
      </c>
      <c r="T589" t="s">
        <v>198</v>
      </c>
      <c r="U589" t="s">
        <v>108</v>
      </c>
    </row>
    <row r="590" spans="1:21" x14ac:dyDescent="0.3">
      <c r="A590" t="s">
        <v>377</v>
      </c>
      <c r="B590" t="s">
        <v>377</v>
      </c>
      <c r="C590" t="s">
        <v>194</v>
      </c>
      <c r="D590">
        <v>1</v>
      </c>
      <c r="E590" t="s">
        <v>107</v>
      </c>
      <c r="F590">
        <v>1</v>
      </c>
      <c r="G590">
        <v>10</v>
      </c>
      <c r="H590">
        <v>10</v>
      </c>
      <c r="I590" t="s">
        <v>386</v>
      </c>
      <c r="J590" t="s">
        <v>55</v>
      </c>
      <c r="K590" t="s">
        <v>387</v>
      </c>
      <c r="L590" t="s">
        <v>382</v>
      </c>
      <c r="M590">
        <v>61</v>
      </c>
      <c r="O590" t="s">
        <v>52</v>
      </c>
      <c r="P590" t="s">
        <v>52</v>
      </c>
      <c r="Q590" t="s">
        <v>197</v>
      </c>
      <c r="R590" t="s">
        <v>53</v>
      </c>
      <c r="S590" t="s">
        <v>116</v>
      </c>
      <c r="T590" t="s">
        <v>198</v>
      </c>
      <c r="U590" t="s">
        <v>108</v>
      </c>
    </row>
    <row r="591" spans="1:21" x14ac:dyDescent="0.3">
      <c r="A591" t="s">
        <v>377</v>
      </c>
      <c r="B591" t="s">
        <v>377</v>
      </c>
      <c r="C591" t="s">
        <v>194</v>
      </c>
      <c r="D591">
        <v>1</v>
      </c>
      <c r="E591" t="s">
        <v>107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388</v>
      </c>
      <c r="L591" t="s">
        <v>379</v>
      </c>
      <c r="M591">
        <v>33</v>
      </c>
      <c r="N591">
        <v>16653</v>
      </c>
      <c r="O591" t="s">
        <v>52</v>
      </c>
      <c r="P591" t="s">
        <v>52</v>
      </c>
      <c r="Q591" t="s">
        <v>197</v>
      </c>
      <c r="R591" t="s">
        <v>53</v>
      </c>
      <c r="S591" t="s">
        <v>116</v>
      </c>
      <c r="T591" t="s">
        <v>198</v>
      </c>
      <c r="U591" t="s">
        <v>108</v>
      </c>
    </row>
    <row r="592" spans="1:21" x14ac:dyDescent="0.3">
      <c r="A592" t="s">
        <v>377</v>
      </c>
      <c r="B592" t="s">
        <v>377</v>
      </c>
      <c r="C592" t="s">
        <v>194</v>
      </c>
      <c r="D592">
        <v>2</v>
      </c>
      <c r="E592" t="s">
        <v>118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380</v>
      </c>
      <c r="L592" t="s">
        <v>379</v>
      </c>
      <c r="M592">
        <v>33</v>
      </c>
      <c r="N592">
        <v>16653</v>
      </c>
      <c r="O592" t="s">
        <v>52</v>
      </c>
      <c r="P592" t="s">
        <v>52</v>
      </c>
      <c r="Q592" t="s">
        <v>197</v>
      </c>
      <c r="R592" t="s">
        <v>53</v>
      </c>
      <c r="S592" t="s">
        <v>116</v>
      </c>
      <c r="T592" t="s">
        <v>198</v>
      </c>
      <c r="U592" t="s">
        <v>108</v>
      </c>
    </row>
    <row r="593" spans="1:21" x14ac:dyDescent="0.3">
      <c r="A593" t="s">
        <v>377</v>
      </c>
      <c r="B593" t="s">
        <v>377</v>
      </c>
      <c r="C593" t="s">
        <v>194</v>
      </c>
      <c r="D593">
        <v>2</v>
      </c>
      <c r="E593" t="s">
        <v>118</v>
      </c>
      <c r="F593">
        <v>1</v>
      </c>
      <c r="G593">
        <v>-13</v>
      </c>
      <c r="H593">
        <v>-13</v>
      </c>
      <c r="I593" t="s">
        <v>119</v>
      </c>
      <c r="J593" t="s">
        <v>58</v>
      </c>
      <c r="K593" t="s">
        <v>383</v>
      </c>
      <c r="L593" t="s">
        <v>384</v>
      </c>
      <c r="M593">
        <v>61</v>
      </c>
      <c r="O593" t="s">
        <v>52</v>
      </c>
      <c r="P593" t="s">
        <v>52</v>
      </c>
      <c r="Q593" t="s">
        <v>197</v>
      </c>
      <c r="R593" t="s">
        <v>53</v>
      </c>
      <c r="S593" t="s">
        <v>116</v>
      </c>
      <c r="T593" t="s">
        <v>198</v>
      </c>
      <c r="U593" t="s">
        <v>108</v>
      </c>
    </row>
    <row r="594" spans="1:21" x14ac:dyDescent="0.3">
      <c r="A594" t="s">
        <v>377</v>
      </c>
      <c r="B594" t="s">
        <v>377</v>
      </c>
      <c r="C594" t="s">
        <v>194</v>
      </c>
      <c r="D594">
        <v>2</v>
      </c>
      <c r="E594" t="s">
        <v>118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385</v>
      </c>
      <c r="L594" t="s">
        <v>379</v>
      </c>
      <c r="M594">
        <v>33</v>
      </c>
      <c r="N594">
        <v>16653</v>
      </c>
      <c r="O594" t="s">
        <v>52</v>
      </c>
      <c r="P594" t="s">
        <v>52</v>
      </c>
      <c r="Q594" t="s">
        <v>197</v>
      </c>
      <c r="R594" t="s">
        <v>53</v>
      </c>
      <c r="S594" t="s">
        <v>116</v>
      </c>
      <c r="T594" t="s">
        <v>198</v>
      </c>
      <c r="U594" t="s">
        <v>108</v>
      </c>
    </row>
    <row r="595" spans="1:21" x14ac:dyDescent="0.3">
      <c r="A595" t="s">
        <v>377</v>
      </c>
      <c r="B595" t="s">
        <v>377</v>
      </c>
      <c r="C595" t="s">
        <v>194</v>
      </c>
      <c r="D595">
        <v>2</v>
      </c>
      <c r="E595" t="s">
        <v>118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388</v>
      </c>
      <c r="L595" t="s">
        <v>379</v>
      </c>
      <c r="M595">
        <v>33</v>
      </c>
      <c r="N595">
        <v>16653</v>
      </c>
      <c r="O595" t="s">
        <v>52</v>
      </c>
      <c r="P595" t="s">
        <v>52</v>
      </c>
      <c r="Q595" t="s">
        <v>197</v>
      </c>
      <c r="R595" t="s">
        <v>53</v>
      </c>
      <c r="S595" t="s">
        <v>116</v>
      </c>
      <c r="T595" t="s">
        <v>198</v>
      </c>
      <c r="U595" t="s">
        <v>108</v>
      </c>
    </row>
    <row r="596" spans="1:21" x14ac:dyDescent="0.3">
      <c r="A596" t="s">
        <v>377</v>
      </c>
      <c r="B596" t="s">
        <v>377</v>
      </c>
      <c r="C596" t="s">
        <v>194</v>
      </c>
      <c r="D596">
        <v>2</v>
      </c>
      <c r="E596" t="s">
        <v>118</v>
      </c>
      <c r="F596">
        <v>1</v>
      </c>
      <c r="G596">
        <v>-6</v>
      </c>
      <c r="H596">
        <v>-6</v>
      </c>
      <c r="I596" t="s">
        <v>117</v>
      </c>
      <c r="J596" t="s">
        <v>51</v>
      </c>
      <c r="K596" t="s">
        <v>381</v>
      </c>
      <c r="L596" t="s">
        <v>382</v>
      </c>
      <c r="M596">
        <v>61</v>
      </c>
      <c r="O596" t="s">
        <v>52</v>
      </c>
      <c r="P596" t="s">
        <v>52</v>
      </c>
      <c r="Q596" t="s">
        <v>197</v>
      </c>
      <c r="R596" t="s">
        <v>53</v>
      </c>
      <c r="S596" t="s">
        <v>116</v>
      </c>
      <c r="T596" t="s">
        <v>198</v>
      </c>
      <c r="U596" t="s">
        <v>108</v>
      </c>
    </row>
    <row r="597" spans="1:21" x14ac:dyDescent="0.3">
      <c r="A597" t="s">
        <v>377</v>
      </c>
      <c r="B597" t="s">
        <v>377</v>
      </c>
      <c r="C597" t="s">
        <v>194</v>
      </c>
      <c r="D597">
        <v>2</v>
      </c>
      <c r="E597" t="s">
        <v>118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378</v>
      </c>
      <c r="L597" t="s">
        <v>379</v>
      </c>
      <c r="M597">
        <v>33</v>
      </c>
      <c r="N597">
        <v>16653</v>
      </c>
      <c r="O597" t="s">
        <v>52</v>
      </c>
      <c r="P597" t="s">
        <v>52</v>
      </c>
      <c r="Q597" t="s">
        <v>197</v>
      </c>
      <c r="R597" t="s">
        <v>53</v>
      </c>
      <c r="S597" t="s">
        <v>116</v>
      </c>
      <c r="T597" t="s">
        <v>198</v>
      </c>
      <c r="U597" t="s">
        <v>108</v>
      </c>
    </row>
    <row r="598" spans="1:21" x14ac:dyDescent="0.3">
      <c r="A598" t="s">
        <v>377</v>
      </c>
      <c r="B598" t="s">
        <v>377</v>
      </c>
      <c r="C598" t="s">
        <v>194</v>
      </c>
      <c r="D598">
        <v>3</v>
      </c>
      <c r="E598" t="s">
        <v>105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380</v>
      </c>
      <c r="L598" t="s">
        <v>379</v>
      </c>
      <c r="M598">
        <v>33</v>
      </c>
      <c r="N598">
        <v>16653</v>
      </c>
      <c r="O598" t="s">
        <v>52</v>
      </c>
      <c r="P598" t="s">
        <v>52</v>
      </c>
      <c r="Q598" t="s">
        <v>197</v>
      </c>
      <c r="R598" t="s">
        <v>53</v>
      </c>
      <c r="S598" t="s">
        <v>116</v>
      </c>
      <c r="T598" t="s">
        <v>198</v>
      </c>
      <c r="U598" t="s">
        <v>108</v>
      </c>
    </row>
    <row r="599" spans="1:21" x14ac:dyDescent="0.3">
      <c r="A599" t="s">
        <v>377</v>
      </c>
      <c r="B599" t="s">
        <v>377</v>
      </c>
      <c r="C599" t="s">
        <v>194</v>
      </c>
      <c r="D599">
        <v>3</v>
      </c>
      <c r="E599" t="s">
        <v>105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388</v>
      </c>
      <c r="L599" t="s">
        <v>379</v>
      </c>
      <c r="M599">
        <v>33</v>
      </c>
      <c r="N599">
        <v>16653</v>
      </c>
      <c r="O599" t="s">
        <v>52</v>
      </c>
      <c r="P599" t="s">
        <v>52</v>
      </c>
      <c r="Q599" t="s">
        <v>197</v>
      </c>
      <c r="R599" t="s">
        <v>53</v>
      </c>
      <c r="S599" t="s">
        <v>116</v>
      </c>
      <c r="T599" t="s">
        <v>198</v>
      </c>
      <c r="U599" t="s">
        <v>108</v>
      </c>
    </row>
    <row r="600" spans="1:21" x14ac:dyDescent="0.3">
      <c r="A600" t="s">
        <v>377</v>
      </c>
      <c r="B600" t="s">
        <v>377</v>
      </c>
      <c r="C600" t="s">
        <v>194</v>
      </c>
      <c r="D600">
        <v>3</v>
      </c>
      <c r="E600" t="s">
        <v>105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385</v>
      </c>
      <c r="L600" t="s">
        <v>379</v>
      </c>
      <c r="M600">
        <v>33</v>
      </c>
      <c r="N600">
        <v>16653</v>
      </c>
      <c r="O600" t="s">
        <v>52</v>
      </c>
      <c r="P600" t="s">
        <v>52</v>
      </c>
      <c r="Q600" t="s">
        <v>197</v>
      </c>
      <c r="R600" t="s">
        <v>53</v>
      </c>
      <c r="S600" t="s">
        <v>116</v>
      </c>
      <c r="T600" t="s">
        <v>198</v>
      </c>
      <c r="U600" t="s">
        <v>108</v>
      </c>
    </row>
    <row r="601" spans="1:21" x14ac:dyDescent="0.3">
      <c r="A601" t="s">
        <v>377</v>
      </c>
      <c r="B601" t="s">
        <v>377</v>
      </c>
      <c r="C601" t="s">
        <v>194</v>
      </c>
      <c r="D601">
        <v>3</v>
      </c>
      <c r="E601" t="s">
        <v>105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378</v>
      </c>
      <c r="L601" t="s">
        <v>379</v>
      </c>
      <c r="M601">
        <v>33</v>
      </c>
      <c r="N601">
        <v>16653</v>
      </c>
      <c r="O601" t="s">
        <v>52</v>
      </c>
      <c r="P601" t="s">
        <v>52</v>
      </c>
      <c r="Q601" t="s">
        <v>197</v>
      </c>
      <c r="R601" t="s">
        <v>53</v>
      </c>
      <c r="S601" t="s">
        <v>116</v>
      </c>
      <c r="T601" t="s">
        <v>198</v>
      </c>
      <c r="U601" t="s">
        <v>108</v>
      </c>
    </row>
    <row r="602" spans="1:21" x14ac:dyDescent="0.3">
      <c r="A602" t="s">
        <v>377</v>
      </c>
      <c r="B602" t="s">
        <v>377</v>
      </c>
      <c r="C602" t="s">
        <v>194</v>
      </c>
      <c r="D602">
        <v>3</v>
      </c>
      <c r="E602" t="s">
        <v>105</v>
      </c>
      <c r="F602">
        <v>1</v>
      </c>
      <c r="G602">
        <v>-456</v>
      </c>
      <c r="H602">
        <v>-456</v>
      </c>
      <c r="I602" t="s">
        <v>119</v>
      </c>
      <c r="J602" t="s">
        <v>58</v>
      </c>
      <c r="K602" t="s">
        <v>383</v>
      </c>
      <c r="L602" t="s">
        <v>384</v>
      </c>
      <c r="M602">
        <v>61</v>
      </c>
      <c r="O602" t="s">
        <v>52</v>
      </c>
      <c r="P602" t="s">
        <v>52</v>
      </c>
      <c r="Q602" t="s">
        <v>197</v>
      </c>
      <c r="R602" t="s">
        <v>53</v>
      </c>
      <c r="S602" t="s">
        <v>116</v>
      </c>
      <c r="T602" t="s">
        <v>198</v>
      </c>
      <c r="U602" t="s">
        <v>108</v>
      </c>
    </row>
    <row r="603" spans="1:21" x14ac:dyDescent="0.3">
      <c r="A603" t="s">
        <v>377</v>
      </c>
      <c r="B603" t="s">
        <v>377</v>
      </c>
      <c r="C603" t="s">
        <v>194</v>
      </c>
      <c r="D603">
        <v>3</v>
      </c>
      <c r="E603" t="s">
        <v>105</v>
      </c>
      <c r="F603">
        <v>1</v>
      </c>
      <c r="G603">
        <v>-189</v>
      </c>
      <c r="H603">
        <v>-189</v>
      </c>
      <c r="I603" t="s">
        <v>117</v>
      </c>
      <c r="J603" t="s">
        <v>51</v>
      </c>
      <c r="K603" t="s">
        <v>381</v>
      </c>
      <c r="L603" t="s">
        <v>382</v>
      </c>
      <c r="M603">
        <v>61</v>
      </c>
      <c r="O603" t="s">
        <v>52</v>
      </c>
      <c r="P603" t="s">
        <v>52</v>
      </c>
      <c r="Q603" t="s">
        <v>197</v>
      </c>
      <c r="R603" t="s">
        <v>53</v>
      </c>
      <c r="S603" t="s">
        <v>116</v>
      </c>
      <c r="T603" t="s">
        <v>198</v>
      </c>
      <c r="U603" t="s">
        <v>108</v>
      </c>
    </row>
    <row r="604" spans="1:21" x14ac:dyDescent="0.3">
      <c r="A604" t="s">
        <v>377</v>
      </c>
      <c r="B604" t="s">
        <v>377</v>
      </c>
      <c r="C604" t="s">
        <v>194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378</v>
      </c>
      <c r="L604" t="s">
        <v>379</v>
      </c>
      <c r="M604">
        <v>33</v>
      </c>
      <c r="N604">
        <v>16653</v>
      </c>
      <c r="O604" t="s">
        <v>52</v>
      </c>
      <c r="P604" t="s">
        <v>52</v>
      </c>
      <c r="Q604" t="s">
        <v>197</v>
      </c>
      <c r="R604" t="s">
        <v>53</v>
      </c>
      <c r="S604" t="s">
        <v>116</v>
      </c>
      <c r="T604" t="s">
        <v>198</v>
      </c>
      <c r="U604" t="s">
        <v>108</v>
      </c>
    </row>
    <row r="605" spans="1:21" x14ac:dyDescent="0.3">
      <c r="A605" t="s">
        <v>377</v>
      </c>
      <c r="B605" t="s">
        <v>377</v>
      </c>
      <c r="C605" t="s">
        <v>194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117</v>
      </c>
      <c r="J605" t="s">
        <v>51</v>
      </c>
      <c r="K605" t="s">
        <v>381</v>
      </c>
      <c r="L605" t="s">
        <v>382</v>
      </c>
      <c r="M605">
        <v>61</v>
      </c>
      <c r="O605" t="s">
        <v>52</v>
      </c>
      <c r="P605" t="s">
        <v>52</v>
      </c>
      <c r="Q605" t="s">
        <v>197</v>
      </c>
      <c r="R605" t="s">
        <v>53</v>
      </c>
      <c r="S605" t="s">
        <v>116</v>
      </c>
      <c r="T605" t="s">
        <v>198</v>
      </c>
      <c r="U605" t="s">
        <v>108</v>
      </c>
    </row>
    <row r="606" spans="1:21" x14ac:dyDescent="0.3">
      <c r="A606" t="s">
        <v>377</v>
      </c>
      <c r="B606" t="s">
        <v>377</v>
      </c>
      <c r="C606" t="s">
        <v>194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119</v>
      </c>
      <c r="J606" t="s">
        <v>58</v>
      </c>
      <c r="K606" t="s">
        <v>383</v>
      </c>
      <c r="L606" t="s">
        <v>384</v>
      </c>
      <c r="M606">
        <v>61</v>
      </c>
      <c r="O606" t="s">
        <v>52</v>
      </c>
      <c r="P606" t="s">
        <v>52</v>
      </c>
      <c r="Q606" t="s">
        <v>197</v>
      </c>
      <c r="R606" t="s">
        <v>53</v>
      </c>
      <c r="S606" t="s">
        <v>116</v>
      </c>
      <c r="T606" t="s">
        <v>198</v>
      </c>
      <c r="U606" t="s">
        <v>108</v>
      </c>
    </row>
    <row r="607" spans="1:21" x14ac:dyDescent="0.3">
      <c r="A607" t="s">
        <v>377</v>
      </c>
      <c r="B607" t="s">
        <v>377</v>
      </c>
      <c r="C607" t="s">
        <v>194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388</v>
      </c>
      <c r="L607" t="s">
        <v>379</v>
      </c>
      <c r="M607">
        <v>33</v>
      </c>
      <c r="N607">
        <v>16653</v>
      </c>
      <c r="O607" t="s">
        <v>52</v>
      </c>
      <c r="P607" t="s">
        <v>52</v>
      </c>
      <c r="Q607" t="s">
        <v>197</v>
      </c>
      <c r="R607" t="s">
        <v>53</v>
      </c>
      <c r="S607" t="s">
        <v>116</v>
      </c>
      <c r="T607" t="s">
        <v>198</v>
      </c>
      <c r="U607" t="s">
        <v>108</v>
      </c>
    </row>
    <row r="608" spans="1:21" x14ac:dyDescent="0.3">
      <c r="A608" t="s">
        <v>377</v>
      </c>
      <c r="B608" t="s">
        <v>377</v>
      </c>
      <c r="C608" t="s">
        <v>194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380</v>
      </c>
      <c r="L608" t="s">
        <v>379</v>
      </c>
      <c r="M608">
        <v>33</v>
      </c>
      <c r="N608">
        <v>16653</v>
      </c>
      <c r="O608" t="s">
        <v>52</v>
      </c>
      <c r="P608" t="s">
        <v>52</v>
      </c>
      <c r="Q608" t="s">
        <v>197</v>
      </c>
      <c r="R608" t="s">
        <v>53</v>
      </c>
      <c r="S608" t="s">
        <v>116</v>
      </c>
      <c r="T608" t="s">
        <v>198</v>
      </c>
      <c r="U608" t="s">
        <v>108</v>
      </c>
    </row>
    <row r="609" spans="1:21" x14ac:dyDescent="0.3">
      <c r="A609" t="s">
        <v>377</v>
      </c>
      <c r="B609" t="s">
        <v>377</v>
      </c>
      <c r="C609" t="s">
        <v>194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385</v>
      </c>
      <c r="L609" t="s">
        <v>379</v>
      </c>
      <c r="M609">
        <v>33</v>
      </c>
      <c r="N609">
        <v>16653</v>
      </c>
      <c r="O609" t="s">
        <v>52</v>
      </c>
      <c r="P609" t="s">
        <v>52</v>
      </c>
      <c r="Q609" t="s">
        <v>197</v>
      </c>
      <c r="R609" t="s">
        <v>53</v>
      </c>
      <c r="S609" t="s">
        <v>116</v>
      </c>
      <c r="T609" t="s">
        <v>198</v>
      </c>
      <c r="U609" t="s">
        <v>108</v>
      </c>
    </row>
    <row r="610" spans="1:21" x14ac:dyDescent="0.3">
      <c r="A610" t="s">
        <v>377</v>
      </c>
      <c r="B610" t="s">
        <v>377</v>
      </c>
      <c r="C610" t="s">
        <v>194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380</v>
      </c>
      <c r="L610" t="s">
        <v>379</v>
      </c>
      <c r="M610">
        <v>33</v>
      </c>
      <c r="N610">
        <v>16653</v>
      </c>
      <c r="O610" t="s">
        <v>52</v>
      </c>
      <c r="P610" t="s">
        <v>52</v>
      </c>
      <c r="Q610" t="s">
        <v>197</v>
      </c>
      <c r="R610" t="s">
        <v>53</v>
      </c>
      <c r="S610" t="s">
        <v>116</v>
      </c>
      <c r="T610" t="s">
        <v>198</v>
      </c>
      <c r="U610" t="s">
        <v>108</v>
      </c>
    </row>
    <row r="611" spans="1:21" x14ac:dyDescent="0.3">
      <c r="A611" t="s">
        <v>377</v>
      </c>
      <c r="B611" t="s">
        <v>377</v>
      </c>
      <c r="C611" t="s">
        <v>194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385</v>
      </c>
      <c r="L611" t="s">
        <v>379</v>
      </c>
      <c r="M611">
        <v>33</v>
      </c>
      <c r="N611">
        <v>16653</v>
      </c>
      <c r="O611" t="s">
        <v>52</v>
      </c>
      <c r="P611" t="s">
        <v>52</v>
      </c>
      <c r="Q611" t="s">
        <v>197</v>
      </c>
      <c r="R611" t="s">
        <v>53</v>
      </c>
      <c r="S611" t="s">
        <v>116</v>
      </c>
      <c r="T611" t="s">
        <v>198</v>
      </c>
      <c r="U611" t="s">
        <v>108</v>
      </c>
    </row>
    <row r="612" spans="1:21" x14ac:dyDescent="0.3">
      <c r="A612" t="s">
        <v>377</v>
      </c>
      <c r="B612" t="s">
        <v>377</v>
      </c>
      <c r="C612" t="s">
        <v>194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117</v>
      </c>
      <c r="J612" t="s">
        <v>51</v>
      </c>
      <c r="K612" t="s">
        <v>381</v>
      </c>
      <c r="L612" t="s">
        <v>382</v>
      </c>
      <c r="M612">
        <v>61</v>
      </c>
      <c r="O612" t="s">
        <v>52</v>
      </c>
      <c r="P612" t="s">
        <v>52</v>
      </c>
      <c r="Q612" t="s">
        <v>197</v>
      </c>
      <c r="R612" t="s">
        <v>53</v>
      </c>
      <c r="S612" t="s">
        <v>116</v>
      </c>
      <c r="T612" t="s">
        <v>198</v>
      </c>
      <c r="U612" t="s">
        <v>108</v>
      </c>
    </row>
    <row r="613" spans="1:21" x14ac:dyDescent="0.3">
      <c r="A613" t="s">
        <v>377</v>
      </c>
      <c r="B613" t="s">
        <v>377</v>
      </c>
      <c r="C613" t="s">
        <v>194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378</v>
      </c>
      <c r="L613" t="s">
        <v>379</v>
      </c>
      <c r="M613">
        <v>33</v>
      </c>
      <c r="N613">
        <v>16653</v>
      </c>
      <c r="O613" t="s">
        <v>52</v>
      </c>
      <c r="P613" t="s">
        <v>52</v>
      </c>
      <c r="Q613" t="s">
        <v>197</v>
      </c>
      <c r="R613" t="s">
        <v>53</v>
      </c>
      <c r="S613" t="s">
        <v>116</v>
      </c>
      <c r="T613" t="s">
        <v>198</v>
      </c>
      <c r="U613" t="s">
        <v>108</v>
      </c>
    </row>
    <row r="614" spans="1:21" x14ac:dyDescent="0.3">
      <c r="A614" t="s">
        <v>377</v>
      </c>
      <c r="B614" t="s">
        <v>377</v>
      </c>
      <c r="C614" t="s">
        <v>194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119</v>
      </c>
      <c r="J614" t="s">
        <v>58</v>
      </c>
      <c r="K614" t="s">
        <v>383</v>
      </c>
      <c r="L614" t="s">
        <v>384</v>
      </c>
      <c r="M614">
        <v>61</v>
      </c>
      <c r="O614" t="s">
        <v>52</v>
      </c>
      <c r="P614" t="s">
        <v>52</v>
      </c>
      <c r="Q614" t="s">
        <v>197</v>
      </c>
      <c r="R614" t="s">
        <v>53</v>
      </c>
      <c r="S614" t="s">
        <v>116</v>
      </c>
      <c r="T614" t="s">
        <v>198</v>
      </c>
      <c r="U614" t="s">
        <v>108</v>
      </c>
    </row>
    <row r="615" spans="1:21" x14ac:dyDescent="0.3">
      <c r="A615" t="s">
        <v>377</v>
      </c>
      <c r="B615" t="s">
        <v>377</v>
      </c>
      <c r="C615" t="s">
        <v>194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388</v>
      </c>
      <c r="L615" t="s">
        <v>379</v>
      </c>
      <c r="M615">
        <v>33</v>
      </c>
      <c r="N615">
        <v>16653</v>
      </c>
      <c r="O615" t="s">
        <v>52</v>
      </c>
      <c r="P615" t="s">
        <v>52</v>
      </c>
      <c r="Q615" t="s">
        <v>197</v>
      </c>
      <c r="R615" t="s">
        <v>53</v>
      </c>
      <c r="S615" t="s">
        <v>116</v>
      </c>
      <c r="T615" t="s">
        <v>198</v>
      </c>
      <c r="U615" t="s">
        <v>108</v>
      </c>
    </row>
    <row r="616" spans="1:21" x14ac:dyDescent="0.3">
      <c r="A616" t="s">
        <v>389</v>
      </c>
      <c r="B616" t="s">
        <v>389</v>
      </c>
      <c r="C616" t="s">
        <v>194</v>
      </c>
      <c r="D616">
        <v>1</v>
      </c>
      <c r="E616" t="s">
        <v>107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390</v>
      </c>
      <c r="L616" t="s">
        <v>391</v>
      </c>
      <c r="M616">
        <v>33</v>
      </c>
      <c r="N616">
        <v>16938</v>
      </c>
      <c r="O616" t="s">
        <v>52</v>
      </c>
      <c r="P616" t="s">
        <v>52</v>
      </c>
      <c r="Q616" t="s">
        <v>197</v>
      </c>
      <c r="R616" t="s">
        <v>53</v>
      </c>
      <c r="S616" t="s">
        <v>116</v>
      </c>
      <c r="T616" t="s">
        <v>198</v>
      </c>
      <c r="U616" t="s">
        <v>108</v>
      </c>
    </row>
    <row r="617" spans="1:21" x14ac:dyDescent="0.3">
      <c r="A617" t="s">
        <v>389</v>
      </c>
      <c r="B617" t="s">
        <v>389</v>
      </c>
      <c r="C617" t="s">
        <v>194</v>
      </c>
      <c r="D617">
        <v>1</v>
      </c>
      <c r="E617" t="s">
        <v>107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392</v>
      </c>
      <c r="L617" t="s">
        <v>391</v>
      </c>
      <c r="M617">
        <v>33</v>
      </c>
      <c r="N617">
        <v>16938</v>
      </c>
      <c r="O617" t="s">
        <v>52</v>
      </c>
      <c r="P617" t="s">
        <v>52</v>
      </c>
      <c r="Q617" t="s">
        <v>197</v>
      </c>
      <c r="R617" t="s">
        <v>53</v>
      </c>
      <c r="S617" t="s">
        <v>116</v>
      </c>
      <c r="T617" t="s">
        <v>198</v>
      </c>
      <c r="U617" t="s">
        <v>108</v>
      </c>
    </row>
    <row r="618" spans="1:21" x14ac:dyDescent="0.3">
      <c r="A618" t="s">
        <v>389</v>
      </c>
      <c r="B618" t="s">
        <v>389</v>
      </c>
      <c r="C618" t="s">
        <v>194</v>
      </c>
      <c r="D618">
        <v>1</v>
      </c>
      <c r="E618" t="s">
        <v>107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393</v>
      </c>
      <c r="L618" t="s">
        <v>391</v>
      </c>
      <c r="M618">
        <v>33</v>
      </c>
      <c r="N618">
        <v>16938</v>
      </c>
      <c r="O618" t="s">
        <v>52</v>
      </c>
      <c r="P618" t="s">
        <v>52</v>
      </c>
      <c r="Q618" t="s">
        <v>197</v>
      </c>
      <c r="R618" t="s">
        <v>53</v>
      </c>
      <c r="S618" t="s">
        <v>116</v>
      </c>
      <c r="T618" t="s">
        <v>198</v>
      </c>
      <c r="U618" t="s">
        <v>108</v>
      </c>
    </row>
    <row r="619" spans="1:21" x14ac:dyDescent="0.3">
      <c r="A619" t="s">
        <v>389</v>
      </c>
      <c r="B619" t="s">
        <v>389</v>
      </c>
      <c r="C619" t="s">
        <v>194</v>
      </c>
      <c r="D619">
        <v>1</v>
      </c>
      <c r="E619" t="s">
        <v>107</v>
      </c>
      <c r="F619">
        <v>1</v>
      </c>
      <c r="G619">
        <v>882</v>
      </c>
      <c r="H619">
        <v>882</v>
      </c>
      <c r="I619" t="s">
        <v>117</v>
      </c>
      <c r="J619" t="s">
        <v>51</v>
      </c>
      <c r="K619" t="s">
        <v>394</v>
      </c>
      <c r="L619" t="s">
        <v>395</v>
      </c>
      <c r="M619">
        <v>33</v>
      </c>
      <c r="O619" t="s">
        <v>52</v>
      </c>
      <c r="P619" t="s">
        <v>52</v>
      </c>
      <c r="Q619" t="s">
        <v>197</v>
      </c>
      <c r="R619" t="s">
        <v>53</v>
      </c>
      <c r="S619" t="s">
        <v>116</v>
      </c>
      <c r="T619" t="s">
        <v>198</v>
      </c>
      <c r="U619" t="s">
        <v>108</v>
      </c>
    </row>
    <row r="620" spans="1:21" x14ac:dyDescent="0.3">
      <c r="A620" t="s">
        <v>389</v>
      </c>
      <c r="B620" t="s">
        <v>389</v>
      </c>
      <c r="C620" t="s">
        <v>194</v>
      </c>
      <c r="D620">
        <v>1</v>
      </c>
      <c r="E620" t="s">
        <v>107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396</v>
      </c>
      <c r="L620" t="s">
        <v>391</v>
      </c>
      <c r="M620">
        <v>33</v>
      </c>
      <c r="N620">
        <v>16938</v>
      </c>
      <c r="O620" t="s">
        <v>52</v>
      </c>
      <c r="P620" t="s">
        <v>52</v>
      </c>
      <c r="Q620" t="s">
        <v>197</v>
      </c>
      <c r="R620" t="s">
        <v>53</v>
      </c>
      <c r="S620" t="s">
        <v>116</v>
      </c>
      <c r="T620" t="s">
        <v>198</v>
      </c>
      <c r="U620" t="s">
        <v>108</v>
      </c>
    </row>
    <row r="621" spans="1:21" x14ac:dyDescent="0.3">
      <c r="A621" t="s">
        <v>389</v>
      </c>
      <c r="B621" t="s">
        <v>389</v>
      </c>
      <c r="C621" t="s">
        <v>194</v>
      </c>
      <c r="D621">
        <v>2</v>
      </c>
      <c r="E621" t="s">
        <v>118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393</v>
      </c>
      <c r="L621" t="s">
        <v>391</v>
      </c>
      <c r="M621">
        <v>33</v>
      </c>
      <c r="N621">
        <v>16938</v>
      </c>
      <c r="O621" t="s">
        <v>52</v>
      </c>
      <c r="P621" t="s">
        <v>52</v>
      </c>
      <c r="Q621" t="s">
        <v>197</v>
      </c>
      <c r="R621" t="s">
        <v>53</v>
      </c>
      <c r="S621" t="s">
        <v>116</v>
      </c>
      <c r="T621" t="s">
        <v>198</v>
      </c>
      <c r="U621" t="s">
        <v>108</v>
      </c>
    </row>
    <row r="622" spans="1:21" x14ac:dyDescent="0.3">
      <c r="A622" t="s">
        <v>389</v>
      </c>
      <c r="B622" t="s">
        <v>389</v>
      </c>
      <c r="C622" t="s">
        <v>194</v>
      </c>
      <c r="D622">
        <v>2</v>
      </c>
      <c r="E622" t="s">
        <v>118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392</v>
      </c>
      <c r="L622" t="s">
        <v>391</v>
      </c>
      <c r="M622">
        <v>33</v>
      </c>
      <c r="N622">
        <v>16938</v>
      </c>
      <c r="O622" t="s">
        <v>52</v>
      </c>
      <c r="P622" t="s">
        <v>52</v>
      </c>
      <c r="Q622" t="s">
        <v>197</v>
      </c>
      <c r="R622" t="s">
        <v>53</v>
      </c>
      <c r="S622" t="s">
        <v>116</v>
      </c>
      <c r="T622" t="s">
        <v>198</v>
      </c>
      <c r="U622" t="s">
        <v>108</v>
      </c>
    </row>
    <row r="623" spans="1:21" x14ac:dyDescent="0.3">
      <c r="A623" t="s">
        <v>389</v>
      </c>
      <c r="B623" t="s">
        <v>389</v>
      </c>
      <c r="C623" t="s">
        <v>194</v>
      </c>
      <c r="D623">
        <v>2</v>
      </c>
      <c r="E623" t="s">
        <v>118</v>
      </c>
      <c r="F623">
        <v>1</v>
      </c>
      <c r="G623">
        <v>4</v>
      </c>
      <c r="H623">
        <v>4</v>
      </c>
      <c r="I623" t="s">
        <v>117</v>
      </c>
      <c r="J623" t="s">
        <v>51</v>
      </c>
      <c r="K623" t="s">
        <v>394</v>
      </c>
      <c r="L623" t="s">
        <v>395</v>
      </c>
      <c r="M623">
        <v>33</v>
      </c>
      <c r="O623" t="s">
        <v>52</v>
      </c>
      <c r="P623" t="s">
        <v>52</v>
      </c>
      <c r="Q623" t="s">
        <v>197</v>
      </c>
      <c r="R623" t="s">
        <v>53</v>
      </c>
      <c r="S623" t="s">
        <v>116</v>
      </c>
      <c r="T623" t="s">
        <v>198</v>
      </c>
      <c r="U623" t="s">
        <v>108</v>
      </c>
    </row>
    <row r="624" spans="1:21" x14ac:dyDescent="0.3">
      <c r="A624" t="s">
        <v>389</v>
      </c>
      <c r="B624" t="s">
        <v>389</v>
      </c>
      <c r="C624" t="s">
        <v>194</v>
      </c>
      <c r="D624">
        <v>2</v>
      </c>
      <c r="E624" t="s">
        <v>118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390</v>
      </c>
      <c r="L624" t="s">
        <v>391</v>
      </c>
      <c r="M624">
        <v>33</v>
      </c>
      <c r="N624">
        <v>16938</v>
      </c>
      <c r="O624" t="s">
        <v>52</v>
      </c>
      <c r="P624" t="s">
        <v>52</v>
      </c>
      <c r="Q624" t="s">
        <v>197</v>
      </c>
      <c r="R624" t="s">
        <v>53</v>
      </c>
      <c r="S624" t="s">
        <v>116</v>
      </c>
      <c r="T624" t="s">
        <v>198</v>
      </c>
      <c r="U624" t="s">
        <v>108</v>
      </c>
    </row>
    <row r="625" spans="1:21" x14ac:dyDescent="0.3">
      <c r="A625" t="s">
        <v>389</v>
      </c>
      <c r="B625" t="s">
        <v>389</v>
      </c>
      <c r="C625" t="s">
        <v>194</v>
      </c>
      <c r="D625">
        <v>2</v>
      </c>
      <c r="E625" t="s">
        <v>118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396</v>
      </c>
      <c r="L625" t="s">
        <v>391</v>
      </c>
      <c r="M625">
        <v>33</v>
      </c>
      <c r="N625">
        <v>16938</v>
      </c>
      <c r="O625" t="s">
        <v>52</v>
      </c>
      <c r="P625" t="s">
        <v>52</v>
      </c>
      <c r="Q625" t="s">
        <v>197</v>
      </c>
      <c r="R625" t="s">
        <v>53</v>
      </c>
      <c r="S625" t="s">
        <v>116</v>
      </c>
      <c r="T625" t="s">
        <v>198</v>
      </c>
      <c r="U625" t="s">
        <v>108</v>
      </c>
    </row>
    <row r="626" spans="1:21" x14ac:dyDescent="0.3">
      <c r="A626" t="s">
        <v>389</v>
      </c>
      <c r="B626" t="s">
        <v>389</v>
      </c>
      <c r="C626" t="s">
        <v>194</v>
      </c>
      <c r="D626">
        <v>3</v>
      </c>
      <c r="E626" t="s">
        <v>105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390</v>
      </c>
      <c r="L626" t="s">
        <v>391</v>
      </c>
      <c r="M626">
        <v>33</v>
      </c>
      <c r="N626">
        <v>16938</v>
      </c>
      <c r="O626" t="s">
        <v>52</v>
      </c>
      <c r="P626" t="s">
        <v>52</v>
      </c>
      <c r="Q626" t="s">
        <v>197</v>
      </c>
      <c r="R626" t="s">
        <v>53</v>
      </c>
      <c r="S626" t="s">
        <v>116</v>
      </c>
      <c r="T626" t="s">
        <v>198</v>
      </c>
      <c r="U626" t="s">
        <v>108</v>
      </c>
    </row>
    <row r="627" spans="1:21" x14ac:dyDescent="0.3">
      <c r="A627" t="s">
        <v>389</v>
      </c>
      <c r="B627" t="s">
        <v>389</v>
      </c>
      <c r="C627" t="s">
        <v>194</v>
      </c>
      <c r="D627">
        <v>3</v>
      </c>
      <c r="E627" t="s">
        <v>105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392</v>
      </c>
      <c r="L627" t="s">
        <v>391</v>
      </c>
      <c r="M627">
        <v>33</v>
      </c>
      <c r="N627">
        <v>16938</v>
      </c>
      <c r="O627" t="s">
        <v>52</v>
      </c>
      <c r="P627" t="s">
        <v>52</v>
      </c>
      <c r="Q627" t="s">
        <v>197</v>
      </c>
      <c r="R627" t="s">
        <v>53</v>
      </c>
      <c r="S627" t="s">
        <v>116</v>
      </c>
      <c r="T627" t="s">
        <v>198</v>
      </c>
      <c r="U627" t="s">
        <v>108</v>
      </c>
    </row>
    <row r="628" spans="1:21" x14ac:dyDescent="0.3">
      <c r="A628" t="s">
        <v>389</v>
      </c>
      <c r="B628" t="s">
        <v>389</v>
      </c>
      <c r="C628" t="s">
        <v>194</v>
      </c>
      <c r="D628">
        <v>3</v>
      </c>
      <c r="E628" t="s">
        <v>105</v>
      </c>
      <c r="F628">
        <v>1</v>
      </c>
      <c r="G628">
        <v>128</v>
      </c>
      <c r="H628">
        <v>128</v>
      </c>
      <c r="I628" t="s">
        <v>117</v>
      </c>
      <c r="J628" t="s">
        <v>51</v>
      </c>
      <c r="K628" t="s">
        <v>394</v>
      </c>
      <c r="L628" t="s">
        <v>395</v>
      </c>
      <c r="M628">
        <v>33</v>
      </c>
      <c r="O628" t="s">
        <v>52</v>
      </c>
      <c r="P628" t="s">
        <v>52</v>
      </c>
      <c r="Q628" t="s">
        <v>197</v>
      </c>
      <c r="R628" t="s">
        <v>53</v>
      </c>
      <c r="S628" t="s">
        <v>116</v>
      </c>
      <c r="T628" t="s">
        <v>198</v>
      </c>
      <c r="U628" t="s">
        <v>108</v>
      </c>
    </row>
    <row r="629" spans="1:21" x14ac:dyDescent="0.3">
      <c r="A629" t="s">
        <v>389</v>
      </c>
      <c r="B629" t="s">
        <v>389</v>
      </c>
      <c r="C629" t="s">
        <v>194</v>
      </c>
      <c r="D629">
        <v>3</v>
      </c>
      <c r="E629" t="s">
        <v>105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396</v>
      </c>
      <c r="L629" t="s">
        <v>391</v>
      </c>
      <c r="M629">
        <v>33</v>
      </c>
      <c r="N629">
        <v>16938</v>
      </c>
      <c r="O629" t="s">
        <v>52</v>
      </c>
      <c r="P629" t="s">
        <v>52</v>
      </c>
      <c r="Q629" t="s">
        <v>197</v>
      </c>
      <c r="R629" t="s">
        <v>53</v>
      </c>
      <c r="S629" t="s">
        <v>116</v>
      </c>
      <c r="T629" t="s">
        <v>198</v>
      </c>
      <c r="U629" t="s">
        <v>108</v>
      </c>
    </row>
    <row r="630" spans="1:21" x14ac:dyDescent="0.3">
      <c r="A630" t="s">
        <v>389</v>
      </c>
      <c r="B630" t="s">
        <v>389</v>
      </c>
      <c r="C630" t="s">
        <v>194</v>
      </c>
      <c r="D630">
        <v>3</v>
      </c>
      <c r="E630" t="s">
        <v>105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393</v>
      </c>
      <c r="L630" t="s">
        <v>391</v>
      </c>
      <c r="M630">
        <v>33</v>
      </c>
      <c r="N630">
        <v>16938</v>
      </c>
      <c r="O630" t="s">
        <v>52</v>
      </c>
      <c r="P630" t="s">
        <v>52</v>
      </c>
      <c r="Q630" t="s">
        <v>197</v>
      </c>
      <c r="R630" t="s">
        <v>53</v>
      </c>
      <c r="S630" t="s">
        <v>116</v>
      </c>
      <c r="T630" t="s">
        <v>198</v>
      </c>
      <c r="U630" t="s">
        <v>108</v>
      </c>
    </row>
    <row r="631" spans="1:21" x14ac:dyDescent="0.3">
      <c r="A631" t="s">
        <v>389</v>
      </c>
      <c r="B631" t="s">
        <v>389</v>
      </c>
      <c r="C631" t="s">
        <v>194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396</v>
      </c>
      <c r="L631" t="s">
        <v>391</v>
      </c>
      <c r="M631">
        <v>33</v>
      </c>
      <c r="N631">
        <v>16938</v>
      </c>
      <c r="O631" t="s">
        <v>52</v>
      </c>
      <c r="P631" t="s">
        <v>52</v>
      </c>
      <c r="Q631" t="s">
        <v>197</v>
      </c>
      <c r="R631" t="s">
        <v>53</v>
      </c>
      <c r="S631" t="s">
        <v>116</v>
      </c>
      <c r="T631" t="s">
        <v>198</v>
      </c>
      <c r="U631" t="s">
        <v>108</v>
      </c>
    </row>
    <row r="632" spans="1:21" x14ac:dyDescent="0.3">
      <c r="A632" t="s">
        <v>389</v>
      </c>
      <c r="B632" t="s">
        <v>389</v>
      </c>
      <c r="C632" t="s">
        <v>194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393</v>
      </c>
      <c r="L632" t="s">
        <v>391</v>
      </c>
      <c r="M632">
        <v>33</v>
      </c>
      <c r="N632">
        <v>16938</v>
      </c>
      <c r="O632" t="s">
        <v>52</v>
      </c>
      <c r="P632" t="s">
        <v>52</v>
      </c>
      <c r="Q632" t="s">
        <v>197</v>
      </c>
      <c r="R632" t="s">
        <v>53</v>
      </c>
      <c r="S632" t="s">
        <v>116</v>
      </c>
      <c r="T632" t="s">
        <v>198</v>
      </c>
      <c r="U632" t="s">
        <v>108</v>
      </c>
    </row>
    <row r="633" spans="1:21" x14ac:dyDescent="0.3">
      <c r="A633" t="s">
        <v>389</v>
      </c>
      <c r="B633" t="s">
        <v>389</v>
      </c>
      <c r="C633" t="s">
        <v>194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392</v>
      </c>
      <c r="L633" t="s">
        <v>391</v>
      </c>
      <c r="M633">
        <v>33</v>
      </c>
      <c r="N633">
        <v>16938</v>
      </c>
      <c r="O633" t="s">
        <v>52</v>
      </c>
      <c r="P633" t="s">
        <v>52</v>
      </c>
      <c r="Q633" t="s">
        <v>197</v>
      </c>
      <c r="R633" t="s">
        <v>53</v>
      </c>
      <c r="S633" t="s">
        <v>116</v>
      </c>
      <c r="T633" t="s">
        <v>198</v>
      </c>
      <c r="U633" t="s">
        <v>108</v>
      </c>
    </row>
    <row r="634" spans="1:21" x14ac:dyDescent="0.3">
      <c r="A634" t="s">
        <v>389</v>
      </c>
      <c r="B634" t="s">
        <v>389</v>
      </c>
      <c r="C634" t="s">
        <v>194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390</v>
      </c>
      <c r="L634" t="s">
        <v>391</v>
      </c>
      <c r="M634">
        <v>33</v>
      </c>
      <c r="N634">
        <v>16938</v>
      </c>
      <c r="O634" t="s">
        <v>52</v>
      </c>
      <c r="P634" t="s">
        <v>52</v>
      </c>
      <c r="Q634" t="s">
        <v>197</v>
      </c>
      <c r="R634" t="s">
        <v>53</v>
      </c>
      <c r="S634" t="s">
        <v>116</v>
      </c>
      <c r="T634" t="s">
        <v>198</v>
      </c>
      <c r="U634" t="s">
        <v>108</v>
      </c>
    </row>
    <row r="635" spans="1:21" x14ac:dyDescent="0.3">
      <c r="A635" t="s">
        <v>389</v>
      </c>
      <c r="B635" t="s">
        <v>389</v>
      </c>
      <c r="C635" t="s">
        <v>194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117</v>
      </c>
      <c r="J635" t="s">
        <v>51</v>
      </c>
      <c r="K635" t="s">
        <v>394</v>
      </c>
      <c r="L635" t="s">
        <v>395</v>
      </c>
      <c r="M635">
        <v>33</v>
      </c>
      <c r="O635" t="s">
        <v>52</v>
      </c>
      <c r="P635" t="s">
        <v>52</v>
      </c>
      <c r="Q635" t="s">
        <v>197</v>
      </c>
      <c r="R635" t="s">
        <v>53</v>
      </c>
      <c r="S635" t="s">
        <v>116</v>
      </c>
      <c r="T635" t="s">
        <v>198</v>
      </c>
      <c r="U635" t="s">
        <v>108</v>
      </c>
    </row>
    <row r="636" spans="1:21" x14ac:dyDescent="0.3">
      <c r="A636" t="s">
        <v>389</v>
      </c>
      <c r="B636" t="s">
        <v>389</v>
      </c>
      <c r="C636" t="s">
        <v>194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392</v>
      </c>
      <c r="L636" t="s">
        <v>391</v>
      </c>
      <c r="M636">
        <v>33</v>
      </c>
      <c r="N636">
        <v>16938</v>
      </c>
      <c r="O636" t="s">
        <v>52</v>
      </c>
      <c r="P636" t="s">
        <v>52</v>
      </c>
      <c r="Q636" t="s">
        <v>197</v>
      </c>
      <c r="R636" t="s">
        <v>53</v>
      </c>
      <c r="S636" t="s">
        <v>116</v>
      </c>
      <c r="T636" t="s">
        <v>198</v>
      </c>
      <c r="U636" t="s">
        <v>108</v>
      </c>
    </row>
    <row r="637" spans="1:21" x14ac:dyDescent="0.3">
      <c r="A637" t="s">
        <v>389</v>
      </c>
      <c r="B637" t="s">
        <v>389</v>
      </c>
      <c r="C637" t="s">
        <v>194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390</v>
      </c>
      <c r="L637" t="s">
        <v>391</v>
      </c>
      <c r="M637">
        <v>33</v>
      </c>
      <c r="N637">
        <v>16938</v>
      </c>
      <c r="O637" t="s">
        <v>52</v>
      </c>
      <c r="P637" t="s">
        <v>52</v>
      </c>
      <c r="Q637" t="s">
        <v>197</v>
      </c>
      <c r="R637" t="s">
        <v>53</v>
      </c>
      <c r="S637" t="s">
        <v>116</v>
      </c>
      <c r="T637" t="s">
        <v>198</v>
      </c>
      <c r="U637" t="s">
        <v>108</v>
      </c>
    </row>
    <row r="638" spans="1:21" x14ac:dyDescent="0.3">
      <c r="A638" t="s">
        <v>389</v>
      </c>
      <c r="B638" t="s">
        <v>389</v>
      </c>
      <c r="C638" t="s">
        <v>194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117</v>
      </c>
      <c r="J638" t="s">
        <v>51</v>
      </c>
      <c r="K638" t="s">
        <v>394</v>
      </c>
      <c r="L638" t="s">
        <v>395</v>
      </c>
      <c r="M638">
        <v>33</v>
      </c>
      <c r="O638" t="s">
        <v>52</v>
      </c>
      <c r="P638" t="s">
        <v>52</v>
      </c>
      <c r="Q638" t="s">
        <v>197</v>
      </c>
      <c r="R638" t="s">
        <v>53</v>
      </c>
      <c r="S638" t="s">
        <v>116</v>
      </c>
      <c r="T638" t="s">
        <v>198</v>
      </c>
      <c r="U638" t="s">
        <v>108</v>
      </c>
    </row>
    <row r="639" spans="1:21" x14ac:dyDescent="0.3">
      <c r="A639" t="s">
        <v>389</v>
      </c>
      <c r="B639" t="s">
        <v>389</v>
      </c>
      <c r="C639" t="s">
        <v>194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396</v>
      </c>
      <c r="L639" t="s">
        <v>391</v>
      </c>
      <c r="M639">
        <v>33</v>
      </c>
      <c r="N639">
        <v>16938</v>
      </c>
      <c r="O639" t="s">
        <v>52</v>
      </c>
      <c r="P639" t="s">
        <v>52</v>
      </c>
      <c r="Q639" t="s">
        <v>197</v>
      </c>
      <c r="R639" t="s">
        <v>53</v>
      </c>
      <c r="S639" t="s">
        <v>116</v>
      </c>
      <c r="T639" t="s">
        <v>198</v>
      </c>
      <c r="U639" t="s">
        <v>108</v>
      </c>
    </row>
    <row r="640" spans="1:21" x14ac:dyDescent="0.3">
      <c r="A640" t="s">
        <v>389</v>
      </c>
      <c r="B640" t="s">
        <v>389</v>
      </c>
      <c r="C640" t="s">
        <v>194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393</v>
      </c>
      <c r="L640" t="s">
        <v>391</v>
      </c>
      <c r="M640">
        <v>33</v>
      </c>
      <c r="N640">
        <v>16938</v>
      </c>
      <c r="O640" t="s">
        <v>52</v>
      </c>
      <c r="P640" t="s">
        <v>52</v>
      </c>
      <c r="Q640" t="s">
        <v>197</v>
      </c>
      <c r="R640" t="s">
        <v>53</v>
      </c>
      <c r="S640" t="s">
        <v>116</v>
      </c>
      <c r="T640" t="s">
        <v>198</v>
      </c>
      <c r="U640" t="s">
        <v>108</v>
      </c>
    </row>
    <row r="641" spans="1:21" x14ac:dyDescent="0.3">
      <c r="A641" t="s">
        <v>397</v>
      </c>
      <c r="B641" t="s">
        <v>397</v>
      </c>
      <c r="C641" t="s">
        <v>194</v>
      </c>
      <c r="D641">
        <v>1</v>
      </c>
      <c r="E641" t="s">
        <v>107</v>
      </c>
      <c r="F641">
        <v>1</v>
      </c>
      <c r="G641">
        <v>-332</v>
      </c>
      <c r="H641">
        <v>-332</v>
      </c>
      <c r="I641" t="s">
        <v>117</v>
      </c>
      <c r="J641" t="s">
        <v>51</v>
      </c>
      <c r="K641" t="s">
        <v>398</v>
      </c>
      <c r="L641" t="s">
        <v>399</v>
      </c>
      <c r="M641">
        <v>61</v>
      </c>
      <c r="O641" t="s">
        <v>52</v>
      </c>
      <c r="P641" t="s">
        <v>52</v>
      </c>
      <c r="Q641" t="s">
        <v>197</v>
      </c>
      <c r="R641" t="s">
        <v>53</v>
      </c>
      <c r="S641" t="s">
        <v>116</v>
      </c>
      <c r="T641" t="s">
        <v>198</v>
      </c>
      <c r="U641" t="s">
        <v>108</v>
      </c>
    </row>
    <row r="642" spans="1:21" x14ac:dyDescent="0.3">
      <c r="A642" t="s">
        <v>397</v>
      </c>
      <c r="B642" t="s">
        <v>397</v>
      </c>
      <c r="C642" t="s">
        <v>194</v>
      </c>
      <c r="D642">
        <v>1</v>
      </c>
      <c r="E642" t="s">
        <v>107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400</v>
      </c>
      <c r="L642" t="s">
        <v>401</v>
      </c>
      <c r="M642">
        <v>33</v>
      </c>
      <c r="N642">
        <v>17339</v>
      </c>
      <c r="O642" t="s">
        <v>52</v>
      </c>
      <c r="P642" t="s">
        <v>52</v>
      </c>
      <c r="Q642" t="s">
        <v>197</v>
      </c>
      <c r="R642" t="s">
        <v>53</v>
      </c>
      <c r="S642" t="s">
        <v>116</v>
      </c>
      <c r="T642" t="s">
        <v>198</v>
      </c>
      <c r="U642" t="s">
        <v>108</v>
      </c>
    </row>
    <row r="643" spans="1:21" x14ac:dyDescent="0.3">
      <c r="A643" t="s">
        <v>397</v>
      </c>
      <c r="B643" t="s">
        <v>397</v>
      </c>
      <c r="C643" t="s">
        <v>194</v>
      </c>
      <c r="D643">
        <v>1</v>
      </c>
      <c r="E643" t="s">
        <v>107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402</v>
      </c>
      <c r="L643" t="s">
        <v>401</v>
      </c>
      <c r="M643">
        <v>33</v>
      </c>
      <c r="N643">
        <v>17339</v>
      </c>
      <c r="O643" t="s">
        <v>52</v>
      </c>
      <c r="P643" t="s">
        <v>52</v>
      </c>
      <c r="Q643" t="s">
        <v>197</v>
      </c>
      <c r="R643" t="s">
        <v>53</v>
      </c>
      <c r="S643" t="s">
        <v>116</v>
      </c>
      <c r="T643" t="s">
        <v>198</v>
      </c>
      <c r="U643" t="s">
        <v>108</v>
      </c>
    </row>
    <row r="644" spans="1:21" x14ac:dyDescent="0.3">
      <c r="A644" t="s">
        <v>397</v>
      </c>
      <c r="B644" t="s">
        <v>397</v>
      </c>
      <c r="C644" t="s">
        <v>194</v>
      </c>
      <c r="D644">
        <v>1</v>
      </c>
      <c r="E644" t="s">
        <v>107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403</v>
      </c>
      <c r="L644" t="s">
        <v>401</v>
      </c>
      <c r="M644">
        <v>33</v>
      </c>
      <c r="N644">
        <v>17339</v>
      </c>
      <c r="O644" t="s">
        <v>52</v>
      </c>
      <c r="P644" t="s">
        <v>52</v>
      </c>
      <c r="Q644" t="s">
        <v>197</v>
      </c>
      <c r="R644" t="s">
        <v>53</v>
      </c>
      <c r="S644" t="s">
        <v>116</v>
      </c>
      <c r="T644" t="s">
        <v>198</v>
      </c>
      <c r="U644" t="s">
        <v>108</v>
      </c>
    </row>
    <row r="645" spans="1:21" x14ac:dyDescent="0.3">
      <c r="A645" t="s">
        <v>397</v>
      </c>
      <c r="B645" t="s">
        <v>397</v>
      </c>
      <c r="C645" t="s">
        <v>194</v>
      </c>
      <c r="D645">
        <v>1</v>
      </c>
      <c r="E645" t="s">
        <v>107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404</v>
      </c>
      <c r="L645" t="s">
        <v>401</v>
      </c>
      <c r="M645">
        <v>33</v>
      </c>
      <c r="N645">
        <v>17339</v>
      </c>
      <c r="O645" t="s">
        <v>52</v>
      </c>
      <c r="P645" t="s">
        <v>52</v>
      </c>
      <c r="Q645" t="s">
        <v>197</v>
      </c>
      <c r="R645" t="s">
        <v>53</v>
      </c>
      <c r="S645" t="s">
        <v>116</v>
      </c>
      <c r="T645" t="s">
        <v>198</v>
      </c>
      <c r="U645" t="s">
        <v>108</v>
      </c>
    </row>
    <row r="646" spans="1:21" x14ac:dyDescent="0.3">
      <c r="A646" t="s">
        <v>397</v>
      </c>
      <c r="B646" t="s">
        <v>397</v>
      </c>
      <c r="C646" t="s">
        <v>194</v>
      </c>
      <c r="D646">
        <v>2</v>
      </c>
      <c r="E646" t="s">
        <v>118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400</v>
      </c>
      <c r="L646" t="s">
        <v>401</v>
      </c>
      <c r="M646">
        <v>33</v>
      </c>
      <c r="N646">
        <v>17339</v>
      </c>
      <c r="O646" t="s">
        <v>52</v>
      </c>
      <c r="P646" t="s">
        <v>52</v>
      </c>
      <c r="Q646" t="s">
        <v>197</v>
      </c>
      <c r="R646" t="s">
        <v>53</v>
      </c>
      <c r="S646" t="s">
        <v>116</v>
      </c>
      <c r="T646" t="s">
        <v>198</v>
      </c>
      <c r="U646" t="s">
        <v>108</v>
      </c>
    </row>
    <row r="647" spans="1:21" x14ac:dyDescent="0.3">
      <c r="A647" t="s">
        <v>397</v>
      </c>
      <c r="B647" t="s">
        <v>397</v>
      </c>
      <c r="C647" t="s">
        <v>194</v>
      </c>
      <c r="D647">
        <v>2</v>
      </c>
      <c r="E647" t="s">
        <v>118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402</v>
      </c>
      <c r="L647" t="s">
        <v>401</v>
      </c>
      <c r="M647">
        <v>33</v>
      </c>
      <c r="N647">
        <v>17339</v>
      </c>
      <c r="O647" t="s">
        <v>52</v>
      </c>
      <c r="P647" t="s">
        <v>52</v>
      </c>
      <c r="Q647" t="s">
        <v>197</v>
      </c>
      <c r="R647" t="s">
        <v>53</v>
      </c>
      <c r="S647" t="s">
        <v>116</v>
      </c>
      <c r="T647" t="s">
        <v>198</v>
      </c>
      <c r="U647" t="s">
        <v>108</v>
      </c>
    </row>
    <row r="648" spans="1:21" x14ac:dyDescent="0.3">
      <c r="A648" t="s">
        <v>397</v>
      </c>
      <c r="B648" t="s">
        <v>397</v>
      </c>
      <c r="C648" t="s">
        <v>194</v>
      </c>
      <c r="D648">
        <v>2</v>
      </c>
      <c r="E648" t="s">
        <v>118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403</v>
      </c>
      <c r="L648" t="s">
        <v>401</v>
      </c>
      <c r="M648">
        <v>33</v>
      </c>
      <c r="N648">
        <v>17339</v>
      </c>
      <c r="O648" t="s">
        <v>52</v>
      </c>
      <c r="P648" t="s">
        <v>52</v>
      </c>
      <c r="Q648" t="s">
        <v>197</v>
      </c>
      <c r="R648" t="s">
        <v>53</v>
      </c>
      <c r="S648" t="s">
        <v>116</v>
      </c>
      <c r="T648" t="s">
        <v>198</v>
      </c>
      <c r="U648" t="s">
        <v>108</v>
      </c>
    </row>
    <row r="649" spans="1:21" x14ac:dyDescent="0.3">
      <c r="A649" t="s">
        <v>397</v>
      </c>
      <c r="B649" t="s">
        <v>397</v>
      </c>
      <c r="C649" t="s">
        <v>194</v>
      </c>
      <c r="D649">
        <v>2</v>
      </c>
      <c r="E649" t="s">
        <v>118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404</v>
      </c>
      <c r="L649" t="s">
        <v>401</v>
      </c>
      <c r="M649">
        <v>33</v>
      </c>
      <c r="N649">
        <v>17339</v>
      </c>
      <c r="O649" t="s">
        <v>52</v>
      </c>
      <c r="P649" t="s">
        <v>52</v>
      </c>
      <c r="Q649" t="s">
        <v>197</v>
      </c>
      <c r="R649" t="s">
        <v>53</v>
      </c>
      <c r="S649" t="s">
        <v>116</v>
      </c>
      <c r="T649" t="s">
        <v>198</v>
      </c>
      <c r="U649" t="s">
        <v>108</v>
      </c>
    </row>
    <row r="650" spans="1:21" x14ac:dyDescent="0.3">
      <c r="A650" t="s">
        <v>397</v>
      </c>
      <c r="B650" t="s">
        <v>397</v>
      </c>
      <c r="C650" t="s">
        <v>194</v>
      </c>
      <c r="D650">
        <v>2</v>
      </c>
      <c r="E650" t="s">
        <v>118</v>
      </c>
      <c r="F650">
        <v>1</v>
      </c>
      <c r="G650">
        <v>-1</v>
      </c>
      <c r="H650">
        <v>-1</v>
      </c>
      <c r="I650" t="s">
        <v>117</v>
      </c>
      <c r="J650" t="s">
        <v>51</v>
      </c>
      <c r="K650" t="s">
        <v>398</v>
      </c>
      <c r="L650" t="s">
        <v>399</v>
      </c>
      <c r="M650">
        <v>61</v>
      </c>
      <c r="O650" t="s">
        <v>52</v>
      </c>
      <c r="P650" t="s">
        <v>52</v>
      </c>
      <c r="Q650" t="s">
        <v>197</v>
      </c>
      <c r="R650" t="s">
        <v>53</v>
      </c>
      <c r="S650" t="s">
        <v>116</v>
      </c>
      <c r="T650" t="s">
        <v>198</v>
      </c>
      <c r="U650" t="s">
        <v>108</v>
      </c>
    </row>
    <row r="651" spans="1:21" x14ac:dyDescent="0.3">
      <c r="A651" t="s">
        <v>397</v>
      </c>
      <c r="B651" t="s">
        <v>397</v>
      </c>
      <c r="C651" t="s">
        <v>194</v>
      </c>
      <c r="D651">
        <v>3</v>
      </c>
      <c r="E651" t="s">
        <v>105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400</v>
      </c>
      <c r="L651" t="s">
        <v>401</v>
      </c>
      <c r="M651">
        <v>33</v>
      </c>
      <c r="N651">
        <v>17339</v>
      </c>
      <c r="O651" t="s">
        <v>52</v>
      </c>
      <c r="P651" t="s">
        <v>52</v>
      </c>
      <c r="Q651" t="s">
        <v>197</v>
      </c>
      <c r="R651" t="s">
        <v>53</v>
      </c>
      <c r="S651" t="s">
        <v>116</v>
      </c>
      <c r="T651" t="s">
        <v>198</v>
      </c>
      <c r="U651" t="s">
        <v>108</v>
      </c>
    </row>
    <row r="652" spans="1:21" x14ac:dyDescent="0.3">
      <c r="A652" t="s">
        <v>397</v>
      </c>
      <c r="B652" t="s">
        <v>397</v>
      </c>
      <c r="C652" t="s">
        <v>194</v>
      </c>
      <c r="D652">
        <v>3</v>
      </c>
      <c r="E652" t="s">
        <v>105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404</v>
      </c>
      <c r="L652" t="s">
        <v>401</v>
      </c>
      <c r="M652">
        <v>33</v>
      </c>
      <c r="N652">
        <v>17339</v>
      </c>
      <c r="O652" t="s">
        <v>52</v>
      </c>
      <c r="P652" t="s">
        <v>52</v>
      </c>
      <c r="Q652" t="s">
        <v>197</v>
      </c>
      <c r="R652" t="s">
        <v>53</v>
      </c>
      <c r="S652" t="s">
        <v>116</v>
      </c>
      <c r="T652" t="s">
        <v>198</v>
      </c>
      <c r="U652" t="s">
        <v>108</v>
      </c>
    </row>
    <row r="653" spans="1:21" x14ac:dyDescent="0.3">
      <c r="A653" t="s">
        <v>397</v>
      </c>
      <c r="B653" t="s">
        <v>397</v>
      </c>
      <c r="C653" t="s">
        <v>194</v>
      </c>
      <c r="D653">
        <v>3</v>
      </c>
      <c r="E653" t="s">
        <v>105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403</v>
      </c>
      <c r="L653" t="s">
        <v>401</v>
      </c>
      <c r="M653">
        <v>33</v>
      </c>
      <c r="N653">
        <v>17339</v>
      </c>
      <c r="O653" t="s">
        <v>52</v>
      </c>
      <c r="P653" t="s">
        <v>52</v>
      </c>
      <c r="Q653" t="s">
        <v>197</v>
      </c>
      <c r="R653" t="s">
        <v>53</v>
      </c>
      <c r="S653" t="s">
        <v>116</v>
      </c>
      <c r="T653" t="s">
        <v>198</v>
      </c>
      <c r="U653" t="s">
        <v>108</v>
      </c>
    </row>
    <row r="654" spans="1:21" x14ac:dyDescent="0.3">
      <c r="A654" t="s">
        <v>397</v>
      </c>
      <c r="B654" t="s">
        <v>397</v>
      </c>
      <c r="C654" t="s">
        <v>194</v>
      </c>
      <c r="D654">
        <v>3</v>
      </c>
      <c r="E654" t="s">
        <v>105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402</v>
      </c>
      <c r="L654" t="s">
        <v>401</v>
      </c>
      <c r="M654">
        <v>33</v>
      </c>
      <c r="N654">
        <v>17339</v>
      </c>
      <c r="O654" t="s">
        <v>52</v>
      </c>
      <c r="P654" t="s">
        <v>52</v>
      </c>
      <c r="Q654" t="s">
        <v>197</v>
      </c>
      <c r="R654" t="s">
        <v>53</v>
      </c>
      <c r="S654" t="s">
        <v>116</v>
      </c>
      <c r="T654" t="s">
        <v>198</v>
      </c>
      <c r="U654" t="s">
        <v>108</v>
      </c>
    </row>
    <row r="655" spans="1:21" x14ac:dyDescent="0.3">
      <c r="A655" t="s">
        <v>397</v>
      </c>
      <c r="B655" t="s">
        <v>397</v>
      </c>
      <c r="C655" t="s">
        <v>194</v>
      </c>
      <c r="D655">
        <v>3</v>
      </c>
      <c r="E655" t="s">
        <v>105</v>
      </c>
      <c r="F655">
        <v>1</v>
      </c>
      <c r="G655">
        <v>-33</v>
      </c>
      <c r="H655">
        <v>-33</v>
      </c>
      <c r="I655" t="s">
        <v>117</v>
      </c>
      <c r="J655" t="s">
        <v>51</v>
      </c>
      <c r="K655" t="s">
        <v>398</v>
      </c>
      <c r="L655" t="s">
        <v>399</v>
      </c>
      <c r="M655">
        <v>61</v>
      </c>
      <c r="O655" t="s">
        <v>52</v>
      </c>
      <c r="P655" t="s">
        <v>52</v>
      </c>
      <c r="Q655" t="s">
        <v>197</v>
      </c>
      <c r="R655" t="s">
        <v>53</v>
      </c>
      <c r="S655" t="s">
        <v>116</v>
      </c>
      <c r="T655" t="s">
        <v>198</v>
      </c>
      <c r="U655" t="s">
        <v>108</v>
      </c>
    </row>
    <row r="656" spans="1:21" x14ac:dyDescent="0.3">
      <c r="A656" t="s">
        <v>397</v>
      </c>
      <c r="B656" t="s">
        <v>397</v>
      </c>
      <c r="C656" t="s">
        <v>194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117</v>
      </c>
      <c r="J656" t="s">
        <v>51</v>
      </c>
      <c r="K656" t="s">
        <v>398</v>
      </c>
      <c r="L656" t="s">
        <v>399</v>
      </c>
      <c r="M656">
        <v>61</v>
      </c>
      <c r="O656" t="s">
        <v>52</v>
      </c>
      <c r="P656" t="s">
        <v>52</v>
      </c>
      <c r="Q656" t="s">
        <v>197</v>
      </c>
      <c r="R656" t="s">
        <v>53</v>
      </c>
      <c r="S656" t="s">
        <v>116</v>
      </c>
      <c r="T656" t="s">
        <v>198</v>
      </c>
      <c r="U656" t="s">
        <v>108</v>
      </c>
    </row>
    <row r="657" spans="1:21" x14ac:dyDescent="0.3">
      <c r="A657" t="s">
        <v>397</v>
      </c>
      <c r="B657" t="s">
        <v>397</v>
      </c>
      <c r="C657" t="s">
        <v>194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404</v>
      </c>
      <c r="L657" t="s">
        <v>401</v>
      </c>
      <c r="M657">
        <v>33</v>
      </c>
      <c r="N657">
        <v>17339</v>
      </c>
      <c r="O657" t="s">
        <v>52</v>
      </c>
      <c r="P657" t="s">
        <v>52</v>
      </c>
      <c r="Q657" t="s">
        <v>197</v>
      </c>
      <c r="R657" t="s">
        <v>53</v>
      </c>
      <c r="S657" t="s">
        <v>116</v>
      </c>
      <c r="T657" t="s">
        <v>198</v>
      </c>
      <c r="U657" t="s">
        <v>108</v>
      </c>
    </row>
    <row r="658" spans="1:21" x14ac:dyDescent="0.3">
      <c r="A658" t="s">
        <v>397</v>
      </c>
      <c r="B658" t="s">
        <v>397</v>
      </c>
      <c r="C658" t="s">
        <v>194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403</v>
      </c>
      <c r="L658" t="s">
        <v>401</v>
      </c>
      <c r="M658">
        <v>33</v>
      </c>
      <c r="N658">
        <v>17339</v>
      </c>
      <c r="O658" t="s">
        <v>52</v>
      </c>
      <c r="P658" t="s">
        <v>52</v>
      </c>
      <c r="Q658" t="s">
        <v>197</v>
      </c>
      <c r="R658" t="s">
        <v>53</v>
      </c>
      <c r="S658" t="s">
        <v>116</v>
      </c>
      <c r="T658" t="s">
        <v>198</v>
      </c>
      <c r="U658" t="s">
        <v>108</v>
      </c>
    </row>
    <row r="659" spans="1:21" x14ac:dyDescent="0.3">
      <c r="A659" t="s">
        <v>397</v>
      </c>
      <c r="B659" t="s">
        <v>397</v>
      </c>
      <c r="C659" t="s">
        <v>194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400</v>
      </c>
      <c r="L659" t="s">
        <v>401</v>
      </c>
      <c r="M659">
        <v>33</v>
      </c>
      <c r="N659">
        <v>17339</v>
      </c>
      <c r="O659" t="s">
        <v>52</v>
      </c>
      <c r="P659" t="s">
        <v>52</v>
      </c>
      <c r="Q659" t="s">
        <v>197</v>
      </c>
      <c r="R659" t="s">
        <v>53</v>
      </c>
      <c r="S659" t="s">
        <v>116</v>
      </c>
      <c r="T659" t="s">
        <v>198</v>
      </c>
      <c r="U659" t="s">
        <v>108</v>
      </c>
    </row>
    <row r="660" spans="1:21" x14ac:dyDescent="0.3">
      <c r="A660" t="s">
        <v>397</v>
      </c>
      <c r="B660" t="s">
        <v>397</v>
      </c>
      <c r="C660" t="s">
        <v>194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402</v>
      </c>
      <c r="L660" t="s">
        <v>401</v>
      </c>
      <c r="M660">
        <v>33</v>
      </c>
      <c r="N660">
        <v>17339</v>
      </c>
      <c r="O660" t="s">
        <v>52</v>
      </c>
      <c r="P660" t="s">
        <v>52</v>
      </c>
      <c r="Q660" t="s">
        <v>197</v>
      </c>
      <c r="R660" t="s">
        <v>53</v>
      </c>
      <c r="S660" t="s">
        <v>116</v>
      </c>
      <c r="T660" t="s">
        <v>198</v>
      </c>
      <c r="U660" t="s">
        <v>108</v>
      </c>
    </row>
    <row r="661" spans="1:21" x14ac:dyDescent="0.3">
      <c r="A661" t="s">
        <v>397</v>
      </c>
      <c r="B661" t="s">
        <v>397</v>
      </c>
      <c r="C661" t="s">
        <v>194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404</v>
      </c>
      <c r="L661" t="s">
        <v>401</v>
      </c>
      <c r="M661">
        <v>33</v>
      </c>
      <c r="N661">
        <v>17339</v>
      </c>
      <c r="O661" t="s">
        <v>52</v>
      </c>
      <c r="P661" t="s">
        <v>52</v>
      </c>
      <c r="Q661" t="s">
        <v>197</v>
      </c>
      <c r="R661" t="s">
        <v>53</v>
      </c>
      <c r="S661" t="s">
        <v>116</v>
      </c>
      <c r="T661" t="s">
        <v>198</v>
      </c>
      <c r="U661" t="s">
        <v>108</v>
      </c>
    </row>
    <row r="662" spans="1:21" x14ac:dyDescent="0.3">
      <c r="A662" t="s">
        <v>397</v>
      </c>
      <c r="B662" t="s">
        <v>397</v>
      </c>
      <c r="C662" t="s">
        <v>194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403</v>
      </c>
      <c r="L662" t="s">
        <v>401</v>
      </c>
      <c r="M662">
        <v>33</v>
      </c>
      <c r="N662">
        <v>17339</v>
      </c>
      <c r="O662" t="s">
        <v>52</v>
      </c>
      <c r="P662" t="s">
        <v>52</v>
      </c>
      <c r="Q662" t="s">
        <v>197</v>
      </c>
      <c r="R662" t="s">
        <v>53</v>
      </c>
      <c r="S662" t="s">
        <v>116</v>
      </c>
      <c r="T662" t="s">
        <v>198</v>
      </c>
      <c r="U662" t="s">
        <v>108</v>
      </c>
    </row>
    <row r="663" spans="1:21" x14ac:dyDescent="0.3">
      <c r="A663" t="s">
        <v>397</v>
      </c>
      <c r="B663" t="s">
        <v>397</v>
      </c>
      <c r="C663" t="s">
        <v>194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117</v>
      </c>
      <c r="J663" t="s">
        <v>51</v>
      </c>
      <c r="K663" t="s">
        <v>398</v>
      </c>
      <c r="L663" t="s">
        <v>399</v>
      </c>
      <c r="M663">
        <v>61</v>
      </c>
      <c r="O663" t="s">
        <v>52</v>
      </c>
      <c r="P663" t="s">
        <v>52</v>
      </c>
      <c r="Q663" t="s">
        <v>197</v>
      </c>
      <c r="R663" t="s">
        <v>53</v>
      </c>
      <c r="S663" t="s">
        <v>116</v>
      </c>
      <c r="T663" t="s">
        <v>198</v>
      </c>
      <c r="U663" t="s">
        <v>108</v>
      </c>
    </row>
    <row r="664" spans="1:21" x14ac:dyDescent="0.3">
      <c r="A664" t="s">
        <v>397</v>
      </c>
      <c r="B664" t="s">
        <v>397</v>
      </c>
      <c r="C664" t="s">
        <v>194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402</v>
      </c>
      <c r="L664" t="s">
        <v>401</v>
      </c>
      <c r="M664">
        <v>33</v>
      </c>
      <c r="N664">
        <v>17339</v>
      </c>
      <c r="O664" t="s">
        <v>52</v>
      </c>
      <c r="P664" t="s">
        <v>52</v>
      </c>
      <c r="Q664" t="s">
        <v>197</v>
      </c>
      <c r="R664" t="s">
        <v>53</v>
      </c>
      <c r="S664" t="s">
        <v>116</v>
      </c>
      <c r="T664" t="s">
        <v>198</v>
      </c>
      <c r="U664" t="s">
        <v>108</v>
      </c>
    </row>
    <row r="665" spans="1:21" x14ac:dyDescent="0.3">
      <c r="A665" t="s">
        <v>397</v>
      </c>
      <c r="B665" t="s">
        <v>397</v>
      </c>
      <c r="C665" t="s">
        <v>194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400</v>
      </c>
      <c r="L665" t="s">
        <v>401</v>
      </c>
      <c r="M665">
        <v>33</v>
      </c>
      <c r="N665">
        <v>17339</v>
      </c>
      <c r="O665" t="s">
        <v>52</v>
      </c>
      <c r="P665" t="s">
        <v>52</v>
      </c>
      <c r="Q665" t="s">
        <v>197</v>
      </c>
      <c r="R665" t="s">
        <v>53</v>
      </c>
      <c r="S665" t="s">
        <v>116</v>
      </c>
      <c r="T665" t="s">
        <v>198</v>
      </c>
      <c r="U665" t="s">
        <v>108</v>
      </c>
    </row>
    <row r="666" spans="1:21" x14ac:dyDescent="0.3">
      <c r="A666" t="s">
        <v>405</v>
      </c>
      <c r="B666" t="s">
        <v>405</v>
      </c>
      <c r="C666" t="s">
        <v>194</v>
      </c>
      <c r="D666">
        <v>1</v>
      </c>
      <c r="E666" t="s">
        <v>107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406</v>
      </c>
      <c r="L666" t="s">
        <v>407</v>
      </c>
      <c r="M666">
        <v>33</v>
      </c>
      <c r="N666">
        <v>17645</v>
      </c>
      <c r="O666" t="s">
        <v>52</v>
      </c>
      <c r="P666" t="s">
        <v>52</v>
      </c>
      <c r="Q666" t="s">
        <v>197</v>
      </c>
      <c r="R666" t="s">
        <v>53</v>
      </c>
      <c r="S666" t="s">
        <v>116</v>
      </c>
      <c r="T666" t="s">
        <v>198</v>
      </c>
      <c r="U666" t="s">
        <v>108</v>
      </c>
    </row>
    <row r="667" spans="1:21" x14ac:dyDescent="0.3">
      <c r="A667" t="s">
        <v>405</v>
      </c>
      <c r="B667" t="s">
        <v>405</v>
      </c>
      <c r="C667" t="s">
        <v>194</v>
      </c>
      <c r="D667">
        <v>1</v>
      </c>
      <c r="E667" t="s">
        <v>107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408</v>
      </c>
      <c r="L667" t="s">
        <v>407</v>
      </c>
      <c r="M667">
        <v>33</v>
      </c>
      <c r="N667">
        <v>17645</v>
      </c>
      <c r="O667" t="s">
        <v>52</v>
      </c>
      <c r="P667" t="s">
        <v>52</v>
      </c>
      <c r="Q667" t="s">
        <v>197</v>
      </c>
      <c r="R667" t="s">
        <v>53</v>
      </c>
      <c r="S667" t="s">
        <v>116</v>
      </c>
      <c r="T667" t="s">
        <v>198</v>
      </c>
      <c r="U667" t="s">
        <v>108</v>
      </c>
    </row>
    <row r="668" spans="1:21" x14ac:dyDescent="0.3">
      <c r="A668" t="s">
        <v>405</v>
      </c>
      <c r="B668" t="s">
        <v>405</v>
      </c>
      <c r="C668" t="s">
        <v>194</v>
      </c>
      <c r="D668">
        <v>1</v>
      </c>
      <c r="E668" t="s">
        <v>107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409</v>
      </c>
      <c r="L668" t="s">
        <v>407</v>
      </c>
      <c r="M668">
        <v>33</v>
      </c>
      <c r="N668">
        <v>17645</v>
      </c>
      <c r="O668" t="s">
        <v>52</v>
      </c>
      <c r="P668" t="s">
        <v>52</v>
      </c>
      <c r="Q668" t="s">
        <v>197</v>
      </c>
      <c r="R668" t="s">
        <v>53</v>
      </c>
      <c r="S668" t="s">
        <v>116</v>
      </c>
      <c r="T668" t="s">
        <v>198</v>
      </c>
      <c r="U668" t="s">
        <v>108</v>
      </c>
    </row>
    <row r="669" spans="1:21" x14ac:dyDescent="0.3">
      <c r="A669" t="s">
        <v>405</v>
      </c>
      <c r="B669" t="s">
        <v>405</v>
      </c>
      <c r="C669" t="s">
        <v>194</v>
      </c>
      <c r="D669">
        <v>1</v>
      </c>
      <c r="E669" t="s">
        <v>107</v>
      </c>
      <c r="F669">
        <v>1</v>
      </c>
      <c r="G669">
        <v>1042</v>
      </c>
      <c r="H669">
        <v>1042</v>
      </c>
      <c r="I669" t="s">
        <v>117</v>
      </c>
      <c r="J669" t="s">
        <v>51</v>
      </c>
      <c r="K669" t="s">
        <v>410</v>
      </c>
      <c r="L669" t="s">
        <v>411</v>
      </c>
      <c r="M669">
        <v>33</v>
      </c>
      <c r="O669" t="s">
        <v>52</v>
      </c>
      <c r="P669" t="s">
        <v>52</v>
      </c>
      <c r="Q669" t="s">
        <v>197</v>
      </c>
      <c r="R669" t="s">
        <v>53</v>
      </c>
      <c r="S669" t="s">
        <v>116</v>
      </c>
      <c r="T669" t="s">
        <v>198</v>
      </c>
      <c r="U669" t="s">
        <v>108</v>
      </c>
    </row>
    <row r="670" spans="1:21" x14ac:dyDescent="0.3">
      <c r="A670" t="s">
        <v>405</v>
      </c>
      <c r="B670" t="s">
        <v>405</v>
      </c>
      <c r="C670" t="s">
        <v>194</v>
      </c>
      <c r="D670">
        <v>1</v>
      </c>
      <c r="E670" t="s">
        <v>107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412</v>
      </c>
      <c r="L670" t="s">
        <v>407</v>
      </c>
      <c r="M670">
        <v>33</v>
      </c>
      <c r="N670">
        <v>17645</v>
      </c>
      <c r="O670" t="s">
        <v>52</v>
      </c>
      <c r="P670" t="s">
        <v>52</v>
      </c>
      <c r="Q670" t="s">
        <v>197</v>
      </c>
      <c r="R670" t="s">
        <v>53</v>
      </c>
      <c r="S670" t="s">
        <v>116</v>
      </c>
      <c r="T670" t="s">
        <v>198</v>
      </c>
      <c r="U670" t="s">
        <v>108</v>
      </c>
    </row>
    <row r="671" spans="1:21" x14ac:dyDescent="0.3">
      <c r="A671" t="s">
        <v>405</v>
      </c>
      <c r="B671" t="s">
        <v>405</v>
      </c>
      <c r="C671" t="s">
        <v>194</v>
      </c>
      <c r="D671">
        <v>2</v>
      </c>
      <c r="E671" t="s">
        <v>118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406</v>
      </c>
      <c r="L671" t="s">
        <v>407</v>
      </c>
      <c r="M671">
        <v>33</v>
      </c>
      <c r="N671">
        <v>17645</v>
      </c>
      <c r="O671" t="s">
        <v>52</v>
      </c>
      <c r="P671" t="s">
        <v>52</v>
      </c>
      <c r="Q671" t="s">
        <v>197</v>
      </c>
      <c r="R671" t="s">
        <v>53</v>
      </c>
      <c r="S671" t="s">
        <v>116</v>
      </c>
      <c r="T671" t="s">
        <v>198</v>
      </c>
      <c r="U671" t="s">
        <v>108</v>
      </c>
    </row>
    <row r="672" spans="1:21" x14ac:dyDescent="0.3">
      <c r="A672" t="s">
        <v>405</v>
      </c>
      <c r="B672" t="s">
        <v>405</v>
      </c>
      <c r="C672" t="s">
        <v>194</v>
      </c>
      <c r="D672">
        <v>2</v>
      </c>
      <c r="E672" t="s">
        <v>118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409</v>
      </c>
      <c r="L672" t="s">
        <v>407</v>
      </c>
      <c r="M672">
        <v>33</v>
      </c>
      <c r="N672">
        <v>17645</v>
      </c>
      <c r="O672" t="s">
        <v>52</v>
      </c>
      <c r="P672" t="s">
        <v>52</v>
      </c>
      <c r="Q672" t="s">
        <v>197</v>
      </c>
      <c r="R672" t="s">
        <v>53</v>
      </c>
      <c r="S672" t="s">
        <v>116</v>
      </c>
      <c r="T672" t="s">
        <v>198</v>
      </c>
      <c r="U672" t="s">
        <v>108</v>
      </c>
    </row>
    <row r="673" spans="1:21" x14ac:dyDescent="0.3">
      <c r="A673" t="s">
        <v>405</v>
      </c>
      <c r="B673" t="s">
        <v>405</v>
      </c>
      <c r="C673" t="s">
        <v>194</v>
      </c>
      <c r="D673">
        <v>2</v>
      </c>
      <c r="E673" t="s">
        <v>118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408</v>
      </c>
      <c r="L673" t="s">
        <v>407</v>
      </c>
      <c r="M673">
        <v>33</v>
      </c>
      <c r="N673">
        <v>17645</v>
      </c>
      <c r="O673" t="s">
        <v>52</v>
      </c>
      <c r="P673" t="s">
        <v>52</v>
      </c>
      <c r="Q673" t="s">
        <v>197</v>
      </c>
      <c r="R673" t="s">
        <v>53</v>
      </c>
      <c r="S673" t="s">
        <v>116</v>
      </c>
      <c r="T673" t="s">
        <v>198</v>
      </c>
      <c r="U673" t="s">
        <v>108</v>
      </c>
    </row>
    <row r="674" spans="1:21" x14ac:dyDescent="0.3">
      <c r="A674" t="s">
        <v>405</v>
      </c>
      <c r="B674" t="s">
        <v>405</v>
      </c>
      <c r="C674" t="s">
        <v>194</v>
      </c>
      <c r="D674">
        <v>2</v>
      </c>
      <c r="E674" t="s">
        <v>118</v>
      </c>
      <c r="F674">
        <v>1</v>
      </c>
      <c r="G674">
        <v>4</v>
      </c>
      <c r="H674">
        <v>4</v>
      </c>
      <c r="I674" t="s">
        <v>117</v>
      </c>
      <c r="J674" t="s">
        <v>51</v>
      </c>
      <c r="K674" t="s">
        <v>410</v>
      </c>
      <c r="L674" t="s">
        <v>411</v>
      </c>
      <c r="M674">
        <v>33</v>
      </c>
      <c r="O674" t="s">
        <v>52</v>
      </c>
      <c r="P674" t="s">
        <v>52</v>
      </c>
      <c r="Q674" t="s">
        <v>197</v>
      </c>
      <c r="R674" t="s">
        <v>53</v>
      </c>
      <c r="S674" t="s">
        <v>116</v>
      </c>
      <c r="T674" t="s">
        <v>198</v>
      </c>
      <c r="U674" t="s">
        <v>108</v>
      </c>
    </row>
    <row r="675" spans="1:21" x14ac:dyDescent="0.3">
      <c r="A675" t="s">
        <v>405</v>
      </c>
      <c r="B675" t="s">
        <v>405</v>
      </c>
      <c r="C675" t="s">
        <v>194</v>
      </c>
      <c r="D675">
        <v>2</v>
      </c>
      <c r="E675" t="s">
        <v>118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412</v>
      </c>
      <c r="L675" t="s">
        <v>407</v>
      </c>
      <c r="M675">
        <v>33</v>
      </c>
      <c r="N675">
        <v>17645</v>
      </c>
      <c r="O675" t="s">
        <v>52</v>
      </c>
      <c r="P675" t="s">
        <v>52</v>
      </c>
      <c r="Q675" t="s">
        <v>197</v>
      </c>
      <c r="R675" t="s">
        <v>53</v>
      </c>
      <c r="S675" t="s">
        <v>116</v>
      </c>
      <c r="T675" t="s">
        <v>198</v>
      </c>
      <c r="U675" t="s">
        <v>108</v>
      </c>
    </row>
    <row r="676" spans="1:21" x14ac:dyDescent="0.3">
      <c r="A676" t="s">
        <v>405</v>
      </c>
      <c r="B676" t="s">
        <v>405</v>
      </c>
      <c r="C676" t="s">
        <v>194</v>
      </c>
      <c r="D676">
        <v>3</v>
      </c>
      <c r="E676" t="s">
        <v>105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406</v>
      </c>
      <c r="L676" t="s">
        <v>407</v>
      </c>
      <c r="M676">
        <v>33</v>
      </c>
      <c r="N676">
        <v>17645</v>
      </c>
      <c r="O676" t="s">
        <v>52</v>
      </c>
      <c r="P676" t="s">
        <v>52</v>
      </c>
      <c r="Q676" t="s">
        <v>197</v>
      </c>
      <c r="R676" t="s">
        <v>53</v>
      </c>
      <c r="S676" t="s">
        <v>116</v>
      </c>
      <c r="T676" t="s">
        <v>198</v>
      </c>
      <c r="U676" t="s">
        <v>108</v>
      </c>
    </row>
    <row r="677" spans="1:21" x14ac:dyDescent="0.3">
      <c r="A677" t="s">
        <v>405</v>
      </c>
      <c r="B677" t="s">
        <v>405</v>
      </c>
      <c r="C677" t="s">
        <v>194</v>
      </c>
      <c r="D677">
        <v>3</v>
      </c>
      <c r="E677" t="s">
        <v>105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409</v>
      </c>
      <c r="L677" t="s">
        <v>407</v>
      </c>
      <c r="M677">
        <v>33</v>
      </c>
      <c r="N677">
        <v>17645</v>
      </c>
      <c r="O677" t="s">
        <v>52</v>
      </c>
      <c r="P677" t="s">
        <v>52</v>
      </c>
      <c r="Q677" t="s">
        <v>197</v>
      </c>
      <c r="R677" t="s">
        <v>53</v>
      </c>
      <c r="S677" t="s">
        <v>116</v>
      </c>
      <c r="T677" t="s">
        <v>198</v>
      </c>
      <c r="U677" t="s">
        <v>108</v>
      </c>
    </row>
    <row r="678" spans="1:21" x14ac:dyDescent="0.3">
      <c r="A678" t="s">
        <v>405</v>
      </c>
      <c r="B678" t="s">
        <v>405</v>
      </c>
      <c r="C678" t="s">
        <v>194</v>
      </c>
      <c r="D678">
        <v>3</v>
      </c>
      <c r="E678" t="s">
        <v>105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412</v>
      </c>
      <c r="L678" t="s">
        <v>407</v>
      </c>
      <c r="M678">
        <v>33</v>
      </c>
      <c r="N678">
        <v>17645</v>
      </c>
      <c r="O678" t="s">
        <v>52</v>
      </c>
      <c r="P678" t="s">
        <v>52</v>
      </c>
      <c r="Q678" t="s">
        <v>197</v>
      </c>
      <c r="R678" t="s">
        <v>53</v>
      </c>
      <c r="S678" t="s">
        <v>116</v>
      </c>
      <c r="T678" t="s">
        <v>198</v>
      </c>
      <c r="U678" t="s">
        <v>108</v>
      </c>
    </row>
    <row r="679" spans="1:21" x14ac:dyDescent="0.3">
      <c r="A679" t="s">
        <v>405</v>
      </c>
      <c r="B679" t="s">
        <v>405</v>
      </c>
      <c r="C679" t="s">
        <v>194</v>
      </c>
      <c r="D679">
        <v>3</v>
      </c>
      <c r="E679" t="s">
        <v>105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408</v>
      </c>
      <c r="L679" t="s">
        <v>407</v>
      </c>
      <c r="M679">
        <v>33</v>
      </c>
      <c r="N679">
        <v>17645</v>
      </c>
      <c r="O679" t="s">
        <v>52</v>
      </c>
      <c r="P679" t="s">
        <v>52</v>
      </c>
      <c r="Q679" t="s">
        <v>197</v>
      </c>
      <c r="R679" t="s">
        <v>53</v>
      </c>
      <c r="S679" t="s">
        <v>116</v>
      </c>
      <c r="T679" t="s">
        <v>198</v>
      </c>
      <c r="U679" t="s">
        <v>108</v>
      </c>
    </row>
    <row r="680" spans="1:21" x14ac:dyDescent="0.3">
      <c r="A680" t="s">
        <v>405</v>
      </c>
      <c r="B680" t="s">
        <v>405</v>
      </c>
      <c r="C680" t="s">
        <v>194</v>
      </c>
      <c r="D680">
        <v>3</v>
      </c>
      <c r="E680" t="s">
        <v>105</v>
      </c>
      <c r="F680">
        <v>1</v>
      </c>
      <c r="G680">
        <v>105</v>
      </c>
      <c r="H680">
        <v>105</v>
      </c>
      <c r="I680" t="s">
        <v>117</v>
      </c>
      <c r="J680" t="s">
        <v>51</v>
      </c>
      <c r="K680" t="s">
        <v>410</v>
      </c>
      <c r="L680" t="s">
        <v>411</v>
      </c>
      <c r="M680">
        <v>33</v>
      </c>
      <c r="O680" t="s">
        <v>52</v>
      </c>
      <c r="P680" t="s">
        <v>52</v>
      </c>
      <c r="Q680" t="s">
        <v>197</v>
      </c>
      <c r="R680" t="s">
        <v>53</v>
      </c>
      <c r="S680" t="s">
        <v>116</v>
      </c>
      <c r="T680" t="s">
        <v>198</v>
      </c>
      <c r="U680" t="s">
        <v>108</v>
      </c>
    </row>
    <row r="681" spans="1:21" x14ac:dyDescent="0.3">
      <c r="A681" t="s">
        <v>405</v>
      </c>
      <c r="B681" t="s">
        <v>405</v>
      </c>
      <c r="C681" t="s">
        <v>194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117</v>
      </c>
      <c r="J681" t="s">
        <v>51</v>
      </c>
      <c r="K681" t="s">
        <v>410</v>
      </c>
      <c r="L681" t="s">
        <v>411</v>
      </c>
      <c r="M681">
        <v>33</v>
      </c>
      <c r="O681" t="s">
        <v>52</v>
      </c>
      <c r="P681" t="s">
        <v>52</v>
      </c>
      <c r="Q681" t="s">
        <v>197</v>
      </c>
      <c r="R681" t="s">
        <v>53</v>
      </c>
      <c r="S681" t="s">
        <v>116</v>
      </c>
      <c r="T681" t="s">
        <v>198</v>
      </c>
      <c r="U681" t="s">
        <v>108</v>
      </c>
    </row>
    <row r="682" spans="1:21" x14ac:dyDescent="0.3">
      <c r="A682" t="s">
        <v>405</v>
      </c>
      <c r="B682" t="s">
        <v>405</v>
      </c>
      <c r="C682" t="s">
        <v>194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408</v>
      </c>
      <c r="L682" t="s">
        <v>407</v>
      </c>
      <c r="M682">
        <v>33</v>
      </c>
      <c r="N682">
        <v>17645</v>
      </c>
      <c r="O682" t="s">
        <v>52</v>
      </c>
      <c r="P682" t="s">
        <v>52</v>
      </c>
      <c r="Q682" t="s">
        <v>197</v>
      </c>
      <c r="R682" t="s">
        <v>53</v>
      </c>
      <c r="S682" t="s">
        <v>116</v>
      </c>
      <c r="T682" t="s">
        <v>198</v>
      </c>
      <c r="U682" t="s">
        <v>108</v>
      </c>
    </row>
    <row r="683" spans="1:21" x14ac:dyDescent="0.3">
      <c r="A683" t="s">
        <v>405</v>
      </c>
      <c r="B683" t="s">
        <v>405</v>
      </c>
      <c r="C683" t="s">
        <v>194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406</v>
      </c>
      <c r="L683" t="s">
        <v>407</v>
      </c>
      <c r="M683">
        <v>33</v>
      </c>
      <c r="N683">
        <v>17645</v>
      </c>
      <c r="O683" t="s">
        <v>52</v>
      </c>
      <c r="P683" t="s">
        <v>52</v>
      </c>
      <c r="Q683" t="s">
        <v>197</v>
      </c>
      <c r="R683" t="s">
        <v>53</v>
      </c>
      <c r="S683" t="s">
        <v>116</v>
      </c>
      <c r="T683" t="s">
        <v>198</v>
      </c>
      <c r="U683" t="s">
        <v>108</v>
      </c>
    </row>
    <row r="684" spans="1:21" x14ac:dyDescent="0.3">
      <c r="A684" t="s">
        <v>405</v>
      </c>
      <c r="B684" t="s">
        <v>405</v>
      </c>
      <c r="C684" t="s">
        <v>194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412</v>
      </c>
      <c r="L684" t="s">
        <v>407</v>
      </c>
      <c r="M684">
        <v>33</v>
      </c>
      <c r="N684">
        <v>17645</v>
      </c>
      <c r="O684" t="s">
        <v>52</v>
      </c>
      <c r="P684" t="s">
        <v>52</v>
      </c>
      <c r="Q684" t="s">
        <v>197</v>
      </c>
      <c r="R684" t="s">
        <v>53</v>
      </c>
      <c r="S684" t="s">
        <v>116</v>
      </c>
      <c r="T684" t="s">
        <v>198</v>
      </c>
      <c r="U684" t="s">
        <v>108</v>
      </c>
    </row>
    <row r="685" spans="1:21" x14ac:dyDescent="0.3">
      <c r="A685" t="s">
        <v>405</v>
      </c>
      <c r="B685" t="s">
        <v>405</v>
      </c>
      <c r="C685" t="s">
        <v>194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409</v>
      </c>
      <c r="L685" t="s">
        <v>407</v>
      </c>
      <c r="M685">
        <v>33</v>
      </c>
      <c r="N685">
        <v>17645</v>
      </c>
      <c r="O685" t="s">
        <v>52</v>
      </c>
      <c r="P685" t="s">
        <v>52</v>
      </c>
      <c r="Q685" t="s">
        <v>197</v>
      </c>
      <c r="R685" t="s">
        <v>53</v>
      </c>
      <c r="S685" t="s">
        <v>116</v>
      </c>
      <c r="T685" t="s">
        <v>198</v>
      </c>
      <c r="U685" t="s">
        <v>108</v>
      </c>
    </row>
    <row r="686" spans="1:21" x14ac:dyDescent="0.3">
      <c r="A686" t="s">
        <v>405</v>
      </c>
      <c r="B686" t="s">
        <v>405</v>
      </c>
      <c r="C686" t="s">
        <v>194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117</v>
      </c>
      <c r="J686" t="s">
        <v>51</v>
      </c>
      <c r="K686" t="s">
        <v>410</v>
      </c>
      <c r="L686" t="s">
        <v>411</v>
      </c>
      <c r="M686">
        <v>33</v>
      </c>
      <c r="O686" t="s">
        <v>52</v>
      </c>
      <c r="P686" t="s">
        <v>52</v>
      </c>
      <c r="Q686" t="s">
        <v>197</v>
      </c>
      <c r="R686" t="s">
        <v>53</v>
      </c>
      <c r="S686" t="s">
        <v>116</v>
      </c>
      <c r="T686" t="s">
        <v>198</v>
      </c>
      <c r="U686" t="s">
        <v>108</v>
      </c>
    </row>
    <row r="687" spans="1:21" x14ac:dyDescent="0.3">
      <c r="A687" t="s">
        <v>405</v>
      </c>
      <c r="B687" t="s">
        <v>405</v>
      </c>
      <c r="C687" t="s">
        <v>194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408</v>
      </c>
      <c r="L687" t="s">
        <v>407</v>
      </c>
      <c r="M687">
        <v>33</v>
      </c>
      <c r="N687">
        <v>17645</v>
      </c>
      <c r="O687" t="s">
        <v>52</v>
      </c>
      <c r="P687" t="s">
        <v>52</v>
      </c>
      <c r="Q687" t="s">
        <v>197</v>
      </c>
      <c r="R687" t="s">
        <v>53</v>
      </c>
      <c r="S687" t="s">
        <v>116</v>
      </c>
      <c r="T687" t="s">
        <v>198</v>
      </c>
      <c r="U687" t="s">
        <v>108</v>
      </c>
    </row>
    <row r="688" spans="1:21" x14ac:dyDescent="0.3">
      <c r="A688" t="s">
        <v>405</v>
      </c>
      <c r="B688" t="s">
        <v>405</v>
      </c>
      <c r="C688" t="s">
        <v>194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406</v>
      </c>
      <c r="L688" t="s">
        <v>407</v>
      </c>
      <c r="M688">
        <v>33</v>
      </c>
      <c r="N688">
        <v>17645</v>
      </c>
      <c r="O688" t="s">
        <v>52</v>
      </c>
      <c r="P688" t="s">
        <v>52</v>
      </c>
      <c r="Q688" t="s">
        <v>197</v>
      </c>
      <c r="R688" t="s">
        <v>53</v>
      </c>
      <c r="S688" t="s">
        <v>116</v>
      </c>
      <c r="T688" t="s">
        <v>198</v>
      </c>
      <c r="U688" t="s">
        <v>108</v>
      </c>
    </row>
    <row r="689" spans="1:21" x14ac:dyDescent="0.3">
      <c r="A689" t="s">
        <v>405</v>
      </c>
      <c r="B689" t="s">
        <v>405</v>
      </c>
      <c r="C689" t="s">
        <v>194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412</v>
      </c>
      <c r="L689" t="s">
        <v>407</v>
      </c>
      <c r="M689">
        <v>33</v>
      </c>
      <c r="N689">
        <v>17645</v>
      </c>
      <c r="O689" t="s">
        <v>52</v>
      </c>
      <c r="P689" t="s">
        <v>52</v>
      </c>
      <c r="Q689" t="s">
        <v>197</v>
      </c>
      <c r="R689" t="s">
        <v>53</v>
      </c>
      <c r="S689" t="s">
        <v>116</v>
      </c>
      <c r="T689" t="s">
        <v>198</v>
      </c>
      <c r="U689" t="s">
        <v>108</v>
      </c>
    </row>
    <row r="690" spans="1:21" x14ac:dyDescent="0.3">
      <c r="A690" t="s">
        <v>405</v>
      </c>
      <c r="B690" t="s">
        <v>405</v>
      </c>
      <c r="C690" t="s">
        <v>194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409</v>
      </c>
      <c r="L690" t="s">
        <v>407</v>
      </c>
      <c r="M690">
        <v>33</v>
      </c>
      <c r="N690">
        <v>17645</v>
      </c>
      <c r="O690" t="s">
        <v>52</v>
      </c>
      <c r="P690" t="s">
        <v>52</v>
      </c>
      <c r="Q690" t="s">
        <v>197</v>
      </c>
      <c r="R690" t="s">
        <v>53</v>
      </c>
      <c r="S690" t="s">
        <v>116</v>
      </c>
      <c r="T690" t="s">
        <v>198</v>
      </c>
      <c r="U690" t="s">
        <v>108</v>
      </c>
    </row>
    <row r="691" spans="1:21" x14ac:dyDescent="0.3">
      <c r="A691" t="s">
        <v>413</v>
      </c>
      <c r="B691" t="s">
        <v>413</v>
      </c>
      <c r="C691" t="s">
        <v>194</v>
      </c>
      <c r="D691">
        <v>1</v>
      </c>
      <c r="E691" t="s">
        <v>107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414</v>
      </c>
      <c r="L691" t="s">
        <v>415</v>
      </c>
      <c r="M691">
        <v>33</v>
      </c>
      <c r="N691">
        <v>18264</v>
      </c>
      <c r="O691" t="s">
        <v>52</v>
      </c>
      <c r="P691" t="s">
        <v>52</v>
      </c>
      <c r="Q691" t="s">
        <v>197</v>
      </c>
      <c r="R691" t="s">
        <v>53</v>
      </c>
      <c r="S691" t="s">
        <v>116</v>
      </c>
      <c r="T691" t="s">
        <v>198</v>
      </c>
      <c r="U691" t="s">
        <v>108</v>
      </c>
    </row>
    <row r="692" spans="1:21" x14ac:dyDescent="0.3">
      <c r="A692" t="s">
        <v>413</v>
      </c>
      <c r="B692" t="s">
        <v>413</v>
      </c>
      <c r="C692" t="s">
        <v>194</v>
      </c>
      <c r="D692">
        <v>1</v>
      </c>
      <c r="E692" t="s">
        <v>107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416</v>
      </c>
      <c r="L692" t="s">
        <v>415</v>
      </c>
      <c r="M692">
        <v>33</v>
      </c>
      <c r="N692">
        <v>18264</v>
      </c>
      <c r="O692" t="s">
        <v>52</v>
      </c>
      <c r="P692" t="s">
        <v>52</v>
      </c>
      <c r="Q692" t="s">
        <v>197</v>
      </c>
      <c r="R692" t="s">
        <v>53</v>
      </c>
      <c r="S692" t="s">
        <v>116</v>
      </c>
      <c r="T692" t="s">
        <v>198</v>
      </c>
      <c r="U692" t="s">
        <v>108</v>
      </c>
    </row>
    <row r="693" spans="1:21" x14ac:dyDescent="0.3">
      <c r="A693" t="s">
        <v>413</v>
      </c>
      <c r="B693" t="s">
        <v>413</v>
      </c>
      <c r="C693" t="s">
        <v>194</v>
      </c>
      <c r="D693">
        <v>1</v>
      </c>
      <c r="E693" t="s">
        <v>107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417</v>
      </c>
      <c r="L693" t="s">
        <v>415</v>
      </c>
      <c r="M693">
        <v>33</v>
      </c>
      <c r="N693">
        <v>18264</v>
      </c>
      <c r="O693" t="s">
        <v>52</v>
      </c>
      <c r="P693" t="s">
        <v>52</v>
      </c>
      <c r="Q693" t="s">
        <v>197</v>
      </c>
      <c r="R693" t="s">
        <v>53</v>
      </c>
      <c r="S693" t="s">
        <v>116</v>
      </c>
      <c r="T693" t="s">
        <v>198</v>
      </c>
      <c r="U693" t="s">
        <v>108</v>
      </c>
    </row>
    <row r="694" spans="1:21" x14ac:dyDescent="0.3">
      <c r="A694" t="s">
        <v>413</v>
      </c>
      <c r="B694" t="s">
        <v>413</v>
      </c>
      <c r="C694" t="s">
        <v>194</v>
      </c>
      <c r="D694">
        <v>1</v>
      </c>
      <c r="E694" t="s">
        <v>107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418</v>
      </c>
      <c r="L694" t="s">
        <v>415</v>
      </c>
      <c r="M694">
        <v>33</v>
      </c>
      <c r="N694">
        <v>18264</v>
      </c>
      <c r="O694" t="s">
        <v>52</v>
      </c>
      <c r="P694" t="s">
        <v>52</v>
      </c>
      <c r="Q694" t="s">
        <v>197</v>
      </c>
      <c r="R694" t="s">
        <v>53</v>
      </c>
      <c r="S694" t="s">
        <v>116</v>
      </c>
      <c r="T694" t="s">
        <v>198</v>
      </c>
      <c r="U694" t="s">
        <v>108</v>
      </c>
    </row>
    <row r="695" spans="1:21" x14ac:dyDescent="0.3">
      <c r="A695" t="s">
        <v>413</v>
      </c>
      <c r="B695" t="s">
        <v>413</v>
      </c>
      <c r="C695" t="s">
        <v>194</v>
      </c>
      <c r="D695">
        <v>1</v>
      </c>
      <c r="E695" t="s">
        <v>107</v>
      </c>
      <c r="F695">
        <v>1</v>
      </c>
      <c r="G695">
        <v>1933</v>
      </c>
      <c r="H695">
        <v>1933</v>
      </c>
      <c r="I695" t="s">
        <v>117</v>
      </c>
      <c r="J695" t="s">
        <v>51</v>
      </c>
      <c r="K695" t="s">
        <v>419</v>
      </c>
      <c r="L695" t="s">
        <v>420</v>
      </c>
      <c r="M695">
        <v>33</v>
      </c>
      <c r="O695" t="s">
        <v>52</v>
      </c>
      <c r="P695" t="s">
        <v>52</v>
      </c>
      <c r="Q695" t="s">
        <v>197</v>
      </c>
      <c r="R695" t="s">
        <v>53</v>
      </c>
      <c r="S695" t="s">
        <v>116</v>
      </c>
      <c r="T695" t="s">
        <v>198</v>
      </c>
      <c r="U695" t="s">
        <v>108</v>
      </c>
    </row>
    <row r="696" spans="1:21" x14ac:dyDescent="0.3">
      <c r="A696" t="s">
        <v>413</v>
      </c>
      <c r="B696" t="s">
        <v>413</v>
      </c>
      <c r="C696" t="s">
        <v>194</v>
      </c>
      <c r="D696">
        <v>2</v>
      </c>
      <c r="E696" t="s">
        <v>118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417</v>
      </c>
      <c r="L696" t="s">
        <v>415</v>
      </c>
      <c r="M696">
        <v>33</v>
      </c>
      <c r="N696">
        <v>18264</v>
      </c>
      <c r="O696" t="s">
        <v>52</v>
      </c>
      <c r="P696" t="s">
        <v>52</v>
      </c>
      <c r="Q696" t="s">
        <v>197</v>
      </c>
      <c r="R696" t="s">
        <v>53</v>
      </c>
      <c r="S696" t="s">
        <v>116</v>
      </c>
      <c r="T696" t="s">
        <v>198</v>
      </c>
      <c r="U696" t="s">
        <v>108</v>
      </c>
    </row>
    <row r="697" spans="1:21" x14ac:dyDescent="0.3">
      <c r="A697" t="s">
        <v>413</v>
      </c>
      <c r="B697" t="s">
        <v>413</v>
      </c>
      <c r="C697" t="s">
        <v>194</v>
      </c>
      <c r="D697">
        <v>2</v>
      </c>
      <c r="E697" t="s">
        <v>118</v>
      </c>
      <c r="F697">
        <v>1</v>
      </c>
      <c r="G697">
        <v>6</v>
      </c>
      <c r="H697">
        <v>6</v>
      </c>
      <c r="I697" t="s">
        <v>117</v>
      </c>
      <c r="J697" t="s">
        <v>51</v>
      </c>
      <c r="K697" t="s">
        <v>419</v>
      </c>
      <c r="L697" t="s">
        <v>420</v>
      </c>
      <c r="M697">
        <v>33</v>
      </c>
      <c r="O697" t="s">
        <v>52</v>
      </c>
      <c r="P697" t="s">
        <v>52</v>
      </c>
      <c r="Q697" t="s">
        <v>197</v>
      </c>
      <c r="R697" t="s">
        <v>53</v>
      </c>
      <c r="S697" t="s">
        <v>116</v>
      </c>
      <c r="T697" t="s">
        <v>198</v>
      </c>
      <c r="U697" t="s">
        <v>108</v>
      </c>
    </row>
    <row r="698" spans="1:21" x14ac:dyDescent="0.3">
      <c r="A698" t="s">
        <v>413</v>
      </c>
      <c r="B698" t="s">
        <v>413</v>
      </c>
      <c r="C698" t="s">
        <v>194</v>
      </c>
      <c r="D698">
        <v>2</v>
      </c>
      <c r="E698" t="s">
        <v>118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416</v>
      </c>
      <c r="L698" t="s">
        <v>415</v>
      </c>
      <c r="M698">
        <v>33</v>
      </c>
      <c r="N698">
        <v>18264</v>
      </c>
      <c r="O698" t="s">
        <v>52</v>
      </c>
      <c r="P698" t="s">
        <v>52</v>
      </c>
      <c r="Q698" t="s">
        <v>197</v>
      </c>
      <c r="R698" t="s">
        <v>53</v>
      </c>
      <c r="S698" t="s">
        <v>116</v>
      </c>
      <c r="T698" t="s">
        <v>198</v>
      </c>
      <c r="U698" t="s">
        <v>108</v>
      </c>
    </row>
    <row r="699" spans="1:21" x14ac:dyDescent="0.3">
      <c r="A699" t="s">
        <v>413</v>
      </c>
      <c r="B699" t="s">
        <v>413</v>
      </c>
      <c r="C699" t="s">
        <v>194</v>
      </c>
      <c r="D699">
        <v>2</v>
      </c>
      <c r="E699" t="s">
        <v>118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418</v>
      </c>
      <c r="L699" t="s">
        <v>415</v>
      </c>
      <c r="M699">
        <v>33</v>
      </c>
      <c r="N699">
        <v>18264</v>
      </c>
      <c r="O699" t="s">
        <v>52</v>
      </c>
      <c r="P699" t="s">
        <v>52</v>
      </c>
      <c r="Q699" t="s">
        <v>197</v>
      </c>
      <c r="R699" t="s">
        <v>53</v>
      </c>
      <c r="S699" t="s">
        <v>116</v>
      </c>
      <c r="T699" t="s">
        <v>198</v>
      </c>
      <c r="U699" t="s">
        <v>108</v>
      </c>
    </row>
    <row r="700" spans="1:21" x14ac:dyDescent="0.3">
      <c r="A700" t="s">
        <v>413</v>
      </c>
      <c r="B700" t="s">
        <v>413</v>
      </c>
      <c r="C700" t="s">
        <v>194</v>
      </c>
      <c r="D700">
        <v>2</v>
      </c>
      <c r="E700" t="s">
        <v>118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414</v>
      </c>
      <c r="L700" t="s">
        <v>415</v>
      </c>
      <c r="M700">
        <v>33</v>
      </c>
      <c r="N700">
        <v>18264</v>
      </c>
      <c r="O700" t="s">
        <v>52</v>
      </c>
      <c r="P700" t="s">
        <v>52</v>
      </c>
      <c r="Q700" t="s">
        <v>197</v>
      </c>
      <c r="R700" t="s">
        <v>53</v>
      </c>
      <c r="S700" t="s">
        <v>116</v>
      </c>
      <c r="T700" t="s">
        <v>198</v>
      </c>
      <c r="U700" t="s">
        <v>108</v>
      </c>
    </row>
    <row r="701" spans="1:21" x14ac:dyDescent="0.3">
      <c r="A701" t="s">
        <v>413</v>
      </c>
      <c r="B701" t="s">
        <v>413</v>
      </c>
      <c r="C701" t="s">
        <v>194</v>
      </c>
      <c r="D701">
        <v>3</v>
      </c>
      <c r="E701" t="s">
        <v>105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418</v>
      </c>
      <c r="L701" t="s">
        <v>415</v>
      </c>
      <c r="M701">
        <v>33</v>
      </c>
      <c r="N701">
        <v>18264</v>
      </c>
      <c r="O701" t="s">
        <v>52</v>
      </c>
      <c r="P701" t="s">
        <v>52</v>
      </c>
      <c r="Q701" t="s">
        <v>197</v>
      </c>
      <c r="R701" t="s">
        <v>53</v>
      </c>
      <c r="S701" t="s">
        <v>116</v>
      </c>
      <c r="T701" t="s">
        <v>198</v>
      </c>
      <c r="U701" t="s">
        <v>108</v>
      </c>
    </row>
    <row r="702" spans="1:21" x14ac:dyDescent="0.3">
      <c r="A702" t="s">
        <v>413</v>
      </c>
      <c r="B702" t="s">
        <v>413</v>
      </c>
      <c r="C702" t="s">
        <v>194</v>
      </c>
      <c r="D702">
        <v>3</v>
      </c>
      <c r="E702" t="s">
        <v>105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417</v>
      </c>
      <c r="L702" t="s">
        <v>415</v>
      </c>
      <c r="M702">
        <v>33</v>
      </c>
      <c r="N702">
        <v>18264</v>
      </c>
      <c r="O702" t="s">
        <v>52</v>
      </c>
      <c r="P702" t="s">
        <v>52</v>
      </c>
      <c r="Q702" t="s">
        <v>197</v>
      </c>
      <c r="R702" t="s">
        <v>53</v>
      </c>
      <c r="S702" t="s">
        <v>116</v>
      </c>
      <c r="T702" t="s">
        <v>198</v>
      </c>
      <c r="U702" t="s">
        <v>108</v>
      </c>
    </row>
    <row r="703" spans="1:21" x14ac:dyDescent="0.3">
      <c r="A703" t="s">
        <v>413</v>
      </c>
      <c r="B703" t="s">
        <v>413</v>
      </c>
      <c r="C703" t="s">
        <v>194</v>
      </c>
      <c r="D703">
        <v>3</v>
      </c>
      <c r="E703" t="s">
        <v>105</v>
      </c>
      <c r="F703">
        <v>1</v>
      </c>
      <c r="G703">
        <v>196</v>
      </c>
      <c r="H703">
        <v>196</v>
      </c>
      <c r="I703" t="s">
        <v>117</v>
      </c>
      <c r="J703" t="s">
        <v>51</v>
      </c>
      <c r="K703" t="s">
        <v>419</v>
      </c>
      <c r="L703" t="s">
        <v>420</v>
      </c>
      <c r="M703">
        <v>33</v>
      </c>
      <c r="O703" t="s">
        <v>52</v>
      </c>
      <c r="P703" t="s">
        <v>52</v>
      </c>
      <c r="Q703" t="s">
        <v>197</v>
      </c>
      <c r="R703" t="s">
        <v>53</v>
      </c>
      <c r="S703" t="s">
        <v>116</v>
      </c>
      <c r="T703" t="s">
        <v>198</v>
      </c>
      <c r="U703" t="s">
        <v>108</v>
      </c>
    </row>
    <row r="704" spans="1:21" x14ac:dyDescent="0.3">
      <c r="A704" t="s">
        <v>413</v>
      </c>
      <c r="B704" t="s">
        <v>413</v>
      </c>
      <c r="C704" t="s">
        <v>194</v>
      </c>
      <c r="D704">
        <v>3</v>
      </c>
      <c r="E704" t="s">
        <v>105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414</v>
      </c>
      <c r="L704" t="s">
        <v>415</v>
      </c>
      <c r="M704">
        <v>33</v>
      </c>
      <c r="N704">
        <v>18264</v>
      </c>
      <c r="O704" t="s">
        <v>52</v>
      </c>
      <c r="P704" t="s">
        <v>52</v>
      </c>
      <c r="Q704" t="s">
        <v>197</v>
      </c>
      <c r="R704" t="s">
        <v>53</v>
      </c>
      <c r="S704" t="s">
        <v>116</v>
      </c>
      <c r="T704" t="s">
        <v>198</v>
      </c>
      <c r="U704" t="s">
        <v>108</v>
      </c>
    </row>
    <row r="705" spans="1:21" x14ac:dyDescent="0.3">
      <c r="A705" t="s">
        <v>413</v>
      </c>
      <c r="B705" t="s">
        <v>413</v>
      </c>
      <c r="C705" t="s">
        <v>194</v>
      </c>
      <c r="D705">
        <v>3</v>
      </c>
      <c r="E705" t="s">
        <v>105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416</v>
      </c>
      <c r="L705" t="s">
        <v>415</v>
      </c>
      <c r="M705">
        <v>33</v>
      </c>
      <c r="N705">
        <v>18264</v>
      </c>
      <c r="O705" t="s">
        <v>52</v>
      </c>
      <c r="P705" t="s">
        <v>52</v>
      </c>
      <c r="Q705" t="s">
        <v>197</v>
      </c>
      <c r="R705" t="s">
        <v>53</v>
      </c>
      <c r="S705" t="s">
        <v>116</v>
      </c>
      <c r="T705" t="s">
        <v>198</v>
      </c>
      <c r="U705" t="s">
        <v>108</v>
      </c>
    </row>
    <row r="706" spans="1:21" x14ac:dyDescent="0.3">
      <c r="A706" t="s">
        <v>413</v>
      </c>
      <c r="B706" t="s">
        <v>413</v>
      </c>
      <c r="C706" t="s">
        <v>194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418</v>
      </c>
      <c r="L706" t="s">
        <v>415</v>
      </c>
      <c r="M706">
        <v>33</v>
      </c>
      <c r="N706">
        <v>18264</v>
      </c>
      <c r="O706" t="s">
        <v>52</v>
      </c>
      <c r="P706" t="s">
        <v>52</v>
      </c>
      <c r="Q706" t="s">
        <v>197</v>
      </c>
      <c r="R706" t="s">
        <v>53</v>
      </c>
      <c r="S706" t="s">
        <v>116</v>
      </c>
      <c r="T706" t="s">
        <v>198</v>
      </c>
      <c r="U706" t="s">
        <v>108</v>
      </c>
    </row>
    <row r="707" spans="1:21" x14ac:dyDescent="0.3">
      <c r="A707" t="s">
        <v>413</v>
      </c>
      <c r="B707" t="s">
        <v>413</v>
      </c>
      <c r="C707" t="s">
        <v>194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416</v>
      </c>
      <c r="L707" t="s">
        <v>415</v>
      </c>
      <c r="M707">
        <v>33</v>
      </c>
      <c r="N707">
        <v>18264</v>
      </c>
      <c r="O707" t="s">
        <v>52</v>
      </c>
      <c r="P707" t="s">
        <v>52</v>
      </c>
      <c r="Q707" t="s">
        <v>197</v>
      </c>
      <c r="R707" t="s">
        <v>53</v>
      </c>
      <c r="S707" t="s">
        <v>116</v>
      </c>
      <c r="T707" t="s">
        <v>198</v>
      </c>
      <c r="U707" t="s">
        <v>108</v>
      </c>
    </row>
    <row r="708" spans="1:21" x14ac:dyDescent="0.3">
      <c r="A708" t="s">
        <v>413</v>
      </c>
      <c r="B708" t="s">
        <v>413</v>
      </c>
      <c r="C708" t="s">
        <v>194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117</v>
      </c>
      <c r="J708" t="s">
        <v>51</v>
      </c>
      <c r="K708" t="s">
        <v>419</v>
      </c>
      <c r="L708" t="s">
        <v>420</v>
      </c>
      <c r="M708">
        <v>33</v>
      </c>
      <c r="O708" t="s">
        <v>52</v>
      </c>
      <c r="P708" t="s">
        <v>52</v>
      </c>
      <c r="Q708" t="s">
        <v>197</v>
      </c>
      <c r="R708" t="s">
        <v>53</v>
      </c>
      <c r="S708" t="s">
        <v>116</v>
      </c>
      <c r="T708" t="s">
        <v>198</v>
      </c>
      <c r="U708" t="s">
        <v>108</v>
      </c>
    </row>
    <row r="709" spans="1:21" x14ac:dyDescent="0.3">
      <c r="A709" t="s">
        <v>413</v>
      </c>
      <c r="B709" t="s">
        <v>413</v>
      </c>
      <c r="C709" t="s">
        <v>194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417</v>
      </c>
      <c r="L709" t="s">
        <v>415</v>
      </c>
      <c r="M709">
        <v>33</v>
      </c>
      <c r="N709">
        <v>18264</v>
      </c>
      <c r="O709" t="s">
        <v>52</v>
      </c>
      <c r="P709" t="s">
        <v>52</v>
      </c>
      <c r="Q709" t="s">
        <v>197</v>
      </c>
      <c r="R709" t="s">
        <v>53</v>
      </c>
      <c r="S709" t="s">
        <v>116</v>
      </c>
      <c r="T709" t="s">
        <v>198</v>
      </c>
      <c r="U709" t="s">
        <v>108</v>
      </c>
    </row>
    <row r="710" spans="1:21" x14ac:dyDescent="0.3">
      <c r="A710" t="s">
        <v>413</v>
      </c>
      <c r="B710" t="s">
        <v>413</v>
      </c>
      <c r="C710" t="s">
        <v>194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414</v>
      </c>
      <c r="L710" t="s">
        <v>415</v>
      </c>
      <c r="M710">
        <v>33</v>
      </c>
      <c r="N710">
        <v>18264</v>
      </c>
      <c r="O710" t="s">
        <v>52</v>
      </c>
      <c r="P710" t="s">
        <v>52</v>
      </c>
      <c r="Q710" t="s">
        <v>197</v>
      </c>
      <c r="R710" t="s">
        <v>53</v>
      </c>
      <c r="S710" t="s">
        <v>116</v>
      </c>
      <c r="T710" t="s">
        <v>198</v>
      </c>
      <c r="U710" t="s">
        <v>108</v>
      </c>
    </row>
    <row r="711" spans="1:21" x14ac:dyDescent="0.3">
      <c r="A711" t="s">
        <v>413</v>
      </c>
      <c r="B711" t="s">
        <v>413</v>
      </c>
      <c r="C711" t="s">
        <v>194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417</v>
      </c>
      <c r="L711" t="s">
        <v>415</v>
      </c>
      <c r="M711">
        <v>33</v>
      </c>
      <c r="N711">
        <v>18264</v>
      </c>
      <c r="O711" t="s">
        <v>52</v>
      </c>
      <c r="P711" t="s">
        <v>52</v>
      </c>
      <c r="Q711" t="s">
        <v>197</v>
      </c>
      <c r="R711" t="s">
        <v>53</v>
      </c>
      <c r="S711" t="s">
        <v>116</v>
      </c>
      <c r="T711" t="s">
        <v>198</v>
      </c>
      <c r="U711" t="s">
        <v>108</v>
      </c>
    </row>
    <row r="712" spans="1:21" x14ac:dyDescent="0.3">
      <c r="A712" t="s">
        <v>413</v>
      </c>
      <c r="B712" t="s">
        <v>413</v>
      </c>
      <c r="C712" t="s">
        <v>194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418</v>
      </c>
      <c r="L712" t="s">
        <v>415</v>
      </c>
      <c r="M712">
        <v>33</v>
      </c>
      <c r="N712">
        <v>18264</v>
      </c>
      <c r="O712" t="s">
        <v>52</v>
      </c>
      <c r="P712" t="s">
        <v>52</v>
      </c>
      <c r="Q712" t="s">
        <v>197</v>
      </c>
      <c r="R712" t="s">
        <v>53</v>
      </c>
      <c r="S712" t="s">
        <v>116</v>
      </c>
      <c r="T712" t="s">
        <v>198</v>
      </c>
      <c r="U712" t="s">
        <v>108</v>
      </c>
    </row>
    <row r="713" spans="1:21" x14ac:dyDescent="0.3">
      <c r="A713" t="s">
        <v>413</v>
      </c>
      <c r="B713" t="s">
        <v>413</v>
      </c>
      <c r="C713" t="s">
        <v>194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414</v>
      </c>
      <c r="L713" t="s">
        <v>415</v>
      </c>
      <c r="M713">
        <v>33</v>
      </c>
      <c r="N713">
        <v>18264</v>
      </c>
      <c r="O713" t="s">
        <v>52</v>
      </c>
      <c r="P713" t="s">
        <v>52</v>
      </c>
      <c r="Q713" t="s">
        <v>197</v>
      </c>
      <c r="R713" t="s">
        <v>53</v>
      </c>
      <c r="S713" t="s">
        <v>116</v>
      </c>
      <c r="T713" t="s">
        <v>198</v>
      </c>
      <c r="U713" t="s">
        <v>108</v>
      </c>
    </row>
    <row r="714" spans="1:21" x14ac:dyDescent="0.3">
      <c r="A714" t="s">
        <v>413</v>
      </c>
      <c r="B714" t="s">
        <v>413</v>
      </c>
      <c r="C714" t="s">
        <v>194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416</v>
      </c>
      <c r="L714" t="s">
        <v>415</v>
      </c>
      <c r="M714">
        <v>33</v>
      </c>
      <c r="N714">
        <v>18264</v>
      </c>
      <c r="O714" t="s">
        <v>52</v>
      </c>
      <c r="P714" t="s">
        <v>52</v>
      </c>
      <c r="Q714" t="s">
        <v>197</v>
      </c>
      <c r="R714" t="s">
        <v>53</v>
      </c>
      <c r="S714" t="s">
        <v>116</v>
      </c>
      <c r="T714" t="s">
        <v>198</v>
      </c>
      <c r="U714" t="s">
        <v>108</v>
      </c>
    </row>
    <row r="715" spans="1:21" x14ac:dyDescent="0.3">
      <c r="A715" t="s">
        <v>413</v>
      </c>
      <c r="B715" t="s">
        <v>413</v>
      </c>
      <c r="C715" t="s">
        <v>194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117</v>
      </c>
      <c r="J715" t="s">
        <v>51</v>
      </c>
      <c r="K715" t="s">
        <v>419</v>
      </c>
      <c r="L715" t="s">
        <v>420</v>
      </c>
      <c r="M715">
        <v>33</v>
      </c>
      <c r="O715" t="s">
        <v>52</v>
      </c>
      <c r="P715" t="s">
        <v>52</v>
      </c>
      <c r="Q715" t="s">
        <v>197</v>
      </c>
      <c r="R715" t="s">
        <v>53</v>
      </c>
      <c r="S715" t="s">
        <v>116</v>
      </c>
      <c r="T715" t="s">
        <v>198</v>
      </c>
      <c r="U715" t="s">
        <v>108</v>
      </c>
    </row>
    <row r="716" spans="1:21" x14ac:dyDescent="0.3">
      <c r="A716" t="s">
        <v>421</v>
      </c>
      <c r="B716" t="s">
        <v>421</v>
      </c>
      <c r="C716" t="s">
        <v>194</v>
      </c>
      <c r="D716">
        <v>1</v>
      </c>
      <c r="E716" t="s">
        <v>107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422</v>
      </c>
      <c r="L716" t="s">
        <v>423</v>
      </c>
      <c r="M716">
        <v>33</v>
      </c>
      <c r="N716">
        <v>18700</v>
      </c>
      <c r="O716" t="s">
        <v>52</v>
      </c>
      <c r="P716" t="s">
        <v>52</v>
      </c>
      <c r="Q716" t="s">
        <v>197</v>
      </c>
      <c r="R716" t="s">
        <v>53</v>
      </c>
      <c r="S716" t="s">
        <v>116</v>
      </c>
      <c r="T716" t="s">
        <v>198</v>
      </c>
      <c r="U716" t="s">
        <v>108</v>
      </c>
    </row>
    <row r="717" spans="1:21" x14ac:dyDescent="0.3">
      <c r="A717" t="s">
        <v>421</v>
      </c>
      <c r="B717" t="s">
        <v>421</v>
      </c>
      <c r="C717" t="s">
        <v>194</v>
      </c>
      <c r="D717">
        <v>1</v>
      </c>
      <c r="E717" t="s">
        <v>107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424</v>
      </c>
      <c r="L717" t="s">
        <v>423</v>
      </c>
      <c r="M717">
        <v>33</v>
      </c>
      <c r="N717">
        <v>18700</v>
      </c>
      <c r="O717" t="s">
        <v>52</v>
      </c>
      <c r="P717" t="s">
        <v>52</v>
      </c>
      <c r="Q717" t="s">
        <v>197</v>
      </c>
      <c r="R717" t="s">
        <v>53</v>
      </c>
      <c r="S717" t="s">
        <v>116</v>
      </c>
      <c r="T717" t="s">
        <v>198</v>
      </c>
      <c r="U717" t="s">
        <v>108</v>
      </c>
    </row>
    <row r="718" spans="1:21" x14ac:dyDescent="0.3">
      <c r="A718" t="s">
        <v>421</v>
      </c>
      <c r="B718" t="s">
        <v>421</v>
      </c>
      <c r="C718" t="s">
        <v>194</v>
      </c>
      <c r="D718">
        <v>1</v>
      </c>
      <c r="E718" t="s">
        <v>107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425</v>
      </c>
      <c r="L718" t="s">
        <v>423</v>
      </c>
      <c r="M718">
        <v>33</v>
      </c>
      <c r="N718">
        <v>18700</v>
      </c>
      <c r="O718" t="s">
        <v>52</v>
      </c>
      <c r="P718" t="s">
        <v>52</v>
      </c>
      <c r="Q718" t="s">
        <v>197</v>
      </c>
      <c r="R718" t="s">
        <v>53</v>
      </c>
      <c r="S718" t="s">
        <v>116</v>
      </c>
      <c r="T718" t="s">
        <v>198</v>
      </c>
      <c r="U718" t="s">
        <v>108</v>
      </c>
    </row>
    <row r="719" spans="1:21" x14ac:dyDescent="0.3">
      <c r="A719" t="s">
        <v>421</v>
      </c>
      <c r="B719" t="s">
        <v>421</v>
      </c>
      <c r="C719" t="s">
        <v>194</v>
      </c>
      <c r="D719">
        <v>1</v>
      </c>
      <c r="E719" t="s">
        <v>107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426</v>
      </c>
      <c r="L719" t="s">
        <v>423</v>
      </c>
      <c r="M719">
        <v>33</v>
      </c>
      <c r="N719">
        <v>18700</v>
      </c>
      <c r="O719" t="s">
        <v>52</v>
      </c>
      <c r="P719" t="s">
        <v>52</v>
      </c>
      <c r="Q719" t="s">
        <v>197</v>
      </c>
      <c r="R719" t="s">
        <v>53</v>
      </c>
      <c r="S719" t="s">
        <v>116</v>
      </c>
      <c r="T719" t="s">
        <v>198</v>
      </c>
      <c r="U719" t="s">
        <v>108</v>
      </c>
    </row>
    <row r="720" spans="1:21" x14ac:dyDescent="0.3">
      <c r="A720" t="s">
        <v>421</v>
      </c>
      <c r="B720" t="s">
        <v>421</v>
      </c>
      <c r="C720" t="s">
        <v>194</v>
      </c>
      <c r="D720">
        <v>2</v>
      </c>
      <c r="E720" t="s">
        <v>118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424</v>
      </c>
      <c r="L720" t="s">
        <v>423</v>
      </c>
      <c r="M720">
        <v>33</v>
      </c>
      <c r="N720">
        <v>18700</v>
      </c>
      <c r="O720" t="s">
        <v>52</v>
      </c>
      <c r="P720" t="s">
        <v>52</v>
      </c>
      <c r="Q720" t="s">
        <v>197</v>
      </c>
      <c r="R720" t="s">
        <v>53</v>
      </c>
      <c r="S720" t="s">
        <v>116</v>
      </c>
      <c r="T720" t="s">
        <v>198</v>
      </c>
      <c r="U720" t="s">
        <v>108</v>
      </c>
    </row>
    <row r="721" spans="1:21" x14ac:dyDescent="0.3">
      <c r="A721" t="s">
        <v>421</v>
      </c>
      <c r="B721" t="s">
        <v>421</v>
      </c>
      <c r="C721" t="s">
        <v>194</v>
      </c>
      <c r="D721">
        <v>2</v>
      </c>
      <c r="E721" t="s">
        <v>118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425</v>
      </c>
      <c r="L721" t="s">
        <v>423</v>
      </c>
      <c r="M721">
        <v>33</v>
      </c>
      <c r="N721">
        <v>18700</v>
      </c>
      <c r="O721" t="s">
        <v>52</v>
      </c>
      <c r="P721" t="s">
        <v>52</v>
      </c>
      <c r="Q721" t="s">
        <v>197</v>
      </c>
      <c r="R721" t="s">
        <v>53</v>
      </c>
      <c r="S721" t="s">
        <v>116</v>
      </c>
      <c r="T721" t="s">
        <v>198</v>
      </c>
      <c r="U721" t="s">
        <v>108</v>
      </c>
    </row>
    <row r="722" spans="1:21" x14ac:dyDescent="0.3">
      <c r="A722" t="s">
        <v>421</v>
      </c>
      <c r="B722" t="s">
        <v>421</v>
      </c>
      <c r="C722" t="s">
        <v>194</v>
      </c>
      <c r="D722">
        <v>2</v>
      </c>
      <c r="E722" t="s">
        <v>118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426</v>
      </c>
      <c r="L722" t="s">
        <v>423</v>
      </c>
      <c r="M722">
        <v>33</v>
      </c>
      <c r="N722">
        <v>18700</v>
      </c>
      <c r="O722" t="s">
        <v>52</v>
      </c>
      <c r="P722" t="s">
        <v>52</v>
      </c>
      <c r="Q722" t="s">
        <v>197</v>
      </c>
      <c r="R722" t="s">
        <v>53</v>
      </c>
      <c r="S722" t="s">
        <v>116</v>
      </c>
      <c r="T722" t="s">
        <v>198</v>
      </c>
      <c r="U722" t="s">
        <v>108</v>
      </c>
    </row>
    <row r="723" spans="1:21" x14ac:dyDescent="0.3">
      <c r="A723" t="s">
        <v>421</v>
      </c>
      <c r="B723" t="s">
        <v>421</v>
      </c>
      <c r="C723" t="s">
        <v>194</v>
      </c>
      <c r="D723">
        <v>2</v>
      </c>
      <c r="E723" t="s">
        <v>118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422</v>
      </c>
      <c r="L723" t="s">
        <v>423</v>
      </c>
      <c r="M723">
        <v>33</v>
      </c>
      <c r="N723">
        <v>18700</v>
      </c>
      <c r="O723" t="s">
        <v>52</v>
      </c>
      <c r="P723" t="s">
        <v>52</v>
      </c>
      <c r="Q723" t="s">
        <v>197</v>
      </c>
      <c r="R723" t="s">
        <v>53</v>
      </c>
      <c r="S723" t="s">
        <v>116</v>
      </c>
      <c r="T723" t="s">
        <v>198</v>
      </c>
      <c r="U723" t="s">
        <v>108</v>
      </c>
    </row>
    <row r="724" spans="1:21" x14ac:dyDescent="0.3">
      <c r="A724" t="s">
        <v>421</v>
      </c>
      <c r="B724" t="s">
        <v>421</v>
      </c>
      <c r="C724" t="s">
        <v>194</v>
      </c>
      <c r="D724">
        <v>3</v>
      </c>
      <c r="E724" t="s">
        <v>105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426</v>
      </c>
      <c r="L724" t="s">
        <v>423</v>
      </c>
      <c r="M724">
        <v>33</v>
      </c>
      <c r="N724">
        <v>18700</v>
      </c>
      <c r="O724" t="s">
        <v>52</v>
      </c>
      <c r="P724" t="s">
        <v>52</v>
      </c>
      <c r="Q724" t="s">
        <v>197</v>
      </c>
      <c r="R724" t="s">
        <v>53</v>
      </c>
      <c r="S724" t="s">
        <v>116</v>
      </c>
      <c r="T724" t="s">
        <v>198</v>
      </c>
      <c r="U724" t="s">
        <v>108</v>
      </c>
    </row>
    <row r="725" spans="1:21" x14ac:dyDescent="0.3">
      <c r="A725" t="s">
        <v>421</v>
      </c>
      <c r="B725" t="s">
        <v>421</v>
      </c>
      <c r="C725" t="s">
        <v>194</v>
      </c>
      <c r="D725">
        <v>3</v>
      </c>
      <c r="E725" t="s">
        <v>105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424</v>
      </c>
      <c r="L725" t="s">
        <v>423</v>
      </c>
      <c r="M725">
        <v>33</v>
      </c>
      <c r="N725">
        <v>18700</v>
      </c>
      <c r="O725" t="s">
        <v>52</v>
      </c>
      <c r="P725" t="s">
        <v>52</v>
      </c>
      <c r="Q725" t="s">
        <v>197</v>
      </c>
      <c r="R725" t="s">
        <v>53</v>
      </c>
      <c r="S725" t="s">
        <v>116</v>
      </c>
      <c r="T725" t="s">
        <v>198</v>
      </c>
      <c r="U725" t="s">
        <v>108</v>
      </c>
    </row>
    <row r="726" spans="1:21" x14ac:dyDescent="0.3">
      <c r="A726" t="s">
        <v>421</v>
      </c>
      <c r="B726" t="s">
        <v>421</v>
      </c>
      <c r="C726" t="s">
        <v>194</v>
      </c>
      <c r="D726">
        <v>3</v>
      </c>
      <c r="E726" t="s">
        <v>105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422</v>
      </c>
      <c r="L726" t="s">
        <v>423</v>
      </c>
      <c r="M726">
        <v>33</v>
      </c>
      <c r="N726">
        <v>18700</v>
      </c>
      <c r="O726" t="s">
        <v>52</v>
      </c>
      <c r="P726" t="s">
        <v>52</v>
      </c>
      <c r="Q726" t="s">
        <v>197</v>
      </c>
      <c r="R726" t="s">
        <v>53</v>
      </c>
      <c r="S726" t="s">
        <v>116</v>
      </c>
      <c r="T726" t="s">
        <v>198</v>
      </c>
      <c r="U726" t="s">
        <v>108</v>
      </c>
    </row>
    <row r="727" spans="1:21" x14ac:dyDescent="0.3">
      <c r="A727" t="s">
        <v>421</v>
      </c>
      <c r="B727" t="s">
        <v>421</v>
      </c>
      <c r="C727" t="s">
        <v>194</v>
      </c>
      <c r="D727">
        <v>3</v>
      </c>
      <c r="E727" t="s">
        <v>105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425</v>
      </c>
      <c r="L727" t="s">
        <v>423</v>
      </c>
      <c r="M727">
        <v>33</v>
      </c>
      <c r="N727">
        <v>18700</v>
      </c>
      <c r="O727" t="s">
        <v>52</v>
      </c>
      <c r="P727" t="s">
        <v>52</v>
      </c>
      <c r="Q727" t="s">
        <v>197</v>
      </c>
      <c r="R727" t="s">
        <v>53</v>
      </c>
      <c r="S727" t="s">
        <v>116</v>
      </c>
      <c r="T727" t="s">
        <v>198</v>
      </c>
      <c r="U727" t="s">
        <v>108</v>
      </c>
    </row>
    <row r="728" spans="1:21" x14ac:dyDescent="0.3">
      <c r="A728" t="s">
        <v>421</v>
      </c>
      <c r="B728" t="s">
        <v>421</v>
      </c>
      <c r="C728" t="s">
        <v>194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425</v>
      </c>
      <c r="L728" t="s">
        <v>423</v>
      </c>
      <c r="M728">
        <v>33</v>
      </c>
      <c r="N728">
        <v>18700</v>
      </c>
      <c r="O728" t="s">
        <v>52</v>
      </c>
      <c r="P728" t="s">
        <v>52</v>
      </c>
      <c r="Q728" t="s">
        <v>197</v>
      </c>
      <c r="R728" t="s">
        <v>53</v>
      </c>
      <c r="S728" t="s">
        <v>116</v>
      </c>
      <c r="T728" t="s">
        <v>198</v>
      </c>
      <c r="U728" t="s">
        <v>108</v>
      </c>
    </row>
    <row r="729" spans="1:21" x14ac:dyDescent="0.3">
      <c r="A729" t="s">
        <v>421</v>
      </c>
      <c r="B729" t="s">
        <v>421</v>
      </c>
      <c r="C729" t="s">
        <v>194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424</v>
      </c>
      <c r="L729" t="s">
        <v>423</v>
      </c>
      <c r="M729">
        <v>33</v>
      </c>
      <c r="N729">
        <v>18700</v>
      </c>
      <c r="O729" t="s">
        <v>52</v>
      </c>
      <c r="P729" t="s">
        <v>52</v>
      </c>
      <c r="Q729" t="s">
        <v>197</v>
      </c>
      <c r="R729" t="s">
        <v>53</v>
      </c>
      <c r="S729" t="s">
        <v>116</v>
      </c>
      <c r="T729" t="s">
        <v>198</v>
      </c>
      <c r="U729" t="s">
        <v>108</v>
      </c>
    </row>
    <row r="730" spans="1:21" x14ac:dyDescent="0.3">
      <c r="A730" t="s">
        <v>421</v>
      </c>
      <c r="B730" t="s">
        <v>421</v>
      </c>
      <c r="C730" t="s">
        <v>194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422</v>
      </c>
      <c r="L730" t="s">
        <v>423</v>
      </c>
      <c r="M730">
        <v>33</v>
      </c>
      <c r="N730">
        <v>18700</v>
      </c>
      <c r="O730" t="s">
        <v>52</v>
      </c>
      <c r="P730" t="s">
        <v>52</v>
      </c>
      <c r="Q730" t="s">
        <v>197</v>
      </c>
      <c r="R730" t="s">
        <v>53</v>
      </c>
      <c r="S730" t="s">
        <v>116</v>
      </c>
      <c r="T730" t="s">
        <v>198</v>
      </c>
      <c r="U730" t="s">
        <v>108</v>
      </c>
    </row>
    <row r="731" spans="1:21" x14ac:dyDescent="0.3">
      <c r="A731" t="s">
        <v>421</v>
      </c>
      <c r="B731" t="s">
        <v>421</v>
      </c>
      <c r="C731" t="s">
        <v>194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426</v>
      </c>
      <c r="L731" t="s">
        <v>423</v>
      </c>
      <c r="M731">
        <v>33</v>
      </c>
      <c r="N731">
        <v>18700</v>
      </c>
      <c r="O731" t="s">
        <v>52</v>
      </c>
      <c r="P731" t="s">
        <v>52</v>
      </c>
      <c r="Q731" t="s">
        <v>197</v>
      </c>
      <c r="R731" t="s">
        <v>53</v>
      </c>
      <c r="S731" t="s">
        <v>116</v>
      </c>
      <c r="T731" t="s">
        <v>198</v>
      </c>
      <c r="U731" t="s">
        <v>108</v>
      </c>
    </row>
    <row r="732" spans="1:21" x14ac:dyDescent="0.3">
      <c r="A732" t="s">
        <v>421</v>
      </c>
      <c r="B732" t="s">
        <v>421</v>
      </c>
      <c r="C732" t="s">
        <v>194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426</v>
      </c>
      <c r="L732" t="s">
        <v>423</v>
      </c>
      <c r="M732">
        <v>33</v>
      </c>
      <c r="N732">
        <v>18700</v>
      </c>
      <c r="O732" t="s">
        <v>52</v>
      </c>
      <c r="P732" t="s">
        <v>52</v>
      </c>
      <c r="Q732" t="s">
        <v>197</v>
      </c>
      <c r="R732" t="s">
        <v>53</v>
      </c>
      <c r="S732" t="s">
        <v>116</v>
      </c>
      <c r="T732" t="s">
        <v>198</v>
      </c>
      <c r="U732" t="s">
        <v>108</v>
      </c>
    </row>
    <row r="733" spans="1:21" x14ac:dyDescent="0.3">
      <c r="A733" t="s">
        <v>421</v>
      </c>
      <c r="B733" t="s">
        <v>421</v>
      </c>
      <c r="C733" t="s">
        <v>194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425</v>
      </c>
      <c r="L733" t="s">
        <v>423</v>
      </c>
      <c r="M733">
        <v>33</v>
      </c>
      <c r="N733">
        <v>18700</v>
      </c>
      <c r="O733" t="s">
        <v>52</v>
      </c>
      <c r="P733" t="s">
        <v>52</v>
      </c>
      <c r="Q733" t="s">
        <v>197</v>
      </c>
      <c r="R733" t="s">
        <v>53</v>
      </c>
      <c r="S733" t="s">
        <v>116</v>
      </c>
      <c r="T733" t="s">
        <v>198</v>
      </c>
      <c r="U733" t="s">
        <v>108</v>
      </c>
    </row>
    <row r="734" spans="1:21" x14ac:dyDescent="0.3">
      <c r="A734" t="s">
        <v>421</v>
      </c>
      <c r="B734" t="s">
        <v>421</v>
      </c>
      <c r="C734" t="s">
        <v>194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422</v>
      </c>
      <c r="L734" t="s">
        <v>423</v>
      </c>
      <c r="M734">
        <v>33</v>
      </c>
      <c r="N734">
        <v>18700</v>
      </c>
      <c r="O734" t="s">
        <v>52</v>
      </c>
      <c r="P734" t="s">
        <v>52</v>
      </c>
      <c r="Q734" t="s">
        <v>197</v>
      </c>
      <c r="R734" t="s">
        <v>53</v>
      </c>
      <c r="S734" t="s">
        <v>116</v>
      </c>
      <c r="T734" t="s">
        <v>198</v>
      </c>
      <c r="U734" t="s">
        <v>108</v>
      </c>
    </row>
    <row r="735" spans="1:21" x14ac:dyDescent="0.3">
      <c r="A735" t="s">
        <v>421</v>
      </c>
      <c r="B735" t="s">
        <v>421</v>
      </c>
      <c r="C735" t="s">
        <v>194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424</v>
      </c>
      <c r="L735" t="s">
        <v>423</v>
      </c>
      <c r="M735">
        <v>33</v>
      </c>
      <c r="N735">
        <v>18700</v>
      </c>
      <c r="O735" t="s">
        <v>52</v>
      </c>
      <c r="P735" t="s">
        <v>52</v>
      </c>
      <c r="Q735" t="s">
        <v>197</v>
      </c>
      <c r="R735" t="s">
        <v>53</v>
      </c>
      <c r="S735" t="s">
        <v>116</v>
      </c>
      <c r="T735" t="s">
        <v>198</v>
      </c>
      <c r="U735" t="s">
        <v>108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735"/>
  <sheetViews>
    <sheetView workbookViewId="0">
      <selection activeCell="F1" sqref="F1:F1048576"/>
    </sheetView>
  </sheetViews>
  <sheetFormatPr baseColWidth="10" defaultRowHeight="14.4" x14ac:dyDescent="0.3"/>
  <cols>
    <col min="1" max="1" width="14.44140625" bestFit="1" customWidth="1"/>
    <col min="2" max="2" width="22.88671875" style="1" bestFit="1" customWidth="1"/>
    <col min="3" max="3" width="48" bestFit="1" customWidth="1"/>
    <col min="4" max="4" width="10.6640625" bestFit="1" customWidth="1"/>
    <col min="5" max="6" width="15.88671875" bestFit="1" customWidth="1"/>
    <col min="7" max="7" width="13" bestFit="1" customWidth="1"/>
    <col min="8" max="8" width="12.6640625" bestFit="1" customWidth="1"/>
    <col min="9" max="9" width="58.44140625" bestFit="1" customWidth="1"/>
    <col min="10" max="10" width="18.6640625" bestFit="1" customWidth="1"/>
    <col min="11" max="11" width="61.88671875" bestFit="1" customWidth="1"/>
    <col min="12" max="12" width="19.5546875" bestFit="1" customWidth="1"/>
    <col min="13" max="13" width="23.33203125" bestFit="1" customWidth="1"/>
    <col min="14" max="14" width="11.33203125" bestFit="1" customWidth="1"/>
    <col min="15" max="15" width="16.6640625" bestFit="1" customWidth="1"/>
    <col min="16" max="16" width="17.88671875" bestFit="1" customWidth="1"/>
    <col min="17" max="17" width="13.6640625" bestFit="1" customWidth="1"/>
    <col min="18" max="18" width="15.33203125" bestFit="1" customWidth="1"/>
    <col min="19" max="19" width="18.109375" bestFit="1" customWidth="1"/>
    <col min="20" max="20" width="16.88671875" bestFit="1" customWidth="1"/>
    <col min="21" max="21" width="23.5546875" bestFit="1" customWidth="1"/>
  </cols>
  <sheetData>
    <row r="1" spans="1:21" s="2" customFormat="1" x14ac:dyDescent="0.3">
      <c r="A1" s="55" t="s">
        <v>29</v>
      </c>
      <c r="B1" s="55" t="s">
        <v>1</v>
      </c>
      <c r="C1" s="55" t="s">
        <v>30</v>
      </c>
      <c r="D1" s="55" t="s">
        <v>31</v>
      </c>
      <c r="E1" s="55" t="s">
        <v>32</v>
      </c>
      <c r="F1" s="55" t="s">
        <v>33</v>
      </c>
      <c r="G1" s="55" t="s">
        <v>34</v>
      </c>
      <c r="H1" s="55" t="s">
        <v>35</v>
      </c>
      <c r="I1" s="55" t="s">
        <v>36</v>
      </c>
      <c r="J1" s="55" t="s">
        <v>37</v>
      </c>
      <c r="K1" s="55" t="s">
        <v>38</v>
      </c>
      <c r="L1" s="55" t="s">
        <v>39</v>
      </c>
      <c r="M1" s="55" t="s">
        <v>40</v>
      </c>
      <c r="N1" s="55" t="s">
        <v>41</v>
      </c>
      <c r="O1" s="55" t="s">
        <v>42</v>
      </c>
      <c r="P1" s="55" t="s">
        <v>43</v>
      </c>
      <c r="Q1" s="55" t="s">
        <v>44</v>
      </c>
      <c r="R1" s="55" t="s">
        <v>45</v>
      </c>
      <c r="S1" s="55" t="s">
        <v>46</v>
      </c>
      <c r="T1" s="55" t="s">
        <v>47</v>
      </c>
      <c r="U1" s="55" t="s">
        <v>48</v>
      </c>
    </row>
    <row r="2" spans="1:21" x14ac:dyDescent="0.3">
      <c r="A2" t="s">
        <v>150</v>
      </c>
      <c r="B2" t="s">
        <v>150</v>
      </c>
      <c r="C2" t="s">
        <v>194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195</v>
      </c>
      <c r="L2" t="s">
        <v>196</v>
      </c>
      <c r="M2">
        <v>33</v>
      </c>
      <c r="N2">
        <v>6305</v>
      </c>
      <c r="O2" t="s">
        <v>52</v>
      </c>
      <c r="P2" t="s">
        <v>52</v>
      </c>
      <c r="Q2" t="s">
        <v>197</v>
      </c>
      <c r="R2" t="s">
        <v>53</v>
      </c>
      <c r="S2" t="s">
        <v>116</v>
      </c>
      <c r="T2" t="s">
        <v>198</v>
      </c>
      <c r="U2" t="s">
        <v>108</v>
      </c>
    </row>
    <row r="3" spans="1:21" x14ac:dyDescent="0.3">
      <c r="A3" t="s">
        <v>151</v>
      </c>
      <c r="B3" t="s">
        <v>151</v>
      </c>
      <c r="C3" t="s">
        <v>194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199</v>
      </c>
      <c r="L3" t="s">
        <v>200</v>
      </c>
      <c r="M3">
        <v>33</v>
      </c>
      <c r="N3">
        <v>6796</v>
      </c>
      <c r="O3" t="s">
        <v>52</v>
      </c>
      <c r="P3" t="s">
        <v>52</v>
      </c>
      <c r="Q3" t="s">
        <v>197</v>
      </c>
      <c r="R3" t="s">
        <v>53</v>
      </c>
      <c r="S3" t="s">
        <v>116</v>
      </c>
      <c r="T3" t="s">
        <v>198</v>
      </c>
      <c r="U3" t="s">
        <v>108</v>
      </c>
    </row>
    <row r="4" spans="1:21" x14ac:dyDescent="0.3">
      <c r="A4" t="s">
        <v>152</v>
      </c>
      <c r="B4" t="s">
        <v>152</v>
      </c>
      <c r="C4" t="s">
        <v>194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201</v>
      </c>
      <c r="L4" t="s">
        <v>202</v>
      </c>
      <c r="M4">
        <v>33</v>
      </c>
      <c r="N4">
        <v>6939</v>
      </c>
      <c r="O4" t="s">
        <v>52</v>
      </c>
      <c r="P4" t="s">
        <v>52</v>
      </c>
      <c r="Q4" t="s">
        <v>197</v>
      </c>
      <c r="R4" t="s">
        <v>53</v>
      </c>
      <c r="S4" t="s">
        <v>116</v>
      </c>
      <c r="T4" t="s">
        <v>198</v>
      </c>
      <c r="U4" t="s">
        <v>108</v>
      </c>
    </row>
    <row r="5" spans="1:21" x14ac:dyDescent="0.3">
      <c r="A5" t="s">
        <v>153</v>
      </c>
      <c r="B5" t="s">
        <v>153</v>
      </c>
      <c r="C5" t="s">
        <v>194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203</v>
      </c>
      <c r="L5" t="s">
        <v>204</v>
      </c>
      <c r="M5">
        <v>33</v>
      </c>
      <c r="N5">
        <v>7194</v>
      </c>
      <c r="O5" t="s">
        <v>52</v>
      </c>
      <c r="P5" t="s">
        <v>52</v>
      </c>
      <c r="Q5" t="s">
        <v>197</v>
      </c>
      <c r="R5" t="s">
        <v>53</v>
      </c>
      <c r="S5" t="s">
        <v>116</v>
      </c>
      <c r="T5" t="s">
        <v>198</v>
      </c>
      <c r="U5" t="s">
        <v>108</v>
      </c>
    </row>
    <row r="6" spans="1:21" x14ac:dyDescent="0.3">
      <c r="A6" t="s">
        <v>182</v>
      </c>
      <c r="B6" t="s">
        <v>182</v>
      </c>
      <c r="C6" t="s">
        <v>194</v>
      </c>
      <c r="D6">
        <v>1</v>
      </c>
      <c r="E6" t="s">
        <v>107</v>
      </c>
      <c r="F6">
        <v>1.4618800000000001</v>
      </c>
      <c r="G6">
        <v>66.900000000000006</v>
      </c>
      <c r="H6">
        <v>98</v>
      </c>
      <c r="I6" t="s">
        <v>117</v>
      </c>
      <c r="J6" t="s">
        <v>51</v>
      </c>
      <c r="K6" t="s">
        <v>205</v>
      </c>
      <c r="L6" t="s">
        <v>206</v>
      </c>
      <c r="M6">
        <v>33</v>
      </c>
      <c r="O6" t="s">
        <v>52</v>
      </c>
      <c r="P6" t="s">
        <v>52</v>
      </c>
      <c r="Q6" t="s">
        <v>197</v>
      </c>
      <c r="R6" t="s">
        <v>53</v>
      </c>
      <c r="S6" t="s">
        <v>116</v>
      </c>
      <c r="T6" t="s">
        <v>198</v>
      </c>
      <c r="U6" t="s">
        <v>108</v>
      </c>
    </row>
    <row r="7" spans="1:21" x14ac:dyDescent="0.3">
      <c r="A7" t="s">
        <v>182</v>
      </c>
      <c r="B7" t="s">
        <v>182</v>
      </c>
      <c r="C7" t="s">
        <v>194</v>
      </c>
      <c r="D7">
        <v>1</v>
      </c>
      <c r="E7" t="s">
        <v>107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207</v>
      </c>
      <c r="L7" t="s">
        <v>208</v>
      </c>
      <c r="M7">
        <v>33</v>
      </c>
      <c r="N7">
        <v>7513</v>
      </c>
      <c r="O7" t="s">
        <v>52</v>
      </c>
      <c r="P7" t="s">
        <v>52</v>
      </c>
      <c r="Q7" t="s">
        <v>197</v>
      </c>
      <c r="R7" t="s">
        <v>53</v>
      </c>
      <c r="S7" t="s">
        <v>116</v>
      </c>
      <c r="T7" t="s">
        <v>198</v>
      </c>
      <c r="U7" t="s">
        <v>108</v>
      </c>
    </row>
    <row r="8" spans="1:21" x14ac:dyDescent="0.3">
      <c r="A8" t="s">
        <v>182</v>
      </c>
      <c r="B8" t="s">
        <v>182</v>
      </c>
      <c r="C8" t="s">
        <v>194</v>
      </c>
      <c r="D8">
        <v>2</v>
      </c>
      <c r="E8" t="s">
        <v>118</v>
      </c>
      <c r="F8">
        <v>9.3880000000000005E-3</v>
      </c>
      <c r="G8">
        <v>69.013999999999996</v>
      </c>
      <c r="H8">
        <v>1</v>
      </c>
      <c r="I8" t="s">
        <v>117</v>
      </c>
      <c r="J8" t="s">
        <v>51</v>
      </c>
      <c r="K8" t="s">
        <v>205</v>
      </c>
      <c r="L8" t="s">
        <v>206</v>
      </c>
      <c r="M8">
        <v>33</v>
      </c>
      <c r="O8" t="s">
        <v>52</v>
      </c>
      <c r="P8" t="s">
        <v>52</v>
      </c>
      <c r="Q8" t="s">
        <v>197</v>
      </c>
      <c r="R8" t="s">
        <v>53</v>
      </c>
      <c r="S8" t="s">
        <v>116</v>
      </c>
      <c r="T8" t="s">
        <v>198</v>
      </c>
      <c r="U8" t="s">
        <v>108</v>
      </c>
    </row>
    <row r="9" spans="1:21" x14ac:dyDescent="0.3">
      <c r="A9" t="s">
        <v>182</v>
      </c>
      <c r="B9" t="s">
        <v>182</v>
      </c>
      <c r="C9" t="s">
        <v>194</v>
      </c>
      <c r="D9">
        <v>2</v>
      </c>
      <c r="E9" t="s">
        <v>118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207</v>
      </c>
      <c r="L9" t="s">
        <v>208</v>
      </c>
      <c r="M9">
        <v>33</v>
      </c>
      <c r="N9">
        <v>7513</v>
      </c>
      <c r="O9" t="s">
        <v>52</v>
      </c>
      <c r="P9" t="s">
        <v>52</v>
      </c>
      <c r="Q9" t="s">
        <v>197</v>
      </c>
      <c r="R9" t="s">
        <v>53</v>
      </c>
      <c r="S9" t="s">
        <v>116</v>
      </c>
      <c r="T9" t="s">
        <v>198</v>
      </c>
      <c r="U9" t="s">
        <v>108</v>
      </c>
    </row>
    <row r="10" spans="1:21" x14ac:dyDescent="0.3">
      <c r="A10" t="s">
        <v>182</v>
      </c>
      <c r="B10" t="s">
        <v>182</v>
      </c>
      <c r="C10" t="s">
        <v>194</v>
      </c>
      <c r="D10">
        <v>3</v>
      </c>
      <c r="E10" t="s">
        <v>105</v>
      </c>
      <c r="F10">
        <v>0.45372099999999999</v>
      </c>
      <c r="G10">
        <v>63.27</v>
      </c>
      <c r="H10">
        <v>29</v>
      </c>
      <c r="I10" t="s">
        <v>117</v>
      </c>
      <c r="J10" t="s">
        <v>51</v>
      </c>
      <c r="K10" t="s">
        <v>205</v>
      </c>
      <c r="L10" t="s">
        <v>206</v>
      </c>
      <c r="M10">
        <v>33</v>
      </c>
      <c r="O10" t="s">
        <v>52</v>
      </c>
      <c r="P10" t="s">
        <v>52</v>
      </c>
      <c r="Q10" t="s">
        <v>197</v>
      </c>
      <c r="R10" t="s">
        <v>53</v>
      </c>
      <c r="S10" t="s">
        <v>116</v>
      </c>
      <c r="T10" t="s">
        <v>198</v>
      </c>
      <c r="U10" t="s">
        <v>108</v>
      </c>
    </row>
    <row r="11" spans="1:21" x14ac:dyDescent="0.3">
      <c r="A11" t="s">
        <v>182</v>
      </c>
      <c r="B11" t="s">
        <v>182</v>
      </c>
      <c r="C11" t="s">
        <v>194</v>
      </c>
      <c r="D11">
        <v>3</v>
      </c>
      <c r="E11" t="s">
        <v>105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207</v>
      </c>
      <c r="L11" t="s">
        <v>208</v>
      </c>
      <c r="M11">
        <v>33</v>
      </c>
      <c r="N11">
        <v>7513</v>
      </c>
      <c r="O11" t="s">
        <v>52</v>
      </c>
      <c r="P11" t="s">
        <v>52</v>
      </c>
      <c r="Q11" t="s">
        <v>197</v>
      </c>
      <c r="R11" t="s">
        <v>53</v>
      </c>
      <c r="S11" t="s">
        <v>116</v>
      </c>
      <c r="T11" t="s">
        <v>198</v>
      </c>
      <c r="U11" t="s">
        <v>108</v>
      </c>
    </row>
    <row r="12" spans="1:21" x14ac:dyDescent="0.3">
      <c r="A12" t="s">
        <v>182</v>
      </c>
      <c r="B12" t="s">
        <v>182</v>
      </c>
      <c r="C12" t="s">
        <v>194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117</v>
      </c>
      <c r="J12" t="s">
        <v>51</v>
      </c>
      <c r="K12" t="s">
        <v>205</v>
      </c>
      <c r="L12" t="s">
        <v>206</v>
      </c>
      <c r="M12">
        <v>33</v>
      </c>
      <c r="O12" t="s">
        <v>52</v>
      </c>
      <c r="P12" t="s">
        <v>52</v>
      </c>
      <c r="Q12" t="s">
        <v>197</v>
      </c>
      <c r="R12" t="s">
        <v>53</v>
      </c>
      <c r="S12" t="s">
        <v>116</v>
      </c>
      <c r="T12" t="s">
        <v>198</v>
      </c>
      <c r="U12" t="s">
        <v>108</v>
      </c>
    </row>
    <row r="13" spans="1:21" x14ac:dyDescent="0.3">
      <c r="A13" t="s">
        <v>182</v>
      </c>
      <c r="B13" t="s">
        <v>182</v>
      </c>
      <c r="C13" t="s">
        <v>194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207</v>
      </c>
      <c r="L13" t="s">
        <v>208</v>
      </c>
      <c r="M13">
        <v>33</v>
      </c>
      <c r="N13">
        <v>7513</v>
      </c>
      <c r="O13" t="s">
        <v>52</v>
      </c>
      <c r="P13" t="s">
        <v>52</v>
      </c>
      <c r="Q13" t="s">
        <v>197</v>
      </c>
      <c r="R13" t="s">
        <v>53</v>
      </c>
      <c r="S13" t="s">
        <v>116</v>
      </c>
      <c r="T13" t="s">
        <v>198</v>
      </c>
      <c r="U13" t="s">
        <v>108</v>
      </c>
    </row>
    <row r="14" spans="1:21" x14ac:dyDescent="0.3">
      <c r="A14" t="s">
        <v>182</v>
      </c>
      <c r="B14" t="s">
        <v>182</v>
      </c>
      <c r="C14" t="s">
        <v>194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207</v>
      </c>
      <c r="L14" t="s">
        <v>208</v>
      </c>
      <c r="M14">
        <v>33</v>
      </c>
      <c r="N14">
        <v>7513</v>
      </c>
      <c r="O14" t="s">
        <v>52</v>
      </c>
      <c r="P14" t="s">
        <v>52</v>
      </c>
      <c r="Q14" t="s">
        <v>197</v>
      </c>
      <c r="R14" t="s">
        <v>53</v>
      </c>
      <c r="S14" t="s">
        <v>116</v>
      </c>
      <c r="T14" t="s">
        <v>198</v>
      </c>
      <c r="U14" t="s">
        <v>108</v>
      </c>
    </row>
    <row r="15" spans="1:21" x14ac:dyDescent="0.3">
      <c r="A15" t="s">
        <v>182</v>
      </c>
      <c r="B15" t="s">
        <v>182</v>
      </c>
      <c r="C15" t="s">
        <v>194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117</v>
      </c>
      <c r="J15" t="s">
        <v>51</v>
      </c>
      <c r="K15" t="s">
        <v>205</v>
      </c>
      <c r="L15" t="s">
        <v>206</v>
      </c>
      <c r="M15">
        <v>33</v>
      </c>
      <c r="O15" t="s">
        <v>52</v>
      </c>
      <c r="P15" t="s">
        <v>52</v>
      </c>
      <c r="Q15" t="s">
        <v>197</v>
      </c>
      <c r="R15" t="s">
        <v>53</v>
      </c>
      <c r="S15" t="s">
        <v>116</v>
      </c>
      <c r="T15" t="s">
        <v>198</v>
      </c>
      <c r="U15" t="s">
        <v>108</v>
      </c>
    </row>
    <row r="16" spans="1:21" x14ac:dyDescent="0.3">
      <c r="A16" t="s">
        <v>184</v>
      </c>
      <c r="B16" t="s">
        <v>184</v>
      </c>
      <c r="C16" t="s">
        <v>194</v>
      </c>
      <c r="D16">
        <v>1</v>
      </c>
      <c r="E16" t="s">
        <v>107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209</v>
      </c>
      <c r="L16" t="s">
        <v>210</v>
      </c>
      <c r="M16">
        <v>33</v>
      </c>
      <c r="N16">
        <v>7798</v>
      </c>
      <c r="O16" t="s">
        <v>52</v>
      </c>
      <c r="P16" t="s">
        <v>52</v>
      </c>
      <c r="Q16" t="s">
        <v>197</v>
      </c>
      <c r="R16" t="s">
        <v>53</v>
      </c>
      <c r="S16" t="s">
        <v>116</v>
      </c>
      <c r="T16" t="s">
        <v>198</v>
      </c>
      <c r="U16" t="s">
        <v>108</v>
      </c>
    </row>
    <row r="17" spans="1:21" x14ac:dyDescent="0.3">
      <c r="A17" t="s">
        <v>184</v>
      </c>
      <c r="B17" t="s">
        <v>184</v>
      </c>
      <c r="C17" t="s">
        <v>194</v>
      </c>
      <c r="D17">
        <v>1</v>
      </c>
      <c r="E17" t="s">
        <v>107</v>
      </c>
      <c r="F17">
        <v>0.23349</v>
      </c>
      <c r="G17">
        <v>66.900000000000006</v>
      </c>
      <c r="H17">
        <v>16</v>
      </c>
      <c r="I17" t="s">
        <v>117</v>
      </c>
      <c r="J17" t="s">
        <v>51</v>
      </c>
      <c r="K17" t="s">
        <v>211</v>
      </c>
      <c r="L17" t="s">
        <v>212</v>
      </c>
      <c r="M17">
        <v>61</v>
      </c>
      <c r="O17" t="s">
        <v>52</v>
      </c>
      <c r="P17" t="s">
        <v>52</v>
      </c>
      <c r="Q17" t="s">
        <v>197</v>
      </c>
      <c r="R17" t="s">
        <v>53</v>
      </c>
      <c r="S17" t="s">
        <v>116</v>
      </c>
      <c r="T17" t="s">
        <v>198</v>
      </c>
      <c r="U17" t="s">
        <v>108</v>
      </c>
    </row>
    <row r="18" spans="1:21" x14ac:dyDescent="0.3">
      <c r="A18" t="s">
        <v>184</v>
      </c>
      <c r="B18" t="s">
        <v>184</v>
      </c>
      <c r="C18" t="s">
        <v>194</v>
      </c>
      <c r="D18">
        <v>2</v>
      </c>
      <c r="E18" t="s">
        <v>118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209</v>
      </c>
      <c r="L18" t="s">
        <v>210</v>
      </c>
      <c r="M18">
        <v>33</v>
      </c>
      <c r="N18">
        <v>7798</v>
      </c>
      <c r="O18" t="s">
        <v>52</v>
      </c>
      <c r="P18" t="s">
        <v>52</v>
      </c>
      <c r="Q18" t="s">
        <v>197</v>
      </c>
      <c r="R18" t="s">
        <v>53</v>
      </c>
      <c r="S18" t="s">
        <v>116</v>
      </c>
      <c r="T18" t="s">
        <v>198</v>
      </c>
      <c r="U18" t="s">
        <v>108</v>
      </c>
    </row>
    <row r="19" spans="1:21" x14ac:dyDescent="0.3">
      <c r="A19" t="s">
        <v>184</v>
      </c>
      <c r="B19" t="s">
        <v>184</v>
      </c>
      <c r="C19" t="s">
        <v>194</v>
      </c>
      <c r="D19">
        <v>3</v>
      </c>
      <c r="E19" t="s">
        <v>105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209</v>
      </c>
      <c r="L19" t="s">
        <v>210</v>
      </c>
      <c r="M19">
        <v>33</v>
      </c>
      <c r="N19">
        <v>7798</v>
      </c>
      <c r="O19" t="s">
        <v>52</v>
      </c>
      <c r="P19" t="s">
        <v>52</v>
      </c>
      <c r="Q19" t="s">
        <v>197</v>
      </c>
      <c r="R19" t="s">
        <v>53</v>
      </c>
      <c r="S19" t="s">
        <v>116</v>
      </c>
      <c r="T19" t="s">
        <v>198</v>
      </c>
      <c r="U19" t="s">
        <v>108</v>
      </c>
    </row>
    <row r="20" spans="1:21" x14ac:dyDescent="0.3">
      <c r="A20" t="s">
        <v>184</v>
      </c>
      <c r="B20" t="s">
        <v>184</v>
      </c>
      <c r="C20" t="s">
        <v>194</v>
      </c>
      <c r="D20">
        <v>3</v>
      </c>
      <c r="E20" t="s">
        <v>105</v>
      </c>
      <c r="F20">
        <v>7.2089E-2</v>
      </c>
      <c r="G20">
        <v>63.27</v>
      </c>
      <c r="H20">
        <v>5</v>
      </c>
      <c r="I20" t="s">
        <v>117</v>
      </c>
      <c r="J20" t="s">
        <v>51</v>
      </c>
      <c r="K20" t="s">
        <v>211</v>
      </c>
      <c r="L20" t="s">
        <v>212</v>
      </c>
      <c r="M20">
        <v>61</v>
      </c>
      <c r="O20" t="s">
        <v>52</v>
      </c>
      <c r="P20" t="s">
        <v>52</v>
      </c>
      <c r="Q20" t="s">
        <v>197</v>
      </c>
      <c r="R20" t="s">
        <v>53</v>
      </c>
      <c r="S20" t="s">
        <v>116</v>
      </c>
      <c r="T20" t="s">
        <v>198</v>
      </c>
      <c r="U20" t="s">
        <v>108</v>
      </c>
    </row>
    <row r="21" spans="1:21" x14ac:dyDescent="0.3">
      <c r="A21" t="s">
        <v>184</v>
      </c>
      <c r="B21" t="s">
        <v>184</v>
      </c>
      <c r="C21" t="s">
        <v>194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117</v>
      </c>
      <c r="J21" t="s">
        <v>51</v>
      </c>
      <c r="K21" t="s">
        <v>211</v>
      </c>
      <c r="L21" t="s">
        <v>212</v>
      </c>
      <c r="M21">
        <v>61</v>
      </c>
      <c r="O21" t="s">
        <v>52</v>
      </c>
      <c r="P21" t="s">
        <v>52</v>
      </c>
      <c r="Q21" t="s">
        <v>197</v>
      </c>
      <c r="R21" t="s">
        <v>53</v>
      </c>
      <c r="S21" t="s">
        <v>116</v>
      </c>
      <c r="T21" t="s">
        <v>198</v>
      </c>
      <c r="U21" t="s">
        <v>108</v>
      </c>
    </row>
    <row r="22" spans="1:21" x14ac:dyDescent="0.3">
      <c r="A22" t="s">
        <v>184</v>
      </c>
      <c r="B22" t="s">
        <v>184</v>
      </c>
      <c r="C22" t="s">
        <v>194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209</v>
      </c>
      <c r="L22" t="s">
        <v>210</v>
      </c>
      <c r="M22">
        <v>33</v>
      </c>
      <c r="N22">
        <v>7798</v>
      </c>
      <c r="O22" t="s">
        <v>52</v>
      </c>
      <c r="P22" t="s">
        <v>52</v>
      </c>
      <c r="Q22" t="s">
        <v>197</v>
      </c>
      <c r="R22" t="s">
        <v>53</v>
      </c>
      <c r="S22" t="s">
        <v>116</v>
      </c>
      <c r="T22" t="s">
        <v>198</v>
      </c>
      <c r="U22" t="s">
        <v>108</v>
      </c>
    </row>
    <row r="23" spans="1:21" x14ac:dyDescent="0.3">
      <c r="A23" t="s">
        <v>184</v>
      </c>
      <c r="B23" t="s">
        <v>184</v>
      </c>
      <c r="C23" t="s">
        <v>194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209</v>
      </c>
      <c r="L23" t="s">
        <v>210</v>
      </c>
      <c r="M23">
        <v>33</v>
      </c>
      <c r="N23">
        <v>7798</v>
      </c>
      <c r="O23" t="s">
        <v>52</v>
      </c>
      <c r="P23" t="s">
        <v>52</v>
      </c>
      <c r="Q23" t="s">
        <v>197</v>
      </c>
      <c r="R23" t="s">
        <v>53</v>
      </c>
      <c r="S23" t="s">
        <v>116</v>
      </c>
      <c r="T23" t="s">
        <v>198</v>
      </c>
      <c r="U23" t="s">
        <v>108</v>
      </c>
    </row>
    <row r="24" spans="1:21" x14ac:dyDescent="0.3">
      <c r="A24" t="s">
        <v>186</v>
      </c>
      <c r="B24" t="s">
        <v>186</v>
      </c>
      <c r="C24" t="s">
        <v>194</v>
      </c>
      <c r="D24">
        <v>1</v>
      </c>
      <c r="E24" t="s">
        <v>107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213</v>
      </c>
      <c r="L24" t="s">
        <v>214</v>
      </c>
      <c r="M24">
        <v>33</v>
      </c>
      <c r="N24">
        <v>8389</v>
      </c>
      <c r="O24" t="s">
        <v>52</v>
      </c>
      <c r="P24" t="s">
        <v>52</v>
      </c>
      <c r="Q24" t="s">
        <v>197</v>
      </c>
      <c r="R24" t="s">
        <v>53</v>
      </c>
      <c r="S24" t="s">
        <v>116</v>
      </c>
      <c r="T24" t="s">
        <v>198</v>
      </c>
      <c r="U24" t="s">
        <v>108</v>
      </c>
    </row>
    <row r="25" spans="1:21" x14ac:dyDescent="0.3">
      <c r="A25" t="s">
        <v>186</v>
      </c>
      <c r="B25" t="s">
        <v>186</v>
      </c>
      <c r="C25" t="s">
        <v>194</v>
      </c>
      <c r="D25">
        <v>1</v>
      </c>
      <c r="E25" t="s">
        <v>107</v>
      </c>
      <c r="F25">
        <v>0.58060900000000004</v>
      </c>
      <c r="G25">
        <v>66.900000000000006</v>
      </c>
      <c r="H25">
        <v>39</v>
      </c>
      <c r="I25" t="s">
        <v>117</v>
      </c>
      <c r="J25" t="s">
        <v>51</v>
      </c>
      <c r="K25" t="s">
        <v>215</v>
      </c>
      <c r="L25" t="s">
        <v>216</v>
      </c>
      <c r="M25">
        <v>33</v>
      </c>
      <c r="O25" t="s">
        <v>52</v>
      </c>
      <c r="P25" t="s">
        <v>52</v>
      </c>
      <c r="Q25" t="s">
        <v>197</v>
      </c>
      <c r="R25" t="s">
        <v>53</v>
      </c>
      <c r="S25" t="s">
        <v>116</v>
      </c>
      <c r="T25" t="s">
        <v>198</v>
      </c>
      <c r="U25" t="s">
        <v>108</v>
      </c>
    </row>
    <row r="26" spans="1:21" x14ac:dyDescent="0.3">
      <c r="A26" t="s">
        <v>186</v>
      </c>
      <c r="B26" t="s">
        <v>186</v>
      </c>
      <c r="C26" t="s">
        <v>194</v>
      </c>
      <c r="D26">
        <v>2</v>
      </c>
      <c r="E26" t="s">
        <v>118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213</v>
      </c>
      <c r="L26" t="s">
        <v>214</v>
      </c>
      <c r="M26">
        <v>33</v>
      </c>
      <c r="N26">
        <v>8389</v>
      </c>
      <c r="O26" t="s">
        <v>52</v>
      </c>
      <c r="P26" t="s">
        <v>52</v>
      </c>
      <c r="Q26" t="s">
        <v>197</v>
      </c>
      <c r="R26" t="s">
        <v>53</v>
      </c>
      <c r="S26" t="s">
        <v>116</v>
      </c>
      <c r="T26" t="s">
        <v>198</v>
      </c>
      <c r="U26" t="s">
        <v>108</v>
      </c>
    </row>
    <row r="27" spans="1:21" x14ac:dyDescent="0.3">
      <c r="A27" t="s">
        <v>186</v>
      </c>
      <c r="B27" t="s">
        <v>186</v>
      </c>
      <c r="C27" t="s">
        <v>194</v>
      </c>
      <c r="D27">
        <v>3</v>
      </c>
      <c r="E27" t="s">
        <v>105</v>
      </c>
      <c r="F27">
        <v>0.17821799999999999</v>
      </c>
      <c r="G27">
        <v>63.27</v>
      </c>
      <c r="H27">
        <v>11</v>
      </c>
      <c r="I27" t="s">
        <v>117</v>
      </c>
      <c r="J27" t="s">
        <v>51</v>
      </c>
      <c r="K27" t="s">
        <v>215</v>
      </c>
      <c r="L27" t="s">
        <v>216</v>
      </c>
      <c r="M27">
        <v>33</v>
      </c>
      <c r="O27" t="s">
        <v>52</v>
      </c>
      <c r="P27" t="s">
        <v>52</v>
      </c>
      <c r="Q27" t="s">
        <v>197</v>
      </c>
      <c r="R27" t="s">
        <v>53</v>
      </c>
      <c r="S27" t="s">
        <v>116</v>
      </c>
      <c r="T27" t="s">
        <v>198</v>
      </c>
      <c r="U27" t="s">
        <v>108</v>
      </c>
    </row>
    <row r="28" spans="1:21" x14ac:dyDescent="0.3">
      <c r="A28" t="s">
        <v>186</v>
      </c>
      <c r="B28" t="s">
        <v>186</v>
      </c>
      <c r="C28" t="s">
        <v>194</v>
      </c>
      <c r="D28">
        <v>3</v>
      </c>
      <c r="E28" t="s">
        <v>105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213</v>
      </c>
      <c r="L28" t="s">
        <v>214</v>
      </c>
      <c r="M28">
        <v>33</v>
      </c>
      <c r="N28">
        <v>8389</v>
      </c>
      <c r="O28" t="s">
        <v>52</v>
      </c>
      <c r="P28" t="s">
        <v>52</v>
      </c>
      <c r="Q28" t="s">
        <v>197</v>
      </c>
      <c r="R28" t="s">
        <v>53</v>
      </c>
      <c r="S28" t="s">
        <v>116</v>
      </c>
      <c r="T28" t="s">
        <v>198</v>
      </c>
      <c r="U28" t="s">
        <v>108</v>
      </c>
    </row>
    <row r="29" spans="1:21" x14ac:dyDescent="0.3">
      <c r="A29" t="s">
        <v>186</v>
      </c>
      <c r="B29" t="s">
        <v>186</v>
      </c>
      <c r="C29" t="s">
        <v>194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213</v>
      </c>
      <c r="L29" t="s">
        <v>214</v>
      </c>
      <c r="M29">
        <v>33</v>
      </c>
      <c r="N29">
        <v>8389</v>
      </c>
      <c r="O29" t="s">
        <v>52</v>
      </c>
      <c r="P29" t="s">
        <v>52</v>
      </c>
      <c r="Q29" t="s">
        <v>197</v>
      </c>
      <c r="R29" t="s">
        <v>53</v>
      </c>
      <c r="S29" t="s">
        <v>116</v>
      </c>
      <c r="T29" t="s">
        <v>198</v>
      </c>
      <c r="U29" t="s">
        <v>108</v>
      </c>
    </row>
    <row r="30" spans="1:21" x14ac:dyDescent="0.3">
      <c r="A30" t="s">
        <v>186</v>
      </c>
      <c r="B30" t="s">
        <v>186</v>
      </c>
      <c r="C30" t="s">
        <v>194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117</v>
      </c>
      <c r="J30" t="s">
        <v>51</v>
      </c>
      <c r="K30" t="s">
        <v>215</v>
      </c>
      <c r="L30" t="s">
        <v>216</v>
      </c>
      <c r="M30">
        <v>33</v>
      </c>
      <c r="O30" t="s">
        <v>52</v>
      </c>
      <c r="P30" t="s">
        <v>52</v>
      </c>
      <c r="Q30" t="s">
        <v>197</v>
      </c>
      <c r="R30" t="s">
        <v>53</v>
      </c>
      <c r="S30" t="s">
        <v>116</v>
      </c>
      <c r="T30" t="s">
        <v>198</v>
      </c>
      <c r="U30" t="s">
        <v>108</v>
      </c>
    </row>
    <row r="31" spans="1:21" x14ac:dyDescent="0.3">
      <c r="A31" t="s">
        <v>186</v>
      </c>
      <c r="B31" t="s">
        <v>186</v>
      </c>
      <c r="C31" t="s">
        <v>194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213</v>
      </c>
      <c r="L31" t="s">
        <v>214</v>
      </c>
      <c r="M31">
        <v>33</v>
      </c>
      <c r="N31">
        <v>8389</v>
      </c>
      <c r="O31" t="s">
        <v>52</v>
      </c>
      <c r="P31" t="s">
        <v>52</v>
      </c>
      <c r="Q31" t="s">
        <v>197</v>
      </c>
      <c r="R31" t="s">
        <v>53</v>
      </c>
      <c r="S31" t="s">
        <v>116</v>
      </c>
      <c r="T31" t="s">
        <v>198</v>
      </c>
      <c r="U31" t="s">
        <v>108</v>
      </c>
    </row>
    <row r="32" spans="1:21" x14ac:dyDescent="0.3">
      <c r="A32" t="s">
        <v>187</v>
      </c>
      <c r="B32" t="s">
        <v>187</v>
      </c>
      <c r="C32" t="s">
        <v>194</v>
      </c>
      <c r="D32">
        <v>1</v>
      </c>
      <c r="E32" t="s">
        <v>107</v>
      </c>
      <c r="F32">
        <v>1</v>
      </c>
      <c r="G32">
        <v>-1091</v>
      </c>
      <c r="H32">
        <v>-1091</v>
      </c>
      <c r="I32" t="s">
        <v>117</v>
      </c>
      <c r="J32" t="s">
        <v>51</v>
      </c>
      <c r="K32" t="s">
        <v>217</v>
      </c>
      <c r="L32" t="s">
        <v>218</v>
      </c>
      <c r="M32">
        <v>61</v>
      </c>
      <c r="O32" t="s">
        <v>52</v>
      </c>
      <c r="P32" t="s">
        <v>52</v>
      </c>
      <c r="Q32" t="s">
        <v>197</v>
      </c>
      <c r="R32" t="s">
        <v>53</v>
      </c>
      <c r="S32" t="s">
        <v>116</v>
      </c>
      <c r="T32" t="s">
        <v>198</v>
      </c>
      <c r="U32" t="s">
        <v>108</v>
      </c>
    </row>
    <row r="33" spans="1:21" x14ac:dyDescent="0.3">
      <c r="A33" t="s">
        <v>187</v>
      </c>
      <c r="B33" t="s">
        <v>187</v>
      </c>
      <c r="C33" t="s">
        <v>194</v>
      </c>
      <c r="D33">
        <v>1</v>
      </c>
      <c r="E33" t="s">
        <v>107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219</v>
      </c>
      <c r="L33" t="s">
        <v>216</v>
      </c>
      <c r="M33">
        <v>33</v>
      </c>
      <c r="N33">
        <v>8451</v>
      </c>
      <c r="O33" t="s">
        <v>52</v>
      </c>
      <c r="P33" t="s">
        <v>52</v>
      </c>
      <c r="Q33" t="s">
        <v>197</v>
      </c>
      <c r="R33" t="s">
        <v>53</v>
      </c>
      <c r="S33" t="s">
        <v>116</v>
      </c>
      <c r="T33" t="s">
        <v>198</v>
      </c>
      <c r="U33" t="s">
        <v>108</v>
      </c>
    </row>
    <row r="34" spans="1:21" x14ac:dyDescent="0.3">
      <c r="A34" t="s">
        <v>187</v>
      </c>
      <c r="B34" t="s">
        <v>187</v>
      </c>
      <c r="C34" t="s">
        <v>194</v>
      </c>
      <c r="D34">
        <v>1</v>
      </c>
      <c r="E34" t="s">
        <v>107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220</v>
      </c>
      <c r="L34" t="s">
        <v>216</v>
      </c>
      <c r="M34">
        <v>33</v>
      </c>
      <c r="N34">
        <v>8451</v>
      </c>
      <c r="O34" t="s">
        <v>52</v>
      </c>
      <c r="P34" t="s">
        <v>52</v>
      </c>
      <c r="Q34" t="s">
        <v>197</v>
      </c>
      <c r="R34" t="s">
        <v>53</v>
      </c>
      <c r="S34" t="s">
        <v>116</v>
      </c>
      <c r="T34" t="s">
        <v>198</v>
      </c>
      <c r="U34" t="s">
        <v>108</v>
      </c>
    </row>
    <row r="35" spans="1:21" x14ac:dyDescent="0.3">
      <c r="A35" t="s">
        <v>187</v>
      </c>
      <c r="B35" t="s">
        <v>187</v>
      </c>
      <c r="C35" t="s">
        <v>194</v>
      </c>
      <c r="D35">
        <v>1</v>
      </c>
      <c r="E35" t="s">
        <v>107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221</v>
      </c>
      <c r="L35" t="s">
        <v>216</v>
      </c>
      <c r="M35">
        <v>33</v>
      </c>
      <c r="N35">
        <v>8451</v>
      </c>
      <c r="O35" t="s">
        <v>52</v>
      </c>
      <c r="P35" t="s">
        <v>52</v>
      </c>
      <c r="Q35" t="s">
        <v>197</v>
      </c>
      <c r="R35" t="s">
        <v>53</v>
      </c>
      <c r="S35" t="s">
        <v>116</v>
      </c>
      <c r="T35" t="s">
        <v>198</v>
      </c>
      <c r="U35" t="s">
        <v>108</v>
      </c>
    </row>
    <row r="36" spans="1:21" x14ac:dyDescent="0.3">
      <c r="A36" t="s">
        <v>187</v>
      </c>
      <c r="B36" t="s">
        <v>187</v>
      </c>
      <c r="C36" t="s">
        <v>194</v>
      </c>
      <c r="D36">
        <v>1</v>
      </c>
      <c r="E36" t="s">
        <v>107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222</v>
      </c>
      <c r="L36" t="s">
        <v>216</v>
      </c>
      <c r="M36">
        <v>33</v>
      </c>
      <c r="N36">
        <v>8451</v>
      </c>
      <c r="O36" t="s">
        <v>52</v>
      </c>
      <c r="P36" t="s">
        <v>52</v>
      </c>
      <c r="Q36" t="s">
        <v>197</v>
      </c>
      <c r="R36" t="s">
        <v>53</v>
      </c>
      <c r="S36" t="s">
        <v>116</v>
      </c>
      <c r="T36" t="s">
        <v>198</v>
      </c>
      <c r="U36" t="s">
        <v>108</v>
      </c>
    </row>
    <row r="37" spans="1:21" x14ac:dyDescent="0.3">
      <c r="A37" t="s">
        <v>187</v>
      </c>
      <c r="B37" t="s">
        <v>187</v>
      </c>
      <c r="C37" t="s">
        <v>194</v>
      </c>
      <c r="D37">
        <v>2</v>
      </c>
      <c r="E37" t="s">
        <v>118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219</v>
      </c>
      <c r="L37" t="s">
        <v>216</v>
      </c>
      <c r="M37">
        <v>33</v>
      </c>
      <c r="N37">
        <v>8451</v>
      </c>
      <c r="O37" t="s">
        <v>52</v>
      </c>
      <c r="P37" t="s">
        <v>52</v>
      </c>
      <c r="Q37" t="s">
        <v>197</v>
      </c>
      <c r="R37" t="s">
        <v>53</v>
      </c>
      <c r="S37" t="s">
        <v>116</v>
      </c>
      <c r="T37" t="s">
        <v>198</v>
      </c>
      <c r="U37" t="s">
        <v>108</v>
      </c>
    </row>
    <row r="38" spans="1:21" x14ac:dyDescent="0.3">
      <c r="A38" t="s">
        <v>187</v>
      </c>
      <c r="B38" t="s">
        <v>187</v>
      </c>
      <c r="C38" t="s">
        <v>194</v>
      </c>
      <c r="D38">
        <v>2</v>
      </c>
      <c r="E38" t="s">
        <v>118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221</v>
      </c>
      <c r="L38" t="s">
        <v>216</v>
      </c>
      <c r="M38">
        <v>33</v>
      </c>
      <c r="N38">
        <v>8451</v>
      </c>
      <c r="O38" t="s">
        <v>52</v>
      </c>
      <c r="P38" t="s">
        <v>52</v>
      </c>
      <c r="Q38" t="s">
        <v>197</v>
      </c>
      <c r="R38" t="s">
        <v>53</v>
      </c>
      <c r="S38" t="s">
        <v>116</v>
      </c>
      <c r="T38" t="s">
        <v>198</v>
      </c>
      <c r="U38" t="s">
        <v>108</v>
      </c>
    </row>
    <row r="39" spans="1:21" x14ac:dyDescent="0.3">
      <c r="A39" t="s">
        <v>187</v>
      </c>
      <c r="B39" t="s">
        <v>187</v>
      </c>
      <c r="C39" t="s">
        <v>194</v>
      </c>
      <c r="D39">
        <v>2</v>
      </c>
      <c r="E39" t="s">
        <v>118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220</v>
      </c>
      <c r="L39" t="s">
        <v>216</v>
      </c>
      <c r="M39">
        <v>33</v>
      </c>
      <c r="N39">
        <v>8451</v>
      </c>
      <c r="O39" t="s">
        <v>52</v>
      </c>
      <c r="P39" t="s">
        <v>52</v>
      </c>
      <c r="Q39" t="s">
        <v>197</v>
      </c>
      <c r="R39" t="s">
        <v>53</v>
      </c>
      <c r="S39" t="s">
        <v>116</v>
      </c>
      <c r="T39" t="s">
        <v>198</v>
      </c>
      <c r="U39" t="s">
        <v>108</v>
      </c>
    </row>
    <row r="40" spans="1:21" x14ac:dyDescent="0.3">
      <c r="A40" t="s">
        <v>187</v>
      </c>
      <c r="B40" t="s">
        <v>187</v>
      </c>
      <c r="C40" t="s">
        <v>194</v>
      </c>
      <c r="D40">
        <v>2</v>
      </c>
      <c r="E40" t="s">
        <v>118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222</v>
      </c>
      <c r="L40" t="s">
        <v>216</v>
      </c>
      <c r="M40">
        <v>33</v>
      </c>
      <c r="N40">
        <v>8451</v>
      </c>
      <c r="O40" t="s">
        <v>52</v>
      </c>
      <c r="P40" t="s">
        <v>52</v>
      </c>
      <c r="Q40" t="s">
        <v>197</v>
      </c>
      <c r="R40" t="s">
        <v>53</v>
      </c>
      <c r="S40" t="s">
        <v>116</v>
      </c>
      <c r="T40" t="s">
        <v>198</v>
      </c>
      <c r="U40" t="s">
        <v>108</v>
      </c>
    </row>
    <row r="41" spans="1:21" x14ac:dyDescent="0.3">
      <c r="A41" t="s">
        <v>187</v>
      </c>
      <c r="B41" t="s">
        <v>187</v>
      </c>
      <c r="C41" t="s">
        <v>194</v>
      </c>
      <c r="D41">
        <v>2</v>
      </c>
      <c r="E41" t="s">
        <v>118</v>
      </c>
      <c r="F41">
        <v>1</v>
      </c>
      <c r="G41">
        <v>-8</v>
      </c>
      <c r="H41">
        <v>-8</v>
      </c>
      <c r="I41" t="s">
        <v>117</v>
      </c>
      <c r="J41" t="s">
        <v>51</v>
      </c>
      <c r="K41" t="s">
        <v>217</v>
      </c>
      <c r="L41" t="s">
        <v>218</v>
      </c>
      <c r="M41">
        <v>61</v>
      </c>
      <c r="O41" t="s">
        <v>52</v>
      </c>
      <c r="P41" t="s">
        <v>52</v>
      </c>
      <c r="Q41" t="s">
        <v>197</v>
      </c>
      <c r="R41" t="s">
        <v>53</v>
      </c>
      <c r="S41" t="s">
        <v>116</v>
      </c>
      <c r="T41" t="s">
        <v>198</v>
      </c>
      <c r="U41" t="s">
        <v>108</v>
      </c>
    </row>
    <row r="42" spans="1:21" x14ac:dyDescent="0.3">
      <c r="A42" t="s">
        <v>187</v>
      </c>
      <c r="B42" t="s">
        <v>187</v>
      </c>
      <c r="C42" t="s">
        <v>194</v>
      </c>
      <c r="D42">
        <v>3</v>
      </c>
      <c r="E42" t="s">
        <v>105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220</v>
      </c>
      <c r="L42" t="s">
        <v>216</v>
      </c>
      <c r="M42">
        <v>33</v>
      </c>
      <c r="N42">
        <v>8451</v>
      </c>
      <c r="O42" t="s">
        <v>52</v>
      </c>
      <c r="P42" t="s">
        <v>52</v>
      </c>
      <c r="Q42" t="s">
        <v>197</v>
      </c>
      <c r="R42" t="s">
        <v>53</v>
      </c>
      <c r="S42" t="s">
        <v>116</v>
      </c>
      <c r="T42" t="s">
        <v>198</v>
      </c>
      <c r="U42" t="s">
        <v>108</v>
      </c>
    </row>
    <row r="43" spans="1:21" x14ac:dyDescent="0.3">
      <c r="A43" t="s">
        <v>187</v>
      </c>
      <c r="B43" t="s">
        <v>187</v>
      </c>
      <c r="C43" t="s">
        <v>194</v>
      </c>
      <c r="D43">
        <v>3</v>
      </c>
      <c r="E43" t="s">
        <v>105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221</v>
      </c>
      <c r="L43" t="s">
        <v>216</v>
      </c>
      <c r="M43">
        <v>33</v>
      </c>
      <c r="N43">
        <v>8451</v>
      </c>
      <c r="O43" t="s">
        <v>52</v>
      </c>
      <c r="P43" t="s">
        <v>52</v>
      </c>
      <c r="Q43" t="s">
        <v>197</v>
      </c>
      <c r="R43" t="s">
        <v>53</v>
      </c>
      <c r="S43" t="s">
        <v>116</v>
      </c>
      <c r="T43" t="s">
        <v>198</v>
      </c>
      <c r="U43" t="s">
        <v>108</v>
      </c>
    </row>
    <row r="44" spans="1:21" x14ac:dyDescent="0.3">
      <c r="A44" t="s">
        <v>187</v>
      </c>
      <c r="B44" t="s">
        <v>187</v>
      </c>
      <c r="C44" t="s">
        <v>194</v>
      </c>
      <c r="D44">
        <v>3</v>
      </c>
      <c r="E44" t="s">
        <v>105</v>
      </c>
      <c r="F44">
        <v>1</v>
      </c>
      <c r="G44">
        <v>-327</v>
      </c>
      <c r="H44">
        <v>-327</v>
      </c>
      <c r="I44" t="s">
        <v>117</v>
      </c>
      <c r="J44" t="s">
        <v>51</v>
      </c>
      <c r="K44" t="s">
        <v>217</v>
      </c>
      <c r="L44" t="s">
        <v>218</v>
      </c>
      <c r="M44">
        <v>61</v>
      </c>
      <c r="O44" t="s">
        <v>52</v>
      </c>
      <c r="P44" t="s">
        <v>52</v>
      </c>
      <c r="Q44" t="s">
        <v>197</v>
      </c>
      <c r="R44" t="s">
        <v>53</v>
      </c>
      <c r="S44" t="s">
        <v>116</v>
      </c>
      <c r="T44" t="s">
        <v>198</v>
      </c>
      <c r="U44" t="s">
        <v>108</v>
      </c>
    </row>
    <row r="45" spans="1:21" x14ac:dyDescent="0.3">
      <c r="A45" t="s">
        <v>187</v>
      </c>
      <c r="B45" t="s">
        <v>187</v>
      </c>
      <c r="C45" t="s">
        <v>194</v>
      </c>
      <c r="D45">
        <v>3</v>
      </c>
      <c r="E45" t="s">
        <v>105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219</v>
      </c>
      <c r="L45" t="s">
        <v>216</v>
      </c>
      <c r="M45">
        <v>33</v>
      </c>
      <c r="N45">
        <v>8451</v>
      </c>
      <c r="O45" t="s">
        <v>52</v>
      </c>
      <c r="P45" t="s">
        <v>52</v>
      </c>
      <c r="Q45" t="s">
        <v>197</v>
      </c>
      <c r="R45" t="s">
        <v>53</v>
      </c>
      <c r="S45" t="s">
        <v>116</v>
      </c>
      <c r="T45" t="s">
        <v>198</v>
      </c>
      <c r="U45" t="s">
        <v>108</v>
      </c>
    </row>
    <row r="46" spans="1:21" x14ac:dyDescent="0.3">
      <c r="A46" t="s">
        <v>187</v>
      </c>
      <c r="B46" t="s">
        <v>187</v>
      </c>
      <c r="C46" t="s">
        <v>194</v>
      </c>
      <c r="D46">
        <v>3</v>
      </c>
      <c r="E46" t="s">
        <v>105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222</v>
      </c>
      <c r="L46" t="s">
        <v>216</v>
      </c>
      <c r="M46">
        <v>33</v>
      </c>
      <c r="N46">
        <v>8451</v>
      </c>
      <c r="O46" t="s">
        <v>52</v>
      </c>
      <c r="P46" t="s">
        <v>52</v>
      </c>
      <c r="Q46" t="s">
        <v>197</v>
      </c>
      <c r="R46" t="s">
        <v>53</v>
      </c>
      <c r="S46" t="s">
        <v>116</v>
      </c>
      <c r="T46" t="s">
        <v>198</v>
      </c>
      <c r="U46" t="s">
        <v>108</v>
      </c>
    </row>
    <row r="47" spans="1:21" x14ac:dyDescent="0.3">
      <c r="A47" t="s">
        <v>187</v>
      </c>
      <c r="B47" t="s">
        <v>187</v>
      </c>
      <c r="C47" t="s">
        <v>194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117</v>
      </c>
      <c r="J47" t="s">
        <v>51</v>
      </c>
      <c r="K47" t="s">
        <v>217</v>
      </c>
      <c r="L47" t="s">
        <v>218</v>
      </c>
      <c r="M47">
        <v>61</v>
      </c>
      <c r="O47" t="s">
        <v>52</v>
      </c>
      <c r="P47" t="s">
        <v>52</v>
      </c>
      <c r="Q47" t="s">
        <v>197</v>
      </c>
      <c r="R47" t="s">
        <v>53</v>
      </c>
      <c r="S47" t="s">
        <v>116</v>
      </c>
      <c r="T47" t="s">
        <v>198</v>
      </c>
      <c r="U47" t="s">
        <v>108</v>
      </c>
    </row>
    <row r="48" spans="1:21" x14ac:dyDescent="0.3">
      <c r="A48" t="s">
        <v>187</v>
      </c>
      <c r="B48" t="s">
        <v>187</v>
      </c>
      <c r="C48" t="s">
        <v>194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221</v>
      </c>
      <c r="L48" t="s">
        <v>216</v>
      </c>
      <c r="M48">
        <v>33</v>
      </c>
      <c r="N48">
        <v>8451</v>
      </c>
      <c r="O48" t="s">
        <v>52</v>
      </c>
      <c r="P48" t="s">
        <v>52</v>
      </c>
      <c r="Q48" t="s">
        <v>197</v>
      </c>
      <c r="R48" t="s">
        <v>53</v>
      </c>
      <c r="S48" t="s">
        <v>116</v>
      </c>
      <c r="T48" t="s">
        <v>198</v>
      </c>
      <c r="U48" t="s">
        <v>108</v>
      </c>
    </row>
    <row r="49" spans="1:21" x14ac:dyDescent="0.3">
      <c r="A49" t="s">
        <v>187</v>
      </c>
      <c r="B49" t="s">
        <v>187</v>
      </c>
      <c r="C49" t="s">
        <v>194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220</v>
      </c>
      <c r="L49" t="s">
        <v>216</v>
      </c>
      <c r="M49">
        <v>33</v>
      </c>
      <c r="N49">
        <v>8451</v>
      </c>
      <c r="O49" t="s">
        <v>52</v>
      </c>
      <c r="P49" t="s">
        <v>52</v>
      </c>
      <c r="Q49" t="s">
        <v>197</v>
      </c>
      <c r="R49" t="s">
        <v>53</v>
      </c>
      <c r="S49" t="s">
        <v>116</v>
      </c>
      <c r="T49" t="s">
        <v>198</v>
      </c>
      <c r="U49" t="s">
        <v>108</v>
      </c>
    </row>
    <row r="50" spans="1:21" x14ac:dyDescent="0.3">
      <c r="A50" t="s">
        <v>187</v>
      </c>
      <c r="B50" t="s">
        <v>187</v>
      </c>
      <c r="C50" t="s">
        <v>194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219</v>
      </c>
      <c r="L50" t="s">
        <v>216</v>
      </c>
      <c r="M50">
        <v>33</v>
      </c>
      <c r="N50">
        <v>8451</v>
      </c>
      <c r="O50" t="s">
        <v>52</v>
      </c>
      <c r="P50" t="s">
        <v>52</v>
      </c>
      <c r="Q50" t="s">
        <v>197</v>
      </c>
      <c r="R50" t="s">
        <v>53</v>
      </c>
      <c r="S50" t="s">
        <v>116</v>
      </c>
      <c r="T50" t="s">
        <v>198</v>
      </c>
      <c r="U50" t="s">
        <v>108</v>
      </c>
    </row>
    <row r="51" spans="1:21" x14ac:dyDescent="0.3">
      <c r="A51" t="s">
        <v>187</v>
      </c>
      <c r="B51" t="s">
        <v>187</v>
      </c>
      <c r="C51" t="s">
        <v>194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222</v>
      </c>
      <c r="L51" t="s">
        <v>216</v>
      </c>
      <c r="M51">
        <v>33</v>
      </c>
      <c r="N51">
        <v>8451</v>
      </c>
      <c r="O51" t="s">
        <v>52</v>
      </c>
      <c r="P51" t="s">
        <v>52</v>
      </c>
      <c r="Q51" t="s">
        <v>197</v>
      </c>
      <c r="R51" t="s">
        <v>53</v>
      </c>
      <c r="S51" t="s">
        <v>116</v>
      </c>
      <c r="T51" t="s">
        <v>198</v>
      </c>
      <c r="U51" t="s">
        <v>108</v>
      </c>
    </row>
    <row r="52" spans="1:21" x14ac:dyDescent="0.3">
      <c r="A52" t="s">
        <v>187</v>
      </c>
      <c r="B52" t="s">
        <v>187</v>
      </c>
      <c r="C52" t="s">
        <v>194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219</v>
      </c>
      <c r="L52" t="s">
        <v>216</v>
      </c>
      <c r="M52">
        <v>33</v>
      </c>
      <c r="N52">
        <v>8451</v>
      </c>
      <c r="O52" t="s">
        <v>52</v>
      </c>
      <c r="P52" t="s">
        <v>52</v>
      </c>
      <c r="Q52" t="s">
        <v>197</v>
      </c>
      <c r="R52" t="s">
        <v>53</v>
      </c>
      <c r="S52" t="s">
        <v>116</v>
      </c>
      <c r="T52" t="s">
        <v>198</v>
      </c>
      <c r="U52" t="s">
        <v>108</v>
      </c>
    </row>
    <row r="53" spans="1:21" x14ac:dyDescent="0.3">
      <c r="A53" t="s">
        <v>187</v>
      </c>
      <c r="B53" t="s">
        <v>187</v>
      </c>
      <c r="C53" t="s">
        <v>194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221</v>
      </c>
      <c r="L53" t="s">
        <v>216</v>
      </c>
      <c r="M53">
        <v>33</v>
      </c>
      <c r="N53">
        <v>8451</v>
      </c>
      <c r="O53" t="s">
        <v>52</v>
      </c>
      <c r="P53" t="s">
        <v>52</v>
      </c>
      <c r="Q53" t="s">
        <v>197</v>
      </c>
      <c r="R53" t="s">
        <v>53</v>
      </c>
      <c r="S53" t="s">
        <v>116</v>
      </c>
      <c r="T53" t="s">
        <v>198</v>
      </c>
      <c r="U53" t="s">
        <v>108</v>
      </c>
    </row>
    <row r="54" spans="1:21" x14ac:dyDescent="0.3">
      <c r="A54" t="s">
        <v>187</v>
      </c>
      <c r="B54" t="s">
        <v>187</v>
      </c>
      <c r="C54" t="s">
        <v>194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222</v>
      </c>
      <c r="L54" t="s">
        <v>216</v>
      </c>
      <c r="M54">
        <v>33</v>
      </c>
      <c r="N54">
        <v>8451</v>
      </c>
      <c r="O54" t="s">
        <v>52</v>
      </c>
      <c r="P54" t="s">
        <v>52</v>
      </c>
      <c r="Q54" t="s">
        <v>197</v>
      </c>
      <c r="R54" t="s">
        <v>53</v>
      </c>
      <c r="S54" t="s">
        <v>116</v>
      </c>
      <c r="T54" t="s">
        <v>198</v>
      </c>
      <c r="U54" t="s">
        <v>108</v>
      </c>
    </row>
    <row r="55" spans="1:21" x14ac:dyDescent="0.3">
      <c r="A55" t="s">
        <v>187</v>
      </c>
      <c r="B55" t="s">
        <v>187</v>
      </c>
      <c r="C55" t="s">
        <v>194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117</v>
      </c>
      <c r="J55" t="s">
        <v>51</v>
      </c>
      <c r="K55" t="s">
        <v>217</v>
      </c>
      <c r="L55" t="s">
        <v>218</v>
      </c>
      <c r="M55">
        <v>61</v>
      </c>
      <c r="O55" t="s">
        <v>52</v>
      </c>
      <c r="P55" t="s">
        <v>52</v>
      </c>
      <c r="Q55" t="s">
        <v>197</v>
      </c>
      <c r="R55" t="s">
        <v>53</v>
      </c>
      <c r="S55" t="s">
        <v>116</v>
      </c>
      <c r="T55" t="s">
        <v>198</v>
      </c>
      <c r="U55" t="s">
        <v>108</v>
      </c>
    </row>
    <row r="56" spans="1:21" x14ac:dyDescent="0.3">
      <c r="A56" t="s">
        <v>187</v>
      </c>
      <c r="B56" t="s">
        <v>187</v>
      </c>
      <c r="C56" t="s">
        <v>194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220</v>
      </c>
      <c r="L56" t="s">
        <v>216</v>
      </c>
      <c r="M56">
        <v>33</v>
      </c>
      <c r="N56">
        <v>8451</v>
      </c>
      <c r="O56" t="s">
        <v>52</v>
      </c>
      <c r="P56" t="s">
        <v>52</v>
      </c>
      <c r="Q56" t="s">
        <v>197</v>
      </c>
      <c r="R56" t="s">
        <v>53</v>
      </c>
      <c r="S56" t="s">
        <v>116</v>
      </c>
      <c r="T56" t="s">
        <v>198</v>
      </c>
      <c r="U56" t="s">
        <v>108</v>
      </c>
    </row>
    <row r="57" spans="1:21" x14ac:dyDescent="0.3">
      <c r="A57" t="s">
        <v>189</v>
      </c>
      <c r="B57" t="s">
        <v>189</v>
      </c>
      <c r="C57" t="s">
        <v>194</v>
      </c>
      <c r="D57">
        <v>1</v>
      </c>
      <c r="E57" t="s">
        <v>107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223</v>
      </c>
      <c r="L57" t="s">
        <v>224</v>
      </c>
      <c r="M57">
        <v>33</v>
      </c>
      <c r="N57">
        <v>8768</v>
      </c>
      <c r="O57" t="s">
        <v>52</v>
      </c>
      <c r="P57" t="s">
        <v>52</v>
      </c>
      <c r="Q57" t="s">
        <v>197</v>
      </c>
      <c r="R57" t="s">
        <v>53</v>
      </c>
      <c r="S57" t="s">
        <v>116</v>
      </c>
      <c r="T57" t="s">
        <v>198</v>
      </c>
      <c r="U57" t="s">
        <v>108</v>
      </c>
    </row>
    <row r="58" spans="1:21" x14ac:dyDescent="0.3">
      <c r="A58" t="s">
        <v>189</v>
      </c>
      <c r="B58" t="s">
        <v>189</v>
      </c>
      <c r="C58" t="s">
        <v>194</v>
      </c>
      <c r="D58">
        <v>1</v>
      </c>
      <c r="E58" t="s">
        <v>107</v>
      </c>
      <c r="F58">
        <v>1</v>
      </c>
      <c r="G58">
        <v>-337</v>
      </c>
      <c r="H58">
        <v>-337</v>
      </c>
      <c r="I58" t="s">
        <v>117</v>
      </c>
      <c r="J58" t="s">
        <v>51</v>
      </c>
      <c r="K58" t="s">
        <v>225</v>
      </c>
      <c r="L58" t="s">
        <v>226</v>
      </c>
      <c r="M58">
        <v>61</v>
      </c>
      <c r="O58" t="s">
        <v>52</v>
      </c>
      <c r="P58" t="s">
        <v>52</v>
      </c>
      <c r="Q58" t="s">
        <v>197</v>
      </c>
      <c r="R58" t="s">
        <v>53</v>
      </c>
      <c r="S58" t="s">
        <v>116</v>
      </c>
      <c r="T58" t="s">
        <v>198</v>
      </c>
      <c r="U58" t="s">
        <v>108</v>
      </c>
    </row>
    <row r="59" spans="1:21" x14ac:dyDescent="0.3">
      <c r="A59" t="s">
        <v>189</v>
      </c>
      <c r="B59" t="s">
        <v>189</v>
      </c>
      <c r="C59" t="s">
        <v>194</v>
      </c>
      <c r="D59">
        <v>1</v>
      </c>
      <c r="E59" t="s">
        <v>107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227</v>
      </c>
      <c r="L59" t="s">
        <v>224</v>
      </c>
      <c r="M59">
        <v>33</v>
      </c>
      <c r="N59">
        <v>8768</v>
      </c>
      <c r="O59" t="s">
        <v>52</v>
      </c>
      <c r="P59" t="s">
        <v>52</v>
      </c>
      <c r="Q59" t="s">
        <v>197</v>
      </c>
      <c r="R59" t="s">
        <v>53</v>
      </c>
      <c r="S59" t="s">
        <v>116</v>
      </c>
      <c r="T59" t="s">
        <v>198</v>
      </c>
      <c r="U59" t="s">
        <v>108</v>
      </c>
    </row>
    <row r="60" spans="1:21" x14ac:dyDescent="0.3">
      <c r="A60" t="s">
        <v>189</v>
      </c>
      <c r="B60" t="s">
        <v>189</v>
      </c>
      <c r="C60" t="s">
        <v>194</v>
      </c>
      <c r="D60">
        <v>1</v>
      </c>
      <c r="E60" t="s">
        <v>107</v>
      </c>
      <c r="F60">
        <v>1</v>
      </c>
      <c r="G60">
        <v>-4</v>
      </c>
      <c r="H60">
        <v>-4</v>
      </c>
      <c r="I60" t="s">
        <v>119</v>
      </c>
      <c r="J60" t="s">
        <v>58</v>
      </c>
      <c r="K60" t="s">
        <v>228</v>
      </c>
      <c r="L60" t="s">
        <v>226</v>
      </c>
      <c r="M60">
        <v>61</v>
      </c>
      <c r="O60" t="s">
        <v>52</v>
      </c>
      <c r="P60" t="s">
        <v>52</v>
      </c>
      <c r="Q60" t="s">
        <v>197</v>
      </c>
      <c r="R60" t="s">
        <v>53</v>
      </c>
      <c r="S60" t="s">
        <v>116</v>
      </c>
      <c r="T60" t="s">
        <v>198</v>
      </c>
      <c r="U60" t="s">
        <v>108</v>
      </c>
    </row>
    <row r="61" spans="1:21" x14ac:dyDescent="0.3">
      <c r="A61" t="s">
        <v>189</v>
      </c>
      <c r="B61" t="s">
        <v>189</v>
      </c>
      <c r="C61" t="s">
        <v>194</v>
      </c>
      <c r="D61">
        <v>1</v>
      </c>
      <c r="E61" t="s">
        <v>107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229</v>
      </c>
      <c r="L61" t="s">
        <v>224</v>
      </c>
      <c r="M61">
        <v>33</v>
      </c>
      <c r="N61">
        <v>8768</v>
      </c>
      <c r="O61" t="s">
        <v>52</v>
      </c>
      <c r="P61" t="s">
        <v>52</v>
      </c>
      <c r="Q61" t="s">
        <v>197</v>
      </c>
      <c r="R61" t="s">
        <v>53</v>
      </c>
      <c r="S61" t="s">
        <v>116</v>
      </c>
      <c r="T61" t="s">
        <v>198</v>
      </c>
      <c r="U61" t="s">
        <v>108</v>
      </c>
    </row>
    <row r="62" spans="1:21" x14ac:dyDescent="0.3">
      <c r="A62" t="s">
        <v>189</v>
      </c>
      <c r="B62" t="s">
        <v>189</v>
      </c>
      <c r="C62" t="s">
        <v>194</v>
      </c>
      <c r="D62">
        <v>1</v>
      </c>
      <c r="E62" t="s">
        <v>107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230</v>
      </c>
      <c r="L62" t="s">
        <v>224</v>
      </c>
      <c r="M62">
        <v>33</v>
      </c>
      <c r="N62">
        <v>8768</v>
      </c>
      <c r="O62" t="s">
        <v>52</v>
      </c>
      <c r="P62" t="s">
        <v>52</v>
      </c>
      <c r="Q62" t="s">
        <v>197</v>
      </c>
      <c r="R62" t="s">
        <v>53</v>
      </c>
      <c r="S62" t="s">
        <v>116</v>
      </c>
      <c r="T62" t="s">
        <v>198</v>
      </c>
      <c r="U62" t="s">
        <v>108</v>
      </c>
    </row>
    <row r="63" spans="1:21" x14ac:dyDescent="0.3">
      <c r="A63" t="s">
        <v>189</v>
      </c>
      <c r="B63" t="s">
        <v>189</v>
      </c>
      <c r="C63" t="s">
        <v>194</v>
      </c>
      <c r="D63">
        <v>2</v>
      </c>
      <c r="E63" t="s">
        <v>118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223</v>
      </c>
      <c r="L63" t="s">
        <v>224</v>
      </c>
      <c r="M63">
        <v>33</v>
      </c>
      <c r="N63">
        <v>8768</v>
      </c>
      <c r="O63" t="s">
        <v>52</v>
      </c>
      <c r="P63" t="s">
        <v>52</v>
      </c>
      <c r="Q63" t="s">
        <v>197</v>
      </c>
      <c r="R63" t="s">
        <v>53</v>
      </c>
      <c r="S63" t="s">
        <v>116</v>
      </c>
      <c r="T63" t="s">
        <v>198</v>
      </c>
      <c r="U63" t="s">
        <v>108</v>
      </c>
    </row>
    <row r="64" spans="1:21" x14ac:dyDescent="0.3">
      <c r="A64" t="s">
        <v>189</v>
      </c>
      <c r="B64" t="s">
        <v>189</v>
      </c>
      <c r="C64" t="s">
        <v>194</v>
      </c>
      <c r="D64">
        <v>2</v>
      </c>
      <c r="E64" t="s">
        <v>118</v>
      </c>
      <c r="F64">
        <v>1</v>
      </c>
      <c r="G64">
        <v>-2</v>
      </c>
      <c r="H64">
        <v>-2</v>
      </c>
      <c r="I64" t="s">
        <v>117</v>
      </c>
      <c r="J64" t="s">
        <v>51</v>
      </c>
      <c r="K64" t="s">
        <v>225</v>
      </c>
      <c r="L64" t="s">
        <v>226</v>
      </c>
      <c r="M64">
        <v>61</v>
      </c>
      <c r="O64" t="s">
        <v>52</v>
      </c>
      <c r="P64" t="s">
        <v>52</v>
      </c>
      <c r="Q64" t="s">
        <v>197</v>
      </c>
      <c r="R64" t="s">
        <v>53</v>
      </c>
      <c r="S64" t="s">
        <v>116</v>
      </c>
      <c r="T64" t="s">
        <v>198</v>
      </c>
      <c r="U64" t="s">
        <v>108</v>
      </c>
    </row>
    <row r="65" spans="1:21" x14ac:dyDescent="0.3">
      <c r="A65" t="s">
        <v>189</v>
      </c>
      <c r="B65" t="s">
        <v>189</v>
      </c>
      <c r="C65" t="s">
        <v>194</v>
      </c>
      <c r="D65">
        <v>2</v>
      </c>
      <c r="E65" t="s">
        <v>118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229</v>
      </c>
      <c r="L65" t="s">
        <v>224</v>
      </c>
      <c r="M65">
        <v>33</v>
      </c>
      <c r="N65">
        <v>8768</v>
      </c>
      <c r="O65" t="s">
        <v>52</v>
      </c>
      <c r="P65" t="s">
        <v>52</v>
      </c>
      <c r="Q65" t="s">
        <v>197</v>
      </c>
      <c r="R65" t="s">
        <v>53</v>
      </c>
      <c r="S65" t="s">
        <v>116</v>
      </c>
      <c r="T65" t="s">
        <v>198</v>
      </c>
      <c r="U65" t="s">
        <v>108</v>
      </c>
    </row>
    <row r="66" spans="1:21" x14ac:dyDescent="0.3">
      <c r="A66" t="s">
        <v>189</v>
      </c>
      <c r="B66" t="s">
        <v>189</v>
      </c>
      <c r="C66" t="s">
        <v>194</v>
      </c>
      <c r="D66">
        <v>2</v>
      </c>
      <c r="E66" t="s">
        <v>118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227</v>
      </c>
      <c r="L66" t="s">
        <v>224</v>
      </c>
      <c r="M66">
        <v>33</v>
      </c>
      <c r="N66">
        <v>8768</v>
      </c>
      <c r="O66" t="s">
        <v>52</v>
      </c>
      <c r="P66" t="s">
        <v>52</v>
      </c>
      <c r="Q66" t="s">
        <v>197</v>
      </c>
      <c r="R66" t="s">
        <v>53</v>
      </c>
      <c r="S66" t="s">
        <v>116</v>
      </c>
      <c r="T66" t="s">
        <v>198</v>
      </c>
      <c r="U66" t="s">
        <v>108</v>
      </c>
    </row>
    <row r="67" spans="1:21" x14ac:dyDescent="0.3">
      <c r="A67" t="s">
        <v>189</v>
      </c>
      <c r="B67" t="s">
        <v>189</v>
      </c>
      <c r="C67" t="s">
        <v>194</v>
      </c>
      <c r="D67">
        <v>2</v>
      </c>
      <c r="E67" t="s">
        <v>118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230</v>
      </c>
      <c r="L67" t="s">
        <v>224</v>
      </c>
      <c r="M67">
        <v>33</v>
      </c>
      <c r="N67">
        <v>8768</v>
      </c>
      <c r="O67" t="s">
        <v>52</v>
      </c>
      <c r="P67" t="s">
        <v>52</v>
      </c>
      <c r="Q67" t="s">
        <v>197</v>
      </c>
      <c r="R67" t="s">
        <v>53</v>
      </c>
      <c r="S67" t="s">
        <v>116</v>
      </c>
      <c r="T67" t="s">
        <v>198</v>
      </c>
      <c r="U67" t="s">
        <v>108</v>
      </c>
    </row>
    <row r="68" spans="1:21" x14ac:dyDescent="0.3">
      <c r="A68" t="s">
        <v>189</v>
      </c>
      <c r="B68" t="s">
        <v>189</v>
      </c>
      <c r="C68" t="s">
        <v>194</v>
      </c>
      <c r="D68">
        <v>3</v>
      </c>
      <c r="E68" t="s">
        <v>105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229</v>
      </c>
      <c r="L68" t="s">
        <v>224</v>
      </c>
      <c r="M68">
        <v>33</v>
      </c>
      <c r="N68">
        <v>8768</v>
      </c>
      <c r="O68" t="s">
        <v>52</v>
      </c>
      <c r="P68" t="s">
        <v>52</v>
      </c>
      <c r="Q68" t="s">
        <v>197</v>
      </c>
      <c r="R68" t="s">
        <v>53</v>
      </c>
      <c r="S68" t="s">
        <v>116</v>
      </c>
      <c r="T68" t="s">
        <v>198</v>
      </c>
      <c r="U68" t="s">
        <v>108</v>
      </c>
    </row>
    <row r="69" spans="1:21" x14ac:dyDescent="0.3">
      <c r="A69" t="s">
        <v>189</v>
      </c>
      <c r="B69" t="s">
        <v>189</v>
      </c>
      <c r="C69" t="s">
        <v>194</v>
      </c>
      <c r="D69">
        <v>3</v>
      </c>
      <c r="E69" t="s">
        <v>105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227</v>
      </c>
      <c r="L69" t="s">
        <v>224</v>
      </c>
      <c r="M69">
        <v>33</v>
      </c>
      <c r="N69">
        <v>8768</v>
      </c>
      <c r="O69" t="s">
        <v>52</v>
      </c>
      <c r="P69" t="s">
        <v>52</v>
      </c>
      <c r="Q69" t="s">
        <v>197</v>
      </c>
      <c r="R69" t="s">
        <v>53</v>
      </c>
      <c r="S69" t="s">
        <v>116</v>
      </c>
      <c r="T69" t="s">
        <v>198</v>
      </c>
      <c r="U69" t="s">
        <v>108</v>
      </c>
    </row>
    <row r="70" spans="1:21" x14ac:dyDescent="0.3">
      <c r="A70" t="s">
        <v>189</v>
      </c>
      <c r="B70" t="s">
        <v>189</v>
      </c>
      <c r="C70" t="s">
        <v>194</v>
      </c>
      <c r="D70">
        <v>3</v>
      </c>
      <c r="E70" t="s">
        <v>105</v>
      </c>
      <c r="F70">
        <v>1</v>
      </c>
      <c r="G70">
        <v>-1</v>
      </c>
      <c r="H70">
        <v>-1</v>
      </c>
      <c r="I70" t="s">
        <v>119</v>
      </c>
      <c r="J70" t="s">
        <v>58</v>
      </c>
      <c r="K70" t="s">
        <v>228</v>
      </c>
      <c r="L70" t="s">
        <v>226</v>
      </c>
      <c r="M70">
        <v>61</v>
      </c>
      <c r="O70" t="s">
        <v>52</v>
      </c>
      <c r="P70" t="s">
        <v>52</v>
      </c>
      <c r="Q70" t="s">
        <v>197</v>
      </c>
      <c r="R70" t="s">
        <v>53</v>
      </c>
      <c r="S70" t="s">
        <v>116</v>
      </c>
      <c r="T70" t="s">
        <v>198</v>
      </c>
      <c r="U70" t="s">
        <v>108</v>
      </c>
    </row>
    <row r="71" spans="1:21" x14ac:dyDescent="0.3">
      <c r="A71" t="s">
        <v>189</v>
      </c>
      <c r="B71" t="s">
        <v>189</v>
      </c>
      <c r="C71" t="s">
        <v>194</v>
      </c>
      <c r="D71">
        <v>3</v>
      </c>
      <c r="E71" t="s">
        <v>105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223</v>
      </c>
      <c r="L71" t="s">
        <v>224</v>
      </c>
      <c r="M71">
        <v>33</v>
      </c>
      <c r="N71">
        <v>8768</v>
      </c>
      <c r="O71" t="s">
        <v>52</v>
      </c>
      <c r="P71" t="s">
        <v>52</v>
      </c>
      <c r="Q71" t="s">
        <v>197</v>
      </c>
      <c r="R71" t="s">
        <v>53</v>
      </c>
      <c r="S71" t="s">
        <v>116</v>
      </c>
      <c r="T71" t="s">
        <v>198</v>
      </c>
      <c r="U71" t="s">
        <v>108</v>
      </c>
    </row>
    <row r="72" spans="1:21" x14ac:dyDescent="0.3">
      <c r="A72" t="s">
        <v>189</v>
      </c>
      <c r="B72" t="s">
        <v>189</v>
      </c>
      <c r="C72" t="s">
        <v>194</v>
      </c>
      <c r="D72">
        <v>3</v>
      </c>
      <c r="E72" t="s">
        <v>105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230</v>
      </c>
      <c r="L72" t="s">
        <v>224</v>
      </c>
      <c r="M72">
        <v>33</v>
      </c>
      <c r="N72">
        <v>8768</v>
      </c>
      <c r="O72" t="s">
        <v>52</v>
      </c>
      <c r="P72" t="s">
        <v>52</v>
      </c>
      <c r="Q72" t="s">
        <v>197</v>
      </c>
      <c r="R72" t="s">
        <v>53</v>
      </c>
      <c r="S72" t="s">
        <v>116</v>
      </c>
      <c r="T72" t="s">
        <v>198</v>
      </c>
      <c r="U72" t="s">
        <v>108</v>
      </c>
    </row>
    <row r="73" spans="1:21" x14ac:dyDescent="0.3">
      <c r="A73" t="s">
        <v>189</v>
      </c>
      <c r="B73" t="s">
        <v>189</v>
      </c>
      <c r="C73" t="s">
        <v>194</v>
      </c>
      <c r="D73">
        <v>3</v>
      </c>
      <c r="E73" t="s">
        <v>105</v>
      </c>
      <c r="F73">
        <v>1</v>
      </c>
      <c r="G73">
        <v>-99</v>
      </c>
      <c r="H73">
        <v>-99</v>
      </c>
      <c r="I73" t="s">
        <v>117</v>
      </c>
      <c r="J73" t="s">
        <v>51</v>
      </c>
      <c r="K73" t="s">
        <v>225</v>
      </c>
      <c r="L73" t="s">
        <v>226</v>
      </c>
      <c r="M73">
        <v>61</v>
      </c>
      <c r="O73" t="s">
        <v>52</v>
      </c>
      <c r="P73" t="s">
        <v>52</v>
      </c>
      <c r="Q73" t="s">
        <v>197</v>
      </c>
      <c r="R73" t="s">
        <v>53</v>
      </c>
      <c r="S73" t="s">
        <v>116</v>
      </c>
      <c r="T73" t="s">
        <v>198</v>
      </c>
      <c r="U73" t="s">
        <v>108</v>
      </c>
    </row>
    <row r="74" spans="1:21" x14ac:dyDescent="0.3">
      <c r="A74" t="s">
        <v>189</v>
      </c>
      <c r="B74" t="s">
        <v>189</v>
      </c>
      <c r="C74" t="s">
        <v>194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119</v>
      </c>
      <c r="J74" t="s">
        <v>58</v>
      </c>
      <c r="K74" t="s">
        <v>228</v>
      </c>
      <c r="L74" t="s">
        <v>226</v>
      </c>
      <c r="M74">
        <v>61</v>
      </c>
      <c r="O74" t="s">
        <v>52</v>
      </c>
      <c r="P74" t="s">
        <v>52</v>
      </c>
      <c r="Q74" t="s">
        <v>197</v>
      </c>
      <c r="R74" t="s">
        <v>53</v>
      </c>
      <c r="S74" t="s">
        <v>116</v>
      </c>
      <c r="T74" t="s">
        <v>198</v>
      </c>
      <c r="U74" t="s">
        <v>108</v>
      </c>
    </row>
    <row r="75" spans="1:21" x14ac:dyDescent="0.3">
      <c r="A75" t="s">
        <v>189</v>
      </c>
      <c r="B75" t="s">
        <v>189</v>
      </c>
      <c r="C75" t="s">
        <v>194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117</v>
      </c>
      <c r="J75" t="s">
        <v>51</v>
      </c>
      <c r="K75" t="s">
        <v>225</v>
      </c>
      <c r="L75" t="s">
        <v>226</v>
      </c>
      <c r="M75">
        <v>61</v>
      </c>
      <c r="O75" t="s">
        <v>52</v>
      </c>
      <c r="P75" t="s">
        <v>52</v>
      </c>
      <c r="Q75" t="s">
        <v>197</v>
      </c>
      <c r="R75" t="s">
        <v>53</v>
      </c>
      <c r="S75" t="s">
        <v>116</v>
      </c>
      <c r="T75" t="s">
        <v>198</v>
      </c>
      <c r="U75" t="s">
        <v>108</v>
      </c>
    </row>
    <row r="76" spans="1:21" x14ac:dyDescent="0.3">
      <c r="A76" t="s">
        <v>189</v>
      </c>
      <c r="B76" t="s">
        <v>189</v>
      </c>
      <c r="C76" t="s">
        <v>194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227</v>
      </c>
      <c r="L76" t="s">
        <v>224</v>
      </c>
      <c r="M76">
        <v>33</v>
      </c>
      <c r="N76">
        <v>8768</v>
      </c>
      <c r="O76" t="s">
        <v>52</v>
      </c>
      <c r="P76" t="s">
        <v>52</v>
      </c>
      <c r="Q76" t="s">
        <v>197</v>
      </c>
      <c r="R76" t="s">
        <v>53</v>
      </c>
      <c r="S76" t="s">
        <v>116</v>
      </c>
      <c r="T76" t="s">
        <v>198</v>
      </c>
      <c r="U76" t="s">
        <v>108</v>
      </c>
    </row>
    <row r="77" spans="1:21" x14ac:dyDescent="0.3">
      <c r="A77" t="s">
        <v>189</v>
      </c>
      <c r="B77" t="s">
        <v>189</v>
      </c>
      <c r="C77" t="s">
        <v>194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223</v>
      </c>
      <c r="L77" t="s">
        <v>224</v>
      </c>
      <c r="M77">
        <v>33</v>
      </c>
      <c r="N77">
        <v>8768</v>
      </c>
      <c r="O77" t="s">
        <v>52</v>
      </c>
      <c r="P77" t="s">
        <v>52</v>
      </c>
      <c r="Q77" t="s">
        <v>197</v>
      </c>
      <c r="R77" t="s">
        <v>53</v>
      </c>
      <c r="S77" t="s">
        <v>116</v>
      </c>
      <c r="T77" t="s">
        <v>198</v>
      </c>
      <c r="U77" t="s">
        <v>108</v>
      </c>
    </row>
    <row r="78" spans="1:21" x14ac:dyDescent="0.3">
      <c r="A78" t="s">
        <v>189</v>
      </c>
      <c r="B78" t="s">
        <v>189</v>
      </c>
      <c r="C78" t="s">
        <v>194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230</v>
      </c>
      <c r="L78" t="s">
        <v>224</v>
      </c>
      <c r="M78">
        <v>33</v>
      </c>
      <c r="N78">
        <v>8768</v>
      </c>
      <c r="O78" t="s">
        <v>52</v>
      </c>
      <c r="P78" t="s">
        <v>52</v>
      </c>
      <c r="Q78" t="s">
        <v>197</v>
      </c>
      <c r="R78" t="s">
        <v>53</v>
      </c>
      <c r="S78" t="s">
        <v>116</v>
      </c>
      <c r="T78" t="s">
        <v>198</v>
      </c>
      <c r="U78" t="s">
        <v>108</v>
      </c>
    </row>
    <row r="79" spans="1:21" x14ac:dyDescent="0.3">
      <c r="A79" t="s">
        <v>189</v>
      </c>
      <c r="B79" t="s">
        <v>189</v>
      </c>
      <c r="C79" t="s">
        <v>194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229</v>
      </c>
      <c r="L79" t="s">
        <v>224</v>
      </c>
      <c r="M79">
        <v>33</v>
      </c>
      <c r="N79">
        <v>8768</v>
      </c>
      <c r="O79" t="s">
        <v>52</v>
      </c>
      <c r="P79" t="s">
        <v>52</v>
      </c>
      <c r="Q79" t="s">
        <v>197</v>
      </c>
      <c r="R79" t="s">
        <v>53</v>
      </c>
      <c r="S79" t="s">
        <v>116</v>
      </c>
      <c r="T79" t="s">
        <v>198</v>
      </c>
      <c r="U79" t="s">
        <v>108</v>
      </c>
    </row>
    <row r="80" spans="1:21" x14ac:dyDescent="0.3">
      <c r="A80" t="s">
        <v>189</v>
      </c>
      <c r="B80" t="s">
        <v>189</v>
      </c>
      <c r="C80" t="s">
        <v>194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117</v>
      </c>
      <c r="J80" t="s">
        <v>51</v>
      </c>
      <c r="K80" t="s">
        <v>225</v>
      </c>
      <c r="L80" t="s">
        <v>226</v>
      </c>
      <c r="M80">
        <v>61</v>
      </c>
      <c r="O80" t="s">
        <v>52</v>
      </c>
      <c r="P80" t="s">
        <v>52</v>
      </c>
      <c r="Q80" t="s">
        <v>197</v>
      </c>
      <c r="R80" t="s">
        <v>53</v>
      </c>
      <c r="S80" t="s">
        <v>116</v>
      </c>
      <c r="T80" t="s">
        <v>198</v>
      </c>
      <c r="U80" t="s">
        <v>108</v>
      </c>
    </row>
    <row r="81" spans="1:21" x14ac:dyDescent="0.3">
      <c r="A81" t="s">
        <v>189</v>
      </c>
      <c r="B81" t="s">
        <v>189</v>
      </c>
      <c r="C81" t="s">
        <v>194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227</v>
      </c>
      <c r="L81" t="s">
        <v>224</v>
      </c>
      <c r="M81">
        <v>33</v>
      </c>
      <c r="N81">
        <v>8768</v>
      </c>
      <c r="O81" t="s">
        <v>52</v>
      </c>
      <c r="P81" t="s">
        <v>52</v>
      </c>
      <c r="Q81" t="s">
        <v>197</v>
      </c>
      <c r="R81" t="s">
        <v>53</v>
      </c>
      <c r="S81" t="s">
        <v>116</v>
      </c>
      <c r="T81" t="s">
        <v>198</v>
      </c>
      <c r="U81" t="s">
        <v>108</v>
      </c>
    </row>
    <row r="82" spans="1:21" x14ac:dyDescent="0.3">
      <c r="A82" t="s">
        <v>189</v>
      </c>
      <c r="B82" t="s">
        <v>189</v>
      </c>
      <c r="C82" t="s">
        <v>194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223</v>
      </c>
      <c r="L82" t="s">
        <v>224</v>
      </c>
      <c r="M82">
        <v>33</v>
      </c>
      <c r="N82">
        <v>8768</v>
      </c>
      <c r="O82" t="s">
        <v>52</v>
      </c>
      <c r="P82" t="s">
        <v>52</v>
      </c>
      <c r="Q82" t="s">
        <v>197</v>
      </c>
      <c r="R82" t="s">
        <v>53</v>
      </c>
      <c r="S82" t="s">
        <v>116</v>
      </c>
      <c r="T82" t="s">
        <v>198</v>
      </c>
      <c r="U82" t="s">
        <v>108</v>
      </c>
    </row>
    <row r="83" spans="1:21" x14ac:dyDescent="0.3">
      <c r="A83" t="s">
        <v>189</v>
      </c>
      <c r="B83" t="s">
        <v>189</v>
      </c>
      <c r="C83" t="s">
        <v>194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230</v>
      </c>
      <c r="L83" t="s">
        <v>224</v>
      </c>
      <c r="M83">
        <v>33</v>
      </c>
      <c r="N83">
        <v>8768</v>
      </c>
      <c r="O83" t="s">
        <v>52</v>
      </c>
      <c r="P83" t="s">
        <v>52</v>
      </c>
      <c r="Q83" t="s">
        <v>197</v>
      </c>
      <c r="R83" t="s">
        <v>53</v>
      </c>
      <c r="S83" t="s">
        <v>116</v>
      </c>
      <c r="T83" t="s">
        <v>198</v>
      </c>
      <c r="U83" t="s">
        <v>108</v>
      </c>
    </row>
    <row r="84" spans="1:21" x14ac:dyDescent="0.3">
      <c r="A84" t="s">
        <v>189</v>
      </c>
      <c r="B84" t="s">
        <v>189</v>
      </c>
      <c r="C84" t="s">
        <v>194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229</v>
      </c>
      <c r="L84" t="s">
        <v>224</v>
      </c>
      <c r="M84">
        <v>33</v>
      </c>
      <c r="N84">
        <v>8768</v>
      </c>
      <c r="O84" t="s">
        <v>52</v>
      </c>
      <c r="P84" t="s">
        <v>52</v>
      </c>
      <c r="Q84" t="s">
        <v>197</v>
      </c>
      <c r="R84" t="s">
        <v>53</v>
      </c>
      <c r="S84" t="s">
        <v>116</v>
      </c>
      <c r="T84" t="s">
        <v>198</v>
      </c>
      <c r="U84" t="s">
        <v>108</v>
      </c>
    </row>
    <row r="85" spans="1:21" x14ac:dyDescent="0.3">
      <c r="A85" t="s">
        <v>190</v>
      </c>
      <c r="B85" t="s">
        <v>190</v>
      </c>
      <c r="C85" t="s">
        <v>194</v>
      </c>
      <c r="D85">
        <v>1</v>
      </c>
      <c r="E85" t="s">
        <v>107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231</v>
      </c>
      <c r="L85" t="s">
        <v>232</v>
      </c>
      <c r="M85">
        <v>33</v>
      </c>
      <c r="N85">
        <v>9022</v>
      </c>
      <c r="O85" t="s">
        <v>52</v>
      </c>
      <c r="P85" t="s">
        <v>52</v>
      </c>
      <c r="Q85" t="s">
        <v>197</v>
      </c>
      <c r="R85" t="s">
        <v>53</v>
      </c>
      <c r="S85" t="s">
        <v>116</v>
      </c>
      <c r="T85" t="s">
        <v>198</v>
      </c>
      <c r="U85" t="s">
        <v>108</v>
      </c>
    </row>
    <row r="86" spans="1:21" x14ac:dyDescent="0.3">
      <c r="A86" t="s">
        <v>190</v>
      </c>
      <c r="B86" t="s">
        <v>190</v>
      </c>
      <c r="C86" t="s">
        <v>194</v>
      </c>
      <c r="D86">
        <v>1</v>
      </c>
      <c r="E86" t="s">
        <v>107</v>
      </c>
      <c r="F86">
        <v>1.7759450000000001</v>
      </c>
      <c r="G86">
        <v>74.400999999999996</v>
      </c>
      <c r="H86">
        <v>132</v>
      </c>
      <c r="I86" t="s">
        <v>117</v>
      </c>
      <c r="J86" t="s">
        <v>51</v>
      </c>
      <c r="K86" t="s">
        <v>233</v>
      </c>
      <c r="L86" t="s">
        <v>234</v>
      </c>
      <c r="M86">
        <v>33</v>
      </c>
      <c r="O86" t="s">
        <v>52</v>
      </c>
      <c r="P86" t="s">
        <v>52</v>
      </c>
      <c r="Q86" t="s">
        <v>197</v>
      </c>
      <c r="R86" t="s">
        <v>53</v>
      </c>
      <c r="S86" t="s">
        <v>116</v>
      </c>
      <c r="T86" t="s">
        <v>198</v>
      </c>
      <c r="U86" t="s">
        <v>108</v>
      </c>
    </row>
    <row r="87" spans="1:21" x14ac:dyDescent="0.3">
      <c r="A87" t="s">
        <v>190</v>
      </c>
      <c r="B87" t="s">
        <v>190</v>
      </c>
      <c r="C87" t="s">
        <v>194</v>
      </c>
      <c r="D87">
        <v>1</v>
      </c>
      <c r="E87" t="s">
        <v>107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235</v>
      </c>
      <c r="L87" t="s">
        <v>232</v>
      </c>
      <c r="M87">
        <v>33</v>
      </c>
      <c r="N87">
        <v>9022</v>
      </c>
      <c r="O87" t="s">
        <v>52</v>
      </c>
      <c r="P87" t="s">
        <v>52</v>
      </c>
      <c r="Q87" t="s">
        <v>197</v>
      </c>
      <c r="R87" t="s">
        <v>53</v>
      </c>
      <c r="S87" t="s">
        <v>116</v>
      </c>
      <c r="T87" t="s">
        <v>198</v>
      </c>
      <c r="U87" t="s">
        <v>108</v>
      </c>
    </row>
    <row r="88" spans="1:21" x14ac:dyDescent="0.3">
      <c r="A88" t="s">
        <v>190</v>
      </c>
      <c r="B88" t="s">
        <v>190</v>
      </c>
      <c r="C88" t="s">
        <v>194</v>
      </c>
      <c r="D88">
        <v>1</v>
      </c>
      <c r="E88" t="s">
        <v>107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236</v>
      </c>
      <c r="L88" t="s">
        <v>232</v>
      </c>
      <c r="M88">
        <v>33</v>
      </c>
      <c r="N88">
        <v>9022</v>
      </c>
      <c r="O88" t="s">
        <v>52</v>
      </c>
      <c r="P88" t="s">
        <v>52</v>
      </c>
      <c r="Q88" t="s">
        <v>197</v>
      </c>
      <c r="R88" t="s">
        <v>53</v>
      </c>
      <c r="S88" t="s">
        <v>116</v>
      </c>
      <c r="T88" t="s">
        <v>198</v>
      </c>
      <c r="U88" t="s">
        <v>108</v>
      </c>
    </row>
    <row r="89" spans="1:21" x14ac:dyDescent="0.3">
      <c r="A89" t="s">
        <v>190</v>
      </c>
      <c r="B89" t="s">
        <v>190</v>
      </c>
      <c r="C89" t="s">
        <v>194</v>
      </c>
      <c r="D89">
        <v>1</v>
      </c>
      <c r="E89" t="s">
        <v>107</v>
      </c>
      <c r="F89">
        <v>1.7759450000000001</v>
      </c>
      <c r="G89">
        <v>1.0669999999999999</v>
      </c>
      <c r="H89">
        <v>2</v>
      </c>
      <c r="I89" t="s">
        <v>119</v>
      </c>
      <c r="J89" t="s">
        <v>58</v>
      </c>
      <c r="K89" t="s">
        <v>237</v>
      </c>
      <c r="L89" t="s">
        <v>234</v>
      </c>
      <c r="M89">
        <v>33</v>
      </c>
      <c r="O89" t="s">
        <v>52</v>
      </c>
      <c r="P89" t="s">
        <v>52</v>
      </c>
      <c r="Q89" t="s">
        <v>197</v>
      </c>
      <c r="R89" t="s">
        <v>53</v>
      </c>
      <c r="S89" t="s">
        <v>116</v>
      </c>
      <c r="T89" t="s">
        <v>198</v>
      </c>
      <c r="U89" t="s">
        <v>108</v>
      </c>
    </row>
    <row r="90" spans="1:21" x14ac:dyDescent="0.3">
      <c r="A90" t="s">
        <v>190</v>
      </c>
      <c r="B90" t="s">
        <v>190</v>
      </c>
      <c r="C90" t="s">
        <v>194</v>
      </c>
      <c r="D90">
        <v>1</v>
      </c>
      <c r="E90" t="s">
        <v>107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238</v>
      </c>
      <c r="L90" t="s">
        <v>232</v>
      </c>
      <c r="M90">
        <v>33</v>
      </c>
      <c r="N90">
        <v>9022</v>
      </c>
      <c r="O90" t="s">
        <v>52</v>
      </c>
      <c r="P90" t="s">
        <v>52</v>
      </c>
      <c r="Q90" t="s">
        <v>197</v>
      </c>
      <c r="R90" t="s">
        <v>53</v>
      </c>
      <c r="S90" t="s">
        <v>116</v>
      </c>
      <c r="T90" t="s">
        <v>198</v>
      </c>
      <c r="U90" t="s">
        <v>108</v>
      </c>
    </row>
    <row r="91" spans="1:21" x14ac:dyDescent="0.3">
      <c r="A91" t="s">
        <v>190</v>
      </c>
      <c r="B91" t="s">
        <v>190</v>
      </c>
      <c r="C91" t="s">
        <v>194</v>
      </c>
      <c r="D91">
        <v>2</v>
      </c>
      <c r="E91" t="s">
        <v>118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235</v>
      </c>
      <c r="L91" t="s">
        <v>232</v>
      </c>
      <c r="M91">
        <v>33</v>
      </c>
      <c r="N91">
        <v>9022</v>
      </c>
      <c r="O91" t="s">
        <v>52</v>
      </c>
      <c r="P91" t="s">
        <v>52</v>
      </c>
      <c r="Q91" t="s">
        <v>197</v>
      </c>
      <c r="R91" t="s">
        <v>53</v>
      </c>
      <c r="S91" t="s">
        <v>116</v>
      </c>
      <c r="T91" t="s">
        <v>198</v>
      </c>
      <c r="U91" t="s">
        <v>108</v>
      </c>
    </row>
    <row r="92" spans="1:21" x14ac:dyDescent="0.3">
      <c r="A92" t="s">
        <v>190</v>
      </c>
      <c r="B92" t="s">
        <v>190</v>
      </c>
      <c r="C92" t="s">
        <v>194</v>
      </c>
      <c r="D92">
        <v>2</v>
      </c>
      <c r="E92" t="s">
        <v>118</v>
      </c>
      <c r="F92">
        <v>1.1665999999999999E-2</v>
      </c>
      <c r="G92">
        <v>75.736999999999995</v>
      </c>
      <c r="H92">
        <v>1</v>
      </c>
      <c r="I92" t="s">
        <v>117</v>
      </c>
      <c r="J92" t="s">
        <v>51</v>
      </c>
      <c r="K92" t="s">
        <v>233</v>
      </c>
      <c r="L92" t="s">
        <v>234</v>
      </c>
      <c r="M92">
        <v>33</v>
      </c>
      <c r="O92" t="s">
        <v>52</v>
      </c>
      <c r="P92" t="s">
        <v>52</v>
      </c>
      <c r="Q92" t="s">
        <v>197</v>
      </c>
      <c r="R92" t="s">
        <v>53</v>
      </c>
      <c r="S92" t="s">
        <v>116</v>
      </c>
      <c r="T92" t="s">
        <v>198</v>
      </c>
      <c r="U92" t="s">
        <v>108</v>
      </c>
    </row>
    <row r="93" spans="1:21" x14ac:dyDescent="0.3">
      <c r="A93" t="s">
        <v>190</v>
      </c>
      <c r="B93" t="s">
        <v>190</v>
      </c>
      <c r="C93" t="s">
        <v>194</v>
      </c>
      <c r="D93">
        <v>2</v>
      </c>
      <c r="E93" t="s">
        <v>118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231</v>
      </c>
      <c r="L93" t="s">
        <v>232</v>
      </c>
      <c r="M93">
        <v>33</v>
      </c>
      <c r="N93">
        <v>9022</v>
      </c>
      <c r="O93" t="s">
        <v>52</v>
      </c>
      <c r="P93" t="s">
        <v>52</v>
      </c>
      <c r="Q93" t="s">
        <v>197</v>
      </c>
      <c r="R93" t="s">
        <v>53</v>
      </c>
      <c r="S93" t="s">
        <v>116</v>
      </c>
      <c r="T93" t="s">
        <v>198</v>
      </c>
      <c r="U93" t="s">
        <v>108</v>
      </c>
    </row>
    <row r="94" spans="1:21" x14ac:dyDescent="0.3">
      <c r="A94" t="s">
        <v>190</v>
      </c>
      <c r="B94" t="s">
        <v>190</v>
      </c>
      <c r="C94" t="s">
        <v>194</v>
      </c>
      <c r="D94">
        <v>2</v>
      </c>
      <c r="E94" t="s">
        <v>118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238</v>
      </c>
      <c r="L94" t="s">
        <v>232</v>
      </c>
      <c r="M94">
        <v>33</v>
      </c>
      <c r="N94">
        <v>9022</v>
      </c>
      <c r="O94" t="s">
        <v>52</v>
      </c>
      <c r="P94" t="s">
        <v>52</v>
      </c>
      <c r="Q94" t="s">
        <v>197</v>
      </c>
      <c r="R94" t="s">
        <v>53</v>
      </c>
      <c r="S94" t="s">
        <v>116</v>
      </c>
      <c r="T94" t="s">
        <v>198</v>
      </c>
      <c r="U94" t="s">
        <v>108</v>
      </c>
    </row>
    <row r="95" spans="1:21" x14ac:dyDescent="0.3">
      <c r="A95" t="s">
        <v>190</v>
      </c>
      <c r="B95" t="s">
        <v>190</v>
      </c>
      <c r="C95" t="s">
        <v>194</v>
      </c>
      <c r="D95">
        <v>2</v>
      </c>
      <c r="E95" t="s">
        <v>118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236</v>
      </c>
      <c r="L95" t="s">
        <v>232</v>
      </c>
      <c r="M95">
        <v>33</v>
      </c>
      <c r="N95">
        <v>9022</v>
      </c>
      <c r="O95" t="s">
        <v>52</v>
      </c>
      <c r="P95" t="s">
        <v>52</v>
      </c>
      <c r="Q95" t="s">
        <v>197</v>
      </c>
      <c r="R95" t="s">
        <v>53</v>
      </c>
      <c r="S95" t="s">
        <v>116</v>
      </c>
      <c r="T95" t="s">
        <v>198</v>
      </c>
      <c r="U95" t="s">
        <v>108</v>
      </c>
    </row>
    <row r="96" spans="1:21" x14ac:dyDescent="0.3">
      <c r="A96" t="s">
        <v>190</v>
      </c>
      <c r="B96" t="s">
        <v>190</v>
      </c>
      <c r="C96" t="s">
        <v>194</v>
      </c>
      <c r="D96">
        <v>3</v>
      </c>
      <c r="E96" t="s">
        <v>105</v>
      </c>
      <c r="F96">
        <v>0.55193199999999998</v>
      </c>
      <c r="G96">
        <v>1.0669999999999999</v>
      </c>
      <c r="H96">
        <v>1</v>
      </c>
      <c r="I96" t="s">
        <v>119</v>
      </c>
      <c r="J96" t="s">
        <v>58</v>
      </c>
      <c r="K96" t="s">
        <v>237</v>
      </c>
      <c r="L96" t="s">
        <v>234</v>
      </c>
      <c r="M96">
        <v>33</v>
      </c>
      <c r="O96" t="s">
        <v>52</v>
      </c>
      <c r="P96" t="s">
        <v>52</v>
      </c>
      <c r="Q96" t="s">
        <v>197</v>
      </c>
      <c r="R96" t="s">
        <v>53</v>
      </c>
      <c r="S96" t="s">
        <v>116</v>
      </c>
      <c r="T96" t="s">
        <v>198</v>
      </c>
      <c r="U96" t="s">
        <v>108</v>
      </c>
    </row>
    <row r="97" spans="1:21" x14ac:dyDescent="0.3">
      <c r="A97" t="s">
        <v>190</v>
      </c>
      <c r="B97" t="s">
        <v>190</v>
      </c>
      <c r="C97" t="s">
        <v>194</v>
      </c>
      <c r="D97">
        <v>3</v>
      </c>
      <c r="E97" t="s">
        <v>105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235</v>
      </c>
      <c r="L97" t="s">
        <v>232</v>
      </c>
      <c r="M97">
        <v>33</v>
      </c>
      <c r="N97">
        <v>9022</v>
      </c>
      <c r="O97" t="s">
        <v>52</v>
      </c>
      <c r="P97" t="s">
        <v>52</v>
      </c>
      <c r="Q97" t="s">
        <v>197</v>
      </c>
      <c r="R97" t="s">
        <v>53</v>
      </c>
      <c r="S97" t="s">
        <v>116</v>
      </c>
      <c r="T97" t="s">
        <v>198</v>
      </c>
      <c r="U97" t="s">
        <v>108</v>
      </c>
    </row>
    <row r="98" spans="1:21" x14ac:dyDescent="0.3">
      <c r="A98" t="s">
        <v>190</v>
      </c>
      <c r="B98" t="s">
        <v>190</v>
      </c>
      <c r="C98" t="s">
        <v>194</v>
      </c>
      <c r="D98">
        <v>3</v>
      </c>
      <c r="E98" t="s">
        <v>105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238</v>
      </c>
      <c r="L98" t="s">
        <v>232</v>
      </c>
      <c r="M98">
        <v>33</v>
      </c>
      <c r="N98">
        <v>9022</v>
      </c>
      <c r="O98" t="s">
        <v>52</v>
      </c>
      <c r="P98" t="s">
        <v>52</v>
      </c>
      <c r="Q98" t="s">
        <v>197</v>
      </c>
      <c r="R98" t="s">
        <v>53</v>
      </c>
      <c r="S98" t="s">
        <v>116</v>
      </c>
      <c r="T98" t="s">
        <v>198</v>
      </c>
      <c r="U98" t="s">
        <v>108</v>
      </c>
    </row>
    <row r="99" spans="1:21" x14ac:dyDescent="0.3">
      <c r="A99" t="s">
        <v>190</v>
      </c>
      <c r="B99" t="s">
        <v>190</v>
      </c>
      <c r="C99" t="s">
        <v>194</v>
      </c>
      <c r="D99">
        <v>3</v>
      </c>
      <c r="E99" t="s">
        <v>105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231</v>
      </c>
      <c r="L99" t="s">
        <v>232</v>
      </c>
      <c r="M99">
        <v>33</v>
      </c>
      <c r="N99">
        <v>9022</v>
      </c>
      <c r="O99" t="s">
        <v>52</v>
      </c>
      <c r="P99" t="s">
        <v>52</v>
      </c>
      <c r="Q99" t="s">
        <v>197</v>
      </c>
      <c r="R99" t="s">
        <v>53</v>
      </c>
      <c r="S99" t="s">
        <v>116</v>
      </c>
      <c r="T99" t="s">
        <v>198</v>
      </c>
      <c r="U99" t="s">
        <v>108</v>
      </c>
    </row>
    <row r="100" spans="1:21" x14ac:dyDescent="0.3">
      <c r="A100" t="s">
        <v>190</v>
      </c>
      <c r="B100" t="s">
        <v>190</v>
      </c>
      <c r="C100" t="s">
        <v>194</v>
      </c>
      <c r="D100">
        <v>3</v>
      </c>
      <c r="E100" t="s">
        <v>105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236</v>
      </c>
      <c r="L100" t="s">
        <v>232</v>
      </c>
      <c r="M100">
        <v>33</v>
      </c>
      <c r="N100">
        <v>9022</v>
      </c>
      <c r="O100" t="s">
        <v>52</v>
      </c>
      <c r="P100" t="s">
        <v>52</v>
      </c>
      <c r="Q100" t="s">
        <v>197</v>
      </c>
      <c r="R100" t="s">
        <v>53</v>
      </c>
      <c r="S100" t="s">
        <v>116</v>
      </c>
      <c r="T100" t="s">
        <v>198</v>
      </c>
      <c r="U100" t="s">
        <v>108</v>
      </c>
    </row>
    <row r="101" spans="1:21" x14ac:dyDescent="0.3">
      <c r="A101" t="s">
        <v>190</v>
      </c>
      <c r="B101" t="s">
        <v>190</v>
      </c>
      <c r="C101" t="s">
        <v>194</v>
      </c>
      <c r="D101">
        <v>3</v>
      </c>
      <c r="E101" t="s">
        <v>105</v>
      </c>
      <c r="F101">
        <v>0.55193199999999998</v>
      </c>
      <c r="G101">
        <v>70.436999999999998</v>
      </c>
      <c r="H101">
        <v>39</v>
      </c>
      <c r="I101" t="s">
        <v>117</v>
      </c>
      <c r="J101" t="s">
        <v>51</v>
      </c>
      <c r="K101" t="s">
        <v>233</v>
      </c>
      <c r="L101" t="s">
        <v>234</v>
      </c>
      <c r="M101">
        <v>33</v>
      </c>
      <c r="O101" t="s">
        <v>52</v>
      </c>
      <c r="P101" t="s">
        <v>52</v>
      </c>
      <c r="Q101" t="s">
        <v>197</v>
      </c>
      <c r="R101" t="s">
        <v>53</v>
      </c>
      <c r="S101" t="s">
        <v>116</v>
      </c>
      <c r="T101" t="s">
        <v>198</v>
      </c>
      <c r="U101" t="s">
        <v>108</v>
      </c>
    </row>
    <row r="102" spans="1:21" x14ac:dyDescent="0.3">
      <c r="A102" t="s">
        <v>190</v>
      </c>
      <c r="B102" t="s">
        <v>190</v>
      </c>
      <c r="C102" t="s">
        <v>194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238</v>
      </c>
      <c r="L102" t="s">
        <v>232</v>
      </c>
      <c r="M102">
        <v>33</v>
      </c>
      <c r="N102">
        <v>9022</v>
      </c>
      <c r="O102" t="s">
        <v>52</v>
      </c>
      <c r="P102" t="s">
        <v>52</v>
      </c>
      <c r="Q102" t="s">
        <v>197</v>
      </c>
      <c r="R102" t="s">
        <v>53</v>
      </c>
      <c r="S102" t="s">
        <v>116</v>
      </c>
      <c r="T102" t="s">
        <v>198</v>
      </c>
      <c r="U102" t="s">
        <v>108</v>
      </c>
    </row>
    <row r="103" spans="1:21" x14ac:dyDescent="0.3">
      <c r="A103" t="s">
        <v>190</v>
      </c>
      <c r="B103" t="s">
        <v>190</v>
      </c>
      <c r="C103" t="s">
        <v>194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235</v>
      </c>
      <c r="L103" t="s">
        <v>232</v>
      </c>
      <c r="M103">
        <v>33</v>
      </c>
      <c r="N103">
        <v>9022</v>
      </c>
      <c r="O103" t="s">
        <v>52</v>
      </c>
      <c r="P103" t="s">
        <v>52</v>
      </c>
      <c r="Q103" t="s">
        <v>197</v>
      </c>
      <c r="R103" t="s">
        <v>53</v>
      </c>
      <c r="S103" t="s">
        <v>116</v>
      </c>
      <c r="T103" t="s">
        <v>198</v>
      </c>
      <c r="U103" t="s">
        <v>108</v>
      </c>
    </row>
    <row r="104" spans="1:21" x14ac:dyDescent="0.3">
      <c r="A104" t="s">
        <v>190</v>
      </c>
      <c r="B104" t="s">
        <v>190</v>
      </c>
      <c r="C104" t="s">
        <v>194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231</v>
      </c>
      <c r="L104" t="s">
        <v>232</v>
      </c>
      <c r="M104">
        <v>33</v>
      </c>
      <c r="N104">
        <v>9022</v>
      </c>
      <c r="O104" t="s">
        <v>52</v>
      </c>
      <c r="P104" t="s">
        <v>52</v>
      </c>
      <c r="Q104" t="s">
        <v>197</v>
      </c>
      <c r="R104" t="s">
        <v>53</v>
      </c>
      <c r="S104" t="s">
        <v>116</v>
      </c>
      <c r="T104" t="s">
        <v>198</v>
      </c>
      <c r="U104" t="s">
        <v>108</v>
      </c>
    </row>
    <row r="105" spans="1:21" x14ac:dyDescent="0.3">
      <c r="A105" t="s">
        <v>190</v>
      </c>
      <c r="B105" t="s">
        <v>190</v>
      </c>
      <c r="C105" t="s">
        <v>194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119</v>
      </c>
      <c r="J105" t="s">
        <v>58</v>
      </c>
      <c r="K105" t="s">
        <v>237</v>
      </c>
      <c r="L105" t="s">
        <v>234</v>
      </c>
      <c r="M105">
        <v>33</v>
      </c>
      <c r="O105" t="s">
        <v>52</v>
      </c>
      <c r="P105" t="s">
        <v>52</v>
      </c>
      <c r="Q105" t="s">
        <v>197</v>
      </c>
      <c r="R105" t="s">
        <v>53</v>
      </c>
      <c r="S105" t="s">
        <v>116</v>
      </c>
      <c r="T105" t="s">
        <v>198</v>
      </c>
      <c r="U105" t="s">
        <v>108</v>
      </c>
    </row>
    <row r="106" spans="1:21" x14ac:dyDescent="0.3">
      <c r="A106" t="s">
        <v>190</v>
      </c>
      <c r="B106" t="s">
        <v>190</v>
      </c>
      <c r="C106" t="s">
        <v>194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236</v>
      </c>
      <c r="L106" t="s">
        <v>232</v>
      </c>
      <c r="M106">
        <v>33</v>
      </c>
      <c r="N106">
        <v>9022</v>
      </c>
      <c r="O106" t="s">
        <v>52</v>
      </c>
      <c r="P106" t="s">
        <v>52</v>
      </c>
      <c r="Q106" t="s">
        <v>197</v>
      </c>
      <c r="R106" t="s">
        <v>53</v>
      </c>
      <c r="S106" t="s">
        <v>116</v>
      </c>
      <c r="T106" t="s">
        <v>198</v>
      </c>
      <c r="U106" t="s">
        <v>108</v>
      </c>
    </row>
    <row r="107" spans="1:21" x14ac:dyDescent="0.3">
      <c r="A107" t="s">
        <v>190</v>
      </c>
      <c r="B107" t="s">
        <v>190</v>
      </c>
      <c r="C107" t="s">
        <v>194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117</v>
      </c>
      <c r="J107" t="s">
        <v>51</v>
      </c>
      <c r="K107" t="s">
        <v>233</v>
      </c>
      <c r="L107" t="s">
        <v>234</v>
      </c>
      <c r="M107">
        <v>33</v>
      </c>
      <c r="O107" t="s">
        <v>52</v>
      </c>
      <c r="P107" t="s">
        <v>52</v>
      </c>
      <c r="Q107" t="s">
        <v>197</v>
      </c>
      <c r="R107" t="s">
        <v>53</v>
      </c>
      <c r="S107" t="s">
        <v>116</v>
      </c>
      <c r="T107" t="s">
        <v>198</v>
      </c>
      <c r="U107" t="s">
        <v>108</v>
      </c>
    </row>
    <row r="108" spans="1:21" x14ac:dyDescent="0.3">
      <c r="A108" t="s">
        <v>190</v>
      </c>
      <c r="B108" t="s">
        <v>190</v>
      </c>
      <c r="C108" t="s">
        <v>194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236</v>
      </c>
      <c r="L108" t="s">
        <v>232</v>
      </c>
      <c r="M108">
        <v>33</v>
      </c>
      <c r="N108">
        <v>9022</v>
      </c>
      <c r="O108" t="s">
        <v>52</v>
      </c>
      <c r="P108" t="s">
        <v>52</v>
      </c>
      <c r="Q108" t="s">
        <v>197</v>
      </c>
      <c r="R108" t="s">
        <v>53</v>
      </c>
      <c r="S108" t="s">
        <v>116</v>
      </c>
      <c r="T108" t="s">
        <v>198</v>
      </c>
      <c r="U108" t="s">
        <v>108</v>
      </c>
    </row>
    <row r="109" spans="1:21" x14ac:dyDescent="0.3">
      <c r="A109" t="s">
        <v>190</v>
      </c>
      <c r="B109" t="s">
        <v>190</v>
      </c>
      <c r="C109" t="s">
        <v>194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117</v>
      </c>
      <c r="J109" t="s">
        <v>51</v>
      </c>
      <c r="K109" t="s">
        <v>233</v>
      </c>
      <c r="L109" t="s">
        <v>234</v>
      </c>
      <c r="M109">
        <v>33</v>
      </c>
      <c r="O109" t="s">
        <v>52</v>
      </c>
      <c r="P109" t="s">
        <v>52</v>
      </c>
      <c r="Q109" t="s">
        <v>197</v>
      </c>
      <c r="R109" t="s">
        <v>53</v>
      </c>
      <c r="S109" t="s">
        <v>116</v>
      </c>
      <c r="T109" t="s">
        <v>198</v>
      </c>
      <c r="U109" t="s">
        <v>108</v>
      </c>
    </row>
    <row r="110" spans="1:21" x14ac:dyDescent="0.3">
      <c r="A110" t="s">
        <v>190</v>
      </c>
      <c r="B110" t="s">
        <v>190</v>
      </c>
      <c r="C110" t="s">
        <v>194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231</v>
      </c>
      <c r="L110" t="s">
        <v>232</v>
      </c>
      <c r="M110">
        <v>33</v>
      </c>
      <c r="N110">
        <v>9022</v>
      </c>
      <c r="O110" t="s">
        <v>52</v>
      </c>
      <c r="P110" t="s">
        <v>52</v>
      </c>
      <c r="Q110" t="s">
        <v>197</v>
      </c>
      <c r="R110" t="s">
        <v>53</v>
      </c>
      <c r="S110" t="s">
        <v>116</v>
      </c>
      <c r="T110" t="s">
        <v>198</v>
      </c>
      <c r="U110" t="s">
        <v>108</v>
      </c>
    </row>
    <row r="111" spans="1:21" x14ac:dyDescent="0.3">
      <c r="A111" t="s">
        <v>190</v>
      </c>
      <c r="B111" t="s">
        <v>190</v>
      </c>
      <c r="C111" t="s">
        <v>194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238</v>
      </c>
      <c r="L111" t="s">
        <v>232</v>
      </c>
      <c r="M111">
        <v>33</v>
      </c>
      <c r="N111">
        <v>9022</v>
      </c>
      <c r="O111" t="s">
        <v>52</v>
      </c>
      <c r="P111" t="s">
        <v>52</v>
      </c>
      <c r="Q111" t="s">
        <v>197</v>
      </c>
      <c r="R111" t="s">
        <v>53</v>
      </c>
      <c r="S111" t="s">
        <v>116</v>
      </c>
      <c r="T111" t="s">
        <v>198</v>
      </c>
      <c r="U111" t="s">
        <v>108</v>
      </c>
    </row>
    <row r="112" spans="1:21" x14ac:dyDescent="0.3">
      <c r="A112" t="s">
        <v>190</v>
      </c>
      <c r="B112" t="s">
        <v>190</v>
      </c>
      <c r="C112" t="s">
        <v>194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235</v>
      </c>
      <c r="L112" t="s">
        <v>232</v>
      </c>
      <c r="M112">
        <v>33</v>
      </c>
      <c r="N112">
        <v>9022</v>
      </c>
      <c r="O112" t="s">
        <v>52</v>
      </c>
      <c r="P112" t="s">
        <v>52</v>
      </c>
      <c r="Q112" t="s">
        <v>197</v>
      </c>
      <c r="R112" t="s">
        <v>53</v>
      </c>
      <c r="S112" t="s">
        <v>116</v>
      </c>
      <c r="T112" t="s">
        <v>198</v>
      </c>
      <c r="U112" t="s">
        <v>108</v>
      </c>
    </row>
    <row r="113" spans="1:21" x14ac:dyDescent="0.3">
      <c r="A113" t="s">
        <v>183</v>
      </c>
      <c r="B113" t="s">
        <v>183</v>
      </c>
      <c r="C113" t="s">
        <v>194</v>
      </c>
      <c r="D113">
        <v>1</v>
      </c>
      <c r="E113" t="s">
        <v>107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239</v>
      </c>
      <c r="L113" t="s">
        <v>240</v>
      </c>
      <c r="M113">
        <v>33</v>
      </c>
      <c r="N113">
        <v>9466</v>
      </c>
      <c r="O113" t="s">
        <v>52</v>
      </c>
      <c r="P113" t="s">
        <v>52</v>
      </c>
      <c r="Q113" t="s">
        <v>197</v>
      </c>
      <c r="R113" t="s">
        <v>53</v>
      </c>
      <c r="S113" t="s">
        <v>116</v>
      </c>
      <c r="T113" t="s">
        <v>198</v>
      </c>
      <c r="U113" t="s">
        <v>108</v>
      </c>
    </row>
    <row r="114" spans="1:21" x14ac:dyDescent="0.3">
      <c r="A114" t="s">
        <v>183</v>
      </c>
      <c r="B114" t="s">
        <v>183</v>
      </c>
      <c r="C114" t="s">
        <v>194</v>
      </c>
      <c r="D114">
        <v>1</v>
      </c>
      <c r="E114" t="s">
        <v>107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241</v>
      </c>
      <c r="L114" t="s">
        <v>240</v>
      </c>
      <c r="M114">
        <v>33</v>
      </c>
      <c r="N114">
        <v>9466</v>
      </c>
      <c r="O114" t="s">
        <v>52</v>
      </c>
      <c r="P114" t="s">
        <v>52</v>
      </c>
      <c r="Q114" t="s">
        <v>197</v>
      </c>
      <c r="R114" t="s">
        <v>53</v>
      </c>
      <c r="S114" t="s">
        <v>116</v>
      </c>
      <c r="T114" t="s">
        <v>198</v>
      </c>
      <c r="U114" t="s">
        <v>108</v>
      </c>
    </row>
    <row r="115" spans="1:21" x14ac:dyDescent="0.3">
      <c r="A115" t="s">
        <v>183</v>
      </c>
      <c r="B115" t="s">
        <v>183</v>
      </c>
      <c r="C115" t="s">
        <v>194</v>
      </c>
      <c r="D115">
        <v>1</v>
      </c>
      <c r="E115" t="s">
        <v>107</v>
      </c>
      <c r="F115">
        <v>1</v>
      </c>
      <c r="G115">
        <v>-19</v>
      </c>
      <c r="H115">
        <v>-19</v>
      </c>
      <c r="I115" t="s">
        <v>117</v>
      </c>
      <c r="J115" t="s">
        <v>51</v>
      </c>
      <c r="K115" t="s">
        <v>242</v>
      </c>
      <c r="L115" t="s">
        <v>243</v>
      </c>
      <c r="M115">
        <v>61</v>
      </c>
      <c r="O115" t="s">
        <v>52</v>
      </c>
      <c r="P115" t="s">
        <v>52</v>
      </c>
      <c r="Q115" t="s">
        <v>197</v>
      </c>
      <c r="R115" t="s">
        <v>53</v>
      </c>
      <c r="S115" t="s">
        <v>116</v>
      </c>
      <c r="T115" t="s">
        <v>198</v>
      </c>
      <c r="U115" t="s">
        <v>108</v>
      </c>
    </row>
    <row r="116" spans="1:21" x14ac:dyDescent="0.3">
      <c r="A116" t="s">
        <v>183</v>
      </c>
      <c r="B116" t="s">
        <v>183</v>
      </c>
      <c r="C116" t="s">
        <v>194</v>
      </c>
      <c r="D116">
        <v>1</v>
      </c>
      <c r="E116" t="s">
        <v>107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244</v>
      </c>
      <c r="L116" t="s">
        <v>240</v>
      </c>
      <c r="M116">
        <v>33</v>
      </c>
      <c r="N116">
        <v>9466</v>
      </c>
      <c r="O116" t="s">
        <v>52</v>
      </c>
      <c r="P116" t="s">
        <v>52</v>
      </c>
      <c r="Q116" t="s">
        <v>197</v>
      </c>
      <c r="R116" t="s">
        <v>53</v>
      </c>
      <c r="S116" t="s">
        <v>116</v>
      </c>
      <c r="T116" t="s">
        <v>198</v>
      </c>
      <c r="U116" t="s">
        <v>108</v>
      </c>
    </row>
    <row r="117" spans="1:21" x14ac:dyDescent="0.3">
      <c r="A117" t="s">
        <v>183</v>
      </c>
      <c r="B117" t="s">
        <v>183</v>
      </c>
      <c r="C117" t="s">
        <v>194</v>
      </c>
      <c r="D117">
        <v>1</v>
      </c>
      <c r="E117" t="s">
        <v>107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245</v>
      </c>
      <c r="L117" t="s">
        <v>240</v>
      </c>
      <c r="M117">
        <v>33</v>
      </c>
      <c r="N117">
        <v>9466</v>
      </c>
      <c r="O117" t="s">
        <v>52</v>
      </c>
      <c r="P117" t="s">
        <v>52</v>
      </c>
      <c r="Q117" t="s">
        <v>197</v>
      </c>
      <c r="R117" t="s">
        <v>53</v>
      </c>
      <c r="S117" t="s">
        <v>116</v>
      </c>
      <c r="T117" t="s">
        <v>198</v>
      </c>
      <c r="U117" t="s">
        <v>108</v>
      </c>
    </row>
    <row r="118" spans="1:21" x14ac:dyDescent="0.3">
      <c r="A118" t="s">
        <v>183</v>
      </c>
      <c r="B118" t="s">
        <v>183</v>
      </c>
      <c r="C118" t="s">
        <v>194</v>
      </c>
      <c r="D118">
        <v>2</v>
      </c>
      <c r="E118" t="s">
        <v>118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245</v>
      </c>
      <c r="L118" t="s">
        <v>240</v>
      </c>
      <c r="M118">
        <v>33</v>
      </c>
      <c r="N118">
        <v>9466</v>
      </c>
      <c r="O118" t="s">
        <v>52</v>
      </c>
      <c r="P118" t="s">
        <v>52</v>
      </c>
      <c r="Q118" t="s">
        <v>197</v>
      </c>
      <c r="R118" t="s">
        <v>53</v>
      </c>
      <c r="S118" t="s">
        <v>116</v>
      </c>
      <c r="T118" t="s">
        <v>198</v>
      </c>
      <c r="U118" t="s">
        <v>108</v>
      </c>
    </row>
    <row r="119" spans="1:21" x14ac:dyDescent="0.3">
      <c r="A119" t="s">
        <v>183</v>
      </c>
      <c r="B119" t="s">
        <v>183</v>
      </c>
      <c r="C119" t="s">
        <v>194</v>
      </c>
      <c r="D119">
        <v>2</v>
      </c>
      <c r="E119" t="s">
        <v>118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244</v>
      </c>
      <c r="L119" t="s">
        <v>240</v>
      </c>
      <c r="M119">
        <v>33</v>
      </c>
      <c r="N119">
        <v>9466</v>
      </c>
      <c r="O119" t="s">
        <v>52</v>
      </c>
      <c r="P119" t="s">
        <v>52</v>
      </c>
      <c r="Q119" t="s">
        <v>197</v>
      </c>
      <c r="R119" t="s">
        <v>53</v>
      </c>
      <c r="S119" t="s">
        <v>116</v>
      </c>
      <c r="T119" t="s">
        <v>198</v>
      </c>
      <c r="U119" t="s">
        <v>108</v>
      </c>
    </row>
    <row r="120" spans="1:21" x14ac:dyDescent="0.3">
      <c r="A120" t="s">
        <v>183</v>
      </c>
      <c r="B120" t="s">
        <v>183</v>
      </c>
      <c r="C120" t="s">
        <v>194</v>
      </c>
      <c r="D120">
        <v>2</v>
      </c>
      <c r="E120" t="s">
        <v>118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241</v>
      </c>
      <c r="L120" t="s">
        <v>240</v>
      </c>
      <c r="M120">
        <v>33</v>
      </c>
      <c r="N120">
        <v>9466</v>
      </c>
      <c r="O120" t="s">
        <v>52</v>
      </c>
      <c r="P120" t="s">
        <v>52</v>
      </c>
      <c r="Q120" t="s">
        <v>197</v>
      </c>
      <c r="R120" t="s">
        <v>53</v>
      </c>
      <c r="S120" t="s">
        <v>116</v>
      </c>
      <c r="T120" t="s">
        <v>198</v>
      </c>
      <c r="U120" t="s">
        <v>108</v>
      </c>
    </row>
    <row r="121" spans="1:21" x14ac:dyDescent="0.3">
      <c r="A121" t="s">
        <v>183</v>
      </c>
      <c r="B121" t="s">
        <v>183</v>
      </c>
      <c r="C121" t="s">
        <v>194</v>
      </c>
      <c r="D121">
        <v>2</v>
      </c>
      <c r="E121" t="s">
        <v>118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239</v>
      </c>
      <c r="L121" t="s">
        <v>240</v>
      </c>
      <c r="M121">
        <v>33</v>
      </c>
      <c r="N121">
        <v>9466</v>
      </c>
      <c r="O121" t="s">
        <v>52</v>
      </c>
      <c r="P121" t="s">
        <v>52</v>
      </c>
      <c r="Q121" t="s">
        <v>197</v>
      </c>
      <c r="R121" t="s">
        <v>53</v>
      </c>
      <c r="S121" t="s">
        <v>116</v>
      </c>
      <c r="T121" t="s">
        <v>198</v>
      </c>
      <c r="U121" t="s">
        <v>108</v>
      </c>
    </row>
    <row r="122" spans="1:21" x14ac:dyDescent="0.3">
      <c r="A122" t="s">
        <v>183</v>
      </c>
      <c r="B122" t="s">
        <v>183</v>
      </c>
      <c r="C122" t="s">
        <v>194</v>
      </c>
      <c r="D122">
        <v>3</v>
      </c>
      <c r="E122" t="s">
        <v>105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244</v>
      </c>
      <c r="L122" t="s">
        <v>240</v>
      </c>
      <c r="M122">
        <v>33</v>
      </c>
      <c r="N122">
        <v>9466</v>
      </c>
      <c r="O122" t="s">
        <v>52</v>
      </c>
      <c r="P122" t="s">
        <v>52</v>
      </c>
      <c r="Q122" t="s">
        <v>197</v>
      </c>
      <c r="R122" t="s">
        <v>53</v>
      </c>
      <c r="S122" t="s">
        <v>116</v>
      </c>
      <c r="T122" t="s">
        <v>198</v>
      </c>
      <c r="U122" t="s">
        <v>108</v>
      </c>
    </row>
    <row r="123" spans="1:21" x14ac:dyDescent="0.3">
      <c r="A123" t="s">
        <v>183</v>
      </c>
      <c r="B123" t="s">
        <v>183</v>
      </c>
      <c r="C123" t="s">
        <v>194</v>
      </c>
      <c r="D123">
        <v>3</v>
      </c>
      <c r="E123" t="s">
        <v>105</v>
      </c>
      <c r="F123">
        <v>1</v>
      </c>
      <c r="G123">
        <v>-3</v>
      </c>
      <c r="H123">
        <v>-3</v>
      </c>
      <c r="I123" t="s">
        <v>117</v>
      </c>
      <c r="J123" t="s">
        <v>51</v>
      </c>
      <c r="K123" t="s">
        <v>242</v>
      </c>
      <c r="L123" t="s">
        <v>243</v>
      </c>
      <c r="M123">
        <v>61</v>
      </c>
      <c r="O123" t="s">
        <v>52</v>
      </c>
      <c r="P123" t="s">
        <v>52</v>
      </c>
      <c r="Q123" t="s">
        <v>197</v>
      </c>
      <c r="R123" t="s">
        <v>53</v>
      </c>
      <c r="S123" t="s">
        <v>116</v>
      </c>
      <c r="T123" t="s">
        <v>198</v>
      </c>
      <c r="U123" t="s">
        <v>108</v>
      </c>
    </row>
    <row r="124" spans="1:21" x14ac:dyDescent="0.3">
      <c r="A124" t="s">
        <v>183</v>
      </c>
      <c r="B124" t="s">
        <v>183</v>
      </c>
      <c r="C124" t="s">
        <v>194</v>
      </c>
      <c r="D124">
        <v>3</v>
      </c>
      <c r="E124" t="s">
        <v>105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241</v>
      </c>
      <c r="L124" t="s">
        <v>240</v>
      </c>
      <c r="M124">
        <v>33</v>
      </c>
      <c r="N124">
        <v>9466</v>
      </c>
      <c r="O124" t="s">
        <v>52</v>
      </c>
      <c r="P124" t="s">
        <v>52</v>
      </c>
      <c r="Q124" t="s">
        <v>197</v>
      </c>
      <c r="R124" t="s">
        <v>53</v>
      </c>
      <c r="S124" t="s">
        <v>116</v>
      </c>
      <c r="T124" t="s">
        <v>198</v>
      </c>
      <c r="U124" t="s">
        <v>108</v>
      </c>
    </row>
    <row r="125" spans="1:21" x14ac:dyDescent="0.3">
      <c r="A125" t="s">
        <v>183</v>
      </c>
      <c r="B125" t="s">
        <v>183</v>
      </c>
      <c r="C125" t="s">
        <v>194</v>
      </c>
      <c r="D125">
        <v>3</v>
      </c>
      <c r="E125" t="s">
        <v>105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245</v>
      </c>
      <c r="L125" t="s">
        <v>240</v>
      </c>
      <c r="M125">
        <v>33</v>
      </c>
      <c r="N125">
        <v>9466</v>
      </c>
      <c r="O125" t="s">
        <v>52</v>
      </c>
      <c r="P125" t="s">
        <v>52</v>
      </c>
      <c r="Q125" t="s">
        <v>197</v>
      </c>
      <c r="R125" t="s">
        <v>53</v>
      </c>
      <c r="S125" t="s">
        <v>116</v>
      </c>
      <c r="T125" t="s">
        <v>198</v>
      </c>
      <c r="U125" t="s">
        <v>108</v>
      </c>
    </row>
    <row r="126" spans="1:21" x14ac:dyDescent="0.3">
      <c r="A126" t="s">
        <v>183</v>
      </c>
      <c r="B126" t="s">
        <v>183</v>
      </c>
      <c r="C126" t="s">
        <v>194</v>
      </c>
      <c r="D126">
        <v>3</v>
      </c>
      <c r="E126" t="s">
        <v>105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239</v>
      </c>
      <c r="L126" t="s">
        <v>240</v>
      </c>
      <c r="M126">
        <v>33</v>
      </c>
      <c r="N126">
        <v>9466</v>
      </c>
      <c r="O126" t="s">
        <v>52</v>
      </c>
      <c r="P126" t="s">
        <v>52</v>
      </c>
      <c r="Q126" t="s">
        <v>197</v>
      </c>
      <c r="R126" t="s">
        <v>53</v>
      </c>
      <c r="S126" t="s">
        <v>116</v>
      </c>
      <c r="T126" t="s">
        <v>198</v>
      </c>
      <c r="U126" t="s">
        <v>108</v>
      </c>
    </row>
    <row r="127" spans="1:21" x14ac:dyDescent="0.3">
      <c r="A127" t="s">
        <v>183</v>
      </c>
      <c r="B127" t="s">
        <v>183</v>
      </c>
      <c r="C127" t="s">
        <v>194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245</v>
      </c>
      <c r="L127" t="s">
        <v>240</v>
      </c>
      <c r="M127">
        <v>33</v>
      </c>
      <c r="N127">
        <v>9466</v>
      </c>
      <c r="O127" t="s">
        <v>52</v>
      </c>
      <c r="P127" t="s">
        <v>52</v>
      </c>
      <c r="Q127" t="s">
        <v>197</v>
      </c>
      <c r="R127" t="s">
        <v>53</v>
      </c>
      <c r="S127" t="s">
        <v>116</v>
      </c>
      <c r="T127" t="s">
        <v>198</v>
      </c>
      <c r="U127" t="s">
        <v>108</v>
      </c>
    </row>
    <row r="128" spans="1:21" x14ac:dyDescent="0.3">
      <c r="A128" t="s">
        <v>183</v>
      </c>
      <c r="B128" t="s">
        <v>183</v>
      </c>
      <c r="C128" t="s">
        <v>194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117</v>
      </c>
      <c r="J128" t="s">
        <v>51</v>
      </c>
      <c r="K128" t="s">
        <v>242</v>
      </c>
      <c r="L128" t="s">
        <v>243</v>
      </c>
      <c r="M128">
        <v>61</v>
      </c>
      <c r="O128" t="s">
        <v>52</v>
      </c>
      <c r="P128" t="s">
        <v>52</v>
      </c>
      <c r="Q128" t="s">
        <v>197</v>
      </c>
      <c r="R128" t="s">
        <v>53</v>
      </c>
      <c r="S128" t="s">
        <v>116</v>
      </c>
      <c r="T128" t="s">
        <v>198</v>
      </c>
      <c r="U128" t="s">
        <v>108</v>
      </c>
    </row>
    <row r="129" spans="1:21" x14ac:dyDescent="0.3">
      <c r="A129" t="s">
        <v>183</v>
      </c>
      <c r="B129" t="s">
        <v>183</v>
      </c>
      <c r="C129" t="s">
        <v>194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244</v>
      </c>
      <c r="L129" t="s">
        <v>240</v>
      </c>
      <c r="M129">
        <v>33</v>
      </c>
      <c r="N129">
        <v>9466</v>
      </c>
      <c r="O129" t="s">
        <v>52</v>
      </c>
      <c r="P129" t="s">
        <v>52</v>
      </c>
      <c r="Q129" t="s">
        <v>197</v>
      </c>
      <c r="R129" t="s">
        <v>53</v>
      </c>
      <c r="S129" t="s">
        <v>116</v>
      </c>
      <c r="T129" t="s">
        <v>198</v>
      </c>
      <c r="U129" t="s">
        <v>108</v>
      </c>
    </row>
    <row r="130" spans="1:21" x14ac:dyDescent="0.3">
      <c r="A130" t="s">
        <v>183</v>
      </c>
      <c r="B130" t="s">
        <v>183</v>
      </c>
      <c r="C130" t="s">
        <v>194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241</v>
      </c>
      <c r="L130" t="s">
        <v>240</v>
      </c>
      <c r="M130">
        <v>33</v>
      </c>
      <c r="N130">
        <v>9466</v>
      </c>
      <c r="O130" t="s">
        <v>52</v>
      </c>
      <c r="P130" t="s">
        <v>52</v>
      </c>
      <c r="Q130" t="s">
        <v>197</v>
      </c>
      <c r="R130" t="s">
        <v>53</v>
      </c>
      <c r="S130" t="s">
        <v>116</v>
      </c>
      <c r="T130" t="s">
        <v>198</v>
      </c>
      <c r="U130" t="s">
        <v>108</v>
      </c>
    </row>
    <row r="131" spans="1:21" x14ac:dyDescent="0.3">
      <c r="A131" t="s">
        <v>183</v>
      </c>
      <c r="B131" t="s">
        <v>183</v>
      </c>
      <c r="C131" t="s">
        <v>194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239</v>
      </c>
      <c r="L131" t="s">
        <v>240</v>
      </c>
      <c r="M131">
        <v>33</v>
      </c>
      <c r="N131">
        <v>9466</v>
      </c>
      <c r="O131" t="s">
        <v>52</v>
      </c>
      <c r="P131" t="s">
        <v>52</v>
      </c>
      <c r="Q131" t="s">
        <v>197</v>
      </c>
      <c r="R131" t="s">
        <v>53</v>
      </c>
      <c r="S131" t="s">
        <v>116</v>
      </c>
      <c r="T131" t="s">
        <v>198</v>
      </c>
      <c r="U131" t="s">
        <v>108</v>
      </c>
    </row>
    <row r="132" spans="1:21" x14ac:dyDescent="0.3">
      <c r="A132" t="s">
        <v>183</v>
      </c>
      <c r="B132" t="s">
        <v>183</v>
      </c>
      <c r="C132" t="s">
        <v>194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241</v>
      </c>
      <c r="L132" t="s">
        <v>240</v>
      </c>
      <c r="M132">
        <v>33</v>
      </c>
      <c r="N132">
        <v>9466</v>
      </c>
      <c r="O132" t="s">
        <v>52</v>
      </c>
      <c r="P132" t="s">
        <v>52</v>
      </c>
      <c r="Q132" t="s">
        <v>197</v>
      </c>
      <c r="R132" t="s">
        <v>53</v>
      </c>
      <c r="S132" t="s">
        <v>116</v>
      </c>
      <c r="T132" t="s">
        <v>198</v>
      </c>
      <c r="U132" t="s">
        <v>108</v>
      </c>
    </row>
    <row r="133" spans="1:21" x14ac:dyDescent="0.3">
      <c r="A133" t="s">
        <v>183</v>
      </c>
      <c r="B133" t="s">
        <v>183</v>
      </c>
      <c r="C133" t="s">
        <v>194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244</v>
      </c>
      <c r="L133" t="s">
        <v>240</v>
      </c>
      <c r="M133">
        <v>33</v>
      </c>
      <c r="N133">
        <v>9466</v>
      </c>
      <c r="O133" t="s">
        <v>52</v>
      </c>
      <c r="P133" t="s">
        <v>52</v>
      </c>
      <c r="Q133" t="s">
        <v>197</v>
      </c>
      <c r="R133" t="s">
        <v>53</v>
      </c>
      <c r="S133" t="s">
        <v>116</v>
      </c>
      <c r="T133" t="s">
        <v>198</v>
      </c>
      <c r="U133" t="s">
        <v>108</v>
      </c>
    </row>
    <row r="134" spans="1:21" x14ac:dyDescent="0.3">
      <c r="A134" t="s">
        <v>183</v>
      </c>
      <c r="B134" t="s">
        <v>183</v>
      </c>
      <c r="C134" t="s">
        <v>194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245</v>
      </c>
      <c r="L134" t="s">
        <v>240</v>
      </c>
      <c r="M134">
        <v>33</v>
      </c>
      <c r="N134">
        <v>9466</v>
      </c>
      <c r="O134" t="s">
        <v>52</v>
      </c>
      <c r="P134" t="s">
        <v>52</v>
      </c>
      <c r="Q134" t="s">
        <v>197</v>
      </c>
      <c r="R134" t="s">
        <v>53</v>
      </c>
      <c r="S134" t="s">
        <v>116</v>
      </c>
      <c r="T134" t="s">
        <v>198</v>
      </c>
      <c r="U134" t="s">
        <v>108</v>
      </c>
    </row>
    <row r="135" spans="1:21" x14ac:dyDescent="0.3">
      <c r="A135" t="s">
        <v>183</v>
      </c>
      <c r="B135" t="s">
        <v>183</v>
      </c>
      <c r="C135" t="s">
        <v>194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239</v>
      </c>
      <c r="L135" t="s">
        <v>240</v>
      </c>
      <c r="M135">
        <v>33</v>
      </c>
      <c r="N135">
        <v>9466</v>
      </c>
      <c r="O135" t="s">
        <v>52</v>
      </c>
      <c r="P135" t="s">
        <v>52</v>
      </c>
      <c r="Q135" t="s">
        <v>197</v>
      </c>
      <c r="R135" t="s">
        <v>53</v>
      </c>
      <c r="S135" t="s">
        <v>116</v>
      </c>
      <c r="T135" t="s">
        <v>198</v>
      </c>
      <c r="U135" t="s">
        <v>108</v>
      </c>
    </row>
    <row r="136" spans="1:21" x14ac:dyDescent="0.3">
      <c r="A136" t="s">
        <v>188</v>
      </c>
      <c r="B136" t="s">
        <v>188</v>
      </c>
      <c r="C136" t="s">
        <v>194</v>
      </c>
      <c r="D136">
        <v>1</v>
      </c>
      <c r="E136" t="s">
        <v>107</v>
      </c>
      <c r="F136">
        <v>1</v>
      </c>
      <c r="G136">
        <v>-6</v>
      </c>
      <c r="H136">
        <v>-6</v>
      </c>
      <c r="I136" t="s">
        <v>119</v>
      </c>
      <c r="J136" t="s">
        <v>58</v>
      </c>
      <c r="K136" t="s">
        <v>246</v>
      </c>
      <c r="L136" t="s">
        <v>247</v>
      </c>
      <c r="M136">
        <v>61</v>
      </c>
      <c r="O136" t="s">
        <v>52</v>
      </c>
      <c r="P136" t="s">
        <v>52</v>
      </c>
      <c r="Q136" t="s">
        <v>197</v>
      </c>
      <c r="R136" t="s">
        <v>53</v>
      </c>
      <c r="S136" t="s">
        <v>116</v>
      </c>
      <c r="T136" t="s">
        <v>198</v>
      </c>
      <c r="U136" t="s">
        <v>108</v>
      </c>
    </row>
    <row r="137" spans="1:21" x14ac:dyDescent="0.3">
      <c r="A137" t="s">
        <v>188</v>
      </c>
      <c r="B137" t="s">
        <v>188</v>
      </c>
      <c r="C137" t="s">
        <v>194</v>
      </c>
      <c r="D137">
        <v>1</v>
      </c>
      <c r="E137" t="s">
        <v>107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248</v>
      </c>
      <c r="L137" t="s">
        <v>249</v>
      </c>
      <c r="M137">
        <v>33</v>
      </c>
      <c r="N137">
        <v>9996</v>
      </c>
      <c r="O137" t="s">
        <v>52</v>
      </c>
      <c r="P137" t="s">
        <v>52</v>
      </c>
      <c r="Q137" t="s">
        <v>197</v>
      </c>
      <c r="R137" t="s">
        <v>53</v>
      </c>
      <c r="S137" t="s">
        <v>116</v>
      </c>
      <c r="T137" t="s">
        <v>198</v>
      </c>
      <c r="U137" t="s">
        <v>108</v>
      </c>
    </row>
    <row r="138" spans="1:21" x14ac:dyDescent="0.3">
      <c r="A138" t="s">
        <v>188</v>
      </c>
      <c r="B138" t="s">
        <v>188</v>
      </c>
      <c r="C138" t="s">
        <v>194</v>
      </c>
      <c r="D138">
        <v>1</v>
      </c>
      <c r="E138" t="s">
        <v>107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250</v>
      </c>
      <c r="L138" t="s">
        <v>249</v>
      </c>
      <c r="M138">
        <v>33</v>
      </c>
      <c r="N138">
        <v>9996</v>
      </c>
      <c r="O138" t="s">
        <v>52</v>
      </c>
      <c r="P138" t="s">
        <v>52</v>
      </c>
      <c r="Q138" t="s">
        <v>197</v>
      </c>
      <c r="R138" t="s">
        <v>53</v>
      </c>
      <c r="S138" t="s">
        <v>116</v>
      </c>
      <c r="T138" t="s">
        <v>198</v>
      </c>
      <c r="U138" t="s">
        <v>108</v>
      </c>
    </row>
    <row r="139" spans="1:21" x14ac:dyDescent="0.3">
      <c r="A139" t="s">
        <v>188</v>
      </c>
      <c r="B139" t="s">
        <v>188</v>
      </c>
      <c r="C139" t="s">
        <v>194</v>
      </c>
      <c r="D139">
        <v>1</v>
      </c>
      <c r="E139" t="s">
        <v>107</v>
      </c>
      <c r="F139">
        <v>1</v>
      </c>
      <c r="G139">
        <v>-415</v>
      </c>
      <c r="H139">
        <v>-415</v>
      </c>
      <c r="I139" t="s">
        <v>117</v>
      </c>
      <c r="J139" t="s">
        <v>51</v>
      </c>
      <c r="K139" t="s">
        <v>251</v>
      </c>
      <c r="L139" t="s">
        <v>247</v>
      </c>
      <c r="M139">
        <v>61</v>
      </c>
      <c r="O139" t="s">
        <v>52</v>
      </c>
      <c r="P139" t="s">
        <v>52</v>
      </c>
      <c r="Q139" t="s">
        <v>197</v>
      </c>
      <c r="R139" t="s">
        <v>53</v>
      </c>
      <c r="S139" t="s">
        <v>116</v>
      </c>
      <c r="T139" t="s">
        <v>198</v>
      </c>
      <c r="U139" t="s">
        <v>108</v>
      </c>
    </row>
    <row r="140" spans="1:21" x14ac:dyDescent="0.3">
      <c r="A140" t="s">
        <v>188</v>
      </c>
      <c r="B140" t="s">
        <v>193</v>
      </c>
      <c r="C140" t="s">
        <v>194</v>
      </c>
      <c r="D140">
        <v>1</v>
      </c>
      <c r="E140" t="s">
        <v>107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252</v>
      </c>
      <c r="L140" t="s">
        <v>249</v>
      </c>
      <c r="M140">
        <v>33</v>
      </c>
      <c r="N140">
        <v>9996</v>
      </c>
      <c r="O140" t="s">
        <v>52</v>
      </c>
      <c r="P140" t="s">
        <v>52</v>
      </c>
      <c r="Q140" t="s">
        <v>197</v>
      </c>
      <c r="R140" t="s">
        <v>53</v>
      </c>
      <c r="S140" t="s">
        <v>116</v>
      </c>
      <c r="T140" t="s">
        <v>198</v>
      </c>
      <c r="U140" t="s">
        <v>108</v>
      </c>
    </row>
    <row r="141" spans="1:21" x14ac:dyDescent="0.3">
      <c r="A141" t="s">
        <v>188</v>
      </c>
      <c r="B141" t="s">
        <v>193</v>
      </c>
      <c r="C141" t="s">
        <v>194</v>
      </c>
      <c r="D141">
        <v>1</v>
      </c>
      <c r="E141" t="s">
        <v>107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253</v>
      </c>
      <c r="L141" t="s">
        <v>249</v>
      </c>
      <c r="M141">
        <v>33</v>
      </c>
      <c r="N141">
        <v>9996</v>
      </c>
      <c r="O141" t="s">
        <v>52</v>
      </c>
      <c r="P141" t="s">
        <v>52</v>
      </c>
      <c r="Q141" t="s">
        <v>197</v>
      </c>
      <c r="R141" t="s">
        <v>53</v>
      </c>
      <c r="S141" t="s">
        <v>116</v>
      </c>
      <c r="T141" t="s">
        <v>198</v>
      </c>
      <c r="U141" t="s">
        <v>108</v>
      </c>
    </row>
    <row r="142" spans="1:21" x14ac:dyDescent="0.3">
      <c r="A142" t="s">
        <v>188</v>
      </c>
      <c r="B142" t="s">
        <v>193</v>
      </c>
      <c r="C142" t="s">
        <v>194</v>
      </c>
      <c r="D142">
        <v>2</v>
      </c>
      <c r="E142" t="s">
        <v>118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253</v>
      </c>
      <c r="L142" t="s">
        <v>249</v>
      </c>
      <c r="M142">
        <v>33</v>
      </c>
      <c r="N142">
        <v>9996</v>
      </c>
      <c r="O142" t="s">
        <v>52</v>
      </c>
      <c r="P142" t="s">
        <v>52</v>
      </c>
      <c r="Q142" t="s">
        <v>197</v>
      </c>
      <c r="R142" t="s">
        <v>53</v>
      </c>
      <c r="S142" t="s">
        <v>116</v>
      </c>
      <c r="T142" t="s">
        <v>198</v>
      </c>
      <c r="U142" t="s">
        <v>108</v>
      </c>
    </row>
    <row r="143" spans="1:21" x14ac:dyDescent="0.3">
      <c r="A143" t="s">
        <v>188</v>
      </c>
      <c r="B143" t="s">
        <v>193</v>
      </c>
      <c r="C143" t="s">
        <v>194</v>
      </c>
      <c r="D143">
        <v>2</v>
      </c>
      <c r="E143" t="s">
        <v>118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252</v>
      </c>
      <c r="L143" t="s">
        <v>249</v>
      </c>
      <c r="M143">
        <v>33</v>
      </c>
      <c r="N143">
        <v>9996</v>
      </c>
      <c r="O143" t="s">
        <v>52</v>
      </c>
      <c r="P143" t="s">
        <v>52</v>
      </c>
      <c r="Q143" t="s">
        <v>197</v>
      </c>
      <c r="R143" t="s">
        <v>53</v>
      </c>
      <c r="S143" t="s">
        <v>116</v>
      </c>
      <c r="T143" t="s">
        <v>198</v>
      </c>
      <c r="U143" t="s">
        <v>108</v>
      </c>
    </row>
    <row r="144" spans="1:21" x14ac:dyDescent="0.3">
      <c r="A144" t="s">
        <v>188</v>
      </c>
      <c r="B144" t="s">
        <v>188</v>
      </c>
      <c r="C144" t="s">
        <v>194</v>
      </c>
      <c r="D144">
        <v>2</v>
      </c>
      <c r="E144" t="s">
        <v>118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248</v>
      </c>
      <c r="L144" t="s">
        <v>249</v>
      </c>
      <c r="M144">
        <v>33</v>
      </c>
      <c r="N144">
        <v>9996</v>
      </c>
      <c r="O144" t="s">
        <v>52</v>
      </c>
      <c r="P144" t="s">
        <v>52</v>
      </c>
      <c r="Q144" t="s">
        <v>197</v>
      </c>
      <c r="R144" t="s">
        <v>53</v>
      </c>
      <c r="S144" t="s">
        <v>116</v>
      </c>
      <c r="T144" t="s">
        <v>198</v>
      </c>
      <c r="U144" t="s">
        <v>108</v>
      </c>
    </row>
    <row r="145" spans="1:21" x14ac:dyDescent="0.3">
      <c r="A145" t="s">
        <v>188</v>
      </c>
      <c r="B145" t="s">
        <v>188</v>
      </c>
      <c r="C145" t="s">
        <v>194</v>
      </c>
      <c r="D145">
        <v>2</v>
      </c>
      <c r="E145" t="s">
        <v>118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250</v>
      </c>
      <c r="L145" t="s">
        <v>249</v>
      </c>
      <c r="M145">
        <v>33</v>
      </c>
      <c r="N145">
        <v>9996</v>
      </c>
      <c r="O145" t="s">
        <v>52</v>
      </c>
      <c r="P145" t="s">
        <v>52</v>
      </c>
      <c r="Q145" t="s">
        <v>197</v>
      </c>
      <c r="R145" t="s">
        <v>53</v>
      </c>
      <c r="S145" t="s">
        <v>116</v>
      </c>
      <c r="T145" t="s">
        <v>198</v>
      </c>
      <c r="U145" t="s">
        <v>108</v>
      </c>
    </row>
    <row r="146" spans="1:21" x14ac:dyDescent="0.3">
      <c r="A146" t="s">
        <v>188</v>
      </c>
      <c r="B146" t="s">
        <v>188</v>
      </c>
      <c r="C146" t="s">
        <v>194</v>
      </c>
      <c r="D146">
        <v>2</v>
      </c>
      <c r="E146" t="s">
        <v>118</v>
      </c>
      <c r="F146">
        <v>1</v>
      </c>
      <c r="G146">
        <v>-2</v>
      </c>
      <c r="H146">
        <v>-2</v>
      </c>
      <c r="I146" t="s">
        <v>117</v>
      </c>
      <c r="J146" t="s">
        <v>51</v>
      </c>
      <c r="K146" t="s">
        <v>251</v>
      </c>
      <c r="L146" t="s">
        <v>247</v>
      </c>
      <c r="M146">
        <v>61</v>
      </c>
      <c r="O146" t="s">
        <v>52</v>
      </c>
      <c r="P146" t="s">
        <v>52</v>
      </c>
      <c r="Q146" t="s">
        <v>197</v>
      </c>
      <c r="R146" t="s">
        <v>53</v>
      </c>
      <c r="S146" t="s">
        <v>116</v>
      </c>
      <c r="T146" t="s">
        <v>198</v>
      </c>
      <c r="U146" t="s">
        <v>108</v>
      </c>
    </row>
    <row r="147" spans="1:21" x14ac:dyDescent="0.3">
      <c r="A147" t="s">
        <v>188</v>
      </c>
      <c r="B147" t="s">
        <v>188</v>
      </c>
      <c r="C147" t="s">
        <v>194</v>
      </c>
      <c r="D147">
        <v>3</v>
      </c>
      <c r="E147" t="s">
        <v>105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250</v>
      </c>
      <c r="L147" t="s">
        <v>249</v>
      </c>
      <c r="M147">
        <v>33</v>
      </c>
      <c r="N147">
        <v>9996</v>
      </c>
      <c r="O147" t="s">
        <v>52</v>
      </c>
      <c r="P147" t="s">
        <v>52</v>
      </c>
      <c r="Q147" t="s">
        <v>197</v>
      </c>
      <c r="R147" t="s">
        <v>53</v>
      </c>
      <c r="S147" t="s">
        <v>116</v>
      </c>
      <c r="T147" t="s">
        <v>198</v>
      </c>
      <c r="U147" t="s">
        <v>108</v>
      </c>
    </row>
    <row r="148" spans="1:21" x14ac:dyDescent="0.3">
      <c r="A148" t="s">
        <v>188</v>
      </c>
      <c r="B148" t="s">
        <v>188</v>
      </c>
      <c r="C148" t="s">
        <v>194</v>
      </c>
      <c r="D148">
        <v>3</v>
      </c>
      <c r="E148" t="s">
        <v>105</v>
      </c>
      <c r="F148">
        <v>1</v>
      </c>
      <c r="G148">
        <v>-80</v>
      </c>
      <c r="H148">
        <v>-80</v>
      </c>
      <c r="I148" t="s">
        <v>117</v>
      </c>
      <c r="J148" t="s">
        <v>51</v>
      </c>
      <c r="K148" t="s">
        <v>251</v>
      </c>
      <c r="L148" t="s">
        <v>247</v>
      </c>
      <c r="M148">
        <v>61</v>
      </c>
      <c r="O148" t="s">
        <v>52</v>
      </c>
      <c r="P148" t="s">
        <v>52</v>
      </c>
      <c r="Q148" t="s">
        <v>197</v>
      </c>
      <c r="R148" t="s">
        <v>53</v>
      </c>
      <c r="S148" t="s">
        <v>116</v>
      </c>
      <c r="T148" t="s">
        <v>198</v>
      </c>
      <c r="U148" t="s">
        <v>108</v>
      </c>
    </row>
    <row r="149" spans="1:21" x14ac:dyDescent="0.3">
      <c r="A149" t="s">
        <v>188</v>
      </c>
      <c r="B149" t="s">
        <v>193</v>
      </c>
      <c r="C149" t="s">
        <v>194</v>
      </c>
      <c r="D149">
        <v>3</v>
      </c>
      <c r="E149" t="s">
        <v>105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253</v>
      </c>
      <c r="L149" t="s">
        <v>249</v>
      </c>
      <c r="M149">
        <v>33</v>
      </c>
      <c r="N149">
        <v>9996</v>
      </c>
      <c r="O149" t="s">
        <v>52</v>
      </c>
      <c r="P149" t="s">
        <v>52</v>
      </c>
      <c r="Q149" t="s">
        <v>197</v>
      </c>
      <c r="R149" t="s">
        <v>53</v>
      </c>
      <c r="S149" t="s">
        <v>116</v>
      </c>
      <c r="T149" t="s">
        <v>198</v>
      </c>
      <c r="U149" t="s">
        <v>108</v>
      </c>
    </row>
    <row r="150" spans="1:21" x14ac:dyDescent="0.3">
      <c r="A150" t="s">
        <v>188</v>
      </c>
      <c r="B150" t="s">
        <v>188</v>
      </c>
      <c r="C150" t="s">
        <v>194</v>
      </c>
      <c r="D150">
        <v>3</v>
      </c>
      <c r="E150" t="s">
        <v>105</v>
      </c>
      <c r="F150">
        <v>1</v>
      </c>
      <c r="G150">
        <v>-1</v>
      </c>
      <c r="H150">
        <v>-1</v>
      </c>
      <c r="I150" t="s">
        <v>119</v>
      </c>
      <c r="J150" t="s">
        <v>58</v>
      </c>
      <c r="K150" t="s">
        <v>246</v>
      </c>
      <c r="L150" t="s">
        <v>247</v>
      </c>
      <c r="M150">
        <v>61</v>
      </c>
      <c r="O150" t="s">
        <v>52</v>
      </c>
      <c r="P150" t="s">
        <v>52</v>
      </c>
      <c r="Q150" t="s">
        <v>197</v>
      </c>
      <c r="R150" t="s">
        <v>53</v>
      </c>
      <c r="S150" t="s">
        <v>116</v>
      </c>
      <c r="T150" t="s">
        <v>198</v>
      </c>
      <c r="U150" t="s">
        <v>108</v>
      </c>
    </row>
    <row r="151" spans="1:21" x14ac:dyDescent="0.3">
      <c r="A151" t="s">
        <v>188</v>
      </c>
      <c r="B151" t="s">
        <v>188</v>
      </c>
      <c r="C151" t="s">
        <v>194</v>
      </c>
      <c r="D151">
        <v>3</v>
      </c>
      <c r="E151" t="s">
        <v>105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248</v>
      </c>
      <c r="L151" t="s">
        <v>249</v>
      </c>
      <c r="M151">
        <v>33</v>
      </c>
      <c r="N151">
        <v>9996</v>
      </c>
      <c r="O151" t="s">
        <v>52</v>
      </c>
      <c r="P151" t="s">
        <v>52</v>
      </c>
      <c r="Q151" t="s">
        <v>197</v>
      </c>
      <c r="R151" t="s">
        <v>53</v>
      </c>
      <c r="S151" t="s">
        <v>116</v>
      </c>
      <c r="T151" t="s">
        <v>198</v>
      </c>
      <c r="U151" t="s">
        <v>108</v>
      </c>
    </row>
    <row r="152" spans="1:21" x14ac:dyDescent="0.3">
      <c r="A152" t="s">
        <v>188</v>
      </c>
      <c r="B152" t="s">
        <v>193</v>
      </c>
      <c r="C152" t="s">
        <v>194</v>
      </c>
      <c r="D152">
        <v>3</v>
      </c>
      <c r="E152" t="s">
        <v>105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252</v>
      </c>
      <c r="L152" t="s">
        <v>249</v>
      </c>
      <c r="M152">
        <v>33</v>
      </c>
      <c r="N152">
        <v>9996</v>
      </c>
      <c r="O152" t="s">
        <v>52</v>
      </c>
      <c r="P152" t="s">
        <v>52</v>
      </c>
      <c r="Q152" t="s">
        <v>197</v>
      </c>
      <c r="R152" t="s">
        <v>53</v>
      </c>
      <c r="S152" t="s">
        <v>116</v>
      </c>
      <c r="T152" t="s">
        <v>198</v>
      </c>
      <c r="U152" t="s">
        <v>108</v>
      </c>
    </row>
    <row r="153" spans="1:21" x14ac:dyDescent="0.3">
      <c r="A153" t="s">
        <v>188</v>
      </c>
      <c r="B153" t="s">
        <v>188</v>
      </c>
      <c r="C153" t="s">
        <v>194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248</v>
      </c>
      <c r="L153" t="s">
        <v>249</v>
      </c>
      <c r="M153">
        <v>33</v>
      </c>
      <c r="N153">
        <v>9996</v>
      </c>
      <c r="O153" t="s">
        <v>52</v>
      </c>
      <c r="P153" t="s">
        <v>52</v>
      </c>
      <c r="Q153" t="s">
        <v>197</v>
      </c>
      <c r="R153" t="s">
        <v>53</v>
      </c>
      <c r="S153" t="s">
        <v>116</v>
      </c>
      <c r="T153" t="s">
        <v>198</v>
      </c>
      <c r="U153" t="s">
        <v>108</v>
      </c>
    </row>
    <row r="154" spans="1:21" x14ac:dyDescent="0.3">
      <c r="A154" t="s">
        <v>188</v>
      </c>
      <c r="B154" t="s">
        <v>188</v>
      </c>
      <c r="C154" t="s">
        <v>194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117</v>
      </c>
      <c r="J154" t="s">
        <v>51</v>
      </c>
      <c r="K154" t="s">
        <v>251</v>
      </c>
      <c r="L154" t="s">
        <v>247</v>
      </c>
      <c r="M154">
        <v>61</v>
      </c>
      <c r="O154" t="s">
        <v>52</v>
      </c>
      <c r="P154" t="s">
        <v>52</v>
      </c>
      <c r="Q154" t="s">
        <v>197</v>
      </c>
      <c r="R154" t="s">
        <v>53</v>
      </c>
      <c r="S154" t="s">
        <v>116</v>
      </c>
      <c r="T154" t="s">
        <v>198</v>
      </c>
      <c r="U154" t="s">
        <v>108</v>
      </c>
    </row>
    <row r="155" spans="1:21" x14ac:dyDescent="0.3">
      <c r="A155" t="s">
        <v>188</v>
      </c>
      <c r="B155" t="s">
        <v>188</v>
      </c>
      <c r="C155" t="s">
        <v>194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250</v>
      </c>
      <c r="L155" t="s">
        <v>249</v>
      </c>
      <c r="M155">
        <v>33</v>
      </c>
      <c r="N155">
        <v>9996</v>
      </c>
      <c r="O155" t="s">
        <v>52</v>
      </c>
      <c r="P155" t="s">
        <v>52</v>
      </c>
      <c r="Q155" t="s">
        <v>197</v>
      </c>
      <c r="R155" t="s">
        <v>53</v>
      </c>
      <c r="S155" t="s">
        <v>116</v>
      </c>
      <c r="T155" t="s">
        <v>198</v>
      </c>
      <c r="U155" t="s">
        <v>108</v>
      </c>
    </row>
    <row r="156" spans="1:21" x14ac:dyDescent="0.3">
      <c r="A156" t="s">
        <v>188</v>
      </c>
      <c r="B156" t="s">
        <v>188</v>
      </c>
      <c r="C156" t="s">
        <v>194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119</v>
      </c>
      <c r="J156" t="s">
        <v>58</v>
      </c>
      <c r="K156" t="s">
        <v>246</v>
      </c>
      <c r="L156" t="s">
        <v>247</v>
      </c>
      <c r="M156">
        <v>61</v>
      </c>
      <c r="O156" t="s">
        <v>52</v>
      </c>
      <c r="P156" t="s">
        <v>52</v>
      </c>
      <c r="Q156" t="s">
        <v>197</v>
      </c>
      <c r="R156" t="s">
        <v>53</v>
      </c>
      <c r="S156" t="s">
        <v>116</v>
      </c>
      <c r="T156" t="s">
        <v>198</v>
      </c>
      <c r="U156" t="s">
        <v>108</v>
      </c>
    </row>
    <row r="157" spans="1:21" x14ac:dyDescent="0.3">
      <c r="A157" t="s">
        <v>188</v>
      </c>
      <c r="B157" t="s">
        <v>193</v>
      </c>
      <c r="C157" t="s">
        <v>194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252</v>
      </c>
      <c r="L157" t="s">
        <v>249</v>
      </c>
      <c r="M157">
        <v>33</v>
      </c>
      <c r="N157">
        <v>9996</v>
      </c>
      <c r="O157" t="s">
        <v>52</v>
      </c>
      <c r="P157" t="s">
        <v>52</v>
      </c>
      <c r="Q157" t="s">
        <v>197</v>
      </c>
      <c r="R157" t="s">
        <v>53</v>
      </c>
      <c r="S157" t="s">
        <v>116</v>
      </c>
      <c r="T157" t="s">
        <v>198</v>
      </c>
      <c r="U157" t="s">
        <v>108</v>
      </c>
    </row>
    <row r="158" spans="1:21" x14ac:dyDescent="0.3">
      <c r="A158" t="s">
        <v>188</v>
      </c>
      <c r="B158" t="s">
        <v>193</v>
      </c>
      <c r="C158" t="s">
        <v>194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253</v>
      </c>
      <c r="L158" t="s">
        <v>249</v>
      </c>
      <c r="M158">
        <v>33</v>
      </c>
      <c r="N158">
        <v>9996</v>
      </c>
      <c r="O158" t="s">
        <v>52</v>
      </c>
      <c r="P158" t="s">
        <v>52</v>
      </c>
      <c r="Q158" t="s">
        <v>197</v>
      </c>
      <c r="R158" t="s">
        <v>53</v>
      </c>
      <c r="S158" t="s">
        <v>116</v>
      </c>
      <c r="T158" t="s">
        <v>198</v>
      </c>
      <c r="U158" t="s">
        <v>108</v>
      </c>
    </row>
    <row r="159" spans="1:21" x14ac:dyDescent="0.3">
      <c r="A159" t="s">
        <v>188</v>
      </c>
      <c r="B159" t="s">
        <v>193</v>
      </c>
      <c r="C159" t="s">
        <v>194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253</v>
      </c>
      <c r="L159" t="s">
        <v>249</v>
      </c>
      <c r="M159">
        <v>33</v>
      </c>
      <c r="N159">
        <v>9996</v>
      </c>
      <c r="O159" t="s">
        <v>52</v>
      </c>
      <c r="P159" t="s">
        <v>52</v>
      </c>
      <c r="Q159" t="s">
        <v>197</v>
      </c>
      <c r="R159" t="s">
        <v>53</v>
      </c>
      <c r="S159" t="s">
        <v>116</v>
      </c>
      <c r="T159" t="s">
        <v>198</v>
      </c>
      <c r="U159" t="s">
        <v>108</v>
      </c>
    </row>
    <row r="160" spans="1:21" x14ac:dyDescent="0.3">
      <c r="A160" t="s">
        <v>188</v>
      </c>
      <c r="B160" t="s">
        <v>188</v>
      </c>
      <c r="C160" t="s">
        <v>194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117</v>
      </c>
      <c r="J160" t="s">
        <v>51</v>
      </c>
      <c r="K160" t="s">
        <v>251</v>
      </c>
      <c r="L160" t="s">
        <v>247</v>
      </c>
      <c r="M160">
        <v>61</v>
      </c>
      <c r="O160" t="s">
        <v>52</v>
      </c>
      <c r="P160" t="s">
        <v>52</v>
      </c>
      <c r="Q160" t="s">
        <v>197</v>
      </c>
      <c r="R160" t="s">
        <v>53</v>
      </c>
      <c r="S160" t="s">
        <v>116</v>
      </c>
      <c r="T160" t="s">
        <v>198</v>
      </c>
      <c r="U160" t="s">
        <v>108</v>
      </c>
    </row>
    <row r="161" spans="1:21" x14ac:dyDescent="0.3">
      <c r="A161" t="s">
        <v>188</v>
      </c>
      <c r="B161" t="s">
        <v>193</v>
      </c>
      <c r="C161" t="s">
        <v>194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252</v>
      </c>
      <c r="L161" t="s">
        <v>249</v>
      </c>
      <c r="M161">
        <v>33</v>
      </c>
      <c r="N161">
        <v>9996</v>
      </c>
      <c r="O161" t="s">
        <v>52</v>
      </c>
      <c r="P161" t="s">
        <v>52</v>
      </c>
      <c r="Q161" t="s">
        <v>197</v>
      </c>
      <c r="R161" t="s">
        <v>53</v>
      </c>
      <c r="S161" t="s">
        <v>116</v>
      </c>
      <c r="T161" t="s">
        <v>198</v>
      </c>
      <c r="U161" t="s">
        <v>108</v>
      </c>
    </row>
    <row r="162" spans="1:21" x14ac:dyDescent="0.3">
      <c r="A162" t="s">
        <v>188</v>
      </c>
      <c r="B162" t="s">
        <v>188</v>
      </c>
      <c r="C162" t="s">
        <v>194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250</v>
      </c>
      <c r="L162" t="s">
        <v>249</v>
      </c>
      <c r="M162">
        <v>33</v>
      </c>
      <c r="N162">
        <v>9996</v>
      </c>
      <c r="O162" t="s">
        <v>52</v>
      </c>
      <c r="P162" t="s">
        <v>52</v>
      </c>
      <c r="Q162" t="s">
        <v>197</v>
      </c>
      <c r="R162" t="s">
        <v>53</v>
      </c>
      <c r="S162" t="s">
        <v>116</v>
      </c>
      <c r="T162" t="s">
        <v>198</v>
      </c>
      <c r="U162" t="s">
        <v>108</v>
      </c>
    </row>
    <row r="163" spans="1:21" x14ac:dyDescent="0.3">
      <c r="A163" t="s">
        <v>188</v>
      </c>
      <c r="B163" t="s">
        <v>188</v>
      </c>
      <c r="C163" t="s">
        <v>194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248</v>
      </c>
      <c r="L163" t="s">
        <v>249</v>
      </c>
      <c r="M163">
        <v>33</v>
      </c>
      <c r="N163">
        <v>9996</v>
      </c>
      <c r="O163" t="s">
        <v>52</v>
      </c>
      <c r="P163" t="s">
        <v>52</v>
      </c>
      <c r="Q163" t="s">
        <v>197</v>
      </c>
      <c r="R163" t="s">
        <v>53</v>
      </c>
      <c r="S163" t="s">
        <v>116</v>
      </c>
      <c r="T163" t="s">
        <v>198</v>
      </c>
      <c r="U163" t="s">
        <v>108</v>
      </c>
    </row>
    <row r="164" spans="1:21" x14ac:dyDescent="0.3">
      <c r="A164" t="s">
        <v>191</v>
      </c>
      <c r="B164" t="s">
        <v>191</v>
      </c>
      <c r="C164" t="s">
        <v>194</v>
      </c>
      <c r="D164">
        <v>1</v>
      </c>
      <c r="E164" t="s">
        <v>107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254</v>
      </c>
      <c r="L164" t="s">
        <v>255</v>
      </c>
      <c r="M164">
        <v>33</v>
      </c>
      <c r="N164">
        <v>10390</v>
      </c>
      <c r="O164" t="s">
        <v>52</v>
      </c>
      <c r="P164" t="s">
        <v>52</v>
      </c>
      <c r="Q164" t="s">
        <v>197</v>
      </c>
      <c r="R164" t="s">
        <v>53</v>
      </c>
      <c r="S164" t="s">
        <v>116</v>
      </c>
      <c r="T164" t="s">
        <v>198</v>
      </c>
      <c r="U164" t="s">
        <v>108</v>
      </c>
    </row>
    <row r="165" spans="1:21" x14ac:dyDescent="0.3">
      <c r="A165" t="s">
        <v>191</v>
      </c>
      <c r="B165" t="s">
        <v>193</v>
      </c>
      <c r="C165" t="s">
        <v>194</v>
      </c>
      <c r="D165">
        <v>1</v>
      </c>
      <c r="E165" t="s">
        <v>107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252</v>
      </c>
      <c r="L165" t="s">
        <v>255</v>
      </c>
      <c r="M165">
        <v>33</v>
      </c>
      <c r="N165">
        <v>10390</v>
      </c>
      <c r="O165" t="s">
        <v>52</v>
      </c>
      <c r="P165" t="s">
        <v>52</v>
      </c>
      <c r="Q165" t="s">
        <v>197</v>
      </c>
      <c r="R165" t="s">
        <v>53</v>
      </c>
      <c r="S165" t="s">
        <v>116</v>
      </c>
      <c r="T165" t="s">
        <v>198</v>
      </c>
      <c r="U165" t="s">
        <v>108</v>
      </c>
    </row>
    <row r="166" spans="1:21" x14ac:dyDescent="0.3">
      <c r="A166" t="s">
        <v>191</v>
      </c>
      <c r="B166" t="s">
        <v>191</v>
      </c>
      <c r="C166" t="s">
        <v>194</v>
      </c>
      <c r="D166">
        <v>1</v>
      </c>
      <c r="E166" t="s">
        <v>107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256</v>
      </c>
      <c r="L166" t="s">
        <v>255</v>
      </c>
      <c r="M166">
        <v>33</v>
      </c>
      <c r="N166">
        <v>10390</v>
      </c>
      <c r="O166" t="s">
        <v>52</v>
      </c>
      <c r="P166" t="s">
        <v>52</v>
      </c>
      <c r="Q166" t="s">
        <v>197</v>
      </c>
      <c r="R166" t="s">
        <v>53</v>
      </c>
      <c r="S166" t="s">
        <v>116</v>
      </c>
      <c r="T166" t="s">
        <v>198</v>
      </c>
      <c r="U166" t="s">
        <v>108</v>
      </c>
    </row>
    <row r="167" spans="1:21" x14ac:dyDescent="0.3">
      <c r="A167" t="s">
        <v>191</v>
      </c>
      <c r="B167" t="s">
        <v>193</v>
      </c>
      <c r="C167" t="s">
        <v>194</v>
      </c>
      <c r="D167">
        <v>1</v>
      </c>
      <c r="E167" t="s">
        <v>107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253</v>
      </c>
      <c r="L167" t="s">
        <v>255</v>
      </c>
      <c r="M167">
        <v>33</v>
      </c>
      <c r="N167">
        <v>10390</v>
      </c>
      <c r="O167" t="s">
        <v>52</v>
      </c>
      <c r="P167" t="s">
        <v>52</v>
      </c>
      <c r="Q167" t="s">
        <v>197</v>
      </c>
      <c r="R167" t="s">
        <v>53</v>
      </c>
      <c r="S167" t="s">
        <v>116</v>
      </c>
      <c r="T167" t="s">
        <v>198</v>
      </c>
      <c r="U167" t="s">
        <v>108</v>
      </c>
    </row>
    <row r="168" spans="1:21" x14ac:dyDescent="0.3">
      <c r="A168" t="s">
        <v>191</v>
      </c>
      <c r="B168" t="s">
        <v>191</v>
      </c>
      <c r="C168" t="s">
        <v>194</v>
      </c>
      <c r="D168">
        <v>2</v>
      </c>
      <c r="E168" t="s">
        <v>118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256</v>
      </c>
      <c r="L168" t="s">
        <v>255</v>
      </c>
      <c r="M168">
        <v>33</v>
      </c>
      <c r="N168">
        <v>10390</v>
      </c>
      <c r="O168" t="s">
        <v>52</v>
      </c>
      <c r="P168" t="s">
        <v>52</v>
      </c>
      <c r="Q168" t="s">
        <v>197</v>
      </c>
      <c r="R168" t="s">
        <v>53</v>
      </c>
      <c r="S168" t="s">
        <v>116</v>
      </c>
      <c r="T168" t="s">
        <v>198</v>
      </c>
      <c r="U168" t="s">
        <v>108</v>
      </c>
    </row>
    <row r="169" spans="1:21" x14ac:dyDescent="0.3">
      <c r="A169" t="s">
        <v>191</v>
      </c>
      <c r="B169" t="s">
        <v>191</v>
      </c>
      <c r="C169" t="s">
        <v>194</v>
      </c>
      <c r="D169">
        <v>2</v>
      </c>
      <c r="E169" t="s">
        <v>118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254</v>
      </c>
      <c r="L169" t="s">
        <v>255</v>
      </c>
      <c r="M169">
        <v>33</v>
      </c>
      <c r="N169">
        <v>10390</v>
      </c>
      <c r="O169" t="s">
        <v>52</v>
      </c>
      <c r="P169" t="s">
        <v>52</v>
      </c>
      <c r="Q169" t="s">
        <v>197</v>
      </c>
      <c r="R169" t="s">
        <v>53</v>
      </c>
      <c r="S169" t="s">
        <v>116</v>
      </c>
      <c r="T169" t="s">
        <v>198</v>
      </c>
      <c r="U169" t="s">
        <v>108</v>
      </c>
    </row>
    <row r="170" spans="1:21" x14ac:dyDescent="0.3">
      <c r="A170" t="s">
        <v>191</v>
      </c>
      <c r="B170" t="s">
        <v>193</v>
      </c>
      <c r="C170" t="s">
        <v>194</v>
      </c>
      <c r="D170">
        <v>2</v>
      </c>
      <c r="E170" t="s">
        <v>118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253</v>
      </c>
      <c r="L170" t="s">
        <v>255</v>
      </c>
      <c r="M170">
        <v>33</v>
      </c>
      <c r="N170">
        <v>10390</v>
      </c>
      <c r="O170" t="s">
        <v>52</v>
      </c>
      <c r="P170" t="s">
        <v>52</v>
      </c>
      <c r="Q170" t="s">
        <v>197</v>
      </c>
      <c r="R170" t="s">
        <v>53</v>
      </c>
      <c r="S170" t="s">
        <v>116</v>
      </c>
      <c r="T170" t="s">
        <v>198</v>
      </c>
      <c r="U170" t="s">
        <v>108</v>
      </c>
    </row>
    <row r="171" spans="1:21" x14ac:dyDescent="0.3">
      <c r="A171" t="s">
        <v>191</v>
      </c>
      <c r="B171" t="s">
        <v>193</v>
      </c>
      <c r="C171" t="s">
        <v>194</v>
      </c>
      <c r="D171">
        <v>2</v>
      </c>
      <c r="E171" t="s">
        <v>118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252</v>
      </c>
      <c r="L171" t="s">
        <v>255</v>
      </c>
      <c r="M171">
        <v>33</v>
      </c>
      <c r="N171">
        <v>10390</v>
      </c>
      <c r="O171" t="s">
        <v>52</v>
      </c>
      <c r="P171" t="s">
        <v>52</v>
      </c>
      <c r="Q171" t="s">
        <v>197</v>
      </c>
      <c r="R171" t="s">
        <v>53</v>
      </c>
      <c r="S171" t="s">
        <v>116</v>
      </c>
      <c r="T171" t="s">
        <v>198</v>
      </c>
      <c r="U171" t="s">
        <v>108</v>
      </c>
    </row>
    <row r="172" spans="1:21" x14ac:dyDescent="0.3">
      <c r="A172" t="s">
        <v>191</v>
      </c>
      <c r="B172" t="s">
        <v>193</v>
      </c>
      <c r="C172" t="s">
        <v>194</v>
      </c>
      <c r="D172">
        <v>3</v>
      </c>
      <c r="E172" t="s">
        <v>105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252</v>
      </c>
      <c r="L172" t="s">
        <v>255</v>
      </c>
      <c r="M172">
        <v>33</v>
      </c>
      <c r="N172">
        <v>10390</v>
      </c>
      <c r="O172" t="s">
        <v>52</v>
      </c>
      <c r="P172" t="s">
        <v>52</v>
      </c>
      <c r="Q172" t="s">
        <v>197</v>
      </c>
      <c r="R172" t="s">
        <v>53</v>
      </c>
      <c r="S172" t="s">
        <v>116</v>
      </c>
      <c r="T172" t="s">
        <v>198</v>
      </c>
      <c r="U172" t="s">
        <v>108</v>
      </c>
    </row>
    <row r="173" spans="1:21" x14ac:dyDescent="0.3">
      <c r="A173" t="s">
        <v>191</v>
      </c>
      <c r="B173" t="s">
        <v>191</v>
      </c>
      <c r="C173" t="s">
        <v>194</v>
      </c>
      <c r="D173">
        <v>3</v>
      </c>
      <c r="E173" t="s">
        <v>105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256</v>
      </c>
      <c r="L173" t="s">
        <v>255</v>
      </c>
      <c r="M173">
        <v>33</v>
      </c>
      <c r="N173">
        <v>10390</v>
      </c>
      <c r="O173" t="s">
        <v>52</v>
      </c>
      <c r="P173" t="s">
        <v>52</v>
      </c>
      <c r="Q173" t="s">
        <v>197</v>
      </c>
      <c r="R173" t="s">
        <v>53</v>
      </c>
      <c r="S173" t="s">
        <v>116</v>
      </c>
      <c r="T173" t="s">
        <v>198</v>
      </c>
      <c r="U173" t="s">
        <v>108</v>
      </c>
    </row>
    <row r="174" spans="1:21" x14ac:dyDescent="0.3">
      <c r="A174" t="s">
        <v>191</v>
      </c>
      <c r="B174" t="s">
        <v>193</v>
      </c>
      <c r="C174" t="s">
        <v>194</v>
      </c>
      <c r="D174">
        <v>3</v>
      </c>
      <c r="E174" t="s">
        <v>105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253</v>
      </c>
      <c r="L174" t="s">
        <v>255</v>
      </c>
      <c r="M174">
        <v>33</v>
      </c>
      <c r="N174">
        <v>10390</v>
      </c>
      <c r="O174" t="s">
        <v>52</v>
      </c>
      <c r="P174" t="s">
        <v>52</v>
      </c>
      <c r="Q174" t="s">
        <v>197</v>
      </c>
      <c r="R174" t="s">
        <v>53</v>
      </c>
      <c r="S174" t="s">
        <v>116</v>
      </c>
      <c r="T174" t="s">
        <v>198</v>
      </c>
      <c r="U174" t="s">
        <v>108</v>
      </c>
    </row>
    <row r="175" spans="1:21" x14ac:dyDescent="0.3">
      <c r="A175" t="s">
        <v>191</v>
      </c>
      <c r="B175" t="s">
        <v>191</v>
      </c>
      <c r="C175" t="s">
        <v>194</v>
      </c>
      <c r="D175">
        <v>3</v>
      </c>
      <c r="E175" t="s">
        <v>105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254</v>
      </c>
      <c r="L175" t="s">
        <v>255</v>
      </c>
      <c r="M175">
        <v>33</v>
      </c>
      <c r="N175">
        <v>10390</v>
      </c>
      <c r="O175" t="s">
        <v>52</v>
      </c>
      <c r="P175" t="s">
        <v>52</v>
      </c>
      <c r="Q175" t="s">
        <v>197</v>
      </c>
      <c r="R175" t="s">
        <v>53</v>
      </c>
      <c r="S175" t="s">
        <v>116</v>
      </c>
      <c r="T175" t="s">
        <v>198</v>
      </c>
      <c r="U175" t="s">
        <v>108</v>
      </c>
    </row>
    <row r="176" spans="1:21" x14ac:dyDescent="0.3">
      <c r="A176" t="s">
        <v>191</v>
      </c>
      <c r="B176" t="s">
        <v>191</v>
      </c>
      <c r="C176" t="s">
        <v>194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256</v>
      </c>
      <c r="L176" t="s">
        <v>255</v>
      </c>
      <c r="M176">
        <v>33</v>
      </c>
      <c r="N176">
        <v>10390</v>
      </c>
      <c r="O176" t="s">
        <v>52</v>
      </c>
      <c r="P176" t="s">
        <v>52</v>
      </c>
      <c r="Q176" t="s">
        <v>197</v>
      </c>
      <c r="R176" t="s">
        <v>53</v>
      </c>
      <c r="S176" t="s">
        <v>116</v>
      </c>
      <c r="T176" t="s">
        <v>198</v>
      </c>
      <c r="U176" t="s">
        <v>108</v>
      </c>
    </row>
    <row r="177" spans="1:21" x14ac:dyDescent="0.3">
      <c r="A177" t="s">
        <v>191</v>
      </c>
      <c r="B177" t="s">
        <v>191</v>
      </c>
      <c r="C177" t="s">
        <v>194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254</v>
      </c>
      <c r="L177" t="s">
        <v>255</v>
      </c>
      <c r="M177">
        <v>33</v>
      </c>
      <c r="N177">
        <v>10390</v>
      </c>
      <c r="O177" t="s">
        <v>52</v>
      </c>
      <c r="P177" t="s">
        <v>52</v>
      </c>
      <c r="Q177" t="s">
        <v>197</v>
      </c>
      <c r="R177" t="s">
        <v>53</v>
      </c>
      <c r="S177" t="s">
        <v>116</v>
      </c>
      <c r="T177" t="s">
        <v>198</v>
      </c>
      <c r="U177" t="s">
        <v>108</v>
      </c>
    </row>
    <row r="178" spans="1:21" x14ac:dyDescent="0.3">
      <c r="A178" t="s">
        <v>191</v>
      </c>
      <c r="B178" t="s">
        <v>193</v>
      </c>
      <c r="C178" t="s">
        <v>194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253</v>
      </c>
      <c r="L178" t="s">
        <v>255</v>
      </c>
      <c r="M178">
        <v>33</v>
      </c>
      <c r="N178">
        <v>10390</v>
      </c>
      <c r="O178" t="s">
        <v>52</v>
      </c>
      <c r="P178" t="s">
        <v>52</v>
      </c>
      <c r="Q178" t="s">
        <v>197</v>
      </c>
      <c r="R178" t="s">
        <v>53</v>
      </c>
      <c r="S178" t="s">
        <v>116</v>
      </c>
      <c r="T178" t="s">
        <v>198</v>
      </c>
      <c r="U178" t="s">
        <v>108</v>
      </c>
    </row>
    <row r="179" spans="1:21" x14ac:dyDescent="0.3">
      <c r="A179" t="s">
        <v>191</v>
      </c>
      <c r="B179" t="s">
        <v>193</v>
      </c>
      <c r="C179" t="s">
        <v>194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252</v>
      </c>
      <c r="L179" t="s">
        <v>255</v>
      </c>
      <c r="M179">
        <v>33</v>
      </c>
      <c r="N179">
        <v>10390</v>
      </c>
      <c r="O179" t="s">
        <v>52</v>
      </c>
      <c r="P179" t="s">
        <v>52</v>
      </c>
      <c r="Q179" t="s">
        <v>197</v>
      </c>
      <c r="R179" t="s">
        <v>53</v>
      </c>
      <c r="S179" t="s">
        <v>116</v>
      </c>
      <c r="T179" t="s">
        <v>198</v>
      </c>
      <c r="U179" t="s">
        <v>108</v>
      </c>
    </row>
    <row r="180" spans="1:21" x14ac:dyDescent="0.3">
      <c r="A180" t="s">
        <v>191</v>
      </c>
      <c r="B180" t="s">
        <v>191</v>
      </c>
      <c r="C180" t="s">
        <v>194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256</v>
      </c>
      <c r="L180" t="s">
        <v>255</v>
      </c>
      <c r="M180">
        <v>33</v>
      </c>
      <c r="N180">
        <v>10390</v>
      </c>
      <c r="O180" t="s">
        <v>52</v>
      </c>
      <c r="P180" t="s">
        <v>52</v>
      </c>
      <c r="Q180" t="s">
        <v>197</v>
      </c>
      <c r="R180" t="s">
        <v>53</v>
      </c>
      <c r="S180" t="s">
        <v>116</v>
      </c>
      <c r="T180" t="s">
        <v>198</v>
      </c>
      <c r="U180" t="s">
        <v>108</v>
      </c>
    </row>
    <row r="181" spans="1:21" x14ac:dyDescent="0.3">
      <c r="A181" t="s">
        <v>191</v>
      </c>
      <c r="B181" t="s">
        <v>191</v>
      </c>
      <c r="C181" t="s">
        <v>194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254</v>
      </c>
      <c r="L181" t="s">
        <v>255</v>
      </c>
      <c r="M181">
        <v>33</v>
      </c>
      <c r="N181">
        <v>10390</v>
      </c>
      <c r="O181" t="s">
        <v>52</v>
      </c>
      <c r="P181" t="s">
        <v>52</v>
      </c>
      <c r="Q181" t="s">
        <v>197</v>
      </c>
      <c r="R181" t="s">
        <v>53</v>
      </c>
      <c r="S181" t="s">
        <v>116</v>
      </c>
      <c r="T181" t="s">
        <v>198</v>
      </c>
      <c r="U181" t="s">
        <v>108</v>
      </c>
    </row>
    <row r="182" spans="1:21" x14ac:dyDescent="0.3">
      <c r="A182" t="s">
        <v>191</v>
      </c>
      <c r="B182" t="s">
        <v>193</v>
      </c>
      <c r="C182" t="s">
        <v>194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253</v>
      </c>
      <c r="L182" t="s">
        <v>255</v>
      </c>
      <c r="M182">
        <v>33</v>
      </c>
      <c r="N182">
        <v>10390</v>
      </c>
      <c r="O182" t="s">
        <v>52</v>
      </c>
      <c r="P182" t="s">
        <v>52</v>
      </c>
      <c r="Q182" t="s">
        <v>197</v>
      </c>
      <c r="R182" t="s">
        <v>53</v>
      </c>
      <c r="S182" t="s">
        <v>116</v>
      </c>
      <c r="T182" t="s">
        <v>198</v>
      </c>
      <c r="U182" t="s">
        <v>108</v>
      </c>
    </row>
    <row r="183" spans="1:21" x14ac:dyDescent="0.3">
      <c r="A183" t="s">
        <v>191</v>
      </c>
      <c r="B183" t="s">
        <v>193</v>
      </c>
      <c r="C183" t="s">
        <v>194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252</v>
      </c>
      <c r="L183" t="s">
        <v>255</v>
      </c>
      <c r="M183">
        <v>33</v>
      </c>
      <c r="N183">
        <v>10390</v>
      </c>
      <c r="O183" t="s">
        <v>52</v>
      </c>
      <c r="P183" t="s">
        <v>52</v>
      </c>
      <c r="Q183" t="s">
        <v>197</v>
      </c>
      <c r="R183" t="s">
        <v>53</v>
      </c>
      <c r="S183" t="s">
        <v>116</v>
      </c>
      <c r="T183" t="s">
        <v>198</v>
      </c>
      <c r="U183" t="s">
        <v>108</v>
      </c>
    </row>
    <row r="184" spans="1:21" x14ac:dyDescent="0.3">
      <c r="A184" t="s">
        <v>193</v>
      </c>
      <c r="B184" t="s">
        <v>193</v>
      </c>
      <c r="C184" t="s">
        <v>194</v>
      </c>
      <c r="D184">
        <v>1</v>
      </c>
      <c r="E184" t="s">
        <v>107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252</v>
      </c>
      <c r="L184" t="s">
        <v>257</v>
      </c>
      <c r="M184">
        <v>33</v>
      </c>
      <c r="N184">
        <v>10809</v>
      </c>
      <c r="O184" t="s">
        <v>52</v>
      </c>
      <c r="P184" t="s">
        <v>52</v>
      </c>
      <c r="Q184" t="s">
        <v>197</v>
      </c>
      <c r="R184" t="s">
        <v>53</v>
      </c>
      <c r="S184" t="s">
        <v>116</v>
      </c>
      <c r="T184" t="s">
        <v>198</v>
      </c>
      <c r="U184" t="s">
        <v>108</v>
      </c>
    </row>
    <row r="185" spans="1:21" x14ac:dyDescent="0.3">
      <c r="A185" t="s">
        <v>193</v>
      </c>
      <c r="B185" t="s">
        <v>191</v>
      </c>
      <c r="C185" t="s">
        <v>194</v>
      </c>
      <c r="D185">
        <v>1</v>
      </c>
      <c r="E185" t="s">
        <v>107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258</v>
      </c>
      <c r="L185" t="s">
        <v>259</v>
      </c>
      <c r="M185">
        <v>61</v>
      </c>
      <c r="O185" t="s">
        <v>52</v>
      </c>
      <c r="P185" t="s">
        <v>52</v>
      </c>
      <c r="Q185" t="s">
        <v>197</v>
      </c>
      <c r="R185" t="s">
        <v>53</v>
      </c>
      <c r="S185" t="s">
        <v>116</v>
      </c>
      <c r="T185" t="s">
        <v>198</v>
      </c>
      <c r="U185" t="s">
        <v>108</v>
      </c>
    </row>
    <row r="186" spans="1:21" x14ac:dyDescent="0.3">
      <c r="A186" t="s">
        <v>193</v>
      </c>
      <c r="B186" t="s">
        <v>191</v>
      </c>
      <c r="C186" t="s">
        <v>194</v>
      </c>
      <c r="D186">
        <v>1</v>
      </c>
      <c r="E186" t="s">
        <v>107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260</v>
      </c>
      <c r="L186" t="s">
        <v>259</v>
      </c>
      <c r="M186">
        <v>61</v>
      </c>
      <c r="O186" t="s">
        <v>52</v>
      </c>
      <c r="P186" t="s">
        <v>52</v>
      </c>
      <c r="Q186" t="s">
        <v>197</v>
      </c>
      <c r="R186" t="s">
        <v>53</v>
      </c>
      <c r="S186" t="s">
        <v>116</v>
      </c>
      <c r="T186" t="s">
        <v>198</v>
      </c>
      <c r="U186" t="s">
        <v>108</v>
      </c>
    </row>
    <row r="187" spans="1:21" x14ac:dyDescent="0.3">
      <c r="A187" t="s">
        <v>193</v>
      </c>
      <c r="B187" t="s">
        <v>191</v>
      </c>
      <c r="C187" t="s">
        <v>194</v>
      </c>
      <c r="D187">
        <v>1</v>
      </c>
      <c r="E187" t="s">
        <v>107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261</v>
      </c>
      <c r="L187" t="s">
        <v>259</v>
      </c>
      <c r="M187">
        <v>61</v>
      </c>
      <c r="O187" t="s">
        <v>52</v>
      </c>
      <c r="P187" t="s">
        <v>52</v>
      </c>
      <c r="Q187" t="s">
        <v>197</v>
      </c>
      <c r="R187" t="s">
        <v>53</v>
      </c>
      <c r="S187" t="s">
        <v>116</v>
      </c>
      <c r="T187" t="s">
        <v>198</v>
      </c>
      <c r="U187" t="s">
        <v>108</v>
      </c>
    </row>
    <row r="188" spans="1:21" x14ac:dyDescent="0.3">
      <c r="A188" t="s">
        <v>193</v>
      </c>
      <c r="B188" t="s">
        <v>193</v>
      </c>
      <c r="C188" t="s">
        <v>194</v>
      </c>
      <c r="D188">
        <v>1</v>
      </c>
      <c r="E188" t="s">
        <v>107</v>
      </c>
      <c r="F188">
        <v>1</v>
      </c>
      <c r="G188">
        <v>-2</v>
      </c>
      <c r="H188">
        <v>-2</v>
      </c>
      <c r="I188" t="s">
        <v>119</v>
      </c>
      <c r="J188" t="s">
        <v>58</v>
      </c>
      <c r="K188" t="s">
        <v>262</v>
      </c>
      <c r="L188" t="s">
        <v>263</v>
      </c>
      <c r="M188">
        <v>61</v>
      </c>
      <c r="O188" t="s">
        <v>52</v>
      </c>
      <c r="P188" t="s">
        <v>52</v>
      </c>
      <c r="Q188" t="s">
        <v>197</v>
      </c>
      <c r="R188" t="s">
        <v>53</v>
      </c>
      <c r="S188" t="s">
        <v>116</v>
      </c>
      <c r="T188" t="s">
        <v>198</v>
      </c>
      <c r="U188" t="s">
        <v>108</v>
      </c>
    </row>
    <row r="189" spans="1:21" x14ac:dyDescent="0.3">
      <c r="A189" t="s">
        <v>193</v>
      </c>
      <c r="B189" t="s">
        <v>191</v>
      </c>
      <c r="C189" t="s">
        <v>194</v>
      </c>
      <c r="D189">
        <v>1</v>
      </c>
      <c r="E189" t="s">
        <v>107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264</v>
      </c>
      <c r="L189" t="s">
        <v>259</v>
      </c>
      <c r="M189">
        <v>61</v>
      </c>
      <c r="O189" t="s">
        <v>52</v>
      </c>
      <c r="P189" t="s">
        <v>52</v>
      </c>
      <c r="Q189" t="s">
        <v>197</v>
      </c>
      <c r="R189" t="s">
        <v>53</v>
      </c>
      <c r="S189" t="s">
        <v>116</v>
      </c>
      <c r="T189" t="s">
        <v>198</v>
      </c>
      <c r="U189" t="s">
        <v>108</v>
      </c>
    </row>
    <row r="190" spans="1:21" x14ac:dyDescent="0.3">
      <c r="A190" t="s">
        <v>193</v>
      </c>
      <c r="B190" t="s">
        <v>191</v>
      </c>
      <c r="C190" t="s">
        <v>194</v>
      </c>
      <c r="D190">
        <v>1</v>
      </c>
      <c r="E190" t="s">
        <v>107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265</v>
      </c>
      <c r="L190" t="s">
        <v>259</v>
      </c>
      <c r="M190">
        <v>61</v>
      </c>
      <c r="O190" t="s">
        <v>52</v>
      </c>
      <c r="P190" t="s">
        <v>52</v>
      </c>
      <c r="Q190" t="s">
        <v>197</v>
      </c>
      <c r="R190" t="s">
        <v>53</v>
      </c>
      <c r="S190" t="s">
        <v>116</v>
      </c>
      <c r="T190" t="s">
        <v>198</v>
      </c>
      <c r="U190" t="s">
        <v>108</v>
      </c>
    </row>
    <row r="191" spans="1:21" x14ac:dyDescent="0.3">
      <c r="A191" t="s">
        <v>193</v>
      </c>
      <c r="B191" t="s">
        <v>193</v>
      </c>
      <c r="C191" t="s">
        <v>194</v>
      </c>
      <c r="D191">
        <v>1</v>
      </c>
      <c r="E191" t="s">
        <v>107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253</v>
      </c>
      <c r="L191" t="s">
        <v>257</v>
      </c>
      <c r="M191">
        <v>33</v>
      </c>
      <c r="N191">
        <v>10809</v>
      </c>
      <c r="O191" t="s">
        <v>52</v>
      </c>
      <c r="P191" t="s">
        <v>52</v>
      </c>
      <c r="Q191" t="s">
        <v>197</v>
      </c>
      <c r="R191" t="s">
        <v>53</v>
      </c>
      <c r="S191" t="s">
        <v>116</v>
      </c>
      <c r="T191" t="s">
        <v>198</v>
      </c>
      <c r="U191" t="s">
        <v>108</v>
      </c>
    </row>
    <row r="192" spans="1:21" x14ac:dyDescent="0.3">
      <c r="A192" t="s">
        <v>193</v>
      </c>
      <c r="B192" t="s">
        <v>193</v>
      </c>
      <c r="C192" t="s">
        <v>194</v>
      </c>
      <c r="D192">
        <v>1</v>
      </c>
      <c r="E192" t="s">
        <v>107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266</v>
      </c>
      <c r="L192" t="s">
        <v>257</v>
      </c>
      <c r="M192">
        <v>33</v>
      </c>
      <c r="N192">
        <v>10809</v>
      </c>
      <c r="O192" t="s">
        <v>52</v>
      </c>
      <c r="P192" t="s">
        <v>52</v>
      </c>
      <c r="Q192" t="s">
        <v>197</v>
      </c>
      <c r="R192" t="s">
        <v>53</v>
      </c>
      <c r="S192" t="s">
        <v>116</v>
      </c>
      <c r="T192" t="s">
        <v>198</v>
      </c>
      <c r="U192" t="s">
        <v>108</v>
      </c>
    </row>
    <row r="193" spans="1:21" x14ac:dyDescent="0.3">
      <c r="A193" t="s">
        <v>193</v>
      </c>
      <c r="B193" t="s">
        <v>193</v>
      </c>
      <c r="C193" t="s">
        <v>194</v>
      </c>
      <c r="D193">
        <v>1</v>
      </c>
      <c r="E193" t="s">
        <v>107</v>
      </c>
      <c r="F193">
        <v>1</v>
      </c>
      <c r="G193">
        <v>-194</v>
      </c>
      <c r="H193">
        <v>-194</v>
      </c>
      <c r="I193" t="s">
        <v>117</v>
      </c>
      <c r="J193" t="s">
        <v>51</v>
      </c>
      <c r="K193" t="s">
        <v>267</v>
      </c>
      <c r="L193" t="s">
        <v>263</v>
      </c>
      <c r="M193">
        <v>61</v>
      </c>
      <c r="O193" t="s">
        <v>52</v>
      </c>
      <c r="P193" t="s">
        <v>52</v>
      </c>
      <c r="Q193" t="s">
        <v>197</v>
      </c>
      <c r="R193" t="s">
        <v>53</v>
      </c>
      <c r="S193" t="s">
        <v>116</v>
      </c>
      <c r="T193" t="s">
        <v>198</v>
      </c>
      <c r="U193" t="s">
        <v>108</v>
      </c>
    </row>
    <row r="194" spans="1:21" x14ac:dyDescent="0.3">
      <c r="A194" t="s">
        <v>193</v>
      </c>
      <c r="B194" t="s">
        <v>191</v>
      </c>
      <c r="C194" t="s">
        <v>194</v>
      </c>
      <c r="D194">
        <v>1</v>
      </c>
      <c r="E194" t="s">
        <v>107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268</v>
      </c>
      <c r="L194" t="s">
        <v>259</v>
      </c>
      <c r="M194">
        <v>61</v>
      </c>
      <c r="O194" t="s">
        <v>52</v>
      </c>
      <c r="P194" t="s">
        <v>52</v>
      </c>
      <c r="Q194" t="s">
        <v>197</v>
      </c>
      <c r="R194" t="s">
        <v>53</v>
      </c>
      <c r="S194" t="s">
        <v>116</v>
      </c>
      <c r="T194" t="s">
        <v>198</v>
      </c>
      <c r="U194" t="s">
        <v>108</v>
      </c>
    </row>
    <row r="195" spans="1:21" x14ac:dyDescent="0.3">
      <c r="A195" t="s">
        <v>193</v>
      </c>
      <c r="B195" t="s">
        <v>191</v>
      </c>
      <c r="C195" t="s">
        <v>194</v>
      </c>
      <c r="D195">
        <v>1</v>
      </c>
      <c r="E195" t="s">
        <v>107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269</v>
      </c>
      <c r="L195" t="s">
        <v>259</v>
      </c>
      <c r="M195">
        <v>61</v>
      </c>
      <c r="O195" t="s">
        <v>52</v>
      </c>
      <c r="P195" t="s">
        <v>52</v>
      </c>
      <c r="Q195" t="s">
        <v>197</v>
      </c>
      <c r="R195" t="s">
        <v>53</v>
      </c>
      <c r="S195" t="s">
        <v>116</v>
      </c>
      <c r="T195" t="s">
        <v>198</v>
      </c>
      <c r="U195" t="s">
        <v>108</v>
      </c>
    </row>
    <row r="196" spans="1:21" x14ac:dyDescent="0.3">
      <c r="A196" t="s">
        <v>193</v>
      </c>
      <c r="B196" t="s">
        <v>193</v>
      </c>
      <c r="C196" t="s">
        <v>194</v>
      </c>
      <c r="D196">
        <v>1</v>
      </c>
      <c r="E196" t="s">
        <v>107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270</v>
      </c>
      <c r="L196" t="s">
        <v>257</v>
      </c>
      <c r="M196">
        <v>33</v>
      </c>
      <c r="N196">
        <v>10809</v>
      </c>
      <c r="O196" t="s">
        <v>52</v>
      </c>
      <c r="P196" t="s">
        <v>52</v>
      </c>
      <c r="Q196" t="s">
        <v>197</v>
      </c>
      <c r="R196" t="s">
        <v>53</v>
      </c>
      <c r="S196" t="s">
        <v>116</v>
      </c>
      <c r="T196" t="s">
        <v>198</v>
      </c>
      <c r="U196" t="s">
        <v>108</v>
      </c>
    </row>
    <row r="197" spans="1:21" x14ac:dyDescent="0.3">
      <c r="A197" t="s">
        <v>193</v>
      </c>
      <c r="B197" t="s">
        <v>191</v>
      </c>
      <c r="C197" t="s">
        <v>194</v>
      </c>
      <c r="D197">
        <v>1</v>
      </c>
      <c r="E197" t="s">
        <v>107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271</v>
      </c>
      <c r="L197" t="s">
        <v>259</v>
      </c>
      <c r="M197">
        <v>61</v>
      </c>
      <c r="O197" t="s">
        <v>52</v>
      </c>
      <c r="P197" t="s">
        <v>52</v>
      </c>
      <c r="Q197" t="s">
        <v>197</v>
      </c>
      <c r="R197" t="s">
        <v>53</v>
      </c>
      <c r="S197" t="s">
        <v>116</v>
      </c>
      <c r="T197" t="s">
        <v>198</v>
      </c>
      <c r="U197" t="s">
        <v>108</v>
      </c>
    </row>
    <row r="198" spans="1:21" x14ac:dyDescent="0.3">
      <c r="A198" t="s">
        <v>193</v>
      </c>
      <c r="B198" t="s">
        <v>191</v>
      </c>
      <c r="C198" t="s">
        <v>194</v>
      </c>
      <c r="D198">
        <v>2</v>
      </c>
      <c r="E198" t="s">
        <v>118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258</v>
      </c>
      <c r="L198" t="s">
        <v>259</v>
      </c>
      <c r="M198">
        <v>61</v>
      </c>
      <c r="O198" t="s">
        <v>52</v>
      </c>
      <c r="P198" t="s">
        <v>52</v>
      </c>
      <c r="Q198" t="s">
        <v>197</v>
      </c>
      <c r="R198" t="s">
        <v>53</v>
      </c>
      <c r="S198" t="s">
        <v>116</v>
      </c>
      <c r="T198" t="s">
        <v>198</v>
      </c>
      <c r="U198" t="s">
        <v>108</v>
      </c>
    </row>
    <row r="199" spans="1:21" x14ac:dyDescent="0.3">
      <c r="A199" t="s">
        <v>193</v>
      </c>
      <c r="B199" t="s">
        <v>191</v>
      </c>
      <c r="C199" t="s">
        <v>194</v>
      </c>
      <c r="D199">
        <v>2</v>
      </c>
      <c r="E199" t="s">
        <v>118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264</v>
      </c>
      <c r="L199" t="s">
        <v>259</v>
      </c>
      <c r="M199">
        <v>61</v>
      </c>
      <c r="O199" t="s">
        <v>52</v>
      </c>
      <c r="P199" t="s">
        <v>52</v>
      </c>
      <c r="Q199" t="s">
        <v>197</v>
      </c>
      <c r="R199" t="s">
        <v>53</v>
      </c>
      <c r="S199" t="s">
        <v>116</v>
      </c>
      <c r="T199" t="s">
        <v>198</v>
      </c>
      <c r="U199" t="s">
        <v>108</v>
      </c>
    </row>
    <row r="200" spans="1:21" x14ac:dyDescent="0.3">
      <c r="A200" t="s">
        <v>193</v>
      </c>
      <c r="B200" t="s">
        <v>191</v>
      </c>
      <c r="C200" t="s">
        <v>194</v>
      </c>
      <c r="D200">
        <v>2</v>
      </c>
      <c r="E200" t="s">
        <v>118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261</v>
      </c>
      <c r="L200" t="s">
        <v>259</v>
      </c>
      <c r="M200">
        <v>61</v>
      </c>
      <c r="O200" t="s">
        <v>52</v>
      </c>
      <c r="P200" t="s">
        <v>52</v>
      </c>
      <c r="Q200" t="s">
        <v>197</v>
      </c>
      <c r="R200" t="s">
        <v>53</v>
      </c>
      <c r="S200" t="s">
        <v>116</v>
      </c>
      <c r="T200" t="s">
        <v>198</v>
      </c>
      <c r="U200" t="s">
        <v>108</v>
      </c>
    </row>
    <row r="201" spans="1:21" x14ac:dyDescent="0.3">
      <c r="A201" t="s">
        <v>193</v>
      </c>
      <c r="B201" t="s">
        <v>191</v>
      </c>
      <c r="C201" t="s">
        <v>194</v>
      </c>
      <c r="D201">
        <v>2</v>
      </c>
      <c r="E201" t="s">
        <v>118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271</v>
      </c>
      <c r="L201" t="s">
        <v>259</v>
      </c>
      <c r="M201">
        <v>61</v>
      </c>
      <c r="O201" t="s">
        <v>52</v>
      </c>
      <c r="P201" t="s">
        <v>52</v>
      </c>
      <c r="Q201" t="s">
        <v>197</v>
      </c>
      <c r="R201" t="s">
        <v>53</v>
      </c>
      <c r="S201" t="s">
        <v>116</v>
      </c>
      <c r="T201" t="s">
        <v>198</v>
      </c>
      <c r="U201" t="s">
        <v>108</v>
      </c>
    </row>
    <row r="202" spans="1:21" x14ac:dyDescent="0.3">
      <c r="A202" t="s">
        <v>193</v>
      </c>
      <c r="B202" t="s">
        <v>193</v>
      </c>
      <c r="C202" t="s">
        <v>194</v>
      </c>
      <c r="D202">
        <v>2</v>
      </c>
      <c r="E202" t="s">
        <v>118</v>
      </c>
      <c r="F202">
        <v>1</v>
      </c>
      <c r="G202">
        <v>-1</v>
      </c>
      <c r="H202">
        <v>-1</v>
      </c>
      <c r="I202" t="s">
        <v>117</v>
      </c>
      <c r="J202" t="s">
        <v>51</v>
      </c>
      <c r="K202" t="s">
        <v>267</v>
      </c>
      <c r="L202" t="s">
        <v>263</v>
      </c>
      <c r="M202">
        <v>61</v>
      </c>
      <c r="O202" t="s">
        <v>52</v>
      </c>
      <c r="P202" t="s">
        <v>52</v>
      </c>
      <c r="Q202" t="s">
        <v>197</v>
      </c>
      <c r="R202" t="s">
        <v>53</v>
      </c>
      <c r="S202" t="s">
        <v>116</v>
      </c>
      <c r="T202" t="s">
        <v>198</v>
      </c>
      <c r="U202" t="s">
        <v>108</v>
      </c>
    </row>
    <row r="203" spans="1:21" x14ac:dyDescent="0.3">
      <c r="A203" t="s">
        <v>193</v>
      </c>
      <c r="B203" t="s">
        <v>191</v>
      </c>
      <c r="C203" t="s">
        <v>194</v>
      </c>
      <c r="D203">
        <v>2</v>
      </c>
      <c r="E203" t="s">
        <v>118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268</v>
      </c>
      <c r="L203" t="s">
        <v>259</v>
      </c>
      <c r="M203">
        <v>61</v>
      </c>
      <c r="O203" t="s">
        <v>52</v>
      </c>
      <c r="P203" t="s">
        <v>52</v>
      </c>
      <c r="Q203" t="s">
        <v>197</v>
      </c>
      <c r="R203" t="s">
        <v>53</v>
      </c>
      <c r="S203" t="s">
        <v>116</v>
      </c>
      <c r="T203" t="s">
        <v>198</v>
      </c>
      <c r="U203" t="s">
        <v>108</v>
      </c>
    </row>
    <row r="204" spans="1:21" x14ac:dyDescent="0.3">
      <c r="A204" t="s">
        <v>193</v>
      </c>
      <c r="B204" t="s">
        <v>191</v>
      </c>
      <c r="C204" t="s">
        <v>194</v>
      </c>
      <c r="D204">
        <v>2</v>
      </c>
      <c r="E204" t="s">
        <v>118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265</v>
      </c>
      <c r="L204" t="s">
        <v>259</v>
      </c>
      <c r="M204">
        <v>61</v>
      </c>
      <c r="O204" t="s">
        <v>52</v>
      </c>
      <c r="P204" t="s">
        <v>52</v>
      </c>
      <c r="Q204" t="s">
        <v>197</v>
      </c>
      <c r="R204" t="s">
        <v>53</v>
      </c>
      <c r="S204" t="s">
        <v>116</v>
      </c>
      <c r="T204" t="s">
        <v>198</v>
      </c>
      <c r="U204" t="s">
        <v>108</v>
      </c>
    </row>
    <row r="205" spans="1:21" x14ac:dyDescent="0.3">
      <c r="A205" t="s">
        <v>193</v>
      </c>
      <c r="B205" t="s">
        <v>193</v>
      </c>
      <c r="C205" t="s">
        <v>194</v>
      </c>
      <c r="D205">
        <v>2</v>
      </c>
      <c r="E205" t="s">
        <v>118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266</v>
      </c>
      <c r="L205" t="s">
        <v>257</v>
      </c>
      <c r="M205">
        <v>33</v>
      </c>
      <c r="N205">
        <v>10809</v>
      </c>
      <c r="O205" t="s">
        <v>52</v>
      </c>
      <c r="P205" t="s">
        <v>52</v>
      </c>
      <c r="Q205" t="s">
        <v>197</v>
      </c>
      <c r="R205" t="s">
        <v>53</v>
      </c>
      <c r="S205" t="s">
        <v>116</v>
      </c>
      <c r="T205" t="s">
        <v>198</v>
      </c>
      <c r="U205" t="s">
        <v>108</v>
      </c>
    </row>
    <row r="206" spans="1:21" x14ac:dyDescent="0.3">
      <c r="A206" t="s">
        <v>193</v>
      </c>
      <c r="B206" t="s">
        <v>191</v>
      </c>
      <c r="C206" t="s">
        <v>194</v>
      </c>
      <c r="D206">
        <v>2</v>
      </c>
      <c r="E206" t="s">
        <v>118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269</v>
      </c>
      <c r="L206" t="s">
        <v>259</v>
      </c>
      <c r="M206">
        <v>61</v>
      </c>
      <c r="O206" t="s">
        <v>52</v>
      </c>
      <c r="P206" t="s">
        <v>52</v>
      </c>
      <c r="Q206" t="s">
        <v>197</v>
      </c>
      <c r="R206" t="s">
        <v>53</v>
      </c>
      <c r="S206" t="s">
        <v>116</v>
      </c>
      <c r="T206" t="s">
        <v>198</v>
      </c>
      <c r="U206" t="s">
        <v>108</v>
      </c>
    </row>
    <row r="207" spans="1:21" x14ac:dyDescent="0.3">
      <c r="A207" t="s">
        <v>193</v>
      </c>
      <c r="B207" t="s">
        <v>191</v>
      </c>
      <c r="C207" t="s">
        <v>194</v>
      </c>
      <c r="D207">
        <v>2</v>
      </c>
      <c r="E207" t="s">
        <v>118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260</v>
      </c>
      <c r="L207" t="s">
        <v>259</v>
      </c>
      <c r="M207">
        <v>61</v>
      </c>
      <c r="O207" t="s">
        <v>52</v>
      </c>
      <c r="P207" t="s">
        <v>52</v>
      </c>
      <c r="Q207" t="s">
        <v>197</v>
      </c>
      <c r="R207" t="s">
        <v>53</v>
      </c>
      <c r="S207" t="s">
        <v>116</v>
      </c>
      <c r="T207" t="s">
        <v>198</v>
      </c>
      <c r="U207" t="s">
        <v>108</v>
      </c>
    </row>
    <row r="208" spans="1:21" x14ac:dyDescent="0.3">
      <c r="A208" t="s">
        <v>193</v>
      </c>
      <c r="B208" t="s">
        <v>193</v>
      </c>
      <c r="C208" t="s">
        <v>194</v>
      </c>
      <c r="D208">
        <v>2</v>
      </c>
      <c r="E208" t="s">
        <v>118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253</v>
      </c>
      <c r="L208" t="s">
        <v>257</v>
      </c>
      <c r="M208">
        <v>33</v>
      </c>
      <c r="N208">
        <v>10809</v>
      </c>
      <c r="O208" t="s">
        <v>52</v>
      </c>
      <c r="P208" t="s">
        <v>52</v>
      </c>
      <c r="Q208" t="s">
        <v>197</v>
      </c>
      <c r="R208" t="s">
        <v>53</v>
      </c>
      <c r="S208" t="s">
        <v>116</v>
      </c>
      <c r="T208" t="s">
        <v>198</v>
      </c>
      <c r="U208" t="s">
        <v>108</v>
      </c>
    </row>
    <row r="209" spans="1:21" x14ac:dyDescent="0.3">
      <c r="A209" t="s">
        <v>193</v>
      </c>
      <c r="B209" t="s">
        <v>193</v>
      </c>
      <c r="C209" t="s">
        <v>194</v>
      </c>
      <c r="D209">
        <v>2</v>
      </c>
      <c r="E209" t="s">
        <v>118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270</v>
      </c>
      <c r="L209" t="s">
        <v>257</v>
      </c>
      <c r="M209">
        <v>33</v>
      </c>
      <c r="N209">
        <v>10809</v>
      </c>
      <c r="O209" t="s">
        <v>52</v>
      </c>
      <c r="P209" t="s">
        <v>52</v>
      </c>
      <c r="Q209" t="s">
        <v>197</v>
      </c>
      <c r="R209" t="s">
        <v>53</v>
      </c>
      <c r="S209" t="s">
        <v>116</v>
      </c>
      <c r="T209" t="s">
        <v>198</v>
      </c>
      <c r="U209" t="s">
        <v>108</v>
      </c>
    </row>
    <row r="210" spans="1:21" x14ac:dyDescent="0.3">
      <c r="A210" t="s">
        <v>193</v>
      </c>
      <c r="B210" t="s">
        <v>193</v>
      </c>
      <c r="C210" t="s">
        <v>194</v>
      </c>
      <c r="D210">
        <v>2</v>
      </c>
      <c r="E210" t="s">
        <v>118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252</v>
      </c>
      <c r="L210" t="s">
        <v>257</v>
      </c>
      <c r="M210">
        <v>33</v>
      </c>
      <c r="N210">
        <v>10809</v>
      </c>
      <c r="O210" t="s">
        <v>52</v>
      </c>
      <c r="P210" t="s">
        <v>52</v>
      </c>
      <c r="Q210" t="s">
        <v>197</v>
      </c>
      <c r="R210" t="s">
        <v>53</v>
      </c>
      <c r="S210" t="s">
        <v>116</v>
      </c>
      <c r="T210" t="s">
        <v>198</v>
      </c>
      <c r="U210" t="s">
        <v>108</v>
      </c>
    </row>
    <row r="211" spans="1:21" x14ac:dyDescent="0.3">
      <c r="A211" t="s">
        <v>193</v>
      </c>
      <c r="B211" t="s">
        <v>191</v>
      </c>
      <c r="C211" t="s">
        <v>194</v>
      </c>
      <c r="D211">
        <v>3</v>
      </c>
      <c r="E211" t="s">
        <v>105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260</v>
      </c>
      <c r="L211" t="s">
        <v>259</v>
      </c>
      <c r="M211">
        <v>61</v>
      </c>
      <c r="O211" t="s">
        <v>52</v>
      </c>
      <c r="P211" t="s">
        <v>52</v>
      </c>
      <c r="Q211" t="s">
        <v>197</v>
      </c>
      <c r="R211" t="s">
        <v>53</v>
      </c>
      <c r="S211" t="s">
        <v>116</v>
      </c>
      <c r="T211" t="s">
        <v>198</v>
      </c>
      <c r="U211" t="s">
        <v>108</v>
      </c>
    </row>
    <row r="212" spans="1:21" x14ac:dyDescent="0.3">
      <c r="A212" t="s">
        <v>193</v>
      </c>
      <c r="B212" t="s">
        <v>191</v>
      </c>
      <c r="C212" t="s">
        <v>194</v>
      </c>
      <c r="D212">
        <v>3</v>
      </c>
      <c r="E212" t="s">
        <v>105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265</v>
      </c>
      <c r="L212" t="s">
        <v>259</v>
      </c>
      <c r="M212">
        <v>61</v>
      </c>
      <c r="O212" t="s">
        <v>52</v>
      </c>
      <c r="P212" t="s">
        <v>52</v>
      </c>
      <c r="Q212" t="s">
        <v>197</v>
      </c>
      <c r="R212" t="s">
        <v>53</v>
      </c>
      <c r="S212" t="s">
        <v>116</v>
      </c>
      <c r="T212" t="s">
        <v>198</v>
      </c>
      <c r="U212" t="s">
        <v>108</v>
      </c>
    </row>
    <row r="213" spans="1:21" x14ac:dyDescent="0.3">
      <c r="A213" t="s">
        <v>193</v>
      </c>
      <c r="B213" t="s">
        <v>191</v>
      </c>
      <c r="C213" t="s">
        <v>194</v>
      </c>
      <c r="D213">
        <v>3</v>
      </c>
      <c r="E213" t="s">
        <v>105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258</v>
      </c>
      <c r="L213" t="s">
        <v>259</v>
      </c>
      <c r="M213">
        <v>61</v>
      </c>
      <c r="O213" t="s">
        <v>52</v>
      </c>
      <c r="P213" t="s">
        <v>52</v>
      </c>
      <c r="Q213" t="s">
        <v>197</v>
      </c>
      <c r="R213" t="s">
        <v>53</v>
      </c>
      <c r="S213" t="s">
        <v>116</v>
      </c>
      <c r="T213" t="s">
        <v>198</v>
      </c>
      <c r="U213" t="s">
        <v>108</v>
      </c>
    </row>
    <row r="214" spans="1:21" x14ac:dyDescent="0.3">
      <c r="A214" t="s">
        <v>193</v>
      </c>
      <c r="B214" t="s">
        <v>191</v>
      </c>
      <c r="C214" t="s">
        <v>194</v>
      </c>
      <c r="D214">
        <v>3</v>
      </c>
      <c r="E214" t="s">
        <v>105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264</v>
      </c>
      <c r="L214" t="s">
        <v>259</v>
      </c>
      <c r="M214">
        <v>61</v>
      </c>
      <c r="O214" t="s">
        <v>52</v>
      </c>
      <c r="P214" t="s">
        <v>52</v>
      </c>
      <c r="Q214" t="s">
        <v>197</v>
      </c>
      <c r="R214" t="s">
        <v>53</v>
      </c>
      <c r="S214" t="s">
        <v>116</v>
      </c>
      <c r="T214" t="s">
        <v>198</v>
      </c>
      <c r="U214" t="s">
        <v>108</v>
      </c>
    </row>
    <row r="215" spans="1:21" x14ac:dyDescent="0.3">
      <c r="A215" t="s">
        <v>193</v>
      </c>
      <c r="B215" t="s">
        <v>193</v>
      </c>
      <c r="C215" t="s">
        <v>194</v>
      </c>
      <c r="D215">
        <v>3</v>
      </c>
      <c r="E215" t="s">
        <v>105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253</v>
      </c>
      <c r="L215" t="s">
        <v>257</v>
      </c>
      <c r="M215">
        <v>33</v>
      </c>
      <c r="N215">
        <v>10809</v>
      </c>
      <c r="O215" t="s">
        <v>52</v>
      </c>
      <c r="P215" t="s">
        <v>52</v>
      </c>
      <c r="Q215" t="s">
        <v>197</v>
      </c>
      <c r="R215" t="s">
        <v>53</v>
      </c>
      <c r="S215" t="s">
        <v>116</v>
      </c>
      <c r="T215" t="s">
        <v>198</v>
      </c>
      <c r="U215" t="s">
        <v>108</v>
      </c>
    </row>
    <row r="216" spans="1:21" x14ac:dyDescent="0.3">
      <c r="A216" t="s">
        <v>193</v>
      </c>
      <c r="B216" t="s">
        <v>191</v>
      </c>
      <c r="C216" t="s">
        <v>194</v>
      </c>
      <c r="D216">
        <v>3</v>
      </c>
      <c r="E216" t="s">
        <v>105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271</v>
      </c>
      <c r="L216" t="s">
        <v>259</v>
      </c>
      <c r="M216">
        <v>61</v>
      </c>
      <c r="O216" t="s">
        <v>52</v>
      </c>
      <c r="P216" t="s">
        <v>52</v>
      </c>
      <c r="Q216" t="s">
        <v>197</v>
      </c>
      <c r="R216" t="s">
        <v>53</v>
      </c>
      <c r="S216" t="s">
        <v>116</v>
      </c>
      <c r="T216" t="s">
        <v>198</v>
      </c>
      <c r="U216" t="s">
        <v>108</v>
      </c>
    </row>
    <row r="217" spans="1:21" x14ac:dyDescent="0.3">
      <c r="A217" t="s">
        <v>193</v>
      </c>
      <c r="B217" t="s">
        <v>191</v>
      </c>
      <c r="C217" t="s">
        <v>194</v>
      </c>
      <c r="D217">
        <v>3</v>
      </c>
      <c r="E217" t="s">
        <v>105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261</v>
      </c>
      <c r="L217" t="s">
        <v>259</v>
      </c>
      <c r="M217">
        <v>61</v>
      </c>
      <c r="O217" t="s">
        <v>52</v>
      </c>
      <c r="P217" t="s">
        <v>52</v>
      </c>
      <c r="Q217" t="s">
        <v>197</v>
      </c>
      <c r="R217" t="s">
        <v>53</v>
      </c>
      <c r="S217" t="s">
        <v>116</v>
      </c>
      <c r="T217" t="s">
        <v>198</v>
      </c>
      <c r="U217" t="s">
        <v>108</v>
      </c>
    </row>
    <row r="218" spans="1:21" x14ac:dyDescent="0.3">
      <c r="A218" t="s">
        <v>193</v>
      </c>
      <c r="B218" t="s">
        <v>191</v>
      </c>
      <c r="C218" t="s">
        <v>194</v>
      </c>
      <c r="D218">
        <v>3</v>
      </c>
      <c r="E218" t="s">
        <v>105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268</v>
      </c>
      <c r="L218" t="s">
        <v>259</v>
      </c>
      <c r="M218">
        <v>61</v>
      </c>
      <c r="O218" t="s">
        <v>52</v>
      </c>
      <c r="P218" t="s">
        <v>52</v>
      </c>
      <c r="Q218" t="s">
        <v>197</v>
      </c>
      <c r="R218" t="s">
        <v>53</v>
      </c>
      <c r="S218" t="s">
        <v>116</v>
      </c>
      <c r="T218" t="s">
        <v>198</v>
      </c>
      <c r="U218" t="s">
        <v>108</v>
      </c>
    </row>
    <row r="219" spans="1:21" x14ac:dyDescent="0.3">
      <c r="A219" t="s">
        <v>193</v>
      </c>
      <c r="B219" t="s">
        <v>193</v>
      </c>
      <c r="C219" t="s">
        <v>194</v>
      </c>
      <c r="D219">
        <v>3</v>
      </c>
      <c r="E219" t="s">
        <v>105</v>
      </c>
      <c r="F219">
        <v>1</v>
      </c>
      <c r="G219">
        <v>-38</v>
      </c>
      <c r="H219">
        <v>-38</v>
      </c>
      <c r="I219" t="s">
        <v>117</v>
      </c>
      <c r="J219" t="s">
        <v>51</v>
      </c>
      <c r="K219" t="s">
        <v>267</v>
      </c>
      <c r="L219" t="s">
        <v>263</v>
      </c>
      <c r="M219">
        <v>61</v>
      </c>
      <c r="O219" t="s">
        <v>52</v>
      </c>
      <c r="P219" t="s">
        <v>52</v>
      </c>
      <c r="Q219" t="s">
        <v>197</v>
      </c>
      <c r="R219" t="s">
        <v>53</v>
      </c>
      <c r="S219" t="s">
        <v>116</v>
      </c>
      <c r="T219" t="s">
        <v>198</v>
      </c>
      <c r="U219" t="s">
        <v>108</v>
      </c>
    </row>
    <row r="220" spans="1:21" x14ac:dyDescent="0.3">
      <c r="A220" t="s">
        <v>193</v>
      </c>
      <c r="B220" t="s">
        <v>193</v>
      </c>
      <c r="C220" t="s">
        <v>194</v>
      </c>
      <c r="D220">
        <v>3</v>
      </c>
      <c r="E220" t="s">
        <v>105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266</v>
      </c>
      <c r="L220" t="s">
        <v>257</v>
      </c>
      <c r="M220">
        <v>33</v>
      </c>
      <c r="N220">
        <v>10809</v>
      </c>
      <c r="O220" t="s">
        <v>52</v>
      </c>
      <c r="P220" t="s">
        <v>52</v>
      </c>
      <c r="Q220" t="s">
        <v>197</v>
      </c>
      <c r="R220" t="s">
        <v>53</v>
      </c>
      <c r="S220" t="s">
        <v>116</v>
      </c>
      <c r="T220" t="s">
        <v>198</v>
      </c>
      <c r="U220" t="s">
        <v>108</v>
      </c>
    </row>
    <row r="221" spans="1:21" x14ac:dyDescent="0.3">
      <c r="A221" t="s">
        <v>193</v>
      </c>
      <c r="B221" t="s">
        <v>193</v>
      </c>
      <c r="C221" t="s">
        <v>194</v>
      </c>
      <c r="D221">
        <v>3</v>
      </c>
      <c r="E221" t="s">
        <v>105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252</v>
      </c>
      <c r="L221" t="s">
        <v>257</v>
      </c>
      <c r="M221">
        <v>33</v>
      </c>
      <c r="N221">
        <v>10809</v>
      </c>
      <c r="O221" t="s">
        <v>52</v>
      </c>
      <c r="P221" t="s">
        <v>52</v>
      </c>
      <c r="Q221" t="s">
        <v>197</v>
      </c>
      <c r="R221" t="s">
        <v>53</v>
      </c>
      <c r="S221" t="s">
        <v>116</v>
      </c>
      <c r="T221" t="s">
        <v>198</v>
      </c>
      <c r="U221" t="s">
        <v>108</v>
      </c>
    </row>
    <row r="222" spans="1:21" x14ac:dyDescent="0.3">
      <c r="A222" t="s">
        <v>193</v>
      </c>
      <c r="B222" t="s">
        <v>193</v>
      </c>
      <c r="C222" t="s">
        <v>194</v>
      </c>
      <c r="D222">
        <v>3</v>
      </c>
      <c r="E222" t="s">
        <v>105</v>
      </c>
      <c r="F222">
        <v>1</v>
      </c>
      <c r="G222">
        <v>-1</v>
      </c>
      <c r="H222">
        <v>-1</v>
      </c>
      <c r="I222" t="s">
        <v>119</v>
      </c>
      <c r="J222" t="s">
        <v>58</v>
      </c>
      <c r="K222" t="s">
        <v>262</v>
      </c>
      <c r="L222" t="s">
        <v>263</v>
      </c>
      <c r="M222">
        <v>61</v>
      </c>
      <c r="O222" t="s">
        <v>52</v>
      </c>
      <c r="P222" t="s">
        <v>52</v>
      </c>
      <c r="Q222" t="s">
        <v>197</v>
      </c>
      <c r="R222" t="s">
        <v>53</v>
      </c>
      <c r="S222" t="s">
        <v>116</v>
      </c>
      <c r="T222" t="s">
        <v>198</v>
      </c>
      <c r="U222" t="s">
        <v>108</v>
      </c>
    </row>
    <row r="223" spans="1:21" x14ac:dyDescent="0.3">
      <c r="A223" t="s">
        <v>193</v>
      </c>
      <c r="B223" t="s">
        <v>191</v>
      </c>
      <c r="C223" t="s">
        <v>194</v>
      </c>
      <c r="D223">
        <v>3</v>
      </c>
      <c r="E223" t="s">
        <v>105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269</v>
      </c>
      <c r="L223" t="s">
        <v>259</v>
      </c>
      <c r="M223">
        <v>61</v>
      </c>
      <c r="O223" t="s">
        <v>52</v>
      </c>
      <c r="P223" t="s">
        <v>52</v>
      </c>
      <c r="Q223" t="s">
        <v>197</v>
      </c>
      <c r="R223" t="s">
        <v>53</v>
      </c>
      <c r="S223" t="s">
        <v>116</v>
      </c>
      <c r="T223" t="s">
        <v>198</v>
      </c>
      <c r="U223" t="s">
        <v>108</v>
      </c>
    </row>
    <row r="224" spans="1:21" x14ac:dyDescent="0.3">
      <c r="A224" t="s">
        <v>193</v>
      </c>
      <c r="B224" t="s">
        <v>193</v>
      </c>
      <c r="C224" t="s">
        <v>194</v>
      </c>
      <c r="D224">
        <v>3</v>
      </c>
      <c r="E224" t="s">
        <v>105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270</v>
      </c>
      <c r="L224" t="s">
        <v>257</v>
      </c>
      <c r="M224">
        <v>33</v>
      </c>
      <c r="N224">
        <v>10809</v>
      </c>
      <c r="O224" t="s">
        <v>52</v>
      </c>
      <c r="P224" t="s">
        <v>52</v>
      </c>
      <c r="Q224" t="s">
        <v>197</v>
      </c>
      <c r="R224" t="s">
        <v>53</v>
      </c>
      <c r="S224" t="s">
        <v>116</v>
      </c>
      <c r="T224" t="s">
        <v>198</v>
      </c>
      <c r="U224" t="s">
        <v>108</v>
      </c>
    </row>
    <row r="225" spans="1:21" x14ac:dyDescent="0.3">
      <c r="A225" t="s">
        <v>193</v>
      </c>
      <c r="B225" t="s">
        <v>191</v>
      </c>
      <c r="C225" t="s">
        <v>194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264</v>
      </c>
      <c r="L225" t="s">
        <v>259</v>
      </c>
      <c r="M225">
        <v>61</v>
      </c>
      <c r="O225" t="s">
        <v>52</v>
      </c>
      <c r="P225" t="s">
        <v>52</v>
      </c>
      <c r="Q225" t="s">
        <v>197</v>
      </c>
      <c r="R225" t="s">
        <v>53</v>
      </c>
      <c r="S225" t="s">
        <v>116</v>
      </c>
      <c r="T225" t="s">
        <v>198</v>
      </c>
      <c r="U225" t="s">
        <v>108</v>
      </c>
    </row>
    <row r="226" spans="1:21" x14ac:dyDescent="0.3">
      <c r="A226" t="s">
        <v>193</v>
      </c>
      <c r="B226" t="s">
        <v>193</v>
      </c>
      <c r="C226" t="s">
        <v>194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119</v>
      </c>
      <c r="J226" t="s">
        <v>58</v>
      </c>
      <c r="K226" t="s">
        <v>262</v>
      </c>
      <c r="L226" t="s">
        <v>263</v>
      </c>
      <c r="M226">
        <v>61</v>
      </c>
      <c r="O226" t="s">
        <v>52</v>
      </c>
      <c r="P226" t="s">
        <v>52</v>
      </c>
      <c r="Q226" t="s">
        <v>197</v>
      </c>
      <c r="R226" t="s">
        <v>53</v>
      </c>
      <c r="S226" t="s">
        <v>116</v>
      </c>
      <c r="T226" t="s">
        <v>198</v>
      </c>
      <c r="U226" t="s">
        <v>108</v>
      </c>
    </row>
    <row r="227" spans="1:21" x14ac:dyDescent="0.3">
      <c r="A227" t="s">
        <v>193</v>
      </c>
      <c r="B227" t="s">
        <v>191</v>
      </c>
      <c r="C227" t="s">
        <v>194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268</v>
      </c>
      <c r="L227" t="s">
        <v>259</v>
      </c>
      <c r="M227">
        <v>61</v>
      </c>
      <c r="O227" t="s">
        <v>52</v>
      </c>
      <c r="P227" t="s">
        <v>52</v>
      </c>
      <c r="Q227" t="s">
        <v>197</v>
      </c>
      <c r="R227" t="s">
        <v>53</v>
      </c>
      <c r="S227" t="s">
        <v>116</v>
      </c>
      <c r="T227" t="s">
        <v>198</v>
      </c>
      <c r="U227" t="s">
        <v>108</v>
      </c>
    </row>
    <row r="228" spans="1:21" x14ac:dyDescent="0.3">
      <c r="A228" t="s">
        <v>193</v>
      </c>
      <c r="B228" t="s">
        <v>191</v>
      </c>
      <c r="C228" t="s">
        <v>194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261</v>
      </c>
      <c r="L228" t="s">
        <v>259</v>
      </c>
      <c r="M228">
        <v>61</v>
      </c>
      <c r="O228" t="s">
        <v>52</v>
      </c>
      <c r="P228" t="s">
        <v>52</v>
      </c>
      <c r="Q228" t="s">
        <v>197</v>
      </c>
      <c r="R228" t="s">
        <v>53</v>
      </c>
      <c r="S228" t="s">
        <v>116</v>
      </c>
      <c r="T228" t="s">
        <v>198</v>
      </c>
      <c r="U228" t="s">
        <v>108</v>
      </c>
    </row>
    <row r="229" spans="1:21" x14ac:dyDescent="0.3">
      <c r="A229" t="s">
        <v>193</v>
      </c>
      <c r="B229" t="s">
        <v>191</v>
      </c>
      <c r="C229" t="s">
        <v>194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260</v>
      </c>
      <c r="L229" t="s">
        <v>259</v>
      </c>
      <c r="M229">
        <v>61</v>
      </c>
      <c r="O229" t="s">
        <v>52</v>
      </c>
      <c r="P229" t="s">
        <v>52</v>
      </c>
      <c r="Q229" t="s">
        <v>197</v>
      </c>
      <c r="R229" t="s">
        <v>53</v>
      </c>
      <c r="S229" t="s">
        <v>116</v>
      </c>
      <c r="T229" t="s">
        <v>198</v>
      </c>
      <c r="U229" t="s">
        <v>108</v>
      </c>
    </row>
    <row r="230" spans="1:21" x14ac:dyDescent="0.3">
      <c r="A230" t="s">
        <v>193</v>
      </c>
      <c r="B230" t="s">
        <v>193</v>
      </c>
      <c r="C230" t="s">
        <v>194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252</v>
      </c>
      <c r="L230" t="s">
        <v>257</v>
      </c>
      <c r="M230">
        <v>33</v>
      </c>
      <c r="N230">
        <v>10809</v>
      </c>
      <c r="O230" t="s">
        <v>52</v>
      </c>
      <c r="P230" t="s">
        <v>52</v>
      </c>
      <c r="Q230" t="s">
        <v>197</v>
      </c>
      <c r="R230" t="s">
        <v>53</v>
      </c>
      <c r="S230" t="s">
        <v>116</v>
      </c>
      <c r="T230" t="s">
        <v>198</v>
      </c>
      <c r="U230" t="s">
        <v>108</v>
      </c>
    </row>
    <row r="231" spans="1:21" x14ac:dyDescent="0.3">
      <c r="A231" t="s">
        <v>193</v>
      </c>
      <c r="B231" t="s">
        <v>191</v>
      </c>
      <c r="C231" t="s">
        <v>194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265</v>
      </c>
      <c r="L231" t="s">
        <v>259</v>
      </c>
      <c r="M231">
        <v>61</v>
      </c>
      <c r="O231" t="s">
        <v>52</v>
      </c>
      <c r="P231" t="s">
        <v>52</v>
      </c>
      <c r="Q231" t="s">
        <v>197</v>
      </c>
      <c r="R231" t="s">
        <v>53</v>
      </c>
      <c r="S231" t="s">
        <v>116</v>
      </c>
      <c r="T231" t="s">
        <v>198</v>
      </c>
      <c r="U231" t="s">
        <v>108</v>
      </c>
    </row>
    <row r="232" spans="1:21" x14ac:dyDescent="0.3">
      <c r="A232" t="s">
        <v>193</v>
      </c>
      <c r="B232" t="s">
        <v>191</v>
      </c>
      <c r="C232" t="s">
        <v>194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258</v>
      </c>
      <c r="L232" t="s">
        <v>259</v>
      </c>
      <c r="M232">
        <v>61</v>
      </c>
      <c r="O232" t="s">
        <v>52</v>
      </c>
      <c r="P232" t="s">
        <v>52</v>
      </c>
      <c r="Q232" t="s">
        <v>197</v>
      </c>
      <c r="R232" t="s">
        <v>53</v>
      </c>
      <c r="S232" t="s">
        <v>116</v>
      </c>
      <c r="T232" t="s">
        <v>198</v>
      </c>
      <c r="U232" t="s">
        <v>108</v>
      </c>
    </row>
    <row r="233" spans="1:21" x14ac:dyDescent="0.3">
      <c r="A233" t="s">
        <v>193</v>
      </c>
      <c r="B233" t="s">
        <v>191</v>
      </c>
      <c r="C233" t="s">
        <v>194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271</v>
      </c>
      <c r="L233" t="s">
        <v>259</v>
      </c>
      <c r="M233">
        <v>61</v>
      </c>
      <c r="O233" t="s">
        <v>52</v>
      </c>
      <c r="P233" t="s">
        <v>52</v>
      </c>
      <c r="Q233" t="s">
        <v>197</v>
      </c>
      <c r="R233" t="s">
        <v>53</v>
      </c>
      <c r="S233" t="s">
        <v>116</v>
      </c>
      <c r="T233" t="s">
        <v>198</v>
      </c>
      <c r="U233" t="s">
        <v>108</v>
      </c>
    </row>
    <row r="234" spans="1:21" x14ac:dyDescent="0.3">
      <c r="A234" t="s">
        <v>193</v>
      </c>
      <c r="B234" t="s">
        <v>193</v>
      </c>
      <c r="C234" t="s">
        <v>194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266</v>
      </c>
      <c r="L234" t="s">
        <v>257</v>
      </c>
      <c r="M234">
        <v>33</v>
      </c>
      <c r="N234">
        <v>10809</v>
      </c>
      <c r="O234" t="s">
        <v>52</v>
      </c>
      <c r="P234" t="s">
        <v>52</v>
      </c>
      <c r="Q234" t="s">
        <v>197</v>
      </c>
      <c r="R234" t="s">
        <v>53</v>
      </c>
      <c r="S234" t="s">
        <v>116</v>
      </c>
      <c r="T234" t="s">
        <v>198</v>
      </c>
      <c r="U234" t="s">
        <v>108</v>
      </c>
    </row>
    <row r="235" spans="1:21" x14ac:dyDescent="0.3">
      <c r="A235" t="s">
        <v>193</v>
      </c>
      <c r="B235" t="s">
        <v>193</v>
      </c>
      <c r="C235" t="s">
        <v>194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117</v>
      </c>
      <c r="J235" t="s">
        <v>51</v>
      </c>
      <c r="K235" t="s">
        <v>267</v>
      </c>
      <c r="L235" t="s">
        <v>263</v>
      </c>
      <c r="M235">
        <v>61</v>
      </c>
      <c r="O235" t="s">
        <v>52</v>
      </c>
      <c r="P235" t="s">
        <v>52</v>
      </c>
      <c r="Q235" t="s">
        <v>197</v>
      </c>
      <c r="R235" t="s">
        <v>53</v>
      </c>
      <c r="S235" t="s">
        <v>116</v>
      </c>
      <c r="T235" t="s">
        <v>198</v>
      </c>
      <c r="U235" t="s">
        <v>108</v>
      </c>
    </row>
    <row r="236" spans="1:21" x14ac:dyDescent="0.3">
      <c r="A236" t="s">
        <v>193</v>
      </c>
      <c r="B236" t="s">
        <v>191</v>
      </c>
      <c r="C236" t="s">
        <v>194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269</v>
      </c>
      <c r="L236" t="s">
        <v>259</v>
      </c>
      <c r="M236">
        <v>61</v>
      </c>
      <c r="O236" t="s">
        <v>52</v>
      </c>
      <c r="P236" t="s">
        <v>52</v>
      </c>
      <c r="Q236" t="s">
        <v>197</v>
      </c>
      <c r="R236" t="s">
        <v>53</v>
      </c>
      <c r="S236" t="s">
        <v>116</v>
      </c>
      <c r="T236" t="s">
        <v>198</v>
      </c>
      <c r="U236" t="s">
        <v>108</v>
      </c>
    </row>
    <row r="237" spans="1:21" x14ac:dyDescent="0.3">
      <c r="A237" t="s">
        <v>193</v>
      </c>
      <c r="B237" t="s">
        <v>193</v>
      </c>
      <c r="C237" t="s">
        <v>194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270</v>
      </c>
      <c r="L237" t="s">
        <v>257</v>
      </c>
      <c r="M237">
        <v>33</v>
      </c>
      <c r="N237">
        <v>10809</v>
      </c>
      <c r="O237" t="s">
        <v>52</v>
      </c>
      <c r="P237" t="s">
        <v>52</v>
      </c>
      <c r="Q237" t="s">
        <v>197</v>
      </c>
      <c r="R237" t="s">
        <v>53</v>
      </c>
      <c r="S237" t="s">
        <v>116</v>
      </c>
      <c r="T237" t="s">
        <v>198</v>
      </c>
      <c r="U237" t="s">
        <v>108</v>
      </c>
    </row>
    <row r="238" spans="1:21" x14ac:dyDescent="0.3">
      <c r="A238" t="s">
        <v>193</v>
      </c>
      <c r="B238" t="s">
        <v>193</v>
      </c>
      <c r="C238" t="s">
        <v>194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253</v>
      </c>
      <c r="L238" t="s">
        <v>257</v>
      </c>
      <c r="M238">
        <v>33</v>
      </c>
      <c r="N238">
        <v>10809</v>
      </c>
      <c r="O238" t="s">
        <v>52</v>
      </c>
      <c r="P238" t="s">
        <v>52</v>
      </c>
      <c r="Q238" t="s">
        <v>197</v>
      </c>
      <c r="R238" t="s">
        <v>53</v>
      </c>
      <c r="S238" t="s">
        <v>116</v>
      </c>
      <c r="T238" t="s">
        <v>198</v>
      </c>
      <c r="U238" t="s">
        <v>108</v>
      </c>
    </row>
    <row r="239" spans="1:21" x14ac:dyDescent="0.3">
      <c r="A239" t="s">
        <v>193</v>
      </c>
      <c r="B239" t="s">
        <v>191</v>
      </c>
      <c r="C239" t="s">
        <v>194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264</v>
      </c>
      <c r="L239" t="s">
        <v>259</v>
      </c>
      <c r="M239">
        <v>61</v>
      </c>
      <c r="O239" t="s">
        <v>52</v>
      </c>
      <c r="P239" t="s">
        <v>52</v>
      </c>
      <c r="Q239" t="s">
        <v>197</v>
      </c>
      <c r="R239" t="s">
        <v>53</v>
      </c>
      <c r="S239" t="s">
        <v>116</v>
      </c>
      <c r="T239" t="s">
        <v>198</v>
      </c>
      <c r="U239" t="s">
        <v>108</v>
      </c>
    </row>
    <row r="240" spans="1:21" x14ac:dyDescent="0.3">
      <c r="A240" t="s">
        <v>193</v>
      </c>
      <c r="B240" t="s">
        <v>191</v>
      </c>
      <c r="C240" t="s">
        <v>194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258</v>
      </c>
      <c r="L240" t="s">
        <v>259</v>
      </c>
      <c r="M240">
        <v>61</v>
      </c>
      <c r="O240" t="s">
        <v>52</v>
      </c>
      <c r="P240" t="s">
        <v>52</v>
      </c>
      <c r="Q240" t="s">
        <v>197</v>
      </c>
      <c r="R240" t="s">
        <v>53</v>
      </c>
      <c r="S240" t="s">
        <v>116</v>
      </c>
      <c r="T240" t="s">
        <v>198</v>
      </c>
      <c r="U240" t="s">
        <v>108</v>
      </c>
    </row>
    <row r="241" spans="1:21" x14ac:dyDescent="0.3">
      <c r="A241" t="s">
        <v>193</v>
      </c>
      <c r="B241" t="s">
        <v>191</v>
      </c>
      <c r="C241" t="s">
        <v>194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269</v>
      </c>
      <c r="L241" t="s">
        <v>259</v>
      </c>
      <c r="M241">
        <v>61</v>
      </c>
      <c r="O241" t="s">
        <v>52</v>
      </c>
      <c r="P241" t="s">
        <v>52</v>
      </c>
      <c r="Q241" t="s">
        <v>197</v>
      </c>
      <c r="R241" t="s">
        <v>53</v>
      </c>
      <c r="S241" t="s">
        <v>116</v>
      </c>
      <c r="T241" t="s">
        <v>198</v>
      </c>
      <c r="U241" t="s">
        <v>108</v>
      </c>
    </row>
    <row r="242" spans="1:21" x14ac:dyDescent="0.3">
      <c r="A242" t="s">
        <v>193</v>
      </c>
      <c r="B242" t="s">
        <v>191</v>
      </c>
      <c r="C242" t="s">
        <v>194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261</v>
      </c>
      <c r="L242" t="s">
        <v>259</v>
      </c>
      <c r="M242">
        <v>61</v>
      </c>
      <c r="O242" t="s">
        <v>52</v>
      </c>
      <c r="P242" t="s">
        <v>52</v>
      </c>
      <c r="Q242" t="s">
        <v>197</v>
      </c>
      <c r="R242" t="s">
        <v>53</v>
      </c>
      <c r="S242" t="s">
        <v>116</v>
      </c>
      <c r="T242" t="s">
        <v>198</v>
      </c>
      <c r="U242" t="s">
        <v>108</v>
      </c>
    </row>
    <row r="243" spans="1:21" x14ac:dyDescent="0.3">
      <c r="A243" t="s">
        <v>193</v>
      </c>
      <c r="B243" t="s">
        <v>193</v>
      </c>
      <c r="C243" t="s">
        <v>194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253</v>
      </c>
      <c r="L243" t="s">
        <v>257</v>
      </c>
      <c r="M243">
        <v>33</v>
      </c>
      <c r="N243">
        <v>10809</v>
      </c>
      <c r="O243" t="s">
        <v>52</v>
      </c>
      <c r="P243" t="s">
        <v>52</v>
      </c>
      <c r="Q243" t="s">
        <v>197</v>
      </c>
      <c r="R243" t="s">
        <v>53</v>
      </c>
      <c r="S243" t="s">
        <v>116</v>
      </c>
      <c r="T243" t="s">
        <v>198</v>
      </c>
      <c r="U243" t="s">
        <v>108</v>
      </c>
    </row>
    <row r="244" spans="1:21" x14ac:dyDescent="0.3">
      <c r="A244" t="s">
        <v>193</v>
      </c>
      <c r="B244" t="s">
        <v>193</v>
      </c>
      <c r="C244" t="s">
        <v>194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252</v>
      </c>
      <c r="L244" t="s">
        <v>257</v>
      </c>
      <c r="M244">
        <v>33</v>
      </c>
      <c r="N244">
        <v>10809</v>
      </c>
      <c r="O244" t="s">
        <v>52</v>
      </c>
      <c r="P244" t="s">
        <v>52</v>
      </c>
      <c r="Q244" t="s">
        <v>197</v>
      </c>
      <c r="R244" t="s">
        <v>53</v>
      </c>
      <c r="S244" t="s">
        <v>116</v>
      </c>
      <c r="T244" t="s">
        <v>198</v>
      </c>
      <c r="U244" t="s">
        <v>108</v>
      </c>
    </row>
    <row r="245" spans="1:21" x14ac:dyDescent="0.3">
      <c r="A245" t="s">
        <v>193</v>
      </c>
      <c r="B245" t="s">
        <v>193</v>
      </c>
      <c r="C245" t="s">
        <v>194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270</v>
      </c>
      <c r="L245" t="s">
        <v>257</v>
      </c>
      <c r="M245">
        <v>33</v>
      </c>
      <c r="N245">
        <v>10809</v>
      </c>
      <c r="O245" t="s">
        <v>52</v>
      </c>
      <c r="P245" t="s">
        <v>52</v>
      </c>
      <c r="Q245" t="s">
        <v>197</v>
      </c>
      <c r="R245" t="s">
        <v>53</v>
      </c>
      <c r="S245" t="s">
        <v>116</v>
      </c>
      <c r="T245" t="s">
        <v>198</v>
      </c>
      <c r="U245" t="s">
        <v>108</v>
      </c>
    </row>
    <row r="246" spans="1:21" x14ac:dyDescent="0.3">
      <c r="A246" t="s">
        <v>193</v>
      </c>
      <c r="B246" t="s">
        <v>191</v>
      </c>
      <c r="C246" t="s">
        <v>194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265</v>
      </c>
      <c r="L246" t="s">
        <v>259</v>
      </c>
      <c r="M246">
        <v>61</v>
      </c>
      <c r="O246" t="s">
        <v>52</v>
      </c>
      <c r="P246" t="s">
        <v>52</v>
      </c>
      <c r="Q246" t="s">
        <v>197</v>
      </c>
      <c r="R246" t="s">
        <v>53</v>
      </c>
      <c r="S246" t="s">
        <v>116</v>
      </c>
      <c r="T246" t="s">
        <v>198</v>
      </c>
      <c r="U246" t="s">
        <v>108</v>
      </c>
    </row>
    <row r="247" spans="1:21" x14ac:dyDescent="0.3">
      <c r="A247" t="s">
        <v>193</v>
      </c>
      <c r="B247" t="s">
        <v>193</v>
      </c>
      <c r="C247" t="s">
        <v>194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117</v>
      </c>
      <c r="J247" t="s">
        <v>51</v>
      </c>
      <c r="K247" t="s">
        <v>267</v>
      </c>
      <c r="L247" t="s">
        <v>263</v>
      </c>
      <c r="M247">
        <v>61</v>
      </c>
      <c r="O247" t="s">
        <v>52</v>
      </c>
      <c r="P247" t="s">
        <v>52</v>
      </c>
      <c r="Q247" t="s">
        <v>197</v>
      </c>
      <c r="R247" t="s">
        <v>53</v>
      </c>
      <c r="S247" t="s">
        <v>116</v>
      </c>
      <c r="T247" t="s">
        <v>198</v>
      </c>
      <c r="U247" t="s">
        <v>108</v>
      </c>
    </row>
    <row r="248" spans="1:21" x14ac:dyDescent="0.3">
      <c r="A248" t="s">
        <v>193</v>
      </c>
      <c r="B248" t="s">
        <v>191</v>
      </c>
      <c r="C248" t="s">
        <v>194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271</v>
      </c>
      <c r="L248" t="s">
        <v>259</v>
      </c>
      <c r="M248">
        <v>61</v>
      </c>
      <c r="O248" t="s">
        <v>52</v>
      </c>
      <c r="P248" t="s">
        <v>52</v>
      </c>
      <c r="Q248" t="s">
        <v>197</v>
      </c>
      <c r="R248" t="s">
        <v>53</v>
      </c>
      <c r="S248" t="s">
        <v>116</v>
      </c>
      <c r="T248" t="s">
        <v>198</v>
      </c>
      <c r="U248" t="s">
        <v>108</v>
      </c>
    </row>
    <row r="249" spans="1:21" x14ac:dyDescent="0.3">
      <c r="A249" t="s">
        <v>193</v>
      </c>
      <c r="B249" t="s">
        <v>191</v>
      </c>
      <c r="C249" t="s">
        <v>194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268</v>
      </c>
      <c r="L249" t="s">
        <v>259</v>
      </c>
      <c r="M249">
        <v>61</v>
      </c>
      <c r="O249" t="s">
        <v>52</v>
      </c>
      <c r="P249" t="s">
        <v>52</v>
      </c>
      <c r="Q249" t="s">
        <v>197</v>
      </c>
      <c r="R249" t="s">
        <v>53</v>
      </c>
      <c r="S249" t="s">
        <v>116</v>
      </c>
      <c r="T249" t="s">
        <v>198</v>
      </c>
      <c r="U249" t="s">
        <v>108</v>
      </c>
    </row>
    <row r="250" spans="1:21" x14ac:dyDescent="0.3">
      <c r="A250" t="s">
        <v>193</v>
      </c>
      <c r="B250" t="s">
        <v>191</v>
      </c>
      <c r="C250" t="s">
        <v>194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260</v>
      </c>
      <c r="L250" t="s">
        <v>259</v>
      </c>
      <c r="M250">
        <v>61</v>
      </c>
      <c r="O250" t="s">
        <v>52</v>
      </c>
      <c r="P250" t="s">
        <v>52</v>
      </c>
      <c r="Q250" t="s">
        <v>197</v>
      </c>
      <c r="R250" t="s">
        <v>53</v>
      </c>
      <c r="S250" t="s">
        <v>116</v>
      </c>
      <c r="T250" t="s">
        <v>198</v>
      </c>
      <c r="U250" t="s">
        <v>108</v>
      </c>
    </row>
    <row r="251" spans="1:21" x14ac:dyDescent="0.3">
      <c r="A251" t="s">
        <v>193</v>
      </c>
      <c r="B251" t="s">
        <v>193</v>
      </c>
      <c r="C251" t="s">
        <v>194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266</v>
      </c>
      <c r="L251" t="s">
        <v>257</v>
      </c>
      <c r="M251">
        <v>33</v>
      </c>
      <c r="N251">
        <v>10809</v>
      </c>
      <c r="O251" t="s">
        <v>52</v>
      </c>
      <c r="P251" t="s">
        <v>52</v>
      </c>
      <c r="Q251" t="s">
        <v>197</v>
      </c>
      <c r="R251" t="s">
        <v>53</v>
      </c>
      <c r="S251" t="s">
        <v>116</v>
      </c>
      <c r="T251" t="s">
        <v>198</v>
      </c>
      <c r="U251" t="s">
        <v>108</v>
      </c>
    </row>
    <row r="252" spans="1:21" x14ac:dyDescent="0.3">
      <c r="A252" t="s">
        <v>192</v>
      </c>
      <c r="B252" t="s">
        <v>192</v>
      </c>
      <c r="C252" t="s">
        <v>194</v>
      </c>
      <c r="D252">
        <v>1</v>
      </c>
      <c r="E252" t="s">
        <v>107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272</v>
      </c>
      <c r="L252" t="s">
        <v>273</v>
      </c>
      <c r="M252">
        <v>33</v>
      </c>
      <c r="N252">
        <v>11167</v>
      </c>
      <c r="O252" t="s">
        <v>52</v>
      </c>
      <c r="P252" t="s">
        <v>52</v>
      </c>
      <c r="Q252" t="s">
        <v>197</v>
      </c>
      <c r="R252" t="s">
        <v>53</v>
      </c>
      <c r="S252" t="s">
        <v>116</v>
      </c>
      <c r="T252" t="s">
        <v>198</v>
      </c>
      <c r="U252" t="s">
        <v>108</v>
      </c>
    </row>
    <row r="253" spans="1:21" x14ac:dyDescent="0.3">
      <c r="A253" t="s">
        <v>192</v>
      </c>
      <c r="B253" t="s">
        <v>192</v>
      </c>
      <c r="C253" t="s">
        <v>194</v>
      </c>
      <c r="D253">
        <v>1</v>
      </c>
      <c r="E253" t="s">
        <v>107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274</v>
      </c>
      <c r="L253" t="s">
        <v>273</v>
      </c>
      <c r="M253">
        <v>33</v>
      </c>
      <c r="N253">
        <v>11167</v>
      </c>
      <c r="O253" t="s">
        <v>52</v>
      </c>
      <c r="P253" t="s">
        <v>52</v>
      </c>
      <c r="Q253" t="s">
        <v>197</v>
      </c>
      <c r="R253" t="s">
        <v>53</v>
      </c>
      <c r="S253" t="s">
        <v>116</v>
      </c>
      <c r="T253" t="s">
        <v>198</v>
      </c>
      <c r="U253" t="s">
        <v>108</v>
      </c>
    </row>
    <row r="254" spans="1:21" x14ac:dyDescent="0.3">
      <c r="A254" t="s">
        <v>192</v>
      </c>
      <c r="B254" t="s">
        <v>192</v>
      </c>
      <c r="C254" t="s">
        <v>194</v>
      </c>
      <c r="D254">
        <v>1</v>
      </c>
      <c r="E254" t="s">
        <v>107</v>
      </c>
      <c r="F254">
        <v>1</v>
      </c>
      <c r="G254">
        <v>-130</v>
      </c>
      <c r="H254">
        <v>-130</v>
      </c>
      <c r="I254" t="s">
        <v>117</v>
      </c>
      <c r="J254" t="s">
        <v>51</v>
      </c>
      <c r="K254" t="s">
        <v>275</v>
      </c>
      <c r="L254" t="s">
        <v>276</v>
      </c>
      <c r="M254">
        <v>61</v>
      </c>
      <c r="O254" t="s">
        <v>52</v>
      </c>
      <c r="P254" t="s">
        <v>52</v>
      </c>
      <c r="Q254" t="s">
        <v>197</v>
      </c>
      <c r="R254" t="s">
        <v>53</v>
      </c>
      <c r="S254" t="s">
        <v>116</v>
      </c>
      <c r="T254" t="s">
        <v>198</v>
      </c>
      <c r="U254" t="s">
        <v>108</v>
      </c>
    </row>
    <row r="255" spans="1:21" x14ac:dyDescent="0.3">
      <c r="A255" t="s">
        <v>192</v>
      </c>
      <c r="B255" t="s">
        <v>192</v>
      </c>
      <c r="C255" t="s">
        <v>194</v>
      </c>
      <c r="D255">
        <v>1</v>
      </c>
      <c r="E255" t="s">
        <v>107</v>
      </c>
      <c r="F255">
        <v>1</v>
      </c>
      <c r="G255">
        <v>-2</v>
      </c>
      <c r="H255">
        <v>-2</v>
      </c>
      <c r="I255" t="s">
        <v>119</v>
      </c>
      <c r="J255" t="s">
        <v>58</v>
      </c>
      <c r="K255" t="s">
        <v>277</v>
      </c>
      <c r="L255" t="s">
        <v>276</v>
      </c>
      <c r="M255">
        <v>61</v>
      </c>
      <c r="O255" t="s">
        <v>52</v>
      </c>
      <c r="P255" t="s">
        <v>52</v>
      </c>
      <c r="Q255" t="s">
        <v>197</v>
      </c>
      <c r="R255" t="s">
        <v>53</v>
      </c>
      <c r="S255" t="s">
        <v>116</v>
      </c>
      <c r="T255" t="s">
        <v>198</v>
      </c>
      <c r="U255" t="s">
        <v>108</v>
      </c>
    </row>
    <row r="256" spans="1:21" x14ac:dyDescent="0.3">
      <c r="A256" t="s">
        <v>192</v>
      </c>
      <c r="B256" t="s">
        <v>192</v>
      </c>
      <c r="C256" t="s">
        <v>194</v>
      </c>
      <c r="D256">
        <v>1</v>
      </c>
      <c r="E256" t="s">
        <v>107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278</v>
      </c>
      <c r="L256" t="s">
        <v>273</v>
      </c>
      <c r="M256">
        <v>33</v>
      </c>
      <c r="N256">
        <v>11167</v>
      </c>
      <c r="O256" t="s">
        <v>52</v>
      </c>
      <c r="P256" t="s">
        <v>52</v>
      </c>
      <c r="Q256" t="s">
        <v>197</v>
      </c>
      <c r="R256" t="s">
        <v>53</v>
      </c>
      <c r="S256" t="s">
        <v>116</v>
      </c>
      <c r="T256" t="s">
        <v>198</v>
      </c>
      <c r="U256" t="s">
        <v>108</v>
      </c>
    </row>
    <row r="257" spans="1:21" x14ac:dyDescent="0.3">
      <c r="A257" t="s">
        <v>192</v>
      </c>
      <c r="B257" t="s">
        <v>192</v>
      </c>
      <c r="C257" t="s">
        <v>194</v>
      </c>
      <c r="D257">
        <v>1</v>
      </c>
      <c r="E257" t="s">
        <v>107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279</v>
      </c>
      <c r="L257" t="s">
        <v>273</v>
      </c>
      <c r="M257">
        <v>33</v>
      </c>
      <c r="N257">
        <v>11167</v>
      </c>
      <c r="O257" t="s">
        <v>52</v>
      </c>
      <c r="P257" t="s">
        <v>52</v>
      </c>
      <c r="Q257" t="s">
        <v>197</v>
      </c>
      <c r="R257" t="s">
        <v>53</v>
      </c>
      <c r="S257" t="s">
        <v>116</v>
      </c>
      <c r="T257" t="s">
        <v>198</v>
      </c>
      <c r="U257" t="s">
        <v>108</v>
      </c>
    </row>
    <row r="258" spans="1:21" x14ac:dyDescent="0.3">
      <c r="A258" t="s">
        <v>192</v>
      </c>
      <c r="B258" t="s">
        <v>192</v>
      </c>
      <c r="C258" t="s">
        <v>194</v>
      </c>
      <c r="D258">
        <v>2</v>
      </c>
      <c r="E258" t="s">
        <v>118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278</v>
      </c>
      <c r="L258" t="s">
        <v>273</v>
      </c>
      <c r="M258">
        <v>33</v>
      </c>
      <c r="N258">
        <v>11167</v>
      </c>
      <c r="O258" t="s">
        <v>52</v>
      </c>
      <c r="P258" t="s">
        <v>52</v>
      </c>
      <c r="Q258" t="s">
        <v>197</v>
      </c>
      <c r="R258" t="s">
        <v>53</v>
      </c>
      <c r="S258" t="s">
        <v>116</v>
      </c>
      <c r="T258" t="s">
        <v>198</v>
      </c>
      <c r="U258" t="s">
        <v>108</v>
      </c>
    </row>
    <row r="259" spans="1:21" x14ac:dyDescent="0.3">
      <c r="A259" t="s">
        <v>192</v>
      </c>
      <c r="B259" t="s">
        <v>192</v>
      </c>
      <c r="C259" t="s">
        <v>194</v>
      </c>
      <c r="D259">
        <v>2</v>
      </c>
      <c r="E259" t="s">
        <v>118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274</v>
      </c>
      <c r="L259" t="s">
        <v>273</v>
      </c>
      <c r="M259">
        <v>33</v>
      </c>
      <c r="N259">
        <v>11167</v>
      </c>
      <c r="O259" t="s">
        <v>52</v>
      </c>
      <c r="P259" t="s">
        <v>52</v>
      </c>
      <c r="Q259" t="s">
        <v>197</v>
      </c>
      <c r="R259" t="s">
        <v>53</v>
      </c>
      <c r="S259" t="s">
        <v>116</v>
      </c>
      <c r="T259" t="s">
        <v>198</v>
      </c>
      <c r="U259" t="s">
        <v>108</v>
      </c>
    </row>
    <row r="260" spans="1:21" x14ac:dyDescent="0.3">
      <c r="A260" t="s">
        <v>192</v>
      </c>
      <c r="B260" t="s">
        <v>192</v>
      </c>
      <c r="C260" t="s">
        <v>194</v>
      </c>
      <c r="D260">
        <v>2</v>
      </c>
      <c r="E260" t="s">
        <v>118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272</v>
      </c>
      <c r="L260" t="s">
        <v>273</v>
      </c>
      <c r="M260">
        <v>33</v>
      </c>
      <c r="N260">
        <v>11167</v>
      </c>
      <c r="O260" t="s">
        <v>52</v>
      </c>
      <c r="P260" t="s">
        <v>52</v>
      </c>
      <c r="Q260" t="s">
        <v>197</v>
      </c>
      <c r="R260" t="s">
        <v>53</v>
      </c>
      <c r="S260" t="s">
        <v>116</v>
      </c>
      <c r="T260" t="s">
        <v>198</v>
      </c>
      <c r="U260" t="s">
        <v>108</v>
      </c>
    </row>
    <row r="261" spans="1:21" x14ac:dyDescent="0.3">
      <c r="A261" t="s">
        <v>192</v>
      </c>
      <c r="B261" t="s">
        <v>192</v>
      </c>
      <c r="C261" t="s">
        <v>194</v>
      </c>
      <c r="D261">
        <v>2</v>
      </c>
      <c r="E261" t="s">
        <v>118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279</v>
      </c>
      <c r="L261" t="s">
        <v>273</v>
      </c>
      <c r="M261">
        <v>33</v>
      </c>
      <c r="N261">
        <v>11167</v>
      </c>
      <c r="O261" t="s">
        <v>52</v>
      </c>
      <c r="P261" t="s">
        <v>52</v>
      </c>
      <c r="Q261" t="s">
        <v>197</v>
      </c>
      <c r="R261" t="s">
        <v>53</v>
      </c>
      <c r="S261" t="s">
        <v>116</v>
      </c>
      <c r="T261" t="s">
        <v>198</v>
      </c>
      <c r="U261" t="s">
        <v>108</v>
      </c>
    </row>
    <row r="262" spans="1:21" x14ac:dyDescent="0.3">
      <c r="A262" t="s">
        <v>192</v>
      </c>
      <c r="B262" t="s">
        <v>192</v>
      </c>
      <c r="C262" t="s">
        <v>194</v>
      </c>
      <c r="D262">
        <v>3</v>
      </c>
      <c r="E262" t="s">
        <v>105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272</v>
      </c>
      <c r="L262" t="s">
        <v>273</v>
      </c>
      <c r="M262">
        <v>33</v>
      </c>
      <c r="N262">
        <v>11167</v>
      </c>
      <c r="O262" t="s">
        <v>52</v>
      </c>
      <c r="P262" t="s">
        <v>52</v>
      </c>
      <c r="Q262" t="s">
        <v>197</v>
      </c>
      <c r="R262" t="s">
        <v>53</v>
      </c>
      <c r="S262" t="s">
        <v>116</v>
      </c>
      <c r="T262" t="s">
        <v>198</v>
      </c>
      <c r="U262" t="s">
        <v>108</v>
      </c>
    </row>
    <row r="263" spans="1:21" x14ac:dyDescent="0.3">
      <c r="A263" t="s">
        <v>192</v>
      </c>
      <c r="B263" t="s">
        <v>192</v>
      </c>
      <c r="C263" t="s">
        <v>194</v>
      </c>
      <c r="D263">
        <v>3</v>
      </c>
      <c r="E263" t="s">
        <v>105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278</v>
      </c>
      <c r="L263" t="s">
        <v>273</v>
      </c>
      <c r="M263">
        <v>33</v>
      </c>
      <c r="N263">
        <v>11167</v>
      </c>
      <c r="O263" t="s">
        <v>52</v>
      </c>
      <c r="P263" t="s">
        <v>52</v>
      </c>
      <c r="Q263" t="s">
        <v>197</v>
      </c>
      <c r="R263" t="s">
        <v>53</v>
      </c>
      <c r="S263" t="s">
        <v>116</v>
      </c>
      <c r="T263" t="s">
        <v>198</v>
      </c>
      <c r="U263" t="s">
        <v>108</v>
      </c>
    </row>
    <row r="264" spans="1:21" x14ac:dyDescent="0.3">
      <c r="A264" t="s">
        <v>192</v>
      </c>
      <c r="B264" t="s">
        <v>192</v>
      </c>
      <c r="C264" t="s">
        <v>194</v>
      </c>
      <c r="D264">
        <v>3</v>
      </c>
      <c r="E264" t="s">
        <v>105</v>
      </c>
      <c r="F264">
        <v>1</v>
      </c>
      <c r="G264">
        <v>-25</v>
      </c>
      <c r="H264">
        <v>-25</v>
      </c>
      <c r="I264" t="s">
        <v>117</v>
      </c>
      <c r="J264" t="s">
        <v>51</v>
      </c>
      <c r="K264" t="s">
        <v>275</v>
      </c>
      <c r="L264" t="s">
        <v>276</v>
      </c>
      <c r="M264">
        <v>61</v>
      </c>
      <c r="O264" t="s">
        <v>52</v>
      </c>
      <c r="P264" t="s">
        <v>52</v>
      </c>
      <c r="Q264" t="s">
        <v>197</v>
      </c>
      <c r="R264" t="s">
        <v>53</v>
      </c>
      <c r="S264" t="s">
        <v>116</v>
      </c>
      <c r="T264" t="s">
        <v>198</v>
      </c>
      <c r="U264" t="s">
        <v>108</v>
      </c>
    </row>
    <row r="265" spans="1:21" x14ac:dyDescent="0.3">
      <c r="A265" t="s">
        <v>192</v>
      </c>
      <c r="B265" t="s">
        <v>192</v>
      </c>
      <c r="C265" t="s">
        <v>194</v>
      </c>
      <c r="D265">
        <v>3</v>
      </c>
      <c r="E265" t="s">
        <v>105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274</v>
      </c>
      <c r="L265" t="s">
        <v>273</v>
      </c>
      <c r="M265">
        <v>33</v>
      </c>
      <c r="N265">
        <v>11167</v>
      </c>
      <c r="O265" t="s">
        <v>52</v>
      </c>
      <c r="P265" t="s">
        <v>52</v>
      </c>
      <c r="Q265" t="s">
        <v>197</v>
      </c>
      <c r="R265" t="s">
        <v>53</v>
      </c>
      <c r="S265" t="s">
        <v>116</v>
      </c>
      <c r="T265" t="s">
        <v>198</v>
      </c>
      <c r="U265" t="s">
        <v>108</v>
      </c>
    </row>
    <row r="266" spans="1:21" x14ac:dyDescent="0.3">
      <c r="A266" t="s">
        <v>192</v>
      </c>
      <c r="B266" t="s">
        <v>192</v>
      </c>
      <c r="C266" t="s">
        <v>194</v>
      </c>
      <c r="D266">
        <v>3</v>
      </c>
      <c r="E266" t="s">
        <v>105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279</v>
      </c>
      <c r="L266" t="s">
        <v>273</v>
      </c>
      <c r="M266">
        <v>33</v>
      </c>
      <c r="N266">
        <v>11167</v>
      </c>
      <c r="O266" t="s">
        <v>52</v>
      </c>
      <c r="P266" t="s">
        <v>52</v>
      </c>
      <c r="Q266" t="s">
        <v>197</v>
      </c>
      <c r="R266" t="s">
        <v>53</v>
      </c>
      <c r="S266" t="s">
        <v>116</v>
      </c>
      <c r="T266" t="s">
        <v>198</v>
      </c>
      <c r="U266" t="s">
        <v>108</v>
      </c>
    </row>
    <row r="267" spans="1:21" x14ac:dyDescent="0.3">
      <c r="A267" t="s">
        <v>192</v>
      </c>
      <c r="B267" t="s">
        <v>192</v>
      </c>
      <c r="C267" t="s">
        <v>194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119</v>
      </c>
      <c r="J267" t="s">
        <v>58</v>
      </c>
      <c r="K267" t="s">
        <v>277</v>
      </c>
      <c r="L267" t="s">
        <v>276</v>
      </c>
      <c r="M267">
        <v>61</v>
      </c>
      <c r="O267" t="s">
        <v>52</v>
      </c>
      <c r="P267" t="s">
        <v>52</v>
      </c>
      <c r="Q267" t="s">
        <v>197</v>
      </c>
      <c r="R267" t="s">
        <v>53</v>
      </c>
      <c r="S267" t="s">
        <v>116</v>
      </c>
      <c r="T267" t="s">
        <v>198</v>
      </c>
      <c r="U267" t="s">
        <v>108</v>
      </c>
    </row>
    <row r="268" spans="1:21" x14ac:dyDescent="0.3">
      <c r="A268" t="s">
        <v>192</v>
      </c>
      <c r="B268" t="s">
        <v>192</v>
      </c>
      <c r="C268" t="s">
        <v>194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117</v>
      </c>
      <c r="J268" t="s">
        <v>51</v>
      </c>
      <c r="K268" t="s">
        <v>275</v>
      </c>
      <c r="L268" t="s">
        <v>276</v>
      </c>
      <c r="M268">
        <v>61</v>
      </c>
      <c r="O268" t="s">
        <v>52</v>
      </c>
      <c r="P268" t="s">
        <v>52</v>
      </c>
      <c r="Q268" t="s">
        <v>197</v>
      </c>
      <c r="R268" t="s">
        <v>53</v>
      </c>
      <c r="S268" t="s">
        <v>116</v>
      </c>
      <c r="T268" t="s">
        <v>198</v>
      </c>
      <c r="U268" t="s">
        <v>108</v>
      </c>
    </row>
    <row r="269" spans="1:21" x14ac:dyDescent="0.3">
      <c r="A269" t="s">
        <v>192</v>
      </c>
      <c r="B269" t="s">
        <v>192</v>
      </c>
      <c r="C269" t="s">
        <v>194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278</v>
      </c>
      <c r="L269" t="s">
        <v>273</v>
      </c>
      <c r="M269">
        <v>33</v>
      </c>
      <c r="N269">
        <v>11167</v>
      </c>
      <c r="O269" t="s">
        <v>52</v>
      </c>
      <c r="P269" t="s">
        <v>52</v>
      </c>
      <c r="Q269" t="s">
        <v>197</v>
      </c>
      <c r="R269" t="s">
        <v>53</v>
      </c>
      <c r="S269" t="s">
        <v>116</v>
      </c>
      <c r="T269" t="s">
        <v>198</v>
      </c>
      <c r="U269" t="s">
        <v>108</v>
      </c>
    </row>
    <row r="270" spans="1:21" x14ac:dyDescent="0.3">
      <c r="A270" t="s">
        <v>192</v>
      </c>
      <c r="B270" t="s">
        <v>192</v>
      </c>
      <c r="C270" t="s">
        <v>194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279</v>
      </c>
      <c r="L270" t="s">
        <v>273</v>
      </c>
      <c r="M270">
        <v>33</v>
      </c>
      <c r="N270">
        <v>11167</v>
      </c>
      <c r="O270" t="s">
        <v>52</v>
      </c>
      <c r="P270" t="s">
        <v>52</v>
      </c>
      <c r="Q270" t="s">
        <v>197</v>
      </c>
      <c r="R270" t="s">
        <v>53</v>
      </c>
      <c r="S270" t="s">
        <v>116</v>
      </c>
      <c r="T270" t="s">
        <v>198</v>
      </c>
      <c r="U270" t="s">
        <v>108</v>
      </c>
    </row>
    <row r="271" spans="1:21" x14ac:dyDescent="0.3">
      <c r="A271" t="s">
        <v>192</v>
      </c>
      <c r="B271" t="s">
        <v>192</v>
      </c>
      <c r="C271" t="s">
        <v>194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272</v>
      </c>
      <c r="L271" t="s">
        <v>273</v>
      </c>
      <c r="M271">
        <v>33</v>
      </c>
      <c r="N271">
        <v>11167</v>
      </c>
      <c r="O271" t="s">
        <v>52</v>
      </c>
      <c r="P271" t="s">
        <v>52</v>
      </c>
      <c r="Q271" t="s">
        <v>197</v>
      </c>
      <c r="R271" t="s">
        <v>53</v>
      </c>
      <c r="S271" t="s">
        <v>116</v>
      </c>
      <c r="T271" t="s">
        <v>198</v>
      </c>
      <c r="U271" t="s">
        <v>108</v>
      </c>
    </row>
    <row r="272" spans="1:21" x14ac:dyDescent="0.3">
      <c r="A272" t="s">
        <v>192</v>
      </c>
      <c r="B272" t="s">
        <v>192</v>
      </c>
      <c r="C272" t="s">
        <v>194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274</v>
      </c>
      <c r="L272" t="s">
        <v>273</v>
      </c>
      <c r="M272">
        <v>33</v>
      </c>
      <c r="N272">
        <v>11167</v>
      </c>
      <c r="O272" t="s">
        <v>52</v>
      </c>
      <c r="P272" t="s">
        <v>52</v>
      </c>
      <c r="Q272" t="s">
        <v>197</v>
      </c>
      <c r="R272" t="s">
        <v>53</v>
      </c>
      <c r="S272" t="s">
        <v>116</v>
      </c>
      <c r="T272" t="s">
        <v>198</v>
      </c>
      <c r="U272" t="s">
        <v>108</v>
      </c>
    </row>
    <row r="273" spans="1:21" x14ac:dyDescent="0.3">
      <c r="A273" t="s">
        <v>192</v>
      </c>
      <c r="B273" t="s">
        <v>192</v>
      </c>
      <c r="C273" t="s">
        <v>194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278</v>
      </c>
      <c r="L273" t="s">
        <v>273</v>
      </c>
      <c r="M273">
        <v>33</v>
      </c>
      <c r="N273">
        <v>11167</v>
      </c>
      <c r="O273" t="s">
        <v>52</v>
      </c>
      <c r="P273" t="s">
        <v>52</v>
      </c>
      <c r="Q273" t="s">
        <v>197</v>
      </c>
      <c r="R273" t="s">
        <v>53</v>
      </c>
      <c r="S273" t="s">
        <v>116</v>
      </c>
      <c r="T273" t="s">
        <v>198</v>
      </c>
      <c r="U273" t="s">
        <v>108</v>
      </c>
    </row>
    <row r="274" spans="1:21" x14ac:dyDescent="0.3">
      <c r="A274" t="s">
        <v>192</v>
      </c>
      <c r="B274" t="s">
        <v>192</v>
      </c>
      <c r="C274" t="s">
        <v>194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117</v>
      </c>
      <c r="J274" t="s">
        <v>51</v>
      </c>
      <c r="K274" t="s">
        <v>275</v>
      </c>
      <c r="L274" t="s">
        <v>276</v>
      </c>
      <c r="M274">
        <v>61</v>
      </c>
      <c r="O274" t="s">
        <v>52</v>
      </c>
      <c r="P274" t="s">
        <v>52</v>
      </c>
      <c r="Q274" t="s">
        <v>197</v>
      </c>
      <c r="R274" t="s">
        <v>53</v>
      </c>
      <c r="S274" t="s">
        <v>116</v>
      </c>
      <c r="T274" t="s">
        <v>198</v>
      </c>
      <c r="U274" t="s">
        <v>108</v>
      </c>
    </row>
    <row r="275" spans="1:21" x14ac:dyDescent="0.3">
      <c r="A275" t="s">
        <v>192</v>
      </c>
      <c r="B275" t="s">
        <v>192</v>
      </c>
      <c r="C275" t="s">
        <v>194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272</v>
      </c>
      <c r="L275" t="s">
        <v>273</v>
      </c>
      <c r="M275">
        <v>33</v>
      </c>
      <c r="N275">
        <v>11167</v>
      </c>
      <c r="O275" t="s">
        <v>52</v>
      </c>
      <c r="P275" t="s">
        <v>52</v>
      </c>
      <c r="Q275" t="s">
        <v>197</v>
      </c>
      <c r="R275" t="s">
        <v>53</v>
      </c>
      <c r="S275" t="s">
        <v>116</v>
      </c>
      <c r="T275" t="s">
        <v>198</v>
      </c>
      <c r="U275" t="s">
        <v>108</v>
      </c>
    </row>
    <row r="276" spans="1:21" x14ac:dyDescent="0.3">
      <c r="A276" t="s">
        <v>192</v>
      </c>
      <c r="B276" t="s">
        <v>192</v>
      </c>
      <c r="C276" t="s">
        <v>194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279</v>
      </c>
      <c r="L276" t="s">
        <v>273</v>
      </c>
      <c r="M276">
        <v>33</v>
      </c>
      <c r="N276">
        <v>11167</v>
      </c>
      <c r="O276" t="s">
        <v>52</v>
      </c>
      <c r="P276" t="s">
        <v>52</v>
      </c>
      <c r="Q276" t="s">
        <v>197</v>
      </c>
      <c r="R276" t="s">
        <v>53</v>
      </c>
      <c r="S276" t="s">
        <v>116</v>
      </c>
      <c r="T276" t="s">
        <v>198</v>
      </c>
      <c r="U276" t="s">
        <v>108</v>
      </c>
    </row>
    <row r="277" spans="1:21" x14ac:dyDescent="0.3">
      <c r="A277" t="s">
        <v>192</v>
      </c>
      <c r="B277" t="s">
        <v>192</v>
      </c>
      <c r="C277" t="s">
        <v>194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274</v>
      </c>
      <c r="L277" t="s">
        <v>273</v>
      </c>
      <c r="M277">
        <v>33</v>
      </c>
      <c r="N277">
        <v>11167</v>
      </c>
      <c r="O277" t="s">
        <v>52</v>
      </c>
      <c r="P277" t="s">
        <v>52</v>
      </c>
      <c r="Q277" t="s">
        <v>197</v>
      </c>
      <c r="R277" t="s">
        <v>53</v>
      </c>
      <c r="S277" t="s">
        <v>116</v>
      </c>
      <c r="T277" t="s">
        <v>198</v>
      </c>
      <c r="U277" t="s">
        <v>108</v>
      </c>
    </row>
    <row r="278" spans="1:21" x14ac:dyDescent="0.3">
      <c r="A278" t="s">
        <v>185</v>
      </c>
      <c r="B278" t="s">
        <v>185</v>
      </c>
      <c r="C278" t="s">
        <v>194</v>
      </c>
      <c r="D278">
        <v>1</v>
      </c>
      <c r="E278" t="s">
        <v>107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280</v>
      </c>
      <c r="L278" t="s">
        <v>276</v>
      </c>
      <c r="M278">
        <v>33</v>
      </c>
      <c r="N278">
        <v>11902</v>
      </c>
      <c r="O278" t="s">
        <v>52</v>
      </c>
      <c r="P278" t="s">
        <v>52</v>
      </c>
      <c r="Q278" t="s">
        <v>197</v>
      </c>
      <c r="R278" t="s">
        <v>53</v>
      </c>
      <c r="S278" t="s">
        <v>116</v>
      </c>
      <c r="T278" t="s">
        <v>198</v>
      </c>
      <c r="U278" t="s">
        <v>108</v>
      </c>
    </row>
    <row r="279" spans="1:21" x14ac:dyDescent="0.3">
      <c r="A279" t="s">
        <v>185</v>
      </c>
      <c r="B279" t="s">
        <v>185</v>
      </c>
      <c r="C279" t="s">
        <v>194</v>
      </c>
      <c r="D279">
        <v>1</v>
      </c>
      <c r="E279" t="s">
        <v>107</v>
      </c>
      <c r="F279">
        <v>1</v>
      </c>
      <c r="G279">
        <v>9</v>
      </c>
      <c r="H279">
        <v>9</v>
      </c>
      <c r="I279" t="s">
        <v>119</v>
      </c>
      <c r="J279" t="s">
        <v>58</v>
      </c>
      <c r="K279" t="s">
        <v>281</v>
      </c>
      <c r="L279" t="s">
        <v>282</v>
      </c>
      <c r="M279">
        <v>33</v>
      </c>
      <c r="O279" t="s">
        <v>52</v>
      </c>
      <c r="P279" t="s">
        <v>52</v>
      </c>
      <c r="Q279" t="s">
        <v>197</v>
      </c>
      <c r="R279" t="s">
        <v>53</v>
      </c>
      <c r="S279" t="s">
        <v>116</v>
      </c>
      <c r="T279" t="s">
        <v>198</v>
      </c>
      <c r="U279" t="s">
        <v>108</v>
      </c>
    </row>
    <row r="280" spans="1:21" x14ac:dyDescent="0.3">
      <c r="A280" t="s">
        <v>185</v>
      </c>
      <c r="B280" t="s">
        <v>185</v>
      </c>
      <c r="C280" t="s">
        <v>194</v>
      </c>
      <c r="D280">
        <v>1</v>
      </c>
      <c r="E280" t="s">
        <v>107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283</v>
      </c>
      <c r="L280" t="s">
        <v>276</v>
      </c>
      <c r="M280">
        <v>33</v>
      </c>
      <c r="N280">
        <v>11902</v>
      </c>
      <c r="O280" t="s">
        <v>52</v>
      </c>
      <c r="P280" t="s">
        <v>52</v>
      </c>
      <c r="Q280" t="s">
        <v>197</v>
      </c>
      <c r="R280" t="s">
        <v>53</v>
      </c>
      <c r="S280" t="s">
        <v>116</v>
      </c>
      <c r="T280" t="s">
        <v>198</v>
      </c>
      <c r="U280" t="s">
        <v>108</v>
      </c>
    </row>
    <row r="281" spans="1:21" x14ac:dyDescent="0.3">
      <c r="A281" t="s">
        <v>185</v>
      </c>
      <c r="B281" t="s">
        <v>185</v>
      </c>
      <c r="C281" t="s">
        <v>194</v>
      </c>
      <c r="D281">
        <v>1</v>
      </c>
      <c r="E281" t="s">
        <v>107</v>
      </c>
      <c r="F281">
        <v>1</v>
      </c>
      <c r="G281">
        <v>598</v>
      </c>
      <c r="H281">
        <v>598</v>
      </c>
      <c r="I281" t="s">
        <v>117</v>
      </c>
      <c r="J281" t="s">
        <v>51</v>
      </c>
      <c r="K281" t="s">
        <v>284</v>
      </c>
      <c r="L281" t="s">
        <v>282</v>
      </c>
      <c r="M281">
        <v>33</v>
      </c>
      <c r="O281" t="s">
        <v>52</v>
      </c>
      <c r="P281" t="s">
        <v>52</v>
      </c>
      <c r="Q281" t="s">
        <v>197</v>
      </c>
      <c r="R281" t="s">
        <v>53</v>
      </c>
      <c r="S281" t="s">
        <v>116</v>
      </c>
      <c r="T281" t="s">
        <v>198</v>
      </c>
      <c r="U281" t="s">
        <v>108</v>
      </c>
    </row>
    <row r="282" spans="1:21" x14ac:dyDescent="0.3">
      <c r="A282" t="s">
        <v>185</v>
      </c>
      <c r="B282" t="s">
        <v>185</v>
      </c>
      <c r="C282" t="s">
        <v>194</v>
      </c>
      <c r="D282">
        <v>1</v>
      </c>
      <c r="E282" t="s">
        <v>107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285</v>
      </c>
      <c r="L282" t="s">
        <v>276</v>
      </c>
      <c r="M282">
        <v>33</v>
      </c>
      <c r="N282">
        <v>11902</v>
      </c>
      <c r="O282" t="s">
        <v>52</v>
      </c>
      <c r="P282" t="s">
        <v>52</v>
      </c>
      <c r="Q282" t="s">
        <v>197</v>
      </c>
      <c r="R282" t="s">
        <v>53</v>
      </c>
      <c r="S282" t="s">
        <v>116</v>
      </c>
      <c r="T282" t="s">
        <v>198</v>
      </c>
      <c r="U282" t="s">
        <v>108</v>
      </c>
    </row>
    <row r="283" spans="1:21" x14ac:dyDescent="0.3">
      <c r="A283" t="s">
        <v>185</v>
      </c>
      <c r="B283" t="s">
        <v>185</v>
      </c>
      <c r="C283" t="s">
        <v>194</v>
      </c>
      <c r="D283">
        <v>1</v>
      </c>
      <c r="E283" t="s">
        <v>107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286</v>
      </c>
      <c r="L283" t="s">
        <v>276</v>
      </c>
      <c r="M283">
        <v>33</v>
      </c>
      <c r="N283">
        <v>11902</v>
      </c>
      <c r="O283" t="s">
        <v>52</v>
      </c>
      <c r="P283" t="s">
        <v>52</v>
      </c>
      <c r="Q283" t="s">
        <v>197</v>
      </c>
      <c r="R283" t="s">
        <v>53</v>
      </c>
      <c r="S283" t="s">
        <v>116</v>
      </c>
      <c r="T283" t="s">
        <v>198</v>
      </c>
      <c r="U283" t="s">
        <v>108</v>
      </c>
    </row>
    <row r="284" spans="1:21" x14ac:dyDescent="0.3">
      <c r="A284" t="s">
        <v>185</v>
      </c>
      <c r="B284" t="s">
        <v>185</v>
      </c>
      <c r="C284" t="s">
        <v>194</v>
      </c>
      <c r="D284">
        <v>2</v>
      </c>
      <c r="E284" t="s">
        <v>118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280</v>
      </c>
      <c r="L284" t="s">
        <v>276</v>
      </c>
      <c r="M284">
        <v>33</v>
      </c>
      <c r="N284">
        <v>11902</v>
      </c>
      <c r="O284" t="s">
        <v>52</v>
      </c>
      <c r="P284" t="s">
        <v>52</v>
      </c>
      <c r="Q284" t="s">
        <v>197</v>
      </c>
      <c r="R284" t="s">
        <v>53</v>
      </c>
      <c r="S284" t="s">
        <v>116</v>
      </c>
      <c r="T284" t="s">
        <v>198</v>
      </c>
      <c r="U284" t="s">
        <v>108</v>
      </c>
    </row>
    <row r="285" spans="1:21" x14ac:dyDescent="0.3">
      <c r="A285" t="s">
        <v>185</v>
      </c>
      <c r="B285" t="s">
        <v>185</v>
      </c>
      <c r="C285" t="s">
        <v>194</v>
      </c>
      <c r="D285">
        <v>2</v>
      </c>
      <c r="E285" t="s">
        <v>118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283</v>
      </c>
      <c r="L285" t="s">
        <v>276</v>
      </c>
      <c r="M285">
        <v>33</v>
      </c>
      <c r="N285">
        <v>11902</v>
      </c>
      <c r="O285" t="s">
        <v>52</v>
      </c>
      <c r="P285" t="s">
        <v>52</v>
      </c>
      <c r="Q285" t="s">
        <v>197</v>
      </c>
      <c r="R285" t="s">
        <v>53</v>
      </c>
      <c r="S285" t="s">
        <v>116</v>
      </c>
      <c r="T285" t="s">
        <v>198</v>
      </c>
      <c r="U285" t="s">
        <v>108</v>
      </c>
    </row>
    <row r="286" spans="1:21" x14ac:dyDescent="0.3">
      <c r="A286" t="s">
        <v>185</v>
      </c>
      <c r="B286" t="s">
        <v>185</v>
      </c>
      <c r="C286" t="s">
        <v>194</v>
      </c>
      <c r="D286">
        <v>2</v>
      </c>
      <c r="E286" t="s">
        <v>118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285</v>
      </c>
      <c r="L286" t="s">
        <v>276</v>
      </c>
      <c r="M286">
        <v>33</v>
      </c>
      <c r="N286">
        <v>11902</v>
      </c>
      <c r="O286" t="s">
        <v>52</v>
      </c>
      <c r="P286" t="s">
        <v>52</v>
      </c>
      <c r="Q286" t="s">
        <v>197</v>
      </c>
      <c r="R286" t="s">
        <v>53</v>
      </c>
      <c r="S286" t="s">
        <v>116</v>
      </c>
      <c r="T286" t="s">
        <v>198</v>
      </c>
      <c r="U286" t="s">
        <v>108</v>
      </c>
    </row>
    <row r="287" spans="1:21" x14ac:dyDescent="0.3">
      <c r="A287" t="s">
        <v>185</v>
      </c>
      <c r="B287" t="s">
        <v>185</v>
      </c>
      <c r="C287" t="s">
        <v>194</v>
      </c>
      <c r="D287">
        <v>2</v>
      </c>
      <c r="E287" t="s">
        <v>118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286</v>
      </c>
      <c r="L287" t="s">
        <v>276</v>
      </c>
      <c r="M287">
        <v>33</v>
      </c>
      <c r="N287">
        <v>11902</v>
      </c>
      <c r="O287" t="s">
        <v>52</v>
      </c>
      <c r="P287" t="s">
        <v>52</v>
      </c>
      <c r="Q287" t="s">
        <v>197</v>
      </c>
      <c r="R287" t="s">
        <v>53</v>
      </c>
      <c r="S287" t="s">
        <v>116</v>
      </c>
      <c r="T287" t="s">
        <v>198</v>
      </c>
      <c r="U287" t="s">
        <v>108</v>
      </c>
    </row>
    <row r="288" spans="1:21" x14ac:dyDescent="0.3">
      <c r="A288" t="s">
        <v>185</v>
      </c>
      <c r="B288" t="s">
        <v>185</v>
      </c>
      <c r="C288" t="s">
        <v>194</v>
      </c>
      <c r="D288">
        <v>2</v>
      </c>
      <c r="E288" t="s">
        <v>118</v>
      </c>
      <c r="F288">
        <v>1</v>
      </c>
      <c r="G288">
        <v>2</v>
      </c>
      <c r="H288">
        <v>2</v>
      </c>
      <c r="I288" t="s">
        <v>117</v>
      </c>
      <c r="J288" t="s">
        <v>51</v>
      </c>
      <c r="K288" t="s">
        <v>284</v>
      </c>
      <c r="L288" t="s">
        <v>282</v>
      </c>
      <c r="M288">
        <v>33</v>
      </c>
      <c r="O288" t="s">
        <v>52</v>
      </c>
      <c r="P288" t="s">
        <v>52</v>
      </c>
      <c r="Q288" t="s">
        <v>197</v>
      </c>
      <c r="R288" t="s">
        <v>53</v>
      </c>
      <c r="S288" t="s">
        <v>116</v>
      </c>
      <c r="T288" t="s">
        <v>198</v>
      </c>
      <c r="U288" t="s">
        <v>108</v>
      </c>
    </row>
    <row r="289" spans="1:21" x14ac:dyDescent="0.3">
      <c r="A289" t="s">
        <v>185</v>
      </c>
      <c r="B289" t="s">
        <v>185</v>
      </c>
      <c r="C289" t="s">
        <v>194</v>
      </c>
      <c r="D289">
        <v>3</v>
      </c>
      <c r="E289" t="s">
        <v>105</v>
      </c>
      <c r="F289">
        <v>1</v>
      </c>
      <c r="G289">
        <v>1</v>
      </c>
      <c r="H289">
        <v>1</v>
      </c>
      <c r="I289" t="s">
        <v>119</v>
      </c>
      <c r="J289" t="s">
        <v>58</v>
      </c>
      <c r="K289" t="s">
        <v>281</v>
      </c>
      <c r="L289" t="s">
        <v>282</v>
      </c>
      <c r="M289">
        <v>33</v>
      </c>
      <c r="O289" t="s">
        <v>52</v>
      </c>
      <c r="P289" t="s">
        <v>52</v>
      </c>
      <c r="Q289" t="s">
        <v>197</v>
      </c>
      <c r="R289" t="s">
        <v>53</v>
      </c>
      <c r="S289" t="s">
        <v>116</v>
      </c>
      <c r="T289" t="s">
        <v>198</v>
      </c>
      <c r="U289" t="s">
        <v>108</v>
      </c>
    </row>
    <row r="290" spans="1:21" x14ac:dyDescent="0.3">
      <c r="A290" t="s">
        <v>185</v>
      </c>
      <c r="B290" t="s">
        <v>185</v>
      </c>
      <c r="C290" t="s">
        <v>194</v>
      </c>
      <c r="D290">
        <v>3</v>
      </c>
      <c r="E290" t="s">
        <v>105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286</v>
      </c>
      <c r="L290" t="s">
        <v>276</v>
      </c>
      <c r="M290">
        <v>33</v>
      </c>
      <c r="N290">
        <v>11902</v>
      </c>
      <c r="O290" t="s">
        <v>52</v>
      </c>
      <c r="P290" t="s">
        <v>52</v>
      </c>
      <c r="Q290" t="s">
        <v>197</v>
      </c>
      <c r="R290" t="s">
        <v>53</v>
      </c>
      <c r="S290" t="s">
        <v>116</v>
      </c>
      <c r="T290" t="s">
        <v>198</v>
      </c>
      <c r="U290" t="s">
        <v>108</v>
      </c>
    </row>
    <row r="291" spans="1:21" x14ac:dyDescent="0.3">
      <c r="A291" t="s">
        <v>185</v>
      </c>
      <c r="B291" t="s">
        <v>185</v>
      </c>
      <c r="C291" t="s">
        <v>194</v>
      </c>
      <c r="D291">
        <v>3</v>
      </c>
      <c r="E291" t="s">
        <v>105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280</v>
      </c>
      <c r="L291" t="s">
        <v>276</v>
      </c>
      <c r="M291">
        <v>33</v>
      </c>
      <c r="N291">
        <v>11902</v>
      </c>
      <c r="O291" t="s">
        <v>52</v>
      </c>
      <c r="P291" t="s">
        <v>52</v>
      </c>
      <c r="Q291" t="s">
        <v>197</v>
      </c>
      <c r="R291" t="s">
        <v>53</v>
      </c>
      <c r="S291" t="s">
        <v>116</v>
      </c>
      <c r="T291" t="s">
        <v>198</v>
      </c>
      <c r="U291" t="s">
        <v>108</v>
      </c>
    </row>
    <row r="292" spans="1:21" x14ac:dyDescent="0.3">
      <c r="A292" t="s">
        <v>185</v>
      </c>
      <c r="B292" t="s">
        <v>185</v>
      </c>
      <c r="C292" t="s">
        <v>194</v>
      </c>
      <c r="D292">
        <v>3</v>
      </c>
      <c r="E292" t="s">
        <v>105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283</v>
      </c>
      <c r="L292" t="s">
        <v>276</v>
      </c>
      <c r="M292">
        <v>33</v>
      </c>
      <c r="N292">
        <v>11902</v>
      </c>
      <c r="O292" t="s">
        <v>52</v>
      </c>
      <c r="P292" t="s">
        <v>52</v>
      </c>
      <c r="Q292" t="s">
        <v>197</v>
      </c>
      <c r="R292" t="s">
        <v>53</v>
      </c>
      <c r="S292" t="s">
        <v>116</v>
      </c>
      <c r="T292" t="s">
        <v>198</v>
      </c>
      <c r="U292" t="s">
        <v>108</v>
      </c>
    </row>
    <row r="293" spans="1:21" x14ac:dyDescent="0.3">
      <c r="A293" t="s">
        <v>185</v>
      </c>
      <c r="B293" t="s">
        <v>185</v>
      </c>
      <c r="C293" t="s">
        <v>194</v>
      </c>
      <c r="D293">
        <v>3</v>
      </c>
      <c r="E293" t="s">
        <v>105</v>
      </c>
      <c r="F293">
        <v>1</v>
      </c>
      <c r="G293">
        <v>111</v>
      </c>
      <c r="H293">
        <v>111</v>
      </c>
      <c r="I293" t="s">
        <v>117</v>
      </c>
      <c r="J293" t="s">
        <v>51</v>
      </c>
      <c r="K293" t="s">
        <v>284</v>
      </c>
      <c r="L293" t="s">
        <v>282</v>
      </c>
      <c r="M293">
        <v>33</v>
      </c>
      <c r="O293" t="s">
        <v>52</v>
      </c>
      <c r="P293" t="s">
        <v>52</v>
      </c>
      <c r="Q293" t="s">
        <v>197</v>
      </c>
      <c r="R293" t="s">
        <v>53</v>
      </c>
      <c r="S293" t="s">
        <v>116</v>
      </c>
      <c r="T293" t="s">
        <v>198</v>
      </c>
      <c r="U293" t="s">
        <v>108</v>
      </c>
    </row>
    <row r="294" spans="1:21" x14ac:dyDescent="0.3">
      <c r="A294" t="s">
        <v>185</v>
      </c>
      <c r="B294" t="s">
        <v>185</v>
      </c>
      <c r="C294" t="s">
        <v>194</v>
      </c>
      <c r="D294">
        <v>3</v>
      </c>
      <c r="E294" t="s">
        <v>105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285</v>
      </c>
      <c r="L294" t="s">
        <v>276</v>
      </c>
      <c r="M294">
        <v>33</v>
      </c>
      <c r="N294">
        <v>11902</v>
      </c>
      <c r="O294" t="s">
        <v>52</v>
      </c>
      <c r="P294" t="s">
        <v>52</v>
      </c>
      <c r="Q294" t="s">
        <v>197</v>
      </c>
      <c r="R294" t="s">
        <v>53</v>
      </c>
      <c r="S294" t="s">
        <v>116</v>
      </c>
      <c r="T294" t="s">
        <v>198</v>
      </c>
      <c r="U294" t="s">
        <v>108</v>
      </c>
    </row>
    <row r="295" spans="1:21" x14ac:dyDescent="0.3">
      <c r="A295" t="s">
        <v>185</v>
      </c>
      <c r="B295" t="s">
        <v>185</v>
      </c>
      <c r="C295" t="s">
        <v>194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117</v>
      </c>
      <c r="J295" t="s">
        <v>51</v>
      </c>
      <c r="K295" t="s">
        <v>284</v>
      </c>
      <c r="L295" t="s">
        <v>282</v>
      </c>
      <c r="M295">
        <v>33</v>
      </c>
      <c r="O295" t="s">
        <v>52</v>
      </c>
      <c r="P295" t="s">
        <v>52</v>
      </c>
      <c r="Q295" t="s">
        <v>197</v>
      </c>
      <c r="R295" t="s">
        <v>53</v>
      </c>
      <c r="S295" t="s">
        <v>116</v>
      </c>
      <c r="T295" t="s">
        <v>198</v>
      </c>
      <c r="U295" t="s">
        <v>108</v>
      </c>
    </row>
    <row r="296" spans="1:21" x14ac:dyDescent="0.3">
      <c r="A296" t="s">
        <v>185</v>
      </c>
      <c r="B296" t="s">
        <v>185</v>
      </c>
      <c r="C296" t="s">
        <v>194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283</v>
      </c>
      <c r="L296" t="s">
        <v>276</v>
      </c>
      <c r="M296">
        <v>33</v>
      </c>
      <c r="N296">
        <v>11902</v>
      </c>
      <c r="O296" t="s">
        <v>52</v>
      </c>
      <c r="P296" t="s">
        <v>52</v>
      </c>
      <c r="Q296" t="s">
        <v>197</v>
      </c>
      <c r="R296" t="s">
        <v>53</v>
      </c>
      <c r="S296" t="s">
        <v>116</v>
      </c>
      <c r="T296" t="s">
        <v>198</v>
      </c>
      <c r="U296" t="s">
        <v>108</v>
      </c>
    </row>
    <row r="297" spans="1:21" x14ac:dyDescent="0.3">
      <c r="A297" t="s">
        <v>185</v>
      </c>
      <c r="B297" t="s">
        <v>185</v>
      </c>
      <c r="C297" t="s">
        <v>194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285</v>
      </c>
      <c r="L297" t="s">
        <v>276</v>
      </c>
      <c r="M297">
        <v>33</v>
      </c>
      <c r="N297">
        <v>11902</v>
      </c>
      <c r="O297" t="s">
        <v>52</v>
      </c>
      <c r="P297" t="s">
        <v>52</v>
      </c>
      <c r="Q297" t="s">
        <v>197</v>
      </c>
      <c r="R297" t="s">
        <v>53</v>
      </c>
      <c r="S297" t="s">
        <v>116</v>
      </c>
      <c r="T297" t="s">
        <v>198</v>
      </c>
      <c r="U297" t="s">
        <v>108</v>
      </c>
    </row>
    <row r="298" spans="1:21" x14ac:dyDescent="0.3">
      <c r="A298" t="s">
        <v>185</v>
      </c>
      <c r="B298" t="s">
        <v>185</v>
      </c>
      <c r="C298" t="s">
        <v>194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119</v>
      </c>
      <c r="J298" t="s">
        <v>58</v>
      </c>
      <c r="K298" t="s">
        <v>281</v>
      </c>
      <c r="L298" t="s">
        <v>282</v>
      </c>
      <c r="M298">
        <v>33</v>
      </c>
      <c r="O298" t="s">
        <v>52</v>
      </c>
      <c r="P298" t="s">
        <v>52</v>
      </c>
      <c r="Q298" t="s">
        <v>197</v>
      </c>
      <c r="R298" t="s">
        <v>53</v>
      </c>
      <c r="S298" t="s">
        <v>116</v>
      </c>
      <c r="T298" t="s">
        <v>198</v>
      </c>
      <c r="U298" t="s">
        <v>108</v>
      </c>
    </row>
    <row r="299" spans="1:21" x14ac:dyDescent="0.3">
      <c r="A299" t="s">
        <v>185</v>
      </c>
      <c r="B299" t="s">
        <v>185</v>
      </c>
      <c r="C299" t="s">
        <v>194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280</v>
      </c>
      <c r="L299" t="s">
        <v>276</v>
      </c>
      <c r="M299">
        <v>33</v>
      </c>
      <c r="N299">
        <v>11902</v>
      </c>
      <c r="O299" t="s">
        <v>52</v>
      </c>
      <c r="P299" t="s">
        <v>52</v>
      </c>
      <c r="Q299" t="s">
        <v>197</v>
      </c>
      <c r="R299" t="s">
        <v>53</v>
      </c>
      <c r="S299" t="s">
        <v>116</v>
      </c>
      <c r="T299" t="s">
        <v>198</v>
      </c>
      <c r="U299" t="s">
        <v>108</v>
      </c>
    </row>
    <row r="300" spans="1:21" x14ac:dyDescent="0.3">
      <c r="A300" t="s">
        <v>185</v>
      </c>
      <c r="B300" t="s">
        <v>185</v>
      </c>
      <c r="C300" t="s">
        <v>194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286</v>
      </c>
      <c r="L300" t="s">
        <v>276</v>
      </c>
      <c r="M300">
        <v>33</v>
      </c>
      <c r="N300">
        <v>11902</v>
      </c>
      <c r="O300" t="s">
        <v>52</v>
      </c>
      <c r="P300" t="s">
        <v>52</v>
      </c>
      <c r="Q300" t="s">
        <v>197</v>
      </c>
      <c r="R300" t="s">
        <v>53</v>
      </c>
      <c r="S300" t="s">
        <v>116</v>
      </c>
      <c r="T300" t="s">
        <v>198</v>
      </c>
      <c r="U300" t="s">
        <v>108</v>
      </c>
    </row>
    <row r="301" spans="1:21" x14ac:dyDescent="0.3">
      <c r="A301" t="s">
        <v>185</v>
      </c>
      <c r="B301" t="s">
        <v>185</v>
      </c>
      <c r="C301" t="s">
        <v>194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286</v>
      </c>
      <c r="L301" t="s">
        <v>276</v>
      </c>
      <c r="M301">
        <v>33</v>
      </c>
      <c r="N301">
        <v>11902</v>
      </c>
      <c r="O301" t="s">
        <v>52</v>
      </c>
      <c r="P301" t="s">
        <v>52</v>
      </c>
      <c r="Q301" t="s">
        <v>197</v>
      </c>
      <c r="R301" t="s">
        <v>53</v>
      </c>
      <c r="S301" t="s">
        <v>116</v>
      </c>
      <c r="T301" t="s">
        <v>198</v>
      </c>
      <c r="U301" t="s">
        <v>108</v>
      </c>
    </row>
    <row r="302" spans="1:21" x14ac:dyDescent="0.3">
      <c r="A302" t="s">
        <v>185</v>
      </c>
      <c r="B302" t="s">
        <v>185</v>
      </c>
      <c r="C302" t="s">
        <v>194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283</v>
      </c>
      <c r="L302" t="s">
        <v>276</v>
      </c>
      <c r="M302">
        <v>33</v>
      </c>
      <c r="N302">
        <v>11902</v>
      </c>
      <c r="O302" t="s">
        <v>52</v>
      </c>
      <c r="P302" t="s">
        <v>52</v>
      </c>
      <c r="Q302" t="s">
        <v>197</v>
      </c>
      <c r="R302" t="s">
        <v>53</v>
      </c>
      <c r="S302" t="s">
        <v>116</v>
      </c>
      <c r="T302" t="s">
        <v>198</v>
      </c>
      <c r="U302" t="s">
        <v>108</v>
      </c>
    </row>
    <row r="303" spans="1:21" x14ac:dyDescent="0.3">
      <c r="A303" t="s">
        <v>185</v>
      </c>
      <c r="B303" t="s">
        <v>185</v>
      </c>
      <c r="C303" t="s">
        <v>194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285</v>
      </c>
      <c r="L303" t="s">
        <v>276</v>
      </c>
      <c r="M303">
        <v>33</v>
      </c>
      <c r="N303">
        <v>11902</v>
      </c>
      <c r="O303" t="s">
        <v>52</v>
      </c>
      <c r="P303" t="s">
        <v>52</v>
      </c>
      <c r="Q303" t="s">
        <v>197</v>
      </c>
      <c r="R303" t="s">
        <v>53</v>
      </c>
      <c r="S303" t="s">
        <v>116</v>
      </c>
      <c r="T303" t="s">
        <v>198</v>
      </c>
      <c r="U303" t="s">
        <v>108</v>
      </c>
    </row>
    <row r="304" spans="1:21" x14ac:dyDescent="0.3">
      <c r="A304" t="s">
        <v>185</v>
      </c>
      <c r="B304" t="s">
        <v>185</v>
      </c>
      <c r="C304" t="s">
        <v>194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280</v>
      </c>
      <c r="L304" t="s">
        <v>276</v>
      </c>
      <c r="M304">
        <v>33</v>
      </c>
      <c r="N304">
        <v>11902</v>
      </c>
      <c r="O304" t="s">
        <v>52</v>
      </c>
      <c r="P304" t="s">
        <v>52</v>
      </c>
      <c r="Q304" t="s">
        <v>197</v>
      </c>
      <c r="R304" t="s">
        <v>53</v>
      </c>
      <c r="S304" t="s">
        <v>116</v>
      </c>
      <c r="T304" t="s">
        <v>198</v>
      </c>
      <c r="U304" t="s">
        <v>108</v>
      </c>
    </row>
    <row r="305" spans="1:21" x14ac:dyDescent="0.3">
      <c r="A305" t="s">
        <v>185</v>
      </c>
      <c r="B305" t="s">
        <v>185</v>
      </c>
      <c r="C305" t="s">
        <v>194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117</v>
      </c>
      <c r="J305" t="s">
        <v>51</v>
      </c>
      <c r="K305" t="s">
        <v>284</v>
      </c>
      <c r="L305" t="s">
        <v>282</v>
      </c>
      <c r="M305">
        <v>33</v>
      </c>
      <c r="O305" t="s">
        <v>52</v>
      </c>
      <c r="P305" t="s">
        <v>52</v>
      </c>
      <c r="Q305" t="s">
        <v>197</v>
      </c>
      <c r="R305" t="s">
        <v>53</v>
      </c>
      <c r="S305" t="s">
        <v>116</v>
      </c>
      <c r="T305" t="s">
        <v>198</v>
      </c>
      <c r="U305" t="s">
        <v>108</v>
      </c>
    </row>
    <row r="306" spans="1:21" x14ac:dyDescent="0.3">
      <c r="A306" t="s">
        <v>287</v>
      </c>
      <c r="B306" t="s">
        <v>287</v>
      </c>
      <c r="C306" t="s">
        <v>194</v>
      </c>
      <c r="D306">
        <v>1</v>
      </c>
      <c r="E306" t="s">
        <v>107</v>
      </c>
      <c r="F306">
        <v>1</v>
      </c>
      <c r="G306">
        <v>29633</v>
      </c>
      <c r="H306">
        <v>29633</v>
      </c>
      <c r="I306" t="s">
        <v>117</v>
      </c>
      <c r="J306" t="s">
        <v>51</v>
      </c>
      <c r="K306" t="s">
        <v>288</v>
      </c>
      <c r="L306" t="s">
        <v>289</v>
      </c>
      <c r="M306">
        <v>33</v>
      </c>
      <c r="N306">
        <v>13702</v>
      </c>
      <c r="O306" t="s">
        <v>52</v>
      </c>
      <c r="P306" t="s">
        <v>52</v>
      </c>
      <c r="Q306" t="s">
        <v>197</v>
      </c>
      <c r="R306" t="s">
        <v>53</v>
      </c>
      <c r="S306" t="s">
        <v>116</v>
      </c>
      <c r="T306" t="s">
        <v>198</v>
      </c>
      <c r="U306" t="s">
        <v>108</v>
      </c>
    </row>
    <row r="307" spans="1:21" x14ac:dyDescent="0.3">
      <c r="A307" t="s">
        <v>287</v>
      </c>
      <c r="B307" t="s">
        <v>287</v>
      </c>
      <c r="C307" t="s">
        <v>194</v>
      </c>
      <c r="D307">
        <v>1</v>
      </c>
      <c r="E307" t="s">
        <v>107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290</v>
      </c>
      <c r="L307" t="s">
        <v>291</v>
      </c>
      <c r="M307">
        <v>33</v>
      </c>
      <c r="N307">
        <v>13159</v>
      </c>
      <c r="O307" t="s">
        <v>52</v>
      </c>
      <c r="P307" t="s">
        <v>52</v>
      </c>
      <c r="Q307" t="s">
        <v>197</v>
      </c>
      <c r="R307" t="s">
        <v>53</v>
      </c>
      <c r="S307" t="s">
        <v>116</v>
      </c>
      <c r="T307" t="s">
        <v>198</v>
      </c>
      <c r="U307" t="s">
        <v>108</v>
      </c>
    </row>
    <row r="308" spans="1:21" x14ac:dyDescent="0.3">
      <c r="A308" t="s">
        <v>287</v>
      </c>
      <c r="B308" t="s">
        <v>287</v>
      </c>
      <c r="C308" t="s">
        <v>194</v>
      </c>
      <c r="D308">
        <v>1</v>
      </c>
      <c r="E308" t="s">
        <v>107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292</v>
      </c>
      <c r="L308" t="s">
        <v>291</v>
      </c>
      <c r="M308">
        <v>33</v>
      </c>
      <c r="N308">
        <v>13159</v>
      </c>
      <c r="O308" t="s">
        <v>52</v>
      </c>
      <c r="P308" t="s">
        <v>52</v>
      </c>
      <c r="Q308" t="s">
        <v>197</v>
      </c>
      <c r="R308" t="s">
        <v>53</v>
      </c>
      <c r="S308" t="s">
        <v>116</v>
      </c>
      <c r="T308" t="s">
        <v>198</v>
      </c>
      <c r="U308" t="s">
        <v>108</v>
      </c>
    </row>
    <row r="309" spans="1:21" x14ac:dyDescent="0.3">
      <c r="A309" t="s">
        <v>287</v>
      </c>
      <c r="B309" t="s">
        <v>287</v>
      </c>
      <c r="C309" t="s">
        <v>194</v>
      </c>
      <c r="D309">
        <v>1</v>
      </c>
      <c r="E309" t="s">
        <v>107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293</v>
      </c>
      <c r="L309" t="s">
        <v>291</v>
      </c>
      <c r="M309">
        <v>33</v>
      </c>
      <c r="N309">
        <v>13159</v>
      </c>
      <c r="O309" t="s">
        <v>52</v>
      </c>
      <c r="P309" t="s">
        <v>52</v>
      </c>
      <c r="Q309" t="s">
        <v>197</v>
      </c>
      <c r="R309" t="s">
        <v>53</v>
      </c>
      <c r="S309" t="s">
        <v>116</v>
      </c>
      <c r="T309" t="s">
        <v>198</v>
      </c>
      <c r="U309" t="s">
        <v>108</v>
      </c>
    </row>
    <row r="310" spans="1:21" x14ac:dyDescent="0.3">
      <c r="A310" t="s">
        <v>287</v>
      </c>
      <c r="B310" t="s">
        <v>287</v>
      </c>
      <c r="C310" t="s">
        <v>194</v>
      </c>
      <c r="D310">
        <v>1</v>
      </c>
      <c r="E310" t="s">
        <v>107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294</v>
      </c>
      <c r="L310" t="s">
        <v>291</v>
      </c>
      <c r="M310">
        <v>33</v>
      </c>
      <c r="N310">
        <v>13159</v>
      </c>
      <c r="O310" t="s">
        <v>52</v>
      </c>
      <c r="P310" t="s">
        <v>52</v>
      </c>
      <c r="Q310" t="s">
        <v>197</v>
      </c>
      <c r="R310" t="s">
        <v>53</v>
      </c>
      <c r="S310" t="s">
        <v>116</v>
      </c>
      <c r="T310" t="s">
        <v>198</v>
      </c>
      <c r="U310" t="s">
        <v>108</v>
      </c>
    </row>
    <row r="311" spans="1:21" x14ac:dyDescent="0.3">
      <c r="A311" t="s">
        <v>287</v>
      </c>
      <c r="B311" t="s">
        <v>287</v>
      </c>
      <c r="C311" t="s">
        <v>194</v>
      </c>
      <c r="D311">
        <v>1</v>
      </c>
      <c r="E311" t="s">
        <v>107</v>
      </c>
      <c r="F311">
        <v>1</v>
      </c>
      <c r="G311">
        <v>1</v>
      </c>
      <c r="H311">
        <v>1</v>
      </c>
      <c r="I311" t="s">
        <v>119</v>
      </c>
      <c r="J311" t="s">
        <v>58</v>
      </c>
      <c r="K311" t="s">
        <v>295</v>
      </c>
      <c r="L311" t="s">
        <v>289</v>
      </c>
      <c r="M311">
        <v>33</v>
      </c>
      <c r="N311">
        <v>13702</v>
      </c>
      <c r="O311" t="s">
        <v>52</v>
      </c>
      <c r="P311" t="s">
        <v>52</v>
      </c>
      <c r="Q311" t="s">
        <v>197</v>
      </c>
      <c r="R311" t="s">
        <v>53</v>
      </c>
      <c r="S311" t="s">
        <v>116</v>
      </c>
      <c r="T311" t="s">
        <v>198</v>
      </c>
      <c r="U311" t="s">
        <v>108</v>
      </c>
    </row>
    <row r="312" spans="1:21" x14ac:dyDescent="0.3">
      <c r="A312" t="s">
        <v>287</v>
      </c>
      <c r="B312" t="s">
        <v>287</v>
      </c>
      <c r="C312" t="s">
        <v>194</v>
      </c>
      <c r="D312">
        <v>2</v>
      </c>
      <c r="E312" t="s">
        <v>118</v>
      </c>
      <c r="F312">
        <v>1</v>
      </c>
      <c r="G312">
        <v>68</v>
      </c>
      <c r="H312">
        <v>68</v>
      </c>
      <c r="I312" t="s">
        <v>117</v>
      </c>
      <c r="J312" t="s">
        <v>51</v>
      </c>
      <c r="K312" t="s">
        <v>288</v>
      </c>
      <c r="L312" t="s">
        <v>289</v>
      </c>
      <c r="M312">
        <v>33</v>
      </c>
      <c r="N312">
        <v>13702</v>
      </c>
      <c r="O312" t="s">
        <v>52</v>
      </c>
      <c r="P312" t="s">
        <v>52</v>
      </c>
      <c r="Q312" t="s">
        <v>197</v>
      </c>
      <c r="R312" t="s">
        <v>53</v>
      </c>
      <c r="S312" t="s">
        <v>116</v>
      </c>
      <c r="T312" t="s">
        <v>198</v>
      </c>
      <c r="U312" t="s">
        <v>108</v>
      </c>
    </row>
    <row r="313" spans="1:21" x14ac:dyDescent="0.3">
      <c r="A313" t="s">
        <v>287</v>
      </c>
      <c r="B313" t="s">
        <v>287</v>
      </c>
      <c r="C313" t="s">
        <v>194</v>
      </c>
      <c r="D313">
        <v>2</v>
      </c>
      <c r="E313" t="s">
        <v>118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292</v>
      </c>
      <c r="L313" t="s">
        <v>291</v>
      </c>
      <c r="M313">
        <v>33</v>
      </c>
      <c r="N313">
        <v>13159</v>
      </c>
      <c r="O313" t="s">
        <v>52</v>
      </c>
      <c r="P313" t="s">
        <v>52</v>
      </c>
      <c r="Q313" t="s">
        <v>197</v>
      </c>
      <c r="R313" t="s">
        <v>53</v>
      </c>
      <c r="S313" t="s">
        <v>116</v>
      </c>
      <c r="T313" t="s">
        <v>198</v>
      </c>
      <c r="U313" t="s">
        <v>108</v>
      </c>
    </row>
    <row r="314" spans="1:21" x14ac:dyDescent="0.3">
      <c r="A314" t="s">
        <v>287</v>
      </c>
      <c r="B314" t="s">
        <v>287</v>
      </c>
      <c r="C314" t="s">
        <v>194</v>
      </c>
      <c r="D314">
        <v>2</v>
      </c>
      <c r="E314" t="s">
        <v>118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294</v>
      </c>
      <c r="L314" t="s">
        <v>291</v>
      </c>
      <c r="M314">
        <v>33</v>
      </c>
      <c r="N314">
        <v>13159</v>
      </c>
      <c r="O314" t="s">
        <v>52</v>
      </c>
      <c r="P314" t="s">
        <v>52</v>
      </c>
      <c r="Q314" t="s">
        <v>197</v>
      </c>
      <c r="R314" t="s">
        <v>53</v>
      </c>
      <c r="S314" t="s">
        <v>116</v>
      </c>
      <c r="T314" t="s">
        <v>198</v>
      </c>
      <c r="U314" t="s">
        <v>108</v>
      </c>
    </row>
    <row r="315" spans="1:21" x14ac:dyDescent="0.3">
      <c r="A315" t="s">
        <v>287</v>
      </c>
      <c r="B315" t="s">
        <v>287</v>
      </c>
      <c r="C315" t="s">
        <v>194</v>
      </c>
      <c r="D315">
        <v>2</v>
      </c>
      <c r="E315" t="s">
        <v>118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293</v>
      </c>
      <c r="L315" t="s">
        <v>291</v>
      </c>
      <c r="M315">
        <v>33</v>
      </c>
      <c r="N315">
        <v>13159</v>
      </c>
      <c r="O315" t="s">
        <v>52</v>
      </c>
      <c r="P315" t="s">
        <v>52</v>
      </c>
      <c r="Q315" t="s">
        <v>197</v>
      </c>
      <c r="R315" t="s">
        <v>53</v>
      </c>
      <c r="S315" t="s">
        <v>116</v>
      </c>
      <c r="T315" t="s">
        <v>198</v>
      </c>
      <c r="U315" t="s">
        <v>108</v>
      </c>
    </row>
    <row r="316" spans="1:21" x14ac:dyDescent="0.3">
      <c r="A316" t="s">
        <v>287</v>
      </c>
      <c r="B316" t="s">
        <v>287</v>
      </c>
      <c r="C316" t="s">
        <v>194</v>
      </c>
      <c r="D316">
        <v>2</v>
      </c>
      <c r="E316" t="s">
        <v>118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290</v>
      </c>
      <c r="L316" t="s">
        <v>291</v>
      </c>
      <c r="M316">
        <v>33</v>
      </c>
      <c r="N316">
        <v>13159</v>
      </c>
      <c r="O316" t="s">
        <v>52</v>
      </c>
      <c r="P316" t="s">
        <v>52</v>
      </c>
      <c r="Q316" t="s">
        <v>197</v>
      </c>
      <c r="R316" t="s">
        <v>53</v>
      </c>
      <c r="S316" t="s">
        <v>116</v>
      </c>
      <c r="T316" t="s">
        <v>198</v>
      </c>
      <c r="U316" t="s">
        <v>108</v>
      </c>
    </row>
    <row r="317" spans="1:21" x14ac:dyDescent="0.3">
      <c r="A317" t="s">
        <v>287</v>
      </c>
      <c r="B317" t="s">
        <v>287</v>
      </c>
      <c r="C317" t="s">
        <v>194</v>
      </c>
      <c r="D317">
        <v>3</v>
      </c>
      <c r="E317" t="s">
        <v>105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293</v>
      </c>
      <c r="L317" t="s">
        <v>291</v>
      </c>
      <c r="M317">
        <v>33</v>
      </c>
      <c r="N317">
        <v>13159</v>
      </c>
      <c r="O317" t="s">
        <v>52</v>
      </c>
      <c r="P317" t="s">
        <v>52</v>
      </c>
      <c r="Q317" t="s">
        <v>197</v>
      </c>
      <c r="R317" t="s">
        <v>53</v>
      </c>
      <c r="S317" t="s">
        <v>116</v>
      </c>
      <c r="T317" t="s">
        <v>198</v>
      </c>
      <c r="U317" t="s">
        <v>108</v>
      </c>
    </row>
    <row r="318" spans="1:21" x14ac:dyDescent="0.3">
      <c r="A318" t="s">
        <v>287</v>
      </c>
      <c r="B318" t="s">
        <v>287</v>
      </c>
      <c r="C318" t="s">
        <v>194</v>
      </c>
      <c r="D318">
        <v>3</v>
      </c>
      <c r="E318" t="s">
        <v>105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292</v>
      </c>
      <c r="L318" t="s">
        <v>291</v>
      </c>
      <c r="M318">
        <v>33</v>
      </c>
      <c r="N318">
        <v>13159</v>
      </c>
      <c r="O318" t="s">
        <v>52</v>
      </c>
      <c r="P318" t="s">
        <v>52</v>
      </c>
      <c r="Q318" t="s">
        <v>197</v>
      </c>
      <c r="R318" t="s">
        <v>53</v>
      </c>
      <c r="S318" t="s">
        <v>116</v>
      </c>
      <c r="T318" t="s">
        <v>198</v>
      </c>
      <c r="U318" t="s">
        <v>108</v>
      </c>
    </row>
    <row r="319" spans="1:21" x14ac:dyDescent="0.3">
      <c r="A319" t="s">
        <v>287</v>
      </c>
      <c r="B319" t="s">
        <v>287</v>
      </c>
      <c r="C319" t="s">
        <v>194</v>
      </c>
      <c r="D319">
        <v>3</v>
      </c>
      <c r="E319" t="s">
        <v>105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290</v>
      </c>
      <c r="L319" t="s">
        <v>291</v>
      </c>
      <c r="M319">
        <v>33</v>
      </c>
      <c r="N319">
        <v>13159</v>
      </c>
      <c r="O319" t="s">
        <v>52</v>
      </c>
      <c r="P319" t="s">
        <v>52</v>
      </c>
      <c r="Q319" t="s">
        <v>197</v>
      </c>
      <c r="R319" t="s">
        <v>53</v>
      </c>
      <c r="S319" t="s">
        <v>116</v>
      </c>
      <c r="T319" t="s">
        <v>198</v>
      </c>
      <c r="U319" t="s">
        <v>108</v>
      </c>
    </row>
    <row r="320" spans="1:21" x14ac:dyDescent="0.3">
      <c r="A320" t="s">
        <v>287</v>
      </c>
      <c r="B320" t="s">
        <v>287</v>
      </c>
      <c r="C320" t="s">
        <v>194</v>
      </c>
      <c r="D320">
        <v>3</v>
      </c>
      <c r="E320" t="s">
        <v>105</v>
      </c>
      <c r="F320">
        <v>1</v>
      </c>
      <c r="G320">
        <v>4168</v>
      </c>
      <c r="H320">
        <v>4168</v>
      </c>
      <c r="I320" t="s">
        <v>117</v>
      </c>
      <c r="J320" t="s">
        <v>51</v>
      </c>
      <c r="K320" t="s">
        <v>288</v>
      </c>
      <c r="L320" t="s">
        <v>289</v>
      </c>
      <c r="M320">
        <v>33</v>
      </c>
      <c r="N320">
        <v>13702</v>
      </c>
      <c r="O320" t="s">
        <v>52</v>
      </c>
      <c r="P320" t="s">
        <v>52</v>
      </c>
      <c r="Q320" t="s">
        <v>197</v>
      </c>
      <c r="R320" t="s">
        <v>53</v>
      </c>
      <c r="S320" t="s">
        <v>116</v>
      </c>
      <c r="T320" t="s">
        <v>198</v>
      </c>
      <c r="U320" t="s">
        <v>108</v>
      </c>
    </row>
    <row r="321" spans="1:21" x14ac:dyDescent="0.3">
      <c r="A321" t="s">
        <v>287</v>
      </c>
      <c r="B321" t="s">
        <v>287</v>
      </c>
      <c r="C321" t="s">
        <v>194</v>
      </c>
      <c r="D321">
        <v>3</v>
      </c>
      <c r="E321" t="s">
        <v>105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294</v>
      </c>
      <c r="L321" t="s">
        <v>291</v>
      </c>
      <c r="M321">
        <v>33</v>
      </c>
      <c r="N321">
        <v>13159</v>
      </c>
      <c r="O321" t="s">
        <v>52</v>
      </c>
      <c r="P321" t="s">
        <v>52</v>
      </c>
      <c r="Q321" t="s">
        <v>197</v>
      </c>
      <c r="R321" t="s">
        <v>53</v>
      </c>
      <c r="S321" t="s">
        <v>116</v>
      </c>
      <c r="T321" t="s">
        <v>198</v>
      </c>
      <c r="U321" t="s">
        <v>108</v>
      </c>
    </row>
    <row r="322" spans="1:21" x14ac:dyDescent="0.3">
      <c r="A322" t="s">
        <v>287</v>
      </c>
      <c r="B322" t="s">
        <v>287</v>
      </c>
      <c r="C322" t="s">
        <v>194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119</v>
      </c>
      <c r="J322" t="s">
        <v>58</v>
      </c>
      <c r="K322" t="s">
        <v>295</v>
      </c>
      <c r="L322" t="s">
        <v>289</v>
      </c>
      <c r="M322">
        <v>33</v>
      </c>
      <c r="N322">
        <v>13702</v>
      </c>
      <c r="O322" t="s">
        <v>52</v>
      </c>
      <c r="P322" t="s">
        <v>52</v>
      </c>
      <c r="Q322" t="s">
        <v>197</v>
      </c>
      <c r="R322" t="s">
        <v>53</v>
      </c>
      <c r="S322" t="s">
        <v>116</v>
      </c>
      <c r="T322" t="s">
        <v>198</v>
      </c>
      <c r="U322" t="s">
        <v>108</v>
      </c>
    </row>
    <row r="323" spans="1:21" x14ac:dyDescent="0.3">
      <c r="A323" t="s">
        <v>287</v>
      </c>
      <c r="B323" t="s">
        <v>287</v>
      </c>
      <c r="C323" t="s">
        <v>194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290</v>
      </c>
      <c r="L323" t="s">
        <v>291</v>
      </c>
      <c r="M323">
        <v>33</v>
      </c>
      <c r="N323">
        <v>13159</v>
      </c>
      <c r="O323" t="s">
        <v>52</v>
      </c>
      <c r="P323" t="s">
        <v>52</v>
      </c>
      <c r="Q323" t="s">
        <v>197</v>
      </c>
      <c r="R323" t="s">
        <v>53</v>
      </c>
      <c r="S323" t="s">
        <v>116</v>
      </c>
      <c r="T323" t="s">
        <v>198</v>
      </c>
      <c r="U323" t="s">
        <v>108</v>
      </c>
    </row>
    <row r="324" spans="1:21" x14ac:dyDescent="0.3">
      <c r="A324" t="s">
        <v>287</v>
      </c>
      <c r="B324" t="s">
        <v>287</v>
      </c>
      <c r="C324" t="s">
        <v>194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117</v>
      </c>
      <c r="J324" t="s">
        <v>51</v>
      </c>
      <c r="K324" t="s">
        <v>288</v>
      </c>
      <c r="L324" t="s">
        <v>289</v>
      </c>
      <c r="M324">
        <v>33</v>
      </c>
      <c r="N324">
        <v>13702</v>
      </c>
      <c r="O324" t="s">
        <v>52</v>
      </c>
      <c r="P324" t="s">
        <v>52</v>
      </c>
      <c r="Q324" t="s">
        <v>197</v>
      </c>
      <c r="R324" t="s">
        <v>53</v>
      </c>
      <c r="S324" t="s">
        <v>116</v>
      </c>
      <c r="T324" t="s">
        <v>198</v>
      </c>
      <c r="U324" t="s">
        <v>108</v>
      </c>
    </row>
    <row r="325" spans="1:21" x14ac:dyDescent="0.3">
      <c r="A325" t="s">
        <v>287</v>
      </c>
      <c r="B325" t="s">
        <v>287</v>
      </c>
      <c r="C325" t="s">
        <v>194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292</v>
      </c>
      <c r="L325" t="s">
        <v>291</v>
      </c>
      <c r="M325">
        <v>33</v>
      </c>
      <c r="N325">
        <v>13159</v>
      </c>
      <c r="O325" t="s">
        <v>52</v>
      </c>
      <c r="P325" t="s">
        <v>52</v>
      </c>
      <c r="Q325" t="s">
        <v>197</v>
      </c>
      <c r="R325" t="s">
        <v>53</v>
      </c>
      <c r="S325" t="s">
        <v>116</v>
      </c>
      <c r="T325" t="s">
        <v>198</v>
      </c>
      <c r="U325" t="s">
        <v>108</v>
      </c>
    </row>
    <row r="326" spans="1:21" x14ac:dyDescent="0.3">
      <c r="A326" t="s">
        <v>287</v>
      </c>
      <c r="B326" t="s">
        <v>287</v>
      </c>
      <c r="C326" t="s">
        <v>194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293</v>
      </c>
      <c r="L326" t="s">
        <v>291</v>
      </c>
      <c r="M326">
        <v>33</v>
      </c>
      <c r="N326">
        <v>13159</v>
      </c>
      <c r="O326" t="s">
        <v>52</v>
      </c>
      <c r="P326" t="s">
        <v>52</v>
      </c>
      <c r="Q326" t="s">
        <v>197</v>
      </c>
      <c r="R326" t="s">
        <v>53</v>
      </c>
      <c r="S326" t="s">
        <v>116</v>
      </c>
      <c r="T326" t="s">
        <v>198</v>
      </c>
      <c r="U326" t="s">
        <v>108</v>
      </c>
    </row>
    <row r="327" spans="1:21" x14ac:dyDescent="0.3">
      <c r="A327" t="s">
        <v>287</v>
      </c>
      <c r="B327" t="s">
        <v>287</v>
      </c>
      <c r="C327" t="s">
        <v>194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294</v>
      </c>
      <c r="L327" t="s">
        <v>291</v>
      </c>
      <c r="M327">
        <v>33</v>
      </c>
      <c r="N327">
        <v>13159</v>
      </c>
      <c r="O327" t="s">
        <v>52</v>
      </c>
      <c r="P327" t="s">
        <v>52</v>
      </c>
      <c r="Q327" t="s">
        <v>197</v>
      </c>
      <c r="R327" t="s">
        <v>53</v>
      </c>
      <c r="S327" t="s">
        <v>116</v>
      </c>
      <c r="T327" t="s">
        <v>198</v>
      </c>
      <c r="U327" t="s">
        <v>108</v>
      </c>
    </row>
    <row r="328" spans="1:21" x14ac:dyDescent="0.3">
      <c r="A328" t="s">
        <v>287</v>
      </c>
      <c r="B328" t="s">
        <v>287</v>
      </c>
      <c r="C328" t="s">
        <v>194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290</v>
      </c>
      <c r="L328" t="s">
        <v>291</v>
      </c>
      <c r="M328">
        <v>33</v>
      </c>
      <c r="N328">
        <v>13159</v>
      </c>
      <c r="O328" t="s">
        <v>52</v>
      </c>
      <c r="P328" t="s">
        <v>52</v>
      </c>
      <c r="Q328" t="s">
        <v>197</v>
      </c>
      <c r="R328" t="s">
        <v>53</v>
      </c>
      <c r="S328" t="s">
        <v>116</v>
      </c>
      <c r="T328" t="s">
        <v>198</v>
      </c>
      <c r="U328" t="s">
        <v>108</v>
      </c>
    </row>
    <row r="329" spans="1:21" x14ac:dyDescent="0.3">
      <c r="A329" t="s">
        <v>287</v>
      </c>
      <c r="B329" t="s">
        <v>287</v>
      </c>
      <c r="C329" t="s">
        <v>194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117</v>
      </c>
      <c r="J329" t="s">
        <v>51</v>
      </c>
      <c r="K329" t="s">
        <v>288</v>
      </c>
      <c r="L329" t="s">
        <v>289</v>
      </c>
      <c r="M329">
        <v>33</v>
      </c>
      <c r="N329">
        <v>13702</v>
      </c>
      <c r="O329" t="s">
        <v>52</v>
      </c>
      <c r="P329" t="s">
        <v>52</v>
      </c>
      <c r="Q329" t="s">
        <v>197</v>
      </c>
      <c r="R329" t="s">
        <v>53</v>
      </c>
      <c r="S329" t="s">
        <v>116</v>
      </c>
      <c r="T329" t="s">
        <v>198</v>
      </c>
      <c r="U329" t="s">
        <v>108</v>
      </c>
    </row>
    <row r="330" spans="1:21" x14ac:dyDescent="0.3">
      <c r="A330" t="s">
        <v>287</v>
      </c>
      <c r="B330" t="s">
        <v>287</v>
      </c>
      <c r="C330" t="s">
        <v>194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292</v>
      </c>
      <c r="L330" t="s">
        <v>291</v>
      </c>
      <c r="M330">
        <v>33</v>
      </c>
      <c r="N330">
        <v>13159</v>
      </c>
      <c r="O330" t="s">
        <v>52</v>
      </c>
      <c r="P330" t="s">
        <v>52</v>
      </c>
      <c r="Q330" t="s">
        <v>197</v>
      </c>
      <c r="R330" t="s">
        <v>53</v>
      </c>
      <c r="S330" t="s">
        <v>116</v>
      </c>
      <c r="T330" t="s">
        <v>198</v>
      </c>
      <c r="U330" t="s">
        <v>108</v>
      </c>
    </row>
    <row r="331" spans="1:21" x14ac:dyDescent="0.3">
      <c r="A331" t="s">
        <v>287</v>
      </c>
      <c r="B331" t="s">
        <v>287</v>
      </c>
      <c r="C331" t="s">
        <v>194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293</v>
      </c>
      <c r="L331" t="s">
        <v>291</v>
      </c>
      <c r="M331">
        <v>33</v>
      </c>
      <c r="N331">
        <v>13159</v>
      </c>
      <c r="O331" t="s">
        <v>52</v>
      </c>
      <c r="P331" t="s">
        <v>52</v>
      </c>
      <c r="Q331" t="s">
        <v>197</v>
      </c>
      <c r="R331" t="s">
        <v>53</v>
      </c>
      <c r="S331" t="s">
        <v>116</v>
      </c>
      <c r="T331" t="s">
        <v>198</v>
      </c>
      <c r="U331" t="s">
        <v>108</v>
      </c>
    </row>
    <row r="332" spans="1:21" x14ac:dyDescent="0.3">
      <c r="A332" t="s">
        <v>287</v>
      </c>
      <c r="B332" t="s">
        <v>287</v>
      </c>
      <c r="C332" t="s">
        <v>194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294</v>
      </c>
      <c r="L332" t="s">
        <v>291</v>
      </c>
      <c r="M332">
        <v>33</v>
      </c>
      <c r="N332">
        <v>13159</v>
      </c>
      <c r="O332" t="s">
        <v>52</v>
      </c>
      <c r="P332" t="s">
        <v>52</v>
      </c>
      <c r="Q332" t="s">
        <v>197</v>
      </c>
      <c r="R332" t="s">
        <v>53</v>
      </c>
      <c r="S332" t="s">
        <v>116</v>
      </c>
      <c r="T332" t="s">
        <v>198</v>
      </c>
      <c r="U332" t="s">
        <v>108</v>
      </c>
    </row>
    <row r="333" spans="1:21" x14ac:dyDescent="0.3">
      <c r="A333" t="s">
        <v>296</v>
      </c>
      <c r="B333" t="s">
        <v>296</v>
      </c>
      <c r="C333" t="s">
        <v>194</v>
      </c>
      <c r="D333">
        <v>1</v>
      </c>
      <c r="E333" t="s">
        <v>107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297</v>
      </c>
      <c r="L333" t="s">
        <v>298</v>
      </c>
      <c r="M333">
        <v>33</v>
      </c>
      <c r="N333">
        <v>13209</v>
      </c>
      <c r="O333" t="s">
        <v>52</v>
      </c>
      <c r="P333" t="s">
        <v>52</v>
      </c>
      <c r="Q333" t="s">
        <v>197</v>
      </c>
      <c r="R333" t="s">
        <v>53</v>
      </c>
      <c r="S333" t="s">
        <v>116</v>
      </c>
      <c r="T333" t="s">
        <v>198</v>
      </c>
      <c r="U333" t="s">
        <v>108</v>
      </c>
    </row>
    <row r="334" spans="1:21" x14ac:dyDescent="0.3">
      <c r="A334" t="s">
        <v>296</v>
      </c>
      <c r="B334" t="s">
        <v>296</v>
      </c>
      <c r="C334" t="s">
        <v>194</v>
      </c>
      <c r="D334">
        <v>1</v>
      </c>
      <c r="E334" t="s">
        <v>107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299</v>
      </c>
      <c r="L334" t="s">
        <v>298</v>
      </c>
      <c r="M334">
        <v>33</v>
      </c>
      <c r="N334">
        <v>13209</v>
      </c>
      <c r="O334" t="s">
        <v>52</v>
      </c>
      <c r="P334" t="s">
        <v>52</v>
      </c>
      <c r="Q334" t="s">
        <v>197</v>
      </c>
      <c r="R334" t="s">
        <v>53</v>
      </c>
      <c r="S334" t="s">
        <v>116</v>
      </c>
      <c r="T334" t="s">
        <v>198</v>
      </c>
      <c r="U334" t="s">
        <v>108</v>
      </c>
    </row>
    <row r="335" spans="1:21" x14ac:dyDescent="0.3">
      <c r="A335" t="s">
        <v>296</v>
      </c>
      <c r="B335" t="s">
        <v>296</v>
      </c>
      <c r="C335" t="s">
        <v>194</v>
      </c>
      <c r="D335">
        <v>1</v>
      </c>
      <c r="E335" t="s">
        <v>107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300</v>
      </c>
      <c r="L335" t="s">
        <v>298</v>
      </c>
      <c r="M335">
        <v>33</v>
      </c>
      <c r="N335">
        <v>13209</v>
      </c>
      <c r="O335" t="s">
        <v>52</v>
      </c>
      <c r="P335" t="s">
        <v>52</v>
      </c>
      <c r="Q335" t="s">
        <v>197</v>
      </c>
      <c r="R335" t="s">
        <v>53</v>
      </c>
      <c r="S335" t="s">
        <v>116</v>
      </c>
      <c r="T335" t="s">
        <v>198</v>
      </c>
      <c r="U335" t="s">
        <v>108</v>
      </c>
    </row>
    <row r="336" spans="1:21" x14ac:dyDescent="0.3">
      <c r="A336" t="s">
        <v>296</v>
      </c>
      <c r="B336" t="s">
        <v>296</v>
      </c>
      <c r="C336" t="s">
        <v>194</v>
      </c>
      <c r="D336">
        <v>1</v>
      </c>
      <c r="E336" t="s">
        <v>107</v>
      </c>
      <c r="F336">
        <v>1</v>
      </c>
      <c r="G336">
        <v>698</v>
      </c>
      <c r="H336">
        <v>698</v>
      </c>
      <c r="I336" t="s">
        <v>117</v>
      </c>
      <c r="J336" t="s">
        <v>51</v>
      </c>
      <c r="K336" t="s">
        <v>301</v>
      </c>
      <c r="L336" t="s">
        <v>302</v>
      </c>
      <c r="M336">
        <v>33</v>
      </c>
      <c r="N336">
        <v>13670</v>
      </c>
      <c r="O336" t="s">
        <v>52</v>
      </c>
      <c r="P336" t="s">
        <v>52</v>
      </c>
      <c r="Q336" t="s">
        <v>197</v>
      </c>
      <c r="R336" t="s">
        <v>53</v>
      </c>
      <c r="S336" t="s">
        <v>116</v>
      </c>
      <c r="T336" t="s">
        <v>198</v>
      </c>
      <c r="U336" t="s">
        <v>108</v>
      </c>
    </row>
    <row r="337" spans="1:21" x14ac:dyDescent="0.3">
      <c r="A337" t="s">
        <v>296</v>
      </c>
      <c r="B337" t="s">
        <v>296</v>
      </c>
      <c r="C337" t="s">
        <v>194</v>
      </c>
      <c r="D337">
        <v>1</v>
      </c>
      <c r="E337" t="s">
        <v>107</v>
      </c>
      <c r="F337">
        <v>1</v>
      </c>
      <c r="G337">
        <v>11</v>
      </c>
      <c r="H337">
        <v>11</v>
      </c>
      <c r="I337" t="s">
        <v>119</v>
      </c>
      <c r="J337" t="s">
        <v>58</v>
      </c>
      <c r="K337" t="s">
        <v>303</v>
      </c>
      <c r="L337" t="s">
        <v>302</v>
      </c>
      <c r="M337">
        <v>33</v>
      </c>
      <c r="N337">
        <v>13670</v>
      </c>
      <c r="O337" t="s">
        <v>52</v>
      </c>
      <c r="P337" t="s">
        <v>52</v>
      </c>
      <c r="Q337" t="s">
        <v>197</v>
      </c>
      <c r="R337" t="s">
        <v>53</v>
      </c>
      <c r="S337" t="s">
        <v>116</v>
      </c>
      <c r="T337" t="s">
        <v>198</v>
      </c>
      <c r="U337" t="s">
        <v>108</v>
      </c>
    </row>
    <row r="338" spans="1:21" x14ac:dyDescent="0.3">
      <c r="A338" t="s">
        <v>296</v>
      </c>
      <c r="B338" t="s">
        <v>296</v>
      </c>
      <c r="C338" t="s">
        <v>194</v>
      </c>
      <c r="D338">
        <v>1</v>
      </c>
      <c r="E338" t="s">
        <v>107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304</v>
      </c>
      <c r="L338" t="s">
        <v>298</v>
      </c>
      <c r="M338">
        <v>33</v>
      </c>
      <c r="N338">
        <v>13209</v>
      </c>
      <c r="O338" t="s">
        <v>52</v>
      </c>
      <c r="P338" t="s">
        <v>52</v>
      </c>
      <c r="Q338" t="s">
        <v>197</v>
      </c>
      <c r="R338" t="s">
        <v>53</v>
      </c>
      <c r="S338" t="s">
        <v>116</v>
      </c>
      <c r="T338" t="s">
        <v>198</v>
      </c>
      <c r="U338" t="s">
        <v>108</v>
      </c>
    </row>
    <row r="339" spans="1:21" x14ac:dyDescent="0.3">
      <c r="A339" t="s">
        <v>296</v>
      </c>
      <c r="B339" t="s">
        <v>296</v>
      </c>
      <c r="C339" t="s">
        <v>194</v>
      </c>
      <c r="D339">
        <v>2</v>
      </c>
      <c r="E339" t="s">
        <v>118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304</v>
      </c>
      <c r="L339" t="s">
        <v>298</v>
      </c>
      <c r="M339">
        <v>33</v>
      </c>
      <c r="N339">
        <v>13209</v>
      </c>
      <c r="O339" t="s">
        <v>52</v>
      </c>
      <c r="P339" t="s">
        <v>52</v>
      </c>
      <c r="Q339" t="s">
        <v>197</v>
      </c>
      <c r="R339" t="s">
        <v>53</v>
      </c>
      <c r="S339" t="s">
        <v>116</v>
      </c>
      <c r="T339" t="s">
        <v>198</v>
      </c>
      <c r="U339" t="s">
        <v>108</v>
      </c>
    </row>
    <row r="340" spans="1:21" x14ac:dyDescent="0.3">
      <c r="A340" t="s">
        <v>296</v>
      </c>
      <c r="B340" t="s">
        <v>296</v>
      </c>
      <c r="C340" t="s">
        <v>194</v>
      </c>
      <c r="D340">
        <v>2</v>
      </c>
      <c r="E340" t="s">
        <v>118</v>
      </c>
      <c r="F340">
        <v>1</v>
      </c>
      <c r="G340">
        <v>2</v>
      </c>
      <c r="H340">
        <v>2</v>
      </c>
      <c r="I340" t="s">
        <v>117</v>
      </c>
      <c r="J340" t="s">
        <v>51</v>
      </c>
      <c r="K340" t="s">
        <v>301</v>
      </c>
      <c r="L340" t="s">
        <v>302</v>
      </c>
      <c r="M340">
        <v>33</v>
      </c>
      <c r="N340">
        <v>13670</v>
      </c>
      <c r="O340" t="s">
        <v>52</v>
      </c>
      <c r="P340" t="s">
        <v>52</v>
      </c>
      <c r="Q340" t="s">
        <v>197</v>
      </c>
      <c r="R340" t="s">
        <v>53</v>
      </c>
      <c r="S340" t="s">
        <v>116</v>
      </c>
      <c r="T340" t="s">
        <v>198</v>
      </c>
      <c r="U340" t="s">
        <v>108</v>
      </c>
    </row>
    <row r="341" spans="1:21" x14ac:dyDescent="0.3">
      <c r="A341" t="s">
        <v>296</v>
      </c>
      <c r="B341" t="s">
        <v>296</v>
      </c>
      <c r="C341" t="s">
        <v>194</v>
      </c>
      <c r="D341">
        <v>2</v>
      </c>
      <c r="E341" t="s">
        <v>118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299</v>
      </c>
      <c r="L341" t="s">
        <v>298</v>
      </c>
      <c r="M341">
        <v>33</v>
      </c>
      <c r="N341">
        <v>13209</v>
      </c>
      <c r="O341" t="s">
        <v>52</v>
      </c>
      <c r="P341" t="s">
        <v>52</v>
      </c>
      <c r="Q341" t="s">
        <v>197</v>
      </c>
      <c r="R341" t="s">
        <v>53</v>
      </c>
      <c r="S341" t="s">
        <v>116</v>
      </c>
      <c r="T341" t="s">
        <v>198</v>
      </c>
      <c r="U341" t="s">
        <v>108</v>
      </c>
    </row>
    <row r="342" spans="1:21" x14ac:dyDescent="0.3">
      <c r="A342" t="s">
        <v>296</v>
      </c>
      <c r="B342" t="s">
        <v>296</v>
      </c>
      <c r="C342" t="s">
        <v>194</v>
      </c>
      <c r="D342">
        <v>2</v>
      </c>
      <c r="E342" t="s">
        <v>118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297</v>
      </c>
      <c r="L342" t="s">
        <v>298</v>
      </c>
      <c r="M342">
        <v>33</v>
      </c>
      <c r="N342">
        <v>13209</v>
      </c>
      <c r="O342" t="s">
        <v>52</v>
      </c>
      <c r="P342" t="s">
        <v>52</v>
      </c>
      <c r="Q342" t="s">
        <v>197</v>
      </c>
      <c r="R342" t="s">
        <v>53</v>
      </c>
      <c r="S342" t="s">
        <v>116</v>
      </c>
      <c r="T342" t="s">
        <v>198</v>
      </c>
      <c r="U342" t="s">
        <v>108</v>
      </c>
    </row>
    <row r="343" spans="1:21" x14ac:dyDescent="0.3">
      <c r="A343" t="s">
        <v>296</v>
      </c>
      <c r="B343" t="s">
        <v>296</v>
      </c>
      <c r="C343" t="s">
        <v>194</v>
      </c>
      <c r="D343">
        <v>2</v>
      </c>
      <c r="E343" t="s">
        <v>118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300</v>
      </c>
      <c r="L343" t="s">
        <v>298</v>
      </c>
      <c r="M343">
        <v>33</v>
      </c>
      <c r="N343">
        <v>13209</v>
      </c>
      <c r="O343" t="s">
        <v>52</v>
      </c>
      <c r="P343" t="s">
        <v>52</v>
      </c>
      <c r="Q343" t="s">
        <v>197</v>
      </c>
      <c r="R343" t="s">
        <v>53</v>
      </c>
      <c r="S343" t="s">
        <v>116</v>
      </c>
      <c r="T343" t="s">
        <v>198</v>
      </c>
      <c r="U343" t="s">
        <v>108</v>
      </c>
    </row>
    <row r="344" spans="1:21" x14ac:dyDescent="0.3">
      <c r="A344" t="s">
        <v>296</v>
      </c>
      <c r="B344" t="s">
        <v>296</v>
      </c>
      <c r="C344" t="s">
        <v>194</v>
      </c>
      <c r="D344">
        <v>3</v>
      </c>
      <c r="E344" t="s">
        <v>105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304</v>
      </c>
      <c r="L344" t="s">
        <v>298</v>
      </c>
      <c r="M344">
        <v>33</v>
      </c>
      <c r="N344">
        <v>13209</v>
      </c>
      <c r="O344" t="s">
        <v>52</v>
      </c>
      <c r="P344" t="s">
        <v>52</v>
      </c>
      <c r="Q344" t="s">
        <v>197</v>
      </c>
      <c r="R344" t="s">
        <v>53</v>
      </c>
      <c r="S344" t="s">
        <v>116</v>
      </c>
      <c r="T344" t="s">
        <v>198</v>
      </c>
      <c r="U344" t="s">
        <v>108</v>
      </c>
    </row>
    <row r="345" spans="1:21" x14ac:dyDescent="0.3">
      <c r="A345" t="s">
        <v>296</v>
      </c>
      <c r="B345" t="s">
        <v>296</v>
      </c>
      <c r="C345" t="s">
        <v>194</v>
      </c>
      <c r="D345">
        <v>3</v>
      </c>
      <c r="E345" t="s">
        <v>105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300</v>
      </c>
      <c r="L345" t="s">
        <v>298</v>
      </c>
      <c r="M345">
        <v>33</v>
      </c>
      <c r="N345">
        <v>13209</v>
      </c>
      <c r="O345" t="s">
        <v>52</v>
      </c>
      <c r="P345" t="s">
        <v>52</v>
      </c>
      <c r="Q345" t="s">
        <v>197</v>
      </c>
      <c r="R345" t="s">
        <v>53</v>
      </c>
      <c r="S345" t="s">
        <v>116</v>
      </c>
      <c r="T345" t="s">
        <v>198</v>
      </c>
      <c r="U345" t="s">
        <v>108</v>
      </c>
    </row>
    <row r="346" spans="1:21" x14ac:dyDescent="0.3">
      <c r="A346" t="s">
        <v>296</v>
      </c>
      <c r="B346" t="s">
        <v>296</v>
      </c>
      <c r="C346" t="s">
        <v>194</v>
      </c>
      <c r="D346">
        <v>3</v>
      </c>
      <c r="E346" t="s">
        <v>105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297</v>
      </c>
      <c r="L346" t="s">
        <v>298</v>
      </c>
      <c r="M346">
        <v>33</v>
      </c>
      <c r="N346">
        <v>13209</v>
      </c>
      <c r="O346" t="s">
        <v>52</v>
      </c>
      <c r="P346" t="s">
        <v>52</v>
      </c>
      <c r="Q346" t="s">
        <v>197</v>
      </c>
      <c r="R346" t="s">
        <v>53</v>
      </c>
      <c r="S346" t="s">
        <v>116</v>
      </c>
      <c r="T346" t="s">
        <v>198</v>
      </c>
      <c r="U346" t="s">
        <v>108</v>
      </c>
    </row>
    <row r="347" spans="1:21" x14ac:dyDescent="0.3">
      <c r="A347" t="s">
        <v>296</v>
      </c>
      <c r="B347" t="s">
        <v>296</v>
      </c>
      <c r="C347" t="s">
        <v>194</v>
      </c>
      <c r="D347">
        <v>3</v>
      </c>
      <c r="E347" t="s">
        <v>105</v>
      </c>
      <c r="F347">
        <v>1</v>
      </c>
      <c r="G347">
        <v>94</v>
      </c>
      <c r="H347">
        <v>94</v>
      </c>
      <c r="I347" t="s">
        <v>117</v>
      </c>
      <c r="J347" t="s">
        <v>51</v>
      </c>
      <c r="K347" t="s">
        <v>301</v>
      </c>
      <c r="L347" t="s">
        <v>302</v>
      </c>
      <c r="M347">
        <v>33</v>
      </c>
      <c r="N347">
        <v>13670</v>
      </c>
      <c r="O347" t="s">
        <v>52</v>
      </c>
      <c r="P347" t="s">
        <v>52</v>
      </c>
      <c r="Q347" t="s">
        <v>197</v>
      </c>
      <c r="R347" t="s">
        <v>53</v>
      </c>
      <c r="S347" t="s">
        <v>116</v>
      </c>
      <c r="T347" t="s">
        <v>198</v>
      </c>
      <c r="U347" t="s">
        <v>108</v>
      </c>
    </row>
    <row r="348" spans="1:21" x14ac:dyDescent="0.3">
      <c r="A348" t="s">
        <v>296</v>
      </c>
      <c r="B348" t="s">
        <v>296</v>
      </c>
      <c r="C348" t="s">
        <v>194</v>
      </c>
      <c r="D348">
        <v>3</v>
      </c>
      <c r="E348" t="s">
        <v>105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299</v>
      </c>
      <c r="L348" t="s">
        <v>298</v>
      </c>
      <c r="M348">
        <v>33</v>
      </c>
      <c r="N348">
        <v>13209</v>
      </c>
      <c r="O348" t="s">
        <v>52</v>
      </c>
      <c r="P348" t="s">
        <v>52</v>
      </c>
      <c r="Q348" t="s">
        <v>197</v>
      </c>
      <c r="R348" t="s">
        <v>53</v>
      </c>
      <c r="S348" t="s">
        <v>116</v>
      </c>
      <c r="T348" t="s">
        <v>198</v>
      </c>
      <c r="U348" t="s">
        <v>108</v>
      </c>
    </row>
    <row r="349" spans="1:21" x14ac:dyDescent="0.3">
      <c r="A349" t="s">
        <v>296</v>
      </c>
      <c r="B349" t="s">
        <v>296</v>
      </c>
      <c r="C349" t="s">
        <v>194</v>
      </c>
      <c r="D349">
        <v>3</v>
      </c>
      <c r="E349" t="s">
        <v>105</v>
      </c>
      <c r="F349">
        <v>1</v>
      </c>
      <c r="G349">
        <v>2</v>
      </c>
      <c r="H349">
        <v>2</v>
      </c>
      <c r="I349" t="s">
        <v>119</v>
      </c>
      <c r="J349" t="s">
        <v>58</v>
      </c>
      <c r="K349" t="s">
        <v>303</v>
      </c>
      <c r="L349" t="s">
        <v>302</v>
      </c>
      <c r="M349">
        <v>33</v>
      </c>
      <c r="N349">
        <v>13670</v>
      </c>
      <c r="O349" t="s">
        <v>52</v>
      </c>
      <c r="P349" t="s">
        <v>52</v>
      </c>
      <c r="Q349" t="s">
        <v>197</v>
      </c>
      <c r="R349" t="s">
        <v>53</v>
      </c>
      <c r="S349" t="s">
        <v>116</v>
      </c>
      <c r="T349" t="s">
        <v>198</v>
      </c>
      <c r="U349" t="s">
        <v>108</v>
      </c>
    </row>
    <row r="350" spans="1:21" x14ac:dyDescent="0.3">
      <c r="A350" t="s">
        <v>296</v>
      </c>
      <c r="B350" t="s">
        <v>296</v>
      </c>
      <c r="C350" t="s">
        <v>194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300</v>
      </c>
      <c r="L350" t="s">
        <v>298</v>
      </c>
      <c r="M350">
        <v>33</v>
      </c>
      <c r="N350">
        <v>13209</v>
      </c>
      <c r="O350" t="s">
        <v>52</v>
      </c>
      <c r="P350" t="s">
        <v>52</v>
      </c>
      <c r="Q350" t="s">
        <v>197</v>
      </c>
      <c r="R350" t="s">
        <v>53</v>
      </c>
      <c r="S350" t="s">
        <v>116</v>
      </c>
      <c r="T350" t="s">
        <v>198</v>
      </c>
      <c r="U350" t="s">
        <v>108</v>
      </c>
    </row>
    <row r="351" spans="1:21" x14ac:dyDescent="0.3">
      <c r="A351" t="s">
        <v>296</v>
      </c>
      <c r="B351" t="s">
        <v>296</v>
      </c>
      <c r="C351" t="s">
        <v>194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119</v>
      </c>
      <c r="J351" t="s">
        <v>58</v>
      </c>
      <c r="K351" t="s">
        <v>303</v>
      </c>
      <c r="L351" t="s">
        <v>302</v>
      </c>
      <c r="M351">
        <v>33</v>
      </c>
      <c r="N351">
        <v>13670</v>
      </c>
      <c r="O351" t="s">
        <v>52</v>
      </c>
      <c r="P351" t="s">
        <v>52</v>
      </c>
      <c r="Q351" t="s">
        <v>197</v>
      </c>
      <c r="R351" t="s">
        <v>53</v>
      </c>
      <c r="S351" t="s">
        <v>116</v>
      </c>
      <c r="T351" t="s">
        <v>198</v>
      </c>
      <c r="U351" t="s">
        <v>108</v>
      </c>
    </row>
    <row r="352" spans="1:21" x14ac:dyDescent="0.3">
      <c r="A352" t="s">
        <v>296</v>
      </c>
      <c r="B352" t="s">
        <v>296</v>
      </c>
      <c r="C352" t="s">
        <v>194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297</v>
      </c>
      <c r="L352" t="s">
        <v>298</v>
      </c>
      <c r="M352">
        <v>33</v>
      </c>
      <c r="N352">
        <v>13209</v>
      </c>
      <c r="O352" t="s">
        <v>52</v>
      </c>
      <c r="P352" t="s">
        <v>52</v>
      </c>
      <c r="Q352" t="s">
        <v>197</v>
      </c>
      <c r="R352" t="s">
        <v>53</v>
      </c>
      <c r="S352" t="s">
        <v>116</v>
      </c>
      <c r="T352" t="s">
        <v>198</v>
      </c>
      <c r="U352" t="s">
        <v>108</v>
      </c>
    </row>
    <row r="353" spans="1:21" x14ac:dyDescent="0.3">
      <c r="A353" t="s">
        <v>296</v>
      </c>
      <c r="B353" t="s">
        <v>296</v>
      </c>
      <c r="C353" t="s">
        <v>194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117</v>
      </c>
      <c r="J353" t="s">
        <v>51</v>
      </c>
      <c r="K353" t="s">
        <v>301</v>
      </c>
      <c r="L353" t="s">
        <v>302</v>
      </c>
      <c r="M353">
        <v>33</v>
      </c>
      <c r="N353">
        <v>13670</v>
      </c>
      <c r="O353" t="s">
        <v>52</v>
      </c>
      <c r="P353" t="s">
        <v>52</v>
      </c>
      <c r="Q353" t="s">
        <v>197</v>
      </c>
      <c r="R353" t="s">
        <v>53</v>
      </c>
      <c r="S353" t="s">
        <v>116</v>
      </c>
      <c r="T353" t="s">
        <v>198</v>
      </c>
      <c r="U353" t="s">
        <v>108</v>
      </c>
    </row>
    <row r="354" spans="1:21" x14ac:dyDescent="0.3">
      <c r="A354" t="s">
        <v>296</v>
      </c>
      <c r="B354" t="s">
        <v>296</v>
      </c>
      <c r="C354" t="s">
        <v>194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299</v>
      </c>
      <c r="L354" t="s">
        <v>298</v>
      </c>
      <c r="M354">
        <v>33</v>
      </c>
      <c r="N354">
        <v>13209</v>
      </c>
      <c r="O354" t="s">
        <v>52</v>
      </c>
      <c r="P354" t="s">
        <v>52</v>
      </c>
      <c r="Q354" t="s">
        <v>197</v>
      </c>
      <c r="R354" t="s">
        <v>53</v>
      </c>
      <c r="S354" t="s">
        <v>116</v>
      </c>
      <c r="T354" t="s">
        <v>198</v>
      </c>
      <c r="U354" t="s">
        <v>108</v>
      </c>
    </row>
    <row r="355" spans="1:21" x14ac:dyDescent="0.3">
      <c r="A355" t="s">
        <v>296</v>
      </c>
      <c r="B355" t="s">
        <v>296</v>
      </c>
      <c r="C355" t="s">
        <v>194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304</v>
      </c>
      <c r="L355" t="s">
        <v>298</v>
      </c>
      <c r="M355">
        <v>33</v>
      </c>
      <c r="N355">
        <v>13209</v>
      </c>
      <c r="O355" t="s">
        <v>52</v>
      </c>
      <c r="P355" t="s">
        <v>52</v>
      </c>
      <c r="Q355" t="s">
        <v>197</v>
      </c>
      <c r="R355" t="s">
        <v>53</v>
      </c>
      <c r="S355" t="s">
        <v>116</v>
      </c>
      <c r="T355" t="s">
        <v>198</v>
      </c>
      <c r="U355" t="s">
        <v>108</v>
      </c>
    </row>
    <row r="356" spans="1:21" x14ac:dyDescent="0.3">
      <c r="A356" t="s">
        <v>296</v>
      </c>
      <c r="B356" t="s">
        <v>296</v>
      </c>
      <c r="C356" t="s">
        <v>194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117</v>
      </c>
      <c r="J356" t="s">
        <v>51</v>
      </c>
      <c r="K356" t="s">
        <v>301</v>
      </c>
      <c r="L356" t="s">
        <v>302</v>
      </c>
      <c r="M356">
        <v>33</v>
      </c>
      <c r="N356">
        <v>13670</v>
      </c>
      <c r="O356" t="s">
        <v>52</v>
      </c>
      <c r="P356" t="s">
        <v>52</v>
      </c>
      <c r="Q356" t="s">
        <v>197</v>
      </c>
      <c r="R356" t="s">
        <v>53</v>
      </c>
      <c r="S356" t="s">
        <v>116</v>
      </c>
      <c r="T356" t="s">
        <v>198</v>
      </c>
      <c r="U356" t="s">
        <v>108</v>
      </c>
    </row>
    <row r="357" spans="1:21" x14ac:dyDescent="0.3">
      <c r="A357" t="s">
        <v>296</v>
      </c>
      <c r="B357" t="s">
        <v>296</v>
      </c>
      <c r="C357" t="s">
        <v>194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299</v>
      </c>
      <c r="L357" t="s">
        <v>298</v>
      </c>
      <c r="M357">
        <v>33</v>
      </c>
      <c r="N357">
        <v>13209</v>
      </c>
      <c r="O357" t="s">
        <v>52</v>
      </c>
      <c r="P357" t="s">
        <v>52</v>
      </c>
      <c r="Q357" t="s">
        <v>197</v>
      </c>
      <c r="R357" t="s">
        <v>53</v>
      </c>
      <c r="S357" t="s">
        <v>116</v>
      </c>
      <c r="T357" t="s">
        <v>198</v>
      </c>
      <c r="U357" t="s">
        <v>108</v>
      </c>
    </row>
    <row r="358" spans="1:21" x14ac:dyDescent="0.3">
      <c r="A358" t="s">
        <v>296</v>
      </c>
      <c r="B358" t="s">
        <v>296</v>
      </c>
      <c r="C358" t="s">
        <v>194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300</v>
      </c>
      <c r="L358" t="s">
        <v>298</v>
      </c>
      <c r="M358">
        <v>33</v>
      </c>
      <c r="N358">
        <v>13209</v>
      </c>
      <c r="O358" t="s">
        <v>52</v>
      </c>
      <c r="P358" t="s">
        <v>52</v>
      </c>
      <c r="Q358" t="s">
        <v>197</v>
      </c>
      <c r="R358" t="s">
        <v>53</v>
      </c>
      <c r="S358" t="s">
        <v>116</v>
      </c>
      <c r="T358" t="s">
        <v>198</v>
      </c>
      <c r="U358" t="s">
        <v>108</v>
      </c>
    </row>
    <row r="359" spans="1:21" x14ac:dyDescent="0.3">
      <c r="A359" t="s">
        <v>296</v>
      </c>
      <c r="B359" t="s">
        <v>296</v>
      </c>
      <c r="C359" t="s">
        <v>194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297</v>
      </c>
      <c r="L359" t="s">
        <v>298</v>
      </c>
      <c r="M359">
        <v>33</v>
      </c>
      <c r="N359">
        <v>13209</v>
      </c>
      <c r="O359" t="s">
        <v>52</v>
      </c>
      <c r="P359" t="s">
        <v>52</v>
      </c>
      <c r="Q359" t="s">
        <v>197</v>
      </c>
      <c r="R359" t="s">
        <v>53</v>
      </c>
      <c r="S359" t="s">
        <v>116</v>
      </c>
      <c r="T359" t="s">
        <v>198</v>
      </c>
      <c r="U359" t="s">
        <v>108</v>
      </c>
    </row>
    <row r="360" spans="1:21" x14ac:dyDescent="0.3">
      <c r="A360" t="s">
        <v>296</v>
      </c>
      <c r="B360" t="s">
        <v>296</v>
      </c>
      <c r="C360" t="s">
        <v>194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304</v>
      </c>
      <c r="L360" t="s">
        <v>298</v>
      </c>
      <c r="M360">
        <v>33</v>
      </c>
      <c r="N360">
        <v>13209</v>
      </c>
      <c r="O360" t="s">
        <v>52</v>
      </c>
      <c r="P360" t="s">
        <v>52</v>
      </c>
      <c r="Q360" t="s">
        <v>197</v>
      </c>
      <c r="R360" t="s">
        <v>53</v>
      </c>
      <c r="S360" t="s">
        <v>116</v>
      </c>
      <c r="T360" t="s">
        <v>198</v>
      </c>
      <c r="U360" t="s">
        <v>108</v>
      </c>
    </row>
    <row r="361" spans="1:21" x14ac:dyDescent="0.3">
      <c r="A361" t="s">
        <v>305</v>
      </c>
      <c r="B361" t="s">
        <v>305</v>
      </c>
      <c r="C361" t="s">
        <v>194</v>
      </c>
      <c r="D361">
        <v>1</v>
      </c>
      <c r="E361" t="s">
        <v>107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306</v>
      </c>
      <c r="L361" t="s">
        <v>307</v>
      </c>
      <c r="M361">
        <v>33</v>
      </c>
      <c r="N361">
        <v>13219</v>
      </c>
      <c r="O361" t="s">
        <v>52</v>
      </c>
      <c r="P361" t="s">
        <v>52</v>
      </c>
      <c r="Q361" t="s">
        <v>197</v>
      </c>
      <c r="R361" t="s">
        <v>53</v>
      </c>
      <c r="S361" t="s">
        <v>116</v>
      </c>
      <c r="T361" t="s">
        <v>198</v>
      </c>
      <c r="U361" t="s">
        <v>108</v>
      </c>
    </row>
    <row r="362" spans="1:21" x14ac:dyDescent="0.3">
      <c r="A362" t="s">
        <v>305</v>
      </c>
      <c r="B362" t="s">
        <v>305</v>
      </c>
      <c r="C362" t="s">
        <v>194</v>
      </c>
      <c r="D362">
        <v>1</v>
      </c>
      <c r="E362" t="s">
        <v>107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308</v>
      </c>
      <c r="L362" t="s">
        <v>307</v>
      </c>
      <c r="M362">
        <v>33</v>
      </c>
      <c r="N362">
        <v>13219</v>
      </c>
      <c r="O362" t="s">
        <v>52</v>
      </c>
      <c r="P362" t="s">
        <v>52</v>
      </c>
      <c r="Q362" t="s">
        <v>197</v>
      </c>
      <c r="R362" t="s">
        <v>53</v>
      </c>
      <c r="S362" t="s">
        <v>116</v>
      </c>
      <c r="T362" t="s">
        <v>198</v>
      </c>
      <c r="U362" t="s">
        <v>108</v>
      </c>
    </row>
    <row r="363" spans="1:21" x14ac:dyDescent="0.3">
      <c r="A363" t="s">
        <v>305</v>
      </c>
      <c r="B363" t="s">
        <v>305</v>
      </c>
      <c r="C363" t="s">
        <v>194</v>
      </c>
      <c r="D363">
        <v>1</v>
      </c>
      <c r="E363" t="s">
        <v>107</v>
      </c>
      <c r="F363">
        <v>1</v>
      </c>
      <c r="G363">
        <v>3</v>
      </c>
      <c r="H363">
        <v>3</v>
      </c>
      <c r="I363" t="s">
        <v>119</v>
      </c>
      <c r="J363" t="s">
        <v>58</v>
      </c>
      <c r="K363" t="s">
        <v>309</v>
      </c>
      <c r="L363" t="s">
        <v>310</v>
      </c>
      <c r="M363">
        <v>33</v>
      </c>
      <c r="O363" t="s">
        <v>52</v>
      </c>
      <c r="P363" t="s">
        <v>52</v>
      </c>
      <c r="Q363" t="s">
        <v>197</v>
      </c>
      <c r="R363" t="s">
        <v>53</v>
      </c>
      <c r="S363" t="s">
        <v>116</v>
      </c>
      <c r="T363" t="s">
        <v>198</v>
      </c>
      <c r="U363" t="s">
        <v>108</v>
      </c>
    </row>
    <row r="364" spans="1:21" x14ac:dyDescent="0.3">
      <c r="A364" t="s">
        <v>305</v>
      </c>
      <c r="B364" t="s">
        <v>305</v>
      </c>
      <c r="C364" t="s">
        <v>194</v>
      </c>
      <c r="D364">
        <v>1</v>
      </c>
      <c r="E364" t="s">
        <v>107</v>
      </c>
      <c r="F364">
        <v>1</v>
      </c>
      <c r="G364">
        <v>7163</v>
      </c>
      <c r="H364">
        <v>7163</v>
      </c>
      <c r="I364" t="s">
        <v>117</v>
      </c>
      <c r="J364" t="s">
        <v>51</v>
      </c>
      <c r="K364" t="s">
        <v>311</v>
      </c>
      <c r="L364" t="s">
        <v>310</v>
      </c>
      <c r="M364">
        <v>33</v>
      </c>
      <c r="O364" t="s">
        <v>52</v>
      </c>
      <c r="P364" t="s">
        <v>52</v>
      </c>
      <c r="Q364" t="s">
        <v>197</v>
      </c>
      <c r="R364" t="s">
        <v>53</v>
      </c>
      <c r="S364" t="s">
        <v>116</v>
      </c>
      <c r="T364" t="s">
        <v>198</v>
      </c>
      <c r="U364" t="s">
        <v>108</v>
      </c>
    </row>
    <row r="365" spans="1:21" x14ac:dyDescent="0.3">
      <c r="A365" t="s">
        <v>305</v>
      </c>
      <c r="B365" t="s">
        <v>305</v>
      </c>
      <c r="C365" t="s">
        <v>194</v>
      </c>
      <c r="D365">
        <v>1</v>
      </c>
      <c r="E365" t="s">
        <v>107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312</v>
      </c>
      <c r="L365" t="s">
        <v>307</v>
      </c>
      <c r="M365">
        <v>33</v>
      </c>
      <c r="N365">
        <v>13219</v>
      </c>
      <c r="O365" t="s">
        <v>52</v>
      </c>
      <c r="P365" t="s">
        <v>52</v>
      </c>
      <c r="Q365" t="s">
        <v>197</v>
      </c>
      <c r="R365" t="s">
        <v>53</v>
      </c>
      <c r="S365" t="s">
        <v>116</v>
      </c>
      <c r="T365" t="s">
        <v>198</v>
      </c>
      <c r="U365" t="s">
        <v>108</v>
      </c>
    </row>
    <row r="366" spans="1:21" x14ac:dyDescent="0.3">
      <c r="A366" t="s">
        <v>305</v>
      </c>
      <c r="B366" t="s">
        <v>305</v>
      </c>
      <c r="C366" t="s">
        <v>194</v>
      </c>
      <c r="D366">
        <v>1</v>
      </c>
      <c r="E366" t="s">
        <v>107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313</v>
      </c>
      <c r="L366" t="s">
        <v>307</v>
      </c>
      <c r="M366">
        <v>33</v>
      </c>
      <c r="N366">
        <v>13219</v>
      </c>
      <c r="O366" t="s">
        <v>52</v>
      </c>
      <c r="P366" t="s">
        <v>52</v>
      </c>
      <c r="Q366" t="s">
        <v>197</v>
      </c>
      <c r="R366" t="s">
        <v>53</v>
      </c>
      <c r="S366" t="s">
        <v>116</v>
      </c>
      <c r="T366" t="s">
        <v>198</v>
      </c>
      <c r="U366" t="s">
        <v>108</v>
      </c>
    </row>
    <row r="367" spans="1:21" x14ac:dyDescent="0.3">
      <c r="A367" t="s">
        <v>305</v>
      </c>
      <c r="B367" t="s">
        <v>305</v>
      </c>
      <c r="C367" t="s">
        <v>194</v>
      </c>
      <c r="D367">
        <v>2</v>
      </c>
      <c r="E367" t="s">
        <v>118</v>
      </c>
      <c r="F367">
        <v>1</v>
      </c>
      <c r="G367">
        <v>14</v>
      </c>
      <c r="H367">
        <v>14</v>
      </c>
      <c r="I367" t="s">
        <v>117</v>
      </c>
      <c r="J367" t="s">
        <v>51</v>
      </c>
      <c r="K367" t="s">
        <v>311</v>
      </c>
      <c r="L367" t="s">
        <v>310</v>
      </c>
      <c r="M367">
        <v>33</v>
      </c>
      <c r="O367" t="s">
        <v>52</v>
      </c>
      <c r="P367" t="s">
        <v>52</v>
      </c>
      <c r="Q367" t="s">
        <v>197</v>
      </c>
      <c r="R367" t="s">
        <v>53</v>
      </c>
      <c r="S367" t="s">
        <v>116</v>
      </c>
      <c r="T367" t="s">
        <v>198</v>
      </c>
      <c r="U367" t="s">
        <v>108</v>
      </c>
    </row>
    <row r="368" spans="1:21" x14ac:dyDescent="0.3">
      <c r="A368" t="s">
        <v>305</v>
      </c>
      <c r="B368" t="s">
        <v>305</v>
      </c>
      <c r="C368" t="s">
        <v>194</v>
      </c>
      <c r="D368">
        <v>2</v>
      </c>
      <c r="E368" t="s">
        <v>118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312</v>
      </c>
      <c r="L368" t="s">
        <v>307</v>
      </c>
      <c r="M368">
        <v>33</v>
      </c>
      <c r="N368">
        <v>13219</v>
      </c>
      <c r="O368" t="s">
        <v>52</v>
      </c>
      <c r="P368" t="s">
        <v>52</v>
      </c>
      <c r="Q368" t="s">
        <v>197</v>
      </c>
      <c r="R368" t="s">
        <v>53</v>
      </c>
      <c r="S368" t="s">
        <v>116</v>
      </c>
      <c r="T368" t="s">
        <v>198</v>
      </c>
      <c r="U368" t="s">
        <v>108</v>
      </c>
    </row>
    <row r="369" spans="1:21" x14ac:dyDescent="0.3">
      <c r="A369" t="s">
        <v>305</v>
      </c>
      <c r="B369" t="s">
        <v>305</v>
      </c>
      <c r="C369" t="s">
        <v>194</v>
      </c>
      <c r="D369">
        <v>2</v>
      </c>
      <c r="E369" t="s">
        <v>118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308</v>
      </c>
      <c r="L369" t="s">
        <v>307</v>
      </c>
      <c r="M369">
        <v>33</v>
      </c>
      <c r="N369">
        <v>13219</v>
      </c>
      <c r="O369" t="s">
        <v>52</v>
      </c>
      <c r="P369" t="s">
        <v>52</v>
      </c>
      <c r="Q369" t="s">
        <v>197</v>
      </c>
      <c r="R369" t="s">
        <v>53</v>
      </c>
      <c r="S369" t="s">
        <v>116</v>
      </c>
      <c r="T369" t="s">
        <v>198</v>
      </c>
      <c r="U369" t="s">
        <v>108</v>
      </c>
    </row>
    <row r="370" spans="1:21" x14ac:dyDescent="0.3">
      <c r="A370" t="s">
        <v>305</v>
      </c>
      <c r="B370" t="s">
        <v>305</v>
      </c>
      <c r="C370" t="s">
        <v>194</v>
      </c>
      <c r="D370">
        <v>2</v>
      </c>
      <c r="E370" t="s">
        <v>118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313</v>
      </c>
      <c r="L370" t="s">
        <v>307</v>
      </c>
      <c r="M370">
        <v>33</v>
      </c>
      <c r="N370">
        <v>13219</v>
      </c>
      <c r="O370" t="s">
        <v>52</v>
      </c>
      <c r="P370" t="s">
        <v>52</v>
      </c>
      <c r="Q370" t="s">
        <v>197</v>
      </c>
      <c r="R370" t="s">
        <v>53</v>
      </c>
      <c r="S370" t="s">
        <v>116</v>
      </c>
      <c r="T370" t="s">
        <v>198</v>
      </c>
      <c r="U370" t="s">
        <v>108</v>
      </c>
    </row>
    <row r="371" spans="1:21" x14ac:dyDescent="0.3">
      <c r="A371" t="s">
        <v>305</v>
      </c>
      <c r="B371" t="s">
        <v>305</v>
      </c>
      <c r="C371" t="s">
        <v>194</v>
      </c>
      <c r="D371">
        <v>2</v>
      </c>
      <c r="E371" t="s">
        <v>118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306</v>
      </c>
      <c r="L371" t="s">
        <v>307</v>
      </c>
      <c r="M371">
        <v>33</v>
      </c>
      <c r="N371">
        <v>13219</v>
      </c>
      <c r="O371" t="s">
        <v>52</v>
      </c>
      <c r="P371" t="s">
        <v>52</v>
      </c>
      <c r="Q371" t="s">
        <v>197</v>
      </c>
      <c r="R371" t="s">
        <v>53</v>
      </c>
      <c r="S371" t="s">
        <v>116</v>
      </c>
      <c r="T371" t="s">
        <v>198</v>
      </c>
      <c r="U371" t="s">
        <v>108</v>
      </c>
    </row>
    <row r="372" spans="1:21" x14ac:dyDescent="0.3">
      <c r="A372" t="s">
        <v>305</v>
      </c>
      <c r="B372" t="s">
        <v>305</v>
      </c>
      <c r="C372" t="s">
        <v>194</v>
      </c>
      <c r="D372">
        <v>3</v>
      </c>
      <c r="E372" t="s">
        <v>105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313</v>
      </c>
      <c r="L372" t="s">
        <v>307</v>
      </c>
      <c r="M372">
        <v>33</v>
      </c>
      <c r="N372">
        <v>13219</v>
      </c>
      <c r="O372" t="s">
        <v>52</v>
      </c>
      <c r="P372" t="s">
        <v>52</v>
      </c>
      <c r="Q372" t="s">
        <v>197</v>
      </c>
      <c r="R372" t="s">
        <v>53</v>
      </c>
      <c r="S372" t="s">
        <v>116</v>
      </c>
      <c r="T372" t="s">
        <v>198</v>
      </c>
      <c r="U372" t="s">
        <v>108</v>
      </c>
    </row>
    <row r="373" spans="1:21" x14ac:dyDescent="0.3">
      <c r="A373" t="s">
        <v>305</v>
      </c>
      <c r="B373" t="s">
        <v>305</v>
      </c>
      <c r="C373" t="s">
        <v>194</v>
      </c>
      <c r="D373">
        <v>3</v>
      </c>
      <c r="E373" t="s">
        <v>105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312</v>
      </c>
      <c r="L373" t="s">
        <v>307</v>
      </c>
      <c r="M373">
        <v>33</v>
      </c>
      <c r="N373">
        <v>13219</v>
      </c>
      <c r="O373" t="s">
        <v>52</v>
      </c>
      <c r="P373" t="s">
        <v>52</v>
      </c>
      <c r="Q373" t="s">
        <v>197</v>
      </c>
      <c r="R373" t="s">
        <v>53</v>
      </c>
      <c r="S373" t="s">
        <v>116</v>
      </c>
      <c r="T373" t="s">
        <v>198</v>
      </c>
      <c r="U373" t="s">
        <v>108</v>
      </c>
    </row>
    <row r="374" spans="1:21" x14ac:dyDescent="0.3">
      <c r="A374" t="s">
        <v>305</v>
      </c>
      <c r="B374" t="s">
        <v>305</v>
      </c>
      <c r="C374" t="s">
        <v>194</v>
      </c>
      <c r="D374">
        <v>3</v>
      </c>
      <c r="E374" t="s">
        <v>105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306</v>
      </c>
      <c r="L374" t="s">
        <v>307</v>
      </c>
      <c r="M374">
        <v>33</v>
      </c>
      <c r="N374">
        <v>13219</v>
      </c>
      <c r="O374" t="s">
        <v>52</v>
      </c>
      <c r="P374" t="s">
        <v>52</v>
      </c>
      <c r="Q374" t="s">
        <v>197</v>
      </c>
      <c r="R374" t="s">
        <v>53</v>
      </c>
      <c r="S374" t="s">
        <v>116</v>
      </c>
      <c r="T374" t="s">
        <v>198</v>
      </c>
      <c r="U374" t="s">
        <v>108</v>
      </c>
    </row>
    <row r="375" spans="1:21" x14ac:dyDescent="0.3">
      <c r="A375" t="s">
        <v>305</v>
      </c>
      <c r="B375" t="s">
        <v>305</v>
      </c>
      <c r="C375" t="s">
        <v>194</v>
      </c>
      <c r="D375">
        <v>3</v>
      </c>
      <c r="E375" t="s">
        <v>105</v>
      </c>
      <c r="F375">
        <v>1</v>
      </c>
      <c r="G375">
        <v>965</v>
      </c>
      <c r="H375">
        <v>965</v>
      </c>
      <c r="I375" t="s">
        <v>117</v>
      </c>
      <c r="J375" t="s">
        <v>51</v>
      </c>
      <c r="K375" t="s">
        <v>311</v>
      </c>
      <c r="L375" t="s">
        <v>310</v>
      </c>
      <c r="M375">
        <v>33</v>
      </c>
      <c r="O375" t="s">
        <v>52</v>
      </c>
      <c r="P375" t="s">
        <v>52</v>
      </c>
      <c r="Q375" t="s">
        <v>197</v>
      </c>
      <c r="R375" t="s">
        <v>53</v>
      </c>
      <c r="S375" t="s">
        <v>116</v>
      </c>
      <c r="T375" t="s">
        <v>198</v>
      </c>
      <c r="U375" t="s">
        <v>108</v>
      </c>
    </row>
    <row r="376" spans="1:21" x14ac:dyDescent="0.3">
      <c r="A376" t="s">
        <v>305</v>
      </c>
      <c r="B376" t="s">
        <v>305</v>
      </c>
      <c r="C376" t="s">
        <v>194</v>
      </c>
      <c r="D376">
        <v>3</v>
      </c>
      <c r="E376" t="s">
        <v>105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308</v>
      </c>
      <c r="L376" t="s">
        <v>307</v>
      </c>
      <c r="M376">
        <v>33</v>
      </c>
      <c r="N376">
        <v>13219</v>
      </c>
      <c r="O376" t="s">
        <v>52</v>
      </c>
      <c r="P376" t="s">
        <v>52</v>
      </c>
      <c r="Q376" t="s">
        <v>197</v>
      </c>
      <c r="R376" t="s">
        <v>53</v>
      </c>
      <c r="S376" t="s">
        <v>116</v>
      </c>
      <c r="T376" t="s">
        <v>198</v>
      </c>
      <c r="U376" t="s">
        <v>108</v>
      </c>
    </row>
    <row r="377" spans="1:21" x14ac:dyDescent="0.3">
      <c r="A377" t="s">
        <v>305</v>
      </c>
      <c r="B377" t="s">
        <v>305</v>
      </c>
      <c r="C377" t="s">
        <v>194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117</v>
      </c>
      <c r="J377" t="s">
        <v>51</v>
      </c>
      <c r="K377" t="s">
        <v>311</v>
      </c>
      <c r="L377" t="s">
        <v>310</v>
      </c>
      <c r="M377">
        <v>33</v>
      </c>
      <c r="O377" t="s">
        <v>52</v>
      </c>
      <c r="P377" t="s">
        <v>52</v>
      </c>
      <c r="Q377" t="s">
        <v>197</v>
      </c>
      <c r="R377" t="s">
        <v>53</v>
      </c>
      <c r="S377" t="s">
        <v>116</v>
      </c>
      <c r="T377" t="s">
        <v>198</v>
      </c>
      <c r="U377" t="s">
        <v>108</v>
      </c>
    </row>
    <row r="378" spans="1:21" x14ac:dyDescent="0.3">
      <c r="A378" t="s">
        <v>305</v>
      </c>
      <c r="B378" t="s">
        <v>305</v>
      </c>
      <c r="C378" t="s">
        <v>194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313</v>
      </c>
      <c r="L378" t="s">
        <v>307</v>
      </c>
      <c r="M378">
        <v>33</v>
      </c>
      <c r="N378">
        <v>13219</v>
      </c>
      <c r="O378" t="s">
        <v>52</v>
      </c>
      <c r="P378" t="s">
        <v>52</v>
      </c>
      <c r="Q378" t="s">
        <v>197</v>
      </c>
      <c r="R378" t="s">
        <v>53</v>
      </c>
      <c r="S378" t="s">
        <v>116</v>
      </c>
      <c r="T378" t="s">
        <v>198</v>
      </c>
      <c r="U378" t="s">
        <v>108</v>
      </c>
    </row>
    <row r="379" spans="1:21" x14ac:dyDescent="0.3">
      <c r="A379" t="s">
        <v>305</v>
      </c>
      <c r="B379" t="s">
        <v>305</v>
      </c>
      <c r="C379" t="s">
        <v>194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312</v>
      </c>
      <c r="L379" t="s">
        <v>307</v>
      </c>
      <c r="M379">
        <v>33</v>
      </c>
      <c r="N379">
        <v>13219</v>
      </c>
      <c r="O379" t="s">
        <v>52</v>
      </c>
      <c r="P379" t="s">
        <v>52</v>
      </c>
      <c r="Q379" t="s">
        <v>197</v>
      </c>
      <c r="R379" t="s">
        <v>53</v>
      </c>
      <c r="S379" t="s">
        <v>116</v>
      </c>
      <c r="T379" t="s">
        <v>198</v>
      </c>
      <c r="U379" t="s">
        <v>108</v>
      </c>
    </row>
    <row r="380" spans="1:21" x14ac:dyDescent="0.3">
      <c r="A380" t="s">
        <v>305</v>
      </c>
      <c r="B380" t="s">
        <v>305</v>
      </c>
      <c r="C380" t="s">
        <v>194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308</v>
      </c>
      <c r="L380" t="s">
        <v>307</v>
      </c>
      <c r="M380">
        <v>33</v>
      </c>
      <c r="N380">
        <v>13219</v>
      </c>
      <c r="O380" t="s">
        <v>52</v>
      </c>
      <c r="P380" t="s">
        <v>52</v>
      </c>
      <c r="Q380" t="s">
        <v>197</v>
      </c>
      <c r="R380" t="s">
        <v>53</v>
      </c>
      <c r="S380" t="s">
        <v>116</v>
      </c>
      <c r="T380" t="s">
        <v>198</v>
      </c>
      <c r="U380" t="s">
        <v>108</v>
      </c>
    </row>
    <row r="381" spans="1:21" x14ac:dyDescent="0.3">
      <c r="A381" t="s">
        <v>305</v>
      </c>
      <c r="B381" t="s">
        <v>305</v>
      </c>
      <c r="C381" t="s">
        <v>194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119</v>
      </c>
      <c r="J381" t="s">
        <v>58</v>
      </c>
      <c r="K381" t="s">
        <v>309</v>
      </c>
      <c r="L381" t="s">
        <v>310</v>
      </c>
      <c r="M381">
        <v>33</v>
      </c>
      <c r="O381" t="s">
        <v>52</v>
      </c>
      <c r="P381" t="s">
        <v>52</v>
      </c>
      <c r="Q381" t="s">
        <v>197</v>
      </c>
      <c r="R381" t="s">
        <v>53</v>
      </c>
      <c r="S381" t="s">
        <v>116</v>
      </c>
      <c r="T381" t="s">
        <v>198</v>
      </c>
      <c r="U381" t="s">
        <v>108</v>
      </c>
    </row>
    <row r="382" spans="1:21" x14ac:dyDescent="0.3">
      <c r="A382" t="s">
        <v>305</v>
      </c>
      <c r="B382" t="s">
        <v>305</v>
      </c>
      <c r="C382" t="s">
        <v>194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306</v>
      </c>
      <c r="L382" t="s">
        <v>307</v>
      </c>
      <c r="M382">
        <v>33</v>
      </c>
      <c r="N382">
        <v>13219</v>
      </c>
      <c r="O382" t="s">
        <v>52</v>
      </c>
      <c r="P382" t="s">
        <v>52</v>
      </c>
      <c r="Q382" t="s">
        <v>197</v>
      </c>
      <c r="R382" t="s">
        <v>53</v>
      </c>
      <c r="S382" t="s">
        <v>116</v>
      </c>
      <c r="T382" t="s">
        <v>198</v>
      </c>
      <c r="U382" t="s">
        <v>108</v>
      </c>
    </row>
    <row r="383" spans="1:21" x14ac:dyDescent="0.3">
      <c r="A383" t="s">
        <v>305</v>
      </c>
      <c r="B383" t="s">
        <v>305</v>
      </c>
      <c r="C383" t="s">
        <v>194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308</v>
      </c>
      <c r="L383" t="s">
        <v>307</v>
      </c>
      <c r="M383">
        <v>33</v>
      </c>
      <c r="N383">
        <v>13219</v>
      </c>
      <c r="O383" t="s">
        <v>52</v>
      </c>
      <c r="P383" t="s">
        <v>52</v>
      </c>
      <c r="Q383" t="s">
        <v>197</v>
      </c>
      <c r="R383" t="s">
        <v>53</v>
      </c>
      <c r="S383" t="s">
        <v>116</v>
      </c>
      <c r="T383" t="s">
        <v>198</v>
      </c>
      <c r="U383" t="s">
        <v>108</v>
      </c>
    </row>
    <row r="384" spans="1:21" x14ac:dyDescent="0.3">
      <c r="A384" t="s">
        <v>305</v>
      </c>
      <c r="B384" t="s">
        <v>305</v>
      </c>
      <c r="C384" t="s">
        <v>194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306</v>
      </c>
      <c r="L384" t="s">
        <v>307</v>
      </c>
      <c r="M384">
        <v>33</v>
      </c>
      <c r="N384">
        <v>13219</v>
      </c>
      <c r="O384" t="s">
        <v>52</v>
      </c>
      <c r="P384" t="s">
        <v>52</v>
      </c>
      <c r="Q384" t="s">
        <v>197</v>
      </c>
      <c r="R384" t="s">
        <v>53</v>
      </c>
      <c r="S384" t="s">
        <v>116</v>
      </c>
      <c r="T384" t="s">
        <v>198</v>
      </c>
      <c r="U384" t="s">
        <v>108</v>
      </c>
    </row>
    <row r="385" spans="1:21" x14ac:dyDescent="0.3">
      <c r="A385" t="s">
        <v>305</v>
      </c>
      <c r="B385" t="s">
        <v>305</v>
      </c>
      <c r="C385" t="s">
        <v>194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312</v>
      </c>
      <c r="L385" t="s">
        <v>307</v>
      </c>
      <c r="M385">
        <v>33</v>
      </c>
      <c r="N385">
        <v>13219</v>
      </c>
      <c r="O385" t="s">
        <v>52</v>
      </c>
      <c r="P385" t="s">
        <v>52</v>
      </c>
      <c r="Q385" t="s">
        <v>197</v>
      </c>
      <c r="R385" t="s">
        <v>53</v>
      </c>
      <c r="S385" t="s">
        <v>116</v>
      </c>
      <c r="T385" t="s">
        <v>198</v>
      </c>
      <c r="U385" t="s">
        <v>108</v>
      </c>
    </row>
    <row r="386" spans="1:21" x14ac:dyDescent="0.3">
      <c r="A386" t="s">
        <v>305</v>
      </c>
      <c r="B386" t="s">
        <v>305</v>
      </c>
      <c r="C386" t="s">
        <v>194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313</v>
      </c>
      <c r="L386" t="s">
        <v>307</v>
      </c>
      <c r="M386">
        <v>33</v>
      </c>
      <c r="N386">
        <v>13219</v>
      </c>
      <c r="O386" t="s">
        <v>52</v>
      </c>
      <c r="P386" t="s">
        <v>52</v>
      </c>
      <c r="Q386" t="s">
        <v>197</v>
      </c>
      <c r="R386" t="s">
        <v>53</v>
      </c>
      <c r="S386" t="s">
        <v>116</v>
      </c>
      <c r="T386" t="s">
        <v>198</v>
      </c>
      <c r="U386" t="s">
        <v>108</v>
      </c>
    </row>
    <row r="387" spans="1:21" x14ac:dyDescent="0.3">
      <c r="A387" t="s">
        <v>305</v>
      </c>
      <c r="B387" t="s">
        <v>305</v>
      </c>
      <c r="C387" t="s">
        <v>194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117</v>
      </c>
      <c r="J387" t="s">
        <v>51</v>
      </c>
      <c r="K387" t="s">
        <v>311</v>
      </c>
      <c r="L387" t="s">
        <v>310</v>
      </c>
      <c r="M387">
        <v>33</v>
      </c>
      <c r="O387" t="s">
        <v>52</v>
      </c>
      <c r="P387" t="s">
        <v>52</v>
      </c>
      <c r="Q387" t="s">
        <v>197</v>
      </c>
      <c r="R387" t="s">
        <v>53</v>
      </c>
      <c r="S387" t="s">
        <v>116</v>
      </c>
      <c r="T387" t="s">
        <v>198</v>
      </c>
      <c r="U387" t="s">
        <v>108</v>
      </c>
    </row>
    <row r="388" spans="1:21" x14ac:dyDescent="0.3">
      <c r="A388" t="s">
        <v>314</v>
      </c>
      <c r="B388" t="s">
        <v>314</v>
      </c>
      <c r="C388" t="s">
        <v>194</v>
      </c>
      <c r="D388">
        <v>1</v>
      </c>
      <c r="E388" t="s">
        <v>107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315</v>
      </c>
      <c r="L388" t="s">
        <v>316</v>
      </c>
      <c r="M388">
        <v>33</v>
      </c>
      <c r="N388">
        <v>13722</v>
      </c>
      <c r="O388" t="s">
        <v>52</v>
      </c>
      <c r="P388" t="s">
        <v>52</v>
      </c>
      <c r="Q388" t="s">
        <v>197</v>
      </c>
      <c r="R388" t="s">
        <v>53</v>
      </c>
      <c r="S388" t="s">
        <v>116</v>
      </c>
      <c r="T388" t="s">
        <v>198</v>
      </c>
      <c r="U388" t="s">
        <v>108</v>
      </c>
    </row>
    <row r="389" spans="1:21" x14ac:dyDescent="0.3">
      <c r="A389" t="s">
        <v>314</v>
      </c>
      <c r="B389" t="s">
        <v>314</v>
      </c>
      <c r="C389" t="s">
        <v>194</v>
      </c>
      <c r="D389">
        <v>1</v>
      </c>
      <c r="E389" t="s">
        <v>107</v>
      </c>
      <c r="F389">
        <v>1</v>
      </c>
      <c r="G389">
        <v>3814</v>
      </c>
      <c r="H389">
        <v>3814</v>
      </c>
      <c r="I389" t="s">
        <v>117</v>
      </c>
      <c r="J389" t="s">
        <v>51</v>
      </c>
      <c r="K389" t="s">
        <v>317</v>
      </c>
      <c r="L389" t="s">
        <v>318</v>
      </c>
      <c r="M389">
        <v>33</v>
      </c>
      <c r="O389" t="s">
        <v>52</v>
      </c>
      <c r="P389" t="s">
        <v>52</v>
      </c>
      <c r="Q389" t="s">
        <v>197</v>
      </c>
      <c r="R389" t="s">
        <v>53</v>
      </c>
      <c r="S389" t="s">
        <v>116</v>
      </c>
      <c r="T389" t="s">
        <v>198</v>
      </c>
      <c r="U389" t="s">
        <v>108</v>
      </c>
    </row>
    <row r="390" spans="1:21" x14ac:dyDescent="0.3">
      <c r="A390" t="s">
        <v>314</v>
      </c>
      <c r="B390" t="s">
        <v>314</v>
      </c>
      <c r="C390" t="s">
        <v>194</v>
      </c>
      <c r="D390">
        <v>1</v>
      </c>
      <c r="E390" t="s">
        <v>107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319</v>
      </c>
      <c r="L390" t="s">
        <v>316</v>
      </c>
      <c r="M390">
        <v>33</v>
      </c>
      <c r="N390">
        <v>13722</v>
      </c>
      <c r="O390" t="s">
        <v>52</v>
      </c>
      <c r="P390" t="s">
        <v>52</v>
      </c>
      <c r="Q390" t="s">
        <v>197</v>
      </c>
      <c r="R390" t="s">
        <v>53</v>
      </c>
      <c r="S390" t="s">
        <v>116</v>
      </c>
      <c r="T390" t="s">
        <v>198</v>
      </c>
      <c r="U390" t="s">
        <v>108</v>
      </c>
    </row>
    <row r="391" spans="1:21" x14ac:dyDescent="0.3">
      <c r="A391" t="s">
        <v>314</v>
      </c>
      <c r="B391" t="s">
        <v>314</v>
      </c>
      <c r="C391" t="s">
        <v>194</v>
      </c>
      <c r="D391">
        <v>1</v>
      </c>
      <c r="E391" t="s">
        <v>107</v>
      </c>
      <c r="F391">
        <v>1</v>
      </c>
      <c r="G391">
        <v>57</v>
      </c>
      <c r="H391">
        <v>57</v>
      </c>
      <c r="I391" t="s">
        <v>119</v>
      </c>
      <c r="J391" t="s">
        <v>58</v>
      </c>
      <c r="K391" t="s">
        <v>320</v>
      </c>
      <c r="L391" t="s">
        <v>318</v>
      </c>
      <c r="M391">
        <v>33</v>
      </c>
      <c r="O391" t="s">
        <v>52</v>
      </c>
      <c r="P391" t="s">
        <v>52</v>
      </c>
      <c r="Q391" t="s">
        <v>197</v>
      </c>
      <c r="R391" t="s">
        <v>53</v>
      </c>
      <c r="S391" t="s">
        <v>116</v>
      </c>
      <c r="T391" t="s">
        <v>198</v>
      </c>
      <c r="U391" t="s">
        <v>108</v>
      </c>
    </row>
    <row r="392" spans="1:21" x14ac:dyDescent="0.3">
      <c r="A392" t="s">
        <v>314</v>
      </c>
      <c r="B392" t="s">
        <v>314</v>
      </c>
      <c r="C392" t="s">
        <v>194</v>
      </c>
      <c r="D392">
        <v>1</v>
      </c>
      <c r="E392" t="s">
        <v>107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321</v>
      </c>
      <c r="L392" t="s">
        <v>316</v>
      </c>
      <c r="M392">
        <v>33</v>
      </c>
      <c r="N392">
        <v>13722</v>
      </c>
      <c r="O392" t="s">
        <v>52</v>
      </c>
      <c r="P392" t="s">
        <v>52</v>
      </c>
      <c r="Q392" t="s">
        <v>197</v>
      </c>
      <c r="R392" t="s">
        <v>53</v>
      </c>
      <c r="S392" t="s">
        <v>116</v>
      </c>
      <c r="T392" t="s">
        <v>198</v>
      </c>
      <c r="U392" t="s">
        <v>108</v>
      </c>
    </row>
    <row r="393" spans="1:21" x14ac:dyDescent="0.3">
      <c r="A393" t="s">
        <v>314</v>
      </c>
      <c r="B393" t="s">
        <v>314</v>
      </c>
      <c r="C393" t="s">
        <v>194</v>
      </c>
      <c r="D393">
        <v>1</v>
      </c>
      <c r="E393" t="s">
        <v>107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322</v>
      </c>
      <c r="L393" t="s">
        <v>316</v>
      </c>
      <c r="M393">
        <v>33</v>
      </c>
      <c r="N393">
        <v>13722</v>
      </c>
      <c r="O393" t="s">
        <v>52</v>
      </c>
      <c r="P393" t="s">
        <v>52</v>
      </c>
      <c r="Q393" t="s">
        <v>197</v>
      </c>
      <c r="R393" t="s">
        <v>53</v>
      </c>
      <c r="S393" t="s">
        <v>116</v>
      </c>
      <c r="T393" t="s">
        <v>198</v>
      </c>
      <c r="U393" t="s">
        <v>108</v>
      </c>
    </row>
    <row r="394" spans="1:21" x14ac:dyDescent="0.3">
      <c r="A394" t="s">
        <v>314</v>
      </c>
      <c r="B394" t="s">
        <v>314</v>
      </c>
      <c r="C394" t="s">
        <v>194</v>
      </c>
      <c r="D394">
        <v>2</v>
      </c>
      <c r="E394" t="s">
        <v>118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321</v>
      </c>
      <c r="L394" t="s">
        <v>316</v>
      </c>
      <c r="M394">
        <v>33</v>
      </c>
      <c r="N394">
        <v>13722</v>
      </c>
      <c r="O394" t="s">
        <v>52</v>
      </c>
      <c r="P394" t="s">
        <v>52</v>
      </c>
      <c r="Q394" t="s">
        <v>197</v>
      </c>
      <c r="R394" t="s">
        <v>53</v>
      </c>
      <c r="S394" t="s">
        <v>116</v>
      </c>
      <c r="T394" t="s">
        <v>198</v>
      </c>
      <c r="U394" t="s">
        <v>108</v>
      </c>
    </row>
    <row r="395" spans="1:21" x14ac:dyDescent="0.3">
      <c r="A395" t="s">
        <v>314</v>
      </c>
      <c r="B395" t="s">
        <v>314</v>
      </c>
      <c r="C395" t="s">
        <v>194</v>
      </c>
      <c r="D395">
        <v>2</v>
      </c>
      <c r="E395" t="s">
        <v>118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322</v>
      </c>
      <c r="L395" t="s">
        <v>316</v>
      </c>
      <c r="M395">
        <v>33</v>
      </c>
      <c r="N395">
        <v>13722</v>
      </c>
      <c r="O395" t="s">
        <v>52</v>
      </c>
      <c r="P395" t="s">
        <v>52</v>
      </c>
      <c r="Q395" t="s">
        <v>197</v>
      </c>
      <c r="R395" t="s">
        <v>53</v>
      </c>
      <c r="S395" t="s">
        <v>116</v>
      </c>
      <c r="T395" t="s">
        <v>198</v>
      </c>
      <c r="U395" t="s">
        <v>108</v>
      </c>
    </row>
    <row r="396" spans="1:21" x14ac:dyDescent="0.3">
      <c r="A396" t="s">
        <v>314</v>
      </c>
      <c r="B396" t="s">
        <v>314</v>
      </c>
      <c r="C396" t="s">
        <v>194</v>
      </c>
      <c r="D396">
        <v>2</v>
      </c>
      <c r="E396" t="s">
        <v>118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315</v>
      </c>
      <c r="L396" t="s">
        <v>316</v>
      </c>
      <c r="M396">
        <v>33</v>
      </c>
      <c r="N396">
        <v>13722</v>
      </c>
      <c r="O396" t="s">
        <v>52</v>
      </c>
      <c r="P396" t="s">
        <v>52</v>
      </c>
      <c r="Q396" t="s">
        <v>197</v>
      </c>
      <c r="R396" t="s">
        <v>53</v>
      </c>
      <c r="S396" t="s">
        <v>116</v>
      </c>
      <c r="T396" t="s">
        <v>198</v>
      </c>
      <c r="U396" t="s">
        <v>108</v>
      </c>
    </row>
    <row r="397" spans="1:21" x14ac:dyDescent="0.3">
      <c r="A397" t="s">
        <v>314</v>
      </c>
      <c r="B397" t="s">
        <v>314</v>
      </c>
      <c r="C397" t="s">
        <v>194</v>
      </c>
      <c r="D397">
        <v>2</v>
      </c>
      <c r="E397" t="s">
        <v>118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319</v>
      </c>
      <c r="L397" t="s">
        <v>316</v>
      </c>
      <c r="M397">
        <v>33</v>
      </c>
      <c r="N397">
        <v>13722</v>
      </c>
      <c r="O397" t="s">
        <v>52</v>
      </c>
      <c r="P397" t="s">
        <v>52</v>
      </c>
      <c r="Q397" t="s">
        <v>197</v>
      </c>
      <c r="R397" t="s">
        <v>53</v>
      </c>
      <c r="S397" t="s">
        <v>116</v>
      </c>
      <c r="T397" t="s">
        <v>198</v>
      </c>
      <c r="U397" t="s">
        <v>108</v>
      </c>
    </row>
    <row r="398" spans="1:21" x14ac:dyDescent="0.3">
      <c r="A398" t="s">
        <v>314</v>
      </c>
      <c r="B398" t="s">
        <v>314</v>
      </c>
      <c r="C398" t="s">
        <v>194</v>
      </c>
      <c r="D398">
        <v>2</v>
      </c>
      <c r="E398" t="s">
        <v>118</v>
      </c>
      <c r="F398">
        <v>1</v>
      </c>
      <c r="G398">
        <v>8</v>
      </c>
      <c r="H398">
        <v>8</v>
      </c>
      <c r="I398" t="s">
        <v>117</v>
      </c>
      <c r="J398" t="s">
        <v>51</v>
      </c>
      <c r="K398" t="s">
        <v>317</v>
      </c>
      <c r="L398" t="s">
        <v>318</v>
      </c>
      <c r="M398">
        <v>33</v>
      </c>
      <c r="O398" t="s">
        <v>52</v>
      </c>
      <c r="P398" t="s">
        <v>52</v>
      </c>
      <c r="Q398" t="s">
        <v>197</v>
      </c>
      <c r="R398" t="s">
        <v>53</v>
      </c>
      <c r="S398" t="s">
        <v>116</v>
      </c>
      <c r="T398" t="s">
        <v>198</v>
      </c>
      <c r="U398" t="s">
        <v>108</v>
      </c>
    </row>
    <row r="399" spans="1:21" x14ac:dyDescent="0.3">
      <c r="A399" t="s">
        <v>314</v>
      </c>
      <c r="B399" t="s">
        <v>314</v>
      </c>
      <c r="C399" t="s">
        <v>194</v>
      </c>
      <c r="D399">
        <v>3</v>
      </c>
      <c r="E399" t="s">
        <v>105</v>
      </c>
      <c r="F399">
        <v>1</v>
      </c>
      <c r="G399">
        <v>531</v>
      </c>
      <c r="H399">
        <v>531</v>
      </c>
      <c r="I399" t="s">
        <v>117</v>
      </c>
      <c r="J399" t="s">
        <v>51</v>
      </c>
      <c r="K399" t="s">
        <v>317</v>
      </c>
      <c r="L399" t="s">
        <v>318</v>
      </c>
      <c r="M399">
        <v>33</v>
      </c>
      <c r="O399" t="s">
        <v>52</v>
      </c>
      <c r="P399" t="s">
        <v>52</v>
      </c>
      <c r="Q399" t="s">
        <v>197</v>
      </c>
      <c r="R399" t="s">
        <v>53</v>
      </c>
      <c r="S399" t="s">
        <v>116</v>
      </c>
      <c r="T399" t="s">
        <v>198</v>
      </c>
      <c r="U399" t="s">
        <v>108</v>
      </c>
    </row>
    <row r="400" spans="1:21" x14ac:dyDescent="0.3">
      <c r="A400" t="s">
        <v>314</v>
      </c>
      <c r="B400" t="s">
        <v>314</v>
      </c>
      <c r="C400" t="s">
        <v>194</v>
      </c>
      <c r="D400">
        <v>3</v>
      </c>
      <c r="E400" t="s">
        <v>105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321</v>
      </c>
      <c r="L400" t="s">
        <v>316</v>
      </c>
      <c r="M400">
        <v>33</v>
      </c>
      <c r="N400">
        <v>13722</v>
      </c>
      <c r="O400" t="s">
        <v>52</v>
      </c>
      <c r="P400" t="s">
        <v>52</v>
      </c>
      <c r="Q400" t="s">
        <v>197</v>
      </c>
      <c r="R400" t="s">
        <v>53</v>
      </c>
      <c r="S400" t="s">
        <v>116</v>
      </c>
      <c r="T400" t="s">
        <v>198</v>
      </c>
      <c r="U400" t="s">
        <v>108</v>
      </c>
    </row>
    <row r="401" spans="1:21" x14ac:dyDescent="0.3">
      <c r="A401" t="s">
        <v>314</v>
      </c>
      <c r="B401" t="s">
        <v>314</v>
      </c>
      <c r="C401" t="s">
        <v>194</v>
      </c>
      <c r="D401">
        <v>3</v>
      </c>
      <c r="E401" t="s">
        <v>105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315</v>
      </c>
      <c r="L401" t="s">
        <v>316</v>
      </c>
      <c r="M401">
        <v>33</v>
      </c>
      <c r="N401">
        <v>13722</v>
      </c>
      <c r="O401" t="s">
        <v>52</v>
      </c>
      <c r="P401" t="s">
        <v>52</v>
      </c>
      <c r="Q401" t="s">
        <v>197</v>
      </c>
      <c r="R401" t="s">
        <v>53</v>
      </c>
      <c r="S401" t="s">
        <v>116</v>
      </c>
      <c r="T401" t="s">
        <v>198</v>
      </c>
      <c r="U401" t="s">
        <v>108</v>
      </c>
    </row>
    <row r="402" spans="1:21" x14ac:dyDescent="0.3">
      <c r="A402" t="s">
        <v>314</v>
      </c>
      <c r="B402" t="s">
        <v>314</v>
      </c>
      <c r="C402" t="s">
        <v>194</v>
      </c>
      <c r="D402">
        <v>3</v>
      </c>
      <c r="E402" t="s">
        <v>105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319</v>
      </c>
      <c r="L402" t="s">
        <v>316</v>
      </c>
      <c r="M402">
        <v>33</v>
      </c>
      <c r="N402">
        <v>13722</v>
      </c>
      <c r="O402" t="s">
        <v>52</v>
      </c>
      <c r="P402" t="s">
        <v>52</v>
      </c>
      <c r="Q402" t="s">
        <v>197</v>
      </c>
      <c r="R402" t="s">
        <v>53</v>
      </c>
      <c r="S402" t="s">
        <v>116</v>
      </c>
      <c r="T402" t="s">
        <v>198</v>
      </c>
      <c r="U402" t="s">
        <v>108</v>
      </c>
    </row>
    <row r="403" spans="1:21" x14ac:dyDescent="0.3">
      <c r="A403" t="s">
        <v>314</v>
      </c>
      <c r="B403" t="s">
        <v>314</v>
      </c>
      <c r="C403" t="s">
        <v>194</v>
      </c>
      <c r="D403">
        <v>3</v>
      </c>
      <c r="E403" t="s">
        <v>105</v>
      </c>
      <c r="F403">
        <v>1</v>
      </c>
      <c r="G403">
        <v>8</v>
      </c>
      <c r="H403">
        <v>8</v>
      </c>
      <c r="I403" t="s">
        <v>119</v>
      </c>
      <c r="J403" t="s">
        <v>58</v>
      </c>
      <c r="K403" t="s">
        <v>320</v>
      </c>
      <c r="L403" t="s">
        <v>318</v>
      </c>
      <c r="M403">
        <v>33</v>
      </c>
      <c r="O403" t="s">
        <v>52</v>
      </c>
      <c r="P403" t="s">
        <v>52</v>
      </c>
      <c r="Q403" t="s">
        <v>197</v>
      </c>
      <c r="R403" t="s">
        <v>53</v>
      </c>
      <c r="S403" t="s">
        <v>116</v>
      </c>
      <c r="T403" t="s">
        <v>198</v>
      </c>
      <c r="U403" t="s">
        <v>108</v>
      </c>
    </row>
    <row r="404" spans="1:21" x14ac:dyDescent="0.3">
      <c r="A404" t="s">
        <v>314</v>
      </c>
      <c r="B404" t="s">
        <v>314</v>
      </c>
      <c r="C404" t="s">
        <v>194</v>
      </c>
      <c r="D404">
        <v>3</v>
      </c>
      <c r="E404" t="s">
        <v>105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322</v>
      </c>
      <c r="L404" t="s">
        <v>316</v>
      </c>
      <c r="M404">
        <v>33</v>
      </c>
      <c r="N404">
        <v>13722</v>
      </c>
      <c r="O404" t="s">
        <v>52</v>
      </c>
      <c r="P404" t="s">
        <v>52</v>
      </c>
      <c r="Q404" t="s">
        <v>197</v>
      </c>
      <c r="R404" t="s">
        <v>53</v>
      </c>
      <c r="S404" t="s">
        <v>116</v>
      </c>
      <c r="T404" t="s">
        <v>198</v>
      </c>
      <c r="U404" t="s">
        <v>108</v>
      </c>
    </row>
    <row r="405" spans="1:21" x14ac:dyDescent="0.3">
      <c r="A405" t="s">
        <v>314</v>
      </c>
      <c r="B405" t="s">
        <v>314</v>
      </c>
      <c r="C405" t="s">
        <v>194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321</v>
      </c>
      <c r="L405" t="s">
        <v>316</v>
      </c>
      <c r="M405">
        <v>33</v>
      </c>
      <c r="N405">
        <v>13722</v>
      </c>
      <c r="O405" t="s">
        <v>52</v>
      </c>
      <c r="P405" t="s">
        <v>52</v>
      </c>
      <c r="Q405" t="s">
        <v>197</v>
      </c>
      <c r="R405" t="s">
        <v>53</v>
      </c>
      <c r="S405" t="s">
        <v>116</v>
      </c>
      <c r="T405" t="s">
        <v>198</v>
      </c>
      <c r="U405" t="s">
        <v>108</v>
      </c>
    </row>
    <row r="406" spans="1:21" x14ac:dyDescent="0.3">
      <c r="A406" t="s">
        <v>314</v>
      </c>
      <c r="B406" t="s">
        <v>314</v>
      </c>
      <c r="C406" t="s">
        <v>194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315</v>
      </c>
      <c r="L406" t="s">
        <v>316</v>
      </c>
      <c r="M406">
        <v>33</v>
      </c>
      <c r="N406">
        <v>13722</v>
      </c>
      <c r="O406" t="s">
        <v>52</v>
      </c>
      <c r="P406" t="s">
        <v>52</v>
      </c>
      <c r="Q406" t="s">
        <v>197</v>
      </c>
      <c r="R406" t="s">
        <v>53</v>
      </c>
      <c r="S406" t="s">
        <v>116</v>
      </c>
      <c r="T406" t="s">
        <v>198</v>
      </c>
      <c r="U406" t="s">
        <v>108</v>
      </c>
    </row>
    <row r="407" spans="1:21" x14ac:dyDescent="0.3">
      <c r="A407" t="s">
        <v>314</v>
      </c>
      <c r="B407" t="s">
        <v>314</v>
      </c>
      <c r="C407" t="s">
        <v>194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117</v>
      </c>
      <c r="J407" t="s">
        <v>51</v>
      </c>
      <c r="K407" t="s">
        <v>317</v>
      </c>
      <c r="L407" t="s">
        <v>318</v>
      </c>
      <c r="M407">
        <v>33</v>
      </c>
      <c r="O407" t="s">
        <v>52</v>
      </c>
      <c r="P407" t="s">
        <v>52</v>
      </c>
      <c r="Q407" t="s">
        <v>197</v>
      </c>
      <c r="R407" t="s">
        <v>53</v>
      </c>
      <c r="S407" t="s">
        <v>116</v>
      </c>
      <c r="T407" t="s">
        <v>198</v>
      </c>
      <c r="U407" t="s">
        <v>108</v>
      </c>
    </row>
    <row r="408" spans="1:21" x14ac:dyDescent="0.3">
      <c r="A408" t="s">
        <v>314</v>
      </c>
      <c r="B408" t="s">
        <v>314</v>
      </c>
      <c r="C408" t="s">
        <v>194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319</v>
      </c>
      <c r="L408" t="s">
        <v>316</v>
      </c>
      <c r="M408">
        <v>33</v>
      </c>
      <c r="N408">
        <v>13722</v>
      </c>
      <c r="O408" t="s">
        <v>52</v>
      </c>
      <c r="P408" t="s">
        <v>52</v>
      </c>
      <c r="Q408" t="s">
        <v>197</v>
      </c>
      <c r="R408" t="s">
        <v>53</v>
      </c>
      <c r="S408" t="s">
        <v>116</v>
      </c>
      <c r="T408" t="s">
        <v>198</v>
      </c>
      <c r="U408" t="s">
        <v>108</v>
      </c>
    </row>
    <row r="409" spans="1:21" x14ac:dyDescent="0.3">
      <c r="A409" t="s">
        <v>314</v>
      </c>
      <c r="B409" t="s">
        <v>314</v>
      </c>
      <c r="C409" t="s">
        <v>194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119</v>
      </c>
      <c r="J409" t="s">
        <v>58</v>
      </c>
      <c r="K409" t="s">
        <v>320</v>
      </c>
      <c r="L409" t="s">
        <v>318</v>
      </c>
      <c r="M409">
        <v>33</v>
      </c>
      <c r="O409" t="s">
        <v>52</v>
      </c>
      <c r="P409" t="s">
        <v>52</v>
      </c>
      <c r="Q409" t="s">
        <v>197</v>
      </c>
      <c r="R409" t="s">
        <v>53</v>
      </c>
      <c r="S409" t="s">
        <v>116</v>
      </c>
      <c r="T409" t="s">
        <v>198</v>
      </c>
      <c r="U409" t="s">
        <v>108</v>
      </c>
    </row>
    <row r="410" spans="1:21" x14ac:dyDescent="0.3">
      <c r="A410" t="s">
        <v>314</v>
      </c>
      <c r="B410" t="s">
        <v>314</v>
      </c>
      <c r="C410" t="s">
        <v>194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322</v>
      </c>
      <c r="L410" t="s">
        <v>316</v>
      </c>
      <c r="M410">
        <v>33</v>
      </c>
      <c r="N410">
        <v>13722</v>
      </c>
      <c r="O410" t="s">
        <v>52</v>
      </c>
      <c r="P410" t="s">
        <v>52</v>
      </c>
      <c r="Q410" t="s">
        <v>197</v>
      </c>
      <c r="R410" t="s">
        <v>53</v>
      </c>
      <c r="S410" t="s">
        <v>116</v>
      </c>
      <c r="T410" t="s">
        <v>198</v>
      </c>
      <c r="U410" t="s">
        <v>108</v>
      </c>
    </row>
    <row r="411" spans="1:21" x14ac:dyDescent="0.3">
      <c r="A411" t="s">
        <v>314</v>
      </c>
      <c r="B411" t="s">
        <v>314</v>
      </c>
      <c r="C411" t="s">
        <v>194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319</v>
      </c>
      <c r="L411" t="s">
        <v>316</v>
      </c>
      <c r="M411">
        <v>33</v>
      </c>
      <c r="N411">
        <v>13722</v>
      </c>
      <c r="O411" t="s">
        <v>52</v>
      </c>
      <c r="P411" t="s">
        <v>52</v>
      </c>
      <c r="Q411" t="s">
        <v>197</v>
      </c>
      <c r="R411" t="s">
        <v>53</v>
      </c>
      <c r="S411" t="s">
        <v>116</v>
      </c>
      <c r="T411" t="s">
        <v>198</v>
      </c>
      <c r="U411" t="s">
        <v>108</v>
      </c>
    </row>
    <row r="412" spans="1:21" x14ac:dyDescent="0.3">
      <c r="A412" t="s">
        <v>314</v>
      </c>
      <c r="B412" t="s">
        <v>314</v>
      </c>
      <c r="C412" t="s">
        <v>194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322</v>
      </c>
      <c r="L412" t="s">
        <v>316</v>
      </c>
      <c r="M412">
        <v>33</v>
      </c>
      <c r="N412">
        <v>13722</v>
      </c>
      <c r="O412" t="s">
        <v>52</v>
      </c>
      <c r="P412" t="s">
        <v>52</v>
      </c>
      <c r="Q412" t="s">
        <v>197</v>
      </c>
      <c r="R412" t="s">
        <v>53</v>
      </c>
      <c r="S412" t="s">
        <v>116</v>
      </c>
      <c r="T412" t="s">
        <v>198</v>
      </c>
      <c r="U412" t="s">
        <v>108</v>
      </c>
    </row>
    <row r="413" spans="1:21" x14ac:dyDescent="0.3">
      <c r="A413" t="s">
        <v>314</v>
      </c>
      <c r="B413" t="s">
        <v>314</v>
      </c>
      <c r="C413" t="s">
        <v>194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315</v>
      </c>
      <c r="L413" t="s">
        <v>316</v>
      </c>
      <c r="M413">
        <v>33</v>
      </c>
      <c r="N413">
        <v>13722</v>
      </c>
      <c r="O413" t="s">
        <v>52</v>
      </c>
      <c r="P413" t="s">
        <v>52</v>
      </c>
      <c r="Q413" t="s">
        <v>197</v>
      </c>
      <c r="R413" t="s">
        <v>53</v>
      </c>
      <c r="S413" t="s">
        <v>116</v>
      </c>
      <c r="T413" t="s">
        <v>198</v>
      </c>
      <c r="U413" t="s">
        <v>108</v>
      </c>
    </row>
    <row r="414" spans="1:21" x14ac:dyDescent="0.3">
      <c r="A414" t="s">
        <v>314</v>
      </c>
      <c r="B414" t="s">
        <v>314</v>
      </c>
      <c r="C414" t="s">
        <v>194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119</v>
      </c>
      <c r="J414" t="s">
        <v>58</v>
      </c>
      <c r="K414" t="s">
        <v>320</v>
      </c>
      <c r="L414" t="s">
        <v>318</v>
      </c>
      <c r="M414">
        <v>33</v>
      </c>
      <c r="O414" t="s">
        <v>52</v>
      </c>
      <c r="P414" t="s">
        <v>52</v>
      </c>
      <c r="Q414" t="s">
        <v>197</v>
      </c>
      <c r="R414" t="s">
        <v>53</v>
      </c>
      <c r="S414" t="s">
        <v>116</v>
      </c>
      <c r="T414" t="s">
        <v>198</v>
      </c>
      <c r="U414" t="s">
        <v>108</v>
      </c>
    </row>
    <row r="415" spans="1:21" x14ac:dyDescent="0.3">
      <c r="A415" t="s">
        <v>314</v>
      </c>
      <c r="B415" t="s">
        <v>314</v>
      </c>
      <c r="C415" t="s">
        <v>194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117</v>
      </c>
      <c r="J415" t="s">
        <v>51</v>
      </c>
      <c r="K415" t="s">
        <v>317</v>
      </c>
      <c r="L415" t="s">
        <v>318</v>
      </c>
      <c r="M415">
        <v>33</v>
      </c>
      <c r="O415" t="s">
        <v>52</v>
      </c>
      <c r="P415" t="s">
        <v>52</v>
      </c>
      <c r="Q415" t="s">
        <v>197</v>
      </c>
      <c r="R415" t="s">
        <v>53</v>
      </c>
      <c r="S415" t="s">
        <v>116</v>
      </c>
      <c r="T415" t="s">
        <v>198</v>
      </c>
      <c r="U415" t="s">
        <v>108</v>
      </c>
    </row>
    <row r="416" spans="1:21" x14ac:dyDescent="0.3">
      <c r="A416" t="s">
        <v>314</v>
      </c>
      <c r="B416" t="s">
        <v>314</v>
      </c>
      <c r="C416" t="s">
        <v>194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321</v>
      </c>
      <c r="L416" t="s">
        <v>316</v>
      </c>
      <c r="M416">
        <v>33</v>
      </c>
      <c r="N416">
        <v>13722</v>
      </c>
      <c r="O416" t="s">
        <v>52</v>
      </c>
      <c r="P416" t="s">
        <v>52</v>
      </c>
      <c r="Q416" t="s">
        <v>197</v>
      </c>
      <c r="R416" t="s">
        <v>53</v>
      </c>
      <c r="S416" t="s">
        <v>116</v>
      </c>
      <c r="T416" t="s">
        <v>198</v>
      </c>
      <c r="U416" t="s">
        <v>108</v>
      </c>
    </row>
    <row r="417" spans="1:21" x14ac:dyDescent="0.3">
      <c r="A417" t="s">
        <v>323</v>
      </c>
      <c r="B417" t="s">
        <v>323</v>
      </c>
      <c r="C417" t="s">
        <v>194</v>
      </c>
      <c r="D417">
        <v>1</v>
      </c>
      <c r="E417" t="s">
        <v>107</v>
      </c>
      <c r="F417">
        <v>1</v>
      </c>
      <c r="G417">
        <v>269</v>
      </c>
      <c r="H417">
        <v>269</v>
      </c>
      <c r="I417" t="s">
        <v>117</v>
      </c>
      <c r="J417" t="s">
        <v>51</v>
      </c>
      <c r="K417" t="s">
        <v>324</v>
      </c>
      <c r="L417" t="s">
        <v>325</v>
      </c>
      <c r="M417">
        <v>33</v>
      </c>
      <c r="N417">
        <v>14695</v>
      </c>
      <c r="O417" t="s">
        <v>52</v>
      </c>
      <c r="P417" t="s">
        <v>52</v>
      </c>
      <c r="Q417" t="s">
        <v>197</v>
      </c>
      <c r="R417" t="s">
        <v>53</v>
      </c>
      <c r="S417" t="s">
        <v>116</v>
      </c>
      <c r="T417" t="s">
        <v>198</v>
      </c>
      <c r="U417" t="s">
        <v>108</v>
      </c>
    </row>
    <row r="418" spans="1:21" x14ac:dyDescent="0.3">
      <c r="A418" t="s">
        <v>323</v>
      </c>
      <c r="B418" t="s">
        <v>323</v>
      </c>
      <c r="C418" t="s">
        <v>194</v>
      </c>
      <c r="D418">
        <v>1</v>
      </c>
      <c r="E418" t="s">
        <v>107</v>
      </c>
      <c r="F418">
        <v>1</v>
      </c>
      <c r="G418">
        <v>4</v>
      </c>
      <c r="H418">
        <v>4</v>
      </c>
      <c r="I418" t="s">
        <v>119</v>
      </c>
      <c r="J418" t="s">
        <v>58</v>
      </c>
      <c r="K418" t="s">
        <v>326</v>
      </c>
      <c r="L418" t="s">
        <v>325</v>
      </c>
      <c r="M418">
        <v>33</v>
      </c>
      <c r="N418">
        <v>14695</v>
      </c>
      <c r="O418" t="s">
        <v>52</v>
      </c>
      <c r="P418" t="s">
        <v>52</v>
      </c>
      <c r="Q418" t="s">
        <v>197</v>
      </c>
      <c r="R418" t="s">
        <v>53</v>
      </c>
      <c r="S418" t="s">
        <v>116</v>
      </c>
      <c r="T418" t="s">
        <v>198</v>
      </c>
      <c r="U418" t="s">
        <v>108</v>
      </c>
    </row>
    <row r="419" spans="1:21" x14ac:dyDescent="0.3">
      <c r="A419" t="s">
        <v>323</v>
      </c>
      <c r="B419" t="s">
        <v>323</v>
      </c>
      <c r="C419" t="s">
        <v>194</v>
      </c>
      <c r="D419">
        <v>1</v>
      </c>
      <c r="E419" t="s">
        <v>107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327</v>
      </c>
      <c r="L419" t="s">
        <v>328</v>
      </c>
      <c r="M419">
        <v>33</v>
      </c>
      <c r="N419">
        <v>14013</v>
      </c>
      <c r="O419" t="s">
        <v>52</v>
      </c>
      <c r="P419" t="s">
        <v>52</v>
      </c>
      <c r="Q419" t="s">
        <v>197</v>
      </c>
      <c r="R419" t="s">
        <v>53</v>
      </c>
      <c r="S419" t="s">
        <v>116</v>
      </c>
      <c r="T419" t="s">
        <v>198</v>
      </c>
      <c r="U419" t="s">
        <v>108</v>
      </c>
    </row>
    <row r="420" spans="1:21" x14ac:dyDescent="0.3">
      <c r="A420" t="s">
        <v>323</v>
      </c>
      <c r="B420" t="s">
        <v>323</v>
      </c>
      <c r="C420" t="s">
        <v>194</v>
      </c>
      <c r="D420">
        <v>1</v>
      </c>
      <c r="E420" t="s">
        <v>107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329</v>
      </c>
      <c r="L420" t="s">
        <v>328</v>
      </c>
      <c r="M420">
        <v>33</v>
      </c>
      <c r="N420">
        <v>14013</v>
      </c>
      <c r="O420" t="s">
        <v>52</v>
      </c>
      <c r="P420" t="s">
        <v>52</v>
      </c>
      <c r="Q420" t="s">
        <v>197</v>
      </c>
      <c r="R420" t="s">
        <v>53</v>
      </c>
      <c r="S420" t="s">
        <v>116</v>
      </c>
      <c r="T420" t="s">
        <v>198</v>
      </c>
      <c r="U420" t="s">
        <v>108</v>
      </c>
    </row>
    <row r="421" spans="1:21" x14ac:dyDescent="0.3">
      <c r="A421" t="s">
        <v>323</v>
      </c>
      <c r="B421" t="s">
        <v>323</v>
      </c>
      <c r="C421" t="s">
        <v>194</v>
      </c>
      <c r="D421">
        <v>1</v>
      </c>
      <c r="E421" t="s">
        <v>107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330</v>
      </c>
      <c r="L421" t="s">
        <v>328</v>
      </c>
      <c r="M421">
        <v>33</v>
      </c>
      <c r="N421">
        <v>14013</v>
      </c>
      <c r="O421" t="s">
        <v>52</v>
      </c>
      <c r="P421" t="s">
        <v>52</v>
      </c>
      <c r="Q421" t="s">
        <v>197</v>
      </c>
      <c r="R421" t="s">
        <v>53</v>
      </c>
      <c r="S421" t="s">
        <v>116</v>
      </c>
      <c r="T421" t="s">
        <v>198</v>
      </c>
      <c r="U421" t="s">
        <v>108</v>
      </c>
    </row>
    <row r="422" spans="1:21" x14ac:dyDescent="0.3">
      <c r="A422" t="s">
        <v>323</v>
      </c>
      <c r="B422" t="s">
        <v>323</v>
      </c>
      <c r="C422" t="s">
        <v>194</v>
      </c>
      <c r="D422">
        <v>1</v>
      </c>
      <c r="E422" t="s">
        <v>107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331</v>
      </c>
      <c r="L422" t="s">
        <v>328</v>
      </c>
      <c r="M422">
        <v>33</v>
      </c>
      <c r="N422">
        <v>14013</v>
      </c>
      <c r="O422" t="s">
        <v>52</v>
      </c>
      <c r="P422" t="s">
        <v>52</v>
      </c>
      <c r="Q422" t="s">
        <v>197</v>
      </c>
      <c r="R422" t="s">
        <v>53</v>
      </c>
      <c r="S422" t="s">
        <v>116</v>
      </c>
      <c r="T422" t="s">
        <v>198</v>
      </c>
      <c r="U422" t="s">
        <v>108</v>
      </c>
    </row>
    <row r="423" spans="1:21" x14ac:dyDescent="0.3">
      <c r="A423" t="s">
        <v>323</v>
      </c>
      <c r="B423" t="s">
        <v>323</v>
      </c>
      <c r="C423" t="s">
        <v>194</v>
      </c>
      <c r="D423">
        <v>2</v>
      </c>
      <c r="E423" t="s">
        <v>118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329</v>
      </c>
      <c r="L423" t="s">
        <v>328</v>
      </c>
      <c r="M423">
        <v>33</v>
      </c>
      <c r="N423">
        <v>14013</v>
      </c>
      <c r="O423" t="s">
        <v>52</v>
      </c>
      <c r="P423" t="s">
        <v>52</v>
      </c>
      <c r="Q423" t="s">
        <v>197</v>
      </c>
      <c r="R423" t="s">
        <v>53</v>
      </c>
      <c r="S423" t="s">
        <v>116</v>
      </c>
      <c r="T423" t="s">
        <v>198</v>
      </c>
      <c r="U423" t="s">
        <v>108</v>
      </c>
    </row>
    <row r="424" spans="1:21" x14ac:dyDescent="0.3">
      <c r="A424" t="s">
        <v>323</v>
      </c>
      <c r="B424" t="s">
        <v>323</v>
      </c>
      <c r="C424" t="s">
        <v>194</v>
      </c>
      <c r="D424">
        <v>2</v>
      </c>
      <c r="E424" t="s">
        <v>118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327</v>
      </c>
      <c r="L424" t="s">
        <v>328</v>
      </c>
      <c r="M424">
        <v>33</v>
      </c>
      <c r="N424">
        <v>14013</v>
      </c>
      <c r="O424" t="s">
        <v>52</v>
      </c>
      <c r="P424" t="s">
        <v>52</v>
      </c>
      <c r="Q424" t="s">
        <v>197</v>
      </c>
      <c r="R424" t="s">
        <v>53</v>
      </c>
      <c r="S424" t="s">
        <v>116</v>
      </c>
      <c r="T424" t="s">
        <v>198</v>
      </c>
      <c r="U424" t="s">
        <v>108</v>
      </c>
    </row>
    <row r="425" spans="1:21" x14ac:dyDescent="0.3">
      <c r="A425" t="s">
        <v>323</v>
      </c>
      <c r="B425" t="s">
        <v>323</v>
      </c>
      <c r="C425" t="s">
        <v>194</v>
      </c>
      <c r="D425">
        <v>2</v>
      </c>
      <c r="E425" t="s">
        <v>118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330</v>
      </c>
      <c r="L425" t="s">
        <v>328</v>
      </c>
      <c r="M425">
        <v>33</v>
      </c>
      <c r="N425">
        <v>14013</v>
      </c>
      <c r="O425" t="s">
        <v>52</v>
      </c>
      <c r="P425" t="s">
        <v>52</v>
      </c>
      <c r="Q425" t="s">
        <v>197</v>
      </c>
      <c r="R425" t="s">
        <v>53</v>
      </c>
      <c r="S425" t="s">
        <v>116</v>
      </c>
      <c r="T425" t="s">
        <v>198</v>
      </c>
      <c r="U425" t="s">
        <v>108</v>
      </c>
    </row>
    <row r="426" spans="1:21" x14ac:dyDescent="0.3">
      <c r="A426" t="s">
        <v>323</v>
      </c>
      <c r="B426" t="s">
        <v>323</v>
      </c>
      <c r="C426" t="s">
        <v>194</v>
      </c>
      <c r="D426">
        <v>2</v>
      </c>
      <c r="E426" t="s">
        <v>118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331</v>
      </c>
      <c r="L426" t="s">
        <v>328</v>
      </c>
      <c r="M426">
        <v>33</v>
      </c>
      <c r="N426">
        <v>14013</v>
      </c>
      <c r="O426" t="s">
        <v>52</v>
      </c>
      <c r="P426" t="s">
        <v>52</v>
      </c>
      <c r="Q426" t="s">
        <v>197</v>
      </c>
      <c r="R426" t="s">
        <v>53</v>
      </c>
      <c r="S426" t="s">
        <v>116</v>
      </c>
      <c r="T426" t="s">
        <v>198</v>
      </c>
      <c r="U426" t="s">
        <v>108</v>
      </c>
    </row>
    <row r="427" spans="1:21" x14ac:dyDescent="0.3">
      <c r="A427" t="s">
        <v>323</v>
      </c>
      <c r="B427" t="s">
        <v>323</v>
      </c>
      <c r="C427" t="s">
        <v>194</v>
      </c>
      <c r="D427">
        <v>3</v>
      </c>
      <c r="E427" t="s">
        <v>105</v>
      </c>
      <c r="F427">
        <v>1</v>
      </c>
      <c r="G427">
        <v>1</v>
      </c>
      <c r="H427">
        <v>1</v>
      </c>
      <c r="I427" t="s">
        <v>119</v>
      </c>
      <c r="J427" t="s">
        <v>58</v>
      </c>
      <c r="K427" t="s">
        <v>326</v>
      </c>
      <c r="L427" t="s">
        <v>325</v>
      </c>
      <c r="M427">
        <v>33</v>
      </c>
      <c r="N427">
        <v>14695</v>
      </c>
      <c r="O427" t="s">
        <v>52</v>
      </c>
      <c r="P427" t="s">
        <v>52</v>
      </c>
      <c r="Q427" t="s">
        <v>197</v>
      </c>
      <c r="R427" t="s">
        <v>53</v>
      </c>
      <c r="S427" t="s">
        <v>116</v>
      </c>
      <c r="T427" t="s">
        <v>198</v>
      </c>
      <c r="U427" t="s">
        <v>108</v>
      </c>
    </row>
    <row r="428" spans="1:21" x14ac:dyDescent="0.3">
      <c r="A428" t="s">
        <v>323</v>
      </c>
      <c r="B428" t="s">
        <v>323</v>
      </c>
      <c r="C428" t="s">
        <v>194</v>
      </c>
      <c r="D428">
        <v>3</v>
      </c>
      <c r="E428" t="s">
        <v>105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327</v>
      </c>
      <c r="L428" t="s">
        <v>328</v>
      </c>
      <c r="M428">
        <v>33</v>
      </c>
      <c r="N428">
        <v>14013</v>
      </c>
      <c r="O428" t="s">
        <v>52</v>
      </c>
      <c r="P428" t="s">
        <v>52</v>
      </c>
      <c r="Q428" t="s">
        <v>197</v>
      </c>
      <c r="R428" t="s">
        <v>53</v>
      </c>
      <c r="S428" t="s">
        <v>116</v>
      </c>
      <c r="T428" t="s">
        <v>198</v>
      </c>
      <c r="U428" t="s">
        <v>108</v>
      </c>
    </row>
    <row r="429" spans="1:21" x14ac:dyDescent="0.3">
      <c r="A429" t="s">
        <v>323</v>
      </c>
      <c r="B429" t="s">
        <v>323</v>
      </c>
      <c r="C429" t="s">
        <v>194</v>
      </c>
      <c r="D429">
        <v>3</v>
      </c>
      <c r="E429" t="s">
        <v>105</v>
      </c>
      <c r="F429">
        <v>1</v>
      </c>
      <c r="G429">
        <v>38</v>
      </c>
      <c r="H429">
        <v>38</v>
      </c>
      <c r="I429" t="s">
        <v>117</v>
      </c>
      <c r="J429" t="s">
        <v>51</v>
      </c>
      <c r="K429" t="s">
        <v>324</v>
      </c>
      <c r="L429" t="s">
        <v>325</v>
      </c>
      <c r="M429">
        <v>33</v>
      </c>
      <c r="N429">
        <v>14695</v>
      </c>
      <c r="O429" t="s">
        <v>52</v>
      </c>
      <c r="P429" t="s">
        <v>52</v>
      </c>
      <c r="Q429" t="s">
        <v>197</v>
      </c>
      <c r="R429" t="s">
        <v>53</v>
      </c>
      <c r="S429" t="s">
        <v>116</v>
      </c>
      <c r="T429" t="s">
        <v>198</v>
      </c>
      <c r="U429" t="s">
        <v>108</v>
      </c>
    </row>
    <row r="430" spans="1:21" x14ac:dyDescent="0.3">
      <c r="A430" t="s">
        <v>323</v>
      </c>
      <c r="B430" t="s">
        <v>323</v>
      </c>
      <c r="C430" t="s">
        <v>194</v>
      </c>
      <c r="D430">
        <v>3</v>
      </c>
      <c r="E430" t="s">
        <v>105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330</v>
      </c>
      <c r="L430" t="s">
        <v>328</v>
      </c>
      <c r="M430">
        <v>33</v>
      </c>
      <c r="N430">
        <v>14013</v>
      </c>
      <c r="O430" t="s">
        <v>52</v>
      </c>
      <c r="P430" t="s">
        <v>52</v>
      </c>
      <c r="Q430" t="s">
        <v>197</v>
      </c>
      <c r="R430" t="s">
        <v>53</v>
      </c>
      <c r="S430" t="s">
        <v>116</v>
      </c>
      <c r="T430" t="s">
        <v>198</v>
      </c>
      <c r="U430" t="s">
        <v>108</v>
      </c>
    </row>
    <row r="431" spans="1:21" x14ac:dyDescent="0.3">
      <c r="A431" t="s">
        <v>323</v>
      </c>
      <c r="B431" t="s">
        <v>323</v>
      </c>
      <c r="C431" t="s">
        <v>194</v>
      </c>
      <c r="D431">
        <v>3</v>
      </c>
      <c r="E431" t="s">
        <v>105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331</v>
      </c>
      <c r="L431" t="s">
        <v>328</v>
      </c>
      <c r="M431">
        <v>33</v>
      </c>
      <c r="N431">
        <v>14013</v>
      </c>
      <c r="O431" t="s">
        <v>52</v>
      </c>
      <c r="P431" t="s">
        <v>52</v>
      </c>
      <c r="Q431" t="s">
        <v>197</v>
      </c>
      <c r="R431" t="s">
        <v>53</v>
      </c>
      <c r="S431" t="s">
        <v>116</v>
      </c>
      <c r="T431" t="s">
        <v>198</v>
      </c>
      <c r="U431" t="s">
        <v>108</v>
      </c>
    </row>
    <row r="432" spans="1:21" x14ac:dyDescent="0.3">
      <c r="A432" t="s">
        <v>323</v>
      </c>
      <c r="B432" t="s">
        <v>323</v>
      </c>
      <c r="C432" t="s">
        <v>194</v>
      </c>
      <c r="D432">
        <v>3</v>
      </c>
      <c r="E432" t="s">
        <v>105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329</v>
      </c>
      <c r="L432" t="s">
        <v>328</v>
      </c>
      <c r="M432">
        <v>33</v>
      </c>
      <c r="N432">
        <v>14013</v>
      </c>
      <c r="O432" t="s">
        <v>52</v>
      </c>
      <c r="P432" t="s">
        <v>52</v>
      </c>
      <c r="Q432" t="s">
        <v>197</v>
      </c>
      <c r="R432" t="s">
        <v>53</v>
      </c>
      <c r="S432" t="s">
        <v>116</v>
      </c>
      <c r="T432" t="s">
        <v>198</v>
      </c>
      <c r="U432" t="s">
        <v>108</v>
      </c>
    </row>
    <row r="433" spans="1:21" x14ac:dyDescent="0.3">
      <c r="A433" t="s">
        <v>323</v>
      </c>
      <c r="B433" t="s">
        <v>323</v>
      </c>
      <c r="C433" t="s">
        <v>194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331</v>
      </c>
      <c r="L433" t="s">
        <v>328</v>
      </c>
      <c r="M433">
        <v>33</v>
      </c>
      <c r="N433">
        <v>14013</v>
      </c>
      <c r="O433" t="s">
        <v>52</v>
      </c>
      <c r="P433" t="s">
        <v>52</v>
      </c>
      <c r="Q433" t="s">
        <v>197</v>
      </c>
      <c r="R433" t="s">
        <v>53</v>
      </c>
      <c r="S433" t="s">
        <v>116</v>
      </c>
      <c r="T433" t="s">
        <v>198</v>
      </c>
      <c r="U433" t="s">
        <v>108</v>
      </c>
    </row>
    <row r="434" spans="1:21" x14ac:dyDescent="0.3">
      <c r="A434" t="s">
        <v>323</v>
      </c>
      <c r="B434" t="s">
        <v>323</v>
      </c>
      <c r="C434" t="s">
        <v>194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327</v>
      </c>
      <c r="L434" t="s">
        <v>328</v>
      </c>
      <c r="M434">
        <v>33</v>
      </c>
      <c r="N434">
        <v>14013</v>
      </c>
      <c r="O434" t="s">
        <v>52</v>
      </c>
      <c r="P434" t="s">
        <v>52</v>
      </c>
      <c r="Q434" t="s">
        <v>197</v>
      </c>
      <c r="R434" t="s">
        <v>53</v>
      </c>
      <c r="S434" t="s">
        <v>116</v>
      </c>
      <c r="T434" t="s">
        <v>198</v>
      </c>
      <c r="U434" t="s">
        <v>108</v>
      </c>
    </row>
    <row r="435" spans="1:21" x14ac:dyDescent="0.3">
      <c r="A435" t="s">
        <v>323</v>
      </c>
      <c r="B435" t="s">
        <v>323</v>
      </c>
      <c r="C435" t="s">
        <v>194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119</v>
      </c>
      <c r="J435" t="s">
        <v>58</v>
      </c>
      <c r="K435" t="s">
        <v>326</v>
      </c>
      <c r="L435" t="s">
        <v>325</v>
      </c>
      <c r="M435">
        <v>33</v>
      </c>
      <c r="N435">
        <v>14695</v>
      </c>
      <c r="O435" t="s">
        <v>52</v>
      </c>
      <c r="P435" t="s">
        <v>52</v>
      </c>
      <c r="Q435" t="s">
        <v>197</v>
      </c>
      <c r="R435" t="s">
        <v>53</v>
      </c>
      <c r="S435" t="s">
        <v>116</v>
      </c>
      <c r="T435" t="s">
        <v>198</v>
      </c>
      <c r="U435" t="s">
        <v>108</v>
      </c>
    </row>
    <row r="436" spans="1:21" x14ac:dyDescent="0.3">
      <c r="A436" t="s">
        <v>323</v>
      </c>
      <c r="B436" t="s">
        <v>323</v>
      </c>
      <c r="C436" t="s">
        <v>194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117</v>
      </c>
      <c r="J436" t="s">
        <v>51</v>
      </c>
      <c r="K436" t="s">
        <v>324</v>
      </c>
      <c r="L436" t="s">
        <v>325</v>
      </c>
      <c r="M436">
        <v>33</v>
      </c>
      <c r="N436">
        <v>14695</v>
      </c>
      <c r="O436" t="s">
        <v>52</v>
      </c>
      <c r="P436" t="s">
        <v>52</v>
      </c>
      <c r="Q436" t="s">
        <v>197</v>
      </c>
      <c r="R436" t="s">
        <v>53</v>
      </c>
      <c r="S436" t="s">
        <v>116</v>
      </c>
      <c r="T436" t="s">
        <v>198</v>
      </c>
      <c r="U436" t="s">
        <v>108</v>
      </c>
    </row>
    <row r="437" spans="1:21" x14ac:dyDescent="0.3">
      <c r="A437" t="s">
        <v>323</v>
      </c>
      <c r="B437" t="s">
        <v>323</v>
      </c>
      <c r="C437" t="s">
        <v>194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329</v>
      </c>
      <c r="L437" t="s">
        <v>328</v>
      </c>
      <c r="M437">
        <v>33</v>
      </c>
      <c r="N437">
        <v>14013</v>
      </c>
      <c r="O437" t="s">
        <v>52</v>
      </c>
      <c r="P437" t="s">
        <v>52</v>
      </c>
      <c r="Q437" t="s">
        <v>197</v>
      </c>
      <c r="R437" t="s">
        <v>53</v>
      </c>
      <c r="S437" t="s">
        <v>116</v>
      </c>
      <c r="T437" t="s">
        <v>198</v>
      </c>
      <c r="U437" t="s">
        <v>108</v>
      </c>
    </row>
    <row r="438" spans="1:21" x14ac:dyDescent="0.3">
      <c r="A438" t="s">
        <v>323</v>
      </c>
      <c r="B438" t="s">
        <v>323</v>
      </c>
      <c r="C438" t="s">
        <v>194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330</v>
      </c>
      <c r="L438" t="s">
        <v>328</v>
      </c>
      <c r="M438">
        <v>33</v>
      </c>
      <c r="N438">
        <v>14013</v>
      </c>
      <c r="O438" t="s">
        <v>52</v>
      </c>
      <c r="P438" t="s">
        <v>52</v>
      </c>
      <c r="Q438" t="s">
        <v>197</v>
      </c>
      <c r="R438" t="s">
        <v>53</v>
      </c>
      <c r="S438" t="s">
        <v>116</v>
      </c>
      <c r="T438" t="s">
        <v>198</v>
      </c>
      <c r="U438" t="s">
        <v>108</v>
      </c>
    </row>
    <row r="439" spans="1:21" x14ac:dyDescent="0.3">
      <c r="A439" t="s">
        <v>323</v>
      </c>
      <c r="B439" t="s">
        <v>323</v>
      </c>
      <c r="C439" t="s">
        <v>194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331</v>
      </c>
      <c r="L439" t="s">
        <v>328</v>
      </c>
      <c r="M439">
        <v>33</v>
      </c>
      <c r="N439">
        <v>14013</v>
      </c>
      <c r="O439" t="s">
        <v>52</v>
      </c>
      <c r="P439" t="s">
        <v>52</v>
      </c>
      <c r="Q439" t="s">
        <v>197</v>
      </c>
      <c r="R439" t="s">
        <v>53</v>
      </c>
      <c r="S439" t="s">
        <v>116</v>
      </c>
      <c r="T439" t="s">
        <v>198</v>
      </c>
      <c r="U439" t="s">
        <v>108</v>
      </c>
    </row>
    <row r="440" spans="1:21" x14ac:dyDescent="0.3">
      <c r="A440" t="s">
        <v>323</v>
      </c>
      <c r="B440" t="s">
        <v>323</v>
      </c>
      <c r="C440" t="s">
        <v>194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330</v>
      </c>
      <c r="L440" t="s">
        <v>328</v>
      </c>
      <c r="M440">
        <v>33</v>
      </c>
      <c r="N440">
        <v>14013</v>
      </c>
      <c r="O440" t="s">
        <v>52</v>
      </c>
      <c r="P440" t="s">
        <v>52</v>
      </c>
      <c r="Q440" t="s">
        <v>197</v>
      </c>
      <c r="R440" t="s">
        <v>53</v>
      </c>
      <c r="S440" t="s">
        <v>116</v>
      </c>
      <c r="T440" t="s">
        <v>198</v>
      </c>
      <c r="U440" t="s">
        <v>108</v>
      </c>
    </row>
    <row r="441" spans="1:21" x14ac:dyDescent="0.3">
      <c r="A441" t="s">
        <v>323</v>
      </c>
      <c r="B441" t="s">
        <v>323</v>
      </c>
      <c r="C441" t="s">
        <v>194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327</v>
      </c>
      <c r="L441" t="s">
        <v>328</v>
      </c>
      <c r="M441">
        <v>33</v>
      </c>
      <c r="N441">
        <v>14013</v>
      </c>
      <c r="O441" t="s">
        <v>52</v>
      </c>
      <c r="P441" t="s">
        <v>52</v>
      </c>
      <c r="Q441" t="s">
        <v>197</v>
      </c>
      <c r="R441" t="s">
        <v>53</v>
      </c>
      <c r="S441" t="s">
        <v>116</v>
      </c>
      <c r="T441" t="s">
        <v>198</v>
      </c>
      <c r="U441" t="s">
        <v>108</v>
      </c>
    </row>
    <row r="442" spans="1:21" x14ac:dyDescent="0.3">
      <c r="A442" t="s">
        <v>323</v>
      </c>
      <c r="B442" t="s">
        <v>323</v>
      </c>
      <c r="C442" t="s">
        <v>194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117</v>
      </c>
      <c r="J442" t="s">
        <v>51</v>
      </c>
      <c r="K442" t="s">
        <v>324</v>
      </c>
      <c r="L442" t="s">
        <v>325</v>
      </c>
      <c r="M442">
        <v>33</v>
      </c>
      <c r="N442">
        <v>14695</v>
      </c>
      <c r="O442" t="s">
        <v>52</v>
      </c>
      <c r="P442" t="s">
        <v>52</v>
      </c>
      <c r="Q442" t="s">
        <v>197</v>
      </c>
      <c r="R442" t="s">
        <v>53</v>
      </c>
      <c r="S442" t="s">
        <v>116</v>
      </c>
      <c r="T442" t="s">
        <v>198</v>
      </c>
      <c r="U442" t="s">
        <v>108</v>
      </c>
    </row>
    <row r="443" spans="1:21" x14ac:dyDescent="0.3">
      <c r="A443" t="s">
        <v>323</v>
      </c>
      <c r="B443" t="s">
        <v>323</v>
      </c>
      <c r="C443" t="s">
        <v>194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329</v>
      </c>
      <c r="L443" t="s">
        <v>328</v>
      </c>
      <c r="M443">
        <v>33</v>
      </c>
      <c r="N443">
        <v>14013</v>
      </c>
      <c r="O443" t="s">
        <v>52</v>
      </c>
      <c r="P443" t="s">
        <v>52</v>
      </c>
      <c r="Q443" t="s">
        <v>197</v>
      </c>
      <c r="R443" t="s">
        <v>53</v>
      </c>
      <c r="S443" t="s">
        <v>116</v>
      </c>
      <c r="T443" t="s">
        <v>198</v>
      </c>
      <c r="U443" t="s">
        <v>108</v>
      </c>
    </row>
    <row r="444" spans="1:21" x14ac:dyDescent="0.3">
      <c r="A444" t="s">
        <v>332</v>
      </c>
      <c r="B444" t="s">
        <v>332</v>
      </c>
      <c r="C444" t="s">
        <v>194</v>
      </c>
      <c r="D444">
        <v>1</v>
      </c>
      <c r="E444" t="s">
        <v>107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333</v>
      </c>
      <c r="L444" t="s">
        <v>334</v>
      </c>
      <c r="M444">
        <v>33</v>
      </c>
      <c r="N444">
        <v>14392</v>
      </c>
      <c r="O444" t="s">
        <v>52</v>
      </c>
      <c r="P444" t="s">
        <v>52</v>
      </c>
      <c r="Q444" t="s">
        <v>197</v>
      </c>
      <c r="R444" t="s">
        <v>53</v>
      </c>
      <c r="S444" t="s">
        <v>116</v>
      </c>
      <c r="T444" t="s">
        <v>198</v>
      </c>
      <c r="U444" t="s">
        <v>108</v>
      </c>
    </row>
    <row r="445" spans="1:21" x14ac:dyDescent="0.3">
      <c r="A445" t="s">
        <v>332</v>
      </c>
      <c r="B445" t="s">
        <v>332</v>
      </c>
      <c r="C445" t="s">
        <v>194</v>
      </c>
      <c r="D445">
        <v>1</v>
      </c>
      <c r="E445" t="s">
        <v>107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335</v>
      </c>
      <c r="L445" t="s">
        <v>334</v>
      </c>
      <c r="M445">
        <v>33</v>
      </c>
      <c r="N445">
        <v>14392</v>
      </c>
      <c r="O445" t="s">
        <v>52</v>
      </c>
      <c r="P445" t="s">
        <v>52</v>
      </c>
      <c r="Q445" t="s">
        <v>197</v>
      </c>
      <c r="R445" t="s">
        <v>53</v>
      </c>
      <c r="S445" t="s">
        <v>116</v>
      </c>
      <c r="T445" t="s">
        <v>198</v>
      </c>
      <c r="U445" t="s">
        <v>108</v>
      </c>
    </row>
    <row r="446" spans="1:21" x14ac:dyDescent="0.3">
      <c r="A446" t="s">
        <v>332</v>
      </c>
      <c r="B446" t="s">
        <v>332</v>
      </c>
      <c r="C446" t="s">
        <v>194</v>
      </c>
      <c r="D446">
        <v>1</v>
      </c>
      <c r="E446" t="s">
        <v>107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336</v>
      </c>
      <c r="L446" t="s">
        <v>334</v>
      </c>
      <c r="M446">
        <v>33</v>
      </c>
      <c r="N446">
        <v>14392</v>
      </c>
      <c r="O446" t="s">
        <v>52</v>
      </c>
      <c r="P446" t="s">
        <v>52</v>
      </c>
      <c r="Q446" t="s">
        <v>197</v>
      </c>
      <c r="R446" t="s">
        <v>53</v>
      </c>
      <c r="S446" t="s">
        <v>116</v>
      </c>
      <c r="T446" t="s">
        <v>198</v>
      </c>
      <c r="U446" t="s">
        <v>108</v>
      </c>
    </row>
    <row r="447" spans="1:21" x14ac:dyDescent="0.3">
      <c r="A447" t="s">
        <v>332</v>
      </c>
      <c r="B447" t="s">
        <v>332</v>
      </c>
      <c r="C447" t="s">
        <v>194</v>
      </c>
      <c r="D447">
        <v>1</v>
      </c>
      <c r="E447" t="s">
        <v>107</v>
      </c>
      <c r="F447">
        <v>1</v>
      </c>
      <c r="G447">
        <v>-21</v>
      </c>
      <c r="H447">
        <v>-21</v>
      </c>
      <c r="I447" t="s">
        <v>119</v>
      </c>
      <c r="J447" t="s">
        <v>58</v>
      </c>
      <c r="K447" t="s">
        <v>337</v>
      </c>
      <c r="L447" t="s">
        <v>338</v>
      </c>
      <c r="M447">
        <v>61</v>
      </c>
      <c r="O447" t="s">
        <v>52</v>
      </c>
      <c r="P447" t="s">
        <v>52</v>
      </c>
      <c r="Q447" t="s">
        <v>197</v>
      </c>
      <c r="R447" t="s">
        <v>53</v>
      </c>
      <c r="S447" t="s">
        <v>116</v>
      </c>
      <c r="T447" t="s">
        <v>198</v>
      </c>
      <c r="U447" t="s">
        <v>108</v>
      </c>
    </row>
    <row r="448" spans="1:21" x14ac:dyDescent="0.3">
      <c r="A448" t="s">
        <v>332</v>
      </c>
      <c r="B448" t="s">
        <v>332</v>
      </c>
      <c r="C448" t="s">
        <v>194</v>
      </c>
      <c r="D448">
        <v>1</v>
      </c>
      <c r="E448" t="s">
        <v>107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339</v>
      </c>
      <c r="L448" t="s">
        <v>334</v>
      </c>
      <c r="M448">
        <v>33</v>
      </c>
      <c r="N448">
        <v>14392</v>
      </c>
      <c r="O448" t="s">
        <v>52</v>
      </c>
      <c r="P448" t="s">
        <v>52</v>
      </c>
      <c r="Q448" t="s">
        <v>197</v>
      </c>
      <c r="R448" t="s">
        <v>53</v>
      </c>
      <c r="S448" t="s">
        <v>116</v>
      </c>
      <c r="T448" t="s">
        <v>198</v>
      </c>
      <c r="U448" t="s">
        <v>108</v>
      </c>
    </row>
    <row r="449" spans="1:21" x14ac:dyDescent="0.3">
      <c r="A449" t="s">
        <v>332</v>
      </c>
      <c r="B449" t="s">
        <v>332</v>
      </c>
      <c r="C449" t="s">
        <v>194</v>
      </c>
      <c r="D449">
        <v>1</v>
      </c>
      <c r="E449" t="s">
        <v>107</v>
      </c>
      <c r="F449">
        <v>1</v>
      </c>
      <c r="G449">
        <v>-1449</v>
      </c>
      <c r="H449">
        <v>-1449</v>
      </c>
      <c r="I449" t="s">
        <v>117</v>
      </c>
      <c r="J449" t="s">
        <v>51</v>
      </c>
      <c r="K449" t="s">
        <v>340</v>
      </c>
      <c r="L449" t="s">
        <v>338</v>
      </c>
      <c r="M449">
        <v>61</v>
      </c>
      <c r="O449" t="s">
        <v>52</v>
      </c>
      <c r="P449" t="s">
        <v>52</v>
      </c>
      <c r="Q449" t="s">
        <v>197</v>
      </c>
      <c r="R449" t="s">
        <v>53</v>
      </c>
      <c r="S449" t="s">
        <v>116</v>
      </c>
      <c r="T449" t="s">
        <v>198</v>
      </c>
      <c r="U449" t="s">
        <v>108</v>
      </c>
    </row>
    <row r="450" spans="1:21" x14ac:dyDescent="0.3">
      <c r="A450" t="s">
        <v>332</v>
      </c>
      <c r="B450" t="s">
        <v>332</v>
      </c>
      <c r="C450" t="s">
        <v>194</v>
      </c>
      <c r="D450">
        <v>2</v>
      </c>
      <c r="E450" t="s">
        <v>118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339</v>
      </c>
      <c r="L450" t="s">
        <v>334</v>
      </c>
      <c r="M450">
        <v>33</v>
      </c>
      <c r="N450">
        <v>14392</v>
      </c>
      <c r="O450" t="s">
        <v>52</v>
      </c>
      <c r="P450" t="s">
        <v>52</v>
      </c>
      <c r="Q450" t="s">
        <v>197</v>
      </c>
      <c r="R450" t="s">
        <v>53</v>
      </c>
      <c r="S450" t="s">
        <v>116</v>
      </c>
      <c r="T450" t="s">
        <v>198</v>
      </c>
      <c r="U450" t="s">
        <v>108</v>
      </c>
    </row>
    <row r="451" spans="1:21" x14ac:dyDescent="0.3">
      <c r="A451" t="s">
        <v>332</v>
      </c>
      <c r="B451" t="s">
        <v>332</v>
      </c>
      <c r="C451" t="s">
        <v>194</v>
      </c>
      <c r="D451">
        <v>2</v>
      </c>
      <c r="E451" t="s">
        <v>118</v>
      </c>
      <c r="F451">
        <v>1</v>
      </c>
      <c r="G451">
        <v>-3</v>
      </c>
      <c r="H451">
        <v>-3</v>
      </c>
      <c r="I451" t="s">
        <v>117</v>
      </c>
      <c r="J451" t="s">
        <v>51</v>
      </c>
      <c r="K451" t="s">
        <v>340</v>
      </c>
      <c r="L451" t="s">
        <v>338</v>
      </c>
      <c r="M451">
        <v>61</v>
      </c>
      <c r="O451" t="s">
        <v>52</v>
      </c>
      <c r="P451" t="s">
        <v>52</v>
      </c>
      <c r="Q451" t="s">
        <v>197</v>
      </c>
      <c r="R451" t="s">
        <v>53</v>
      </c>
      <c r="S451" t="s">
        <v>116</v>
      </c>
      <c r="T451" t="s">
        <v>198</v>
      </c>
      <c r="U451" t="s">
        <v>108</v>
      </c>
    </row>
    <row r="452" spans="1:21" x14ac:dyDescent="0.3">
      <c r="A452" t="s">
        <v>332</v>
      </c>
      <c r="B452" t="s">
        <v>332</v>
      </c>
      <c r="C452" t="s">
        <v>194</v>
      </c>
      <c r="D452">
        <v>2</v>
      </c>
      <c r="E452" t="s">
        <v>118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333</v>
      </c>
      <c r="L452" t="s">
        <v>334</v>
      </c>
      <c r="M452">
        <v>33</v>
      </c>
      <c r="N452">
        <v>14392</v>
      </c>
      <c r="O452" t="s">
        <v>52</v>
      </c>
      <c r="P452" t="s">
        <v>52</v>
      </c>
      <c r="Q452" t="s">
        <v>197</v>
      </c>
      <c r="R452" t="s">
        <v>53</v>
      </c>
      <c r="S452" t="s">
        <v>116</v>
      </c>
      <c r="T452" t="s">
        <v>198</v>
      </c>
      <c r="U452" t="s">
        <v>108</v>
      </c>
    </row>
    <row r="453" spans="1:21" x14ac:dyDescent="0.3">
      <c r="A453" t="s">
        <v>332</v>
      </c>
      <c r="B453" t="s">
        <v>332</v>
      </c>
      <c r="C453" t="s">
        <v>194</v>
      </c>
      <c r="D453">
        <v>2</v>
      </c>
      <c r="E453" t="s">
        <v>118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336</v>
      </c>
      <c r="L453" t="s">
        <v>334</v>
      </c>
      <c r="M453">
        <v>33</v>
      </c>
      <c r="N453">
        <v>14392</v>
      </c>
      <c r="O453" t="s">
        <v>52</v>
      </c>
      <c r="P453" t="s">
        <v>52</v>
      </c>
      <c r="Q453" t="s">
        <v>197</v>
      </c>
      <c r="R453" t="s">
        <v>53</v>
      </c>
      <c r="S453" t="s">
        <v>116</v>
      </c>
      <c r="T453" t="s">
        <v>198</v>
      </c>
      <c r="U453" t="s">
        <v>108</v>
      </c>
    </row>
    <row r="454" spans="1:21" x14ac:dyDescent="0.3">
      <c r="A454" t="s">
        <v>332</v>
      </c>
      <c r="B454" t="s">
        <v>332</v>
      </c>
      <c r="C454" t="s">
        <v>194</v>
      </c>
      <c r="D454">
        <v>2</v>
      </c>
      <c r="E454" t="s">
        <v>118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335</v>
      </c>
      <c r="L454" t="s">
        <v>334</v>
      </c>
      <c r="M454">
        <v>33</v>
      </c>
      <c r="N454">
        <v>14392</v>
      </c>
      <c r="O454" t="s">
        <v>52</v>
      </c>
      <c r="P454" t="s">
        <v>52</v>
      </c>
      <c r="Q454" t="s">
        <v>197</v>
      </c>
      <c r="R454" t="s">
        <v>53</v>
      </c>
      <c r="S454" t="s">
        <v>116</v>
      </c>
      <c r="T454" t="s">
        <v>198</v>
      </c>
      <c r="U454" t="s">
        <v>108</v>
      </c>
    </row>
    <row r="455" spans="1:21" x14ac:dyDescent="0.3">
      <c r="A455" t="s">
        <v>332</v>
      </c>
      <c r="B455" t="s">
        <v>332</v>
      </c>
      <c r="C455" t="s">
        <v>194</v>
      </c>
      <c r="D455">
        <v>3</v>
      </c>
      <c r="E455" t="s">
        <v>105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335</v>
      </c>
      <c r="L455" t="s">
        <v>334</v>
      </c>
      <c r="M455">
        <v>33</v>
      </c>
      <c r="N455">
        <v>14392</v>
      </c>
      <c r="O455" t="s">
        <v>52</v>
      </c>
      <c r="P455" t="s">
        <v>52</v>
      </c>
      <c r="Q455" t="s">
        <v>197</v>
      </c>
      <c r="R455" t="s">
        <v>53</v>
      </c>
      <c r="S455" t="s">
        <v>116</v>
      </c>
      <c r="T455" t="s">
        <v>198</v>
      </c>
      <c r="U455" t="s">
        <v>108</v>
      </c>
    </row>
    <row r="456" spans="1:21" x14ac:dyDescent="0.3">
      <c r="A456" t="s">
        <v>332</v>
      </c>
      <c r="B456" t="s">
        <v>332</v>
      </c>
      <c r="C456" t="s">
        <v>194</v>
      </c>
      <c r="D456">
        <v>3</v>
      </c>
      <c r="E456" t="s">
        <v>105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333</v>
      </c>
      <c r="L456" t="s">
        <v>334</v>
      </c>
      <c r="M456">
        <v>33</v>
      </c>
      <c r="N456">
        <v>14392</v>
      </c>
      <c r="O456" t="s">
        <v>52</v>
      </c>
      <c r="P456" t="s">
        <v>52</v>
      </c>
      <c r="Q456" t="s">
        <v>197</v>
      </c>
      <c r="R456" t="s">
        <v>53</v>
      </c>
      <c r="S456" t="s">
        <v>116</v>
      </c>
      <c r="T456" t="s">
        <v>198</v>
      </c>
      <c r="U456" t="s">
        <v>108</v>
      </c>
    </row>
    <row r="457" spans="1:21" x14ac:dyDescent="0.3">
      <c r="A457" t="s">
        <v>332</v>
      </c>
      <c r="B457" t="s">
        <v>332</v>
      </c>
      <c r="C457" t="s">
        <v>194</v>
      </c>
      <c r="D457">
        <v>3</v>
      </c>
      <c r="E457" t="s">
        <v>105</v>
      </c>
      <c r="F457">
        <v>1</v>
      </c>
      <c r="G457">
        <v>-200</v>
      </c>
      <c r="H457">
        <v>-200</v>
      </c>
      <c r="I457" t="s">
        <v>117</v>
      </c>
      <c r="J457" t="s">
        <v>51</v>
      </c>
      <c r="K457" t="s">
        <v>340</v>
      </c>
      <c r="L457" t="s">
        <v>338</v>
      </c>
      <c r="M457">
        <v>61</v>
      </c>
      <c r="O457" t="s">
        <v>52</v>
      </c>
      <c r="P457" t="s">
        <v>52</v>
      </c>
      <c r="Q457" t="s">
        <v>197</v>
      </c>
      <c r="R457" t="s">
        <v>53</v>
      </c>
      <c r="S457" t="s">
        <v>116</v>
      </c>
      <c r="T457" t="s">
        <v>198</v>
      </c>
      <c r="U457" t="s">
        <v>108</v>
      </c>
    </row>
    <row r="458" spans="1:21" x14ac:dyDescent="0.3">
      <c r="A458" t="s">
        <v>332</v>
      </c>
      <c r="B458" t="s">
        <v>332</v>
      </c>
      <c r="C458" t="s">
        <v>194</v>
      </c>
      <c r="D458">
        <v>3</v>
      </c>
      <c r="E458" t="s">
        <v>105</v>
      </c>
      <c r="F458">
        <v>1</v>
      </c>
      <c r="G458">
        <v>-3</v>
      </c>
      <c r="H458">
        <v>-3</v>
      </c>
      <c r="I458" t="s">
        <v>119</v>
      </c>
      <c r="J458" t="s">
        <v>58</v>
      </c>
      <c r="K458" t="s">
        <v>337</v>
      </c>
      <c r="L458" t="s">
        <v>338</v>
      </c>
      <c r="M458">
        <v>61</v>
      </c>
      <c r="O458" t="s">
        <v>52</v>
      </c>
      <c r="P458" t="s">
        <v>52</v>
      </c>
      <c r="Q458" t="s">
        <v>197</v>
      </c>
      <c r="R458" t="s">
        <v>53</v>
      </c>
      <c r="S458" t="s">
        <v>116</v>
      </c>
      <c r="T458" t="s">
        <v>198</v>
      </c>
      <c r="U458" t="s">
        <v>108</v>
      </c>
    </row>
    <row r="459" spans="1:21" x14ac:dyDescent="0.3">
      <c r="A459" t="s">
        <v>332</v>
      </c>
      <c r="B459" t="s">
        <v>332</v>
      </c>
      <c r="C459" t="s">
        <v>194</v>
      </c>
      <c r="D459">
        <v>3</v>
      </c>
      <c r="E459" t="s">
        <v>105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336</v>
      </c>
      <c r="L459" t="s">
        <v>334</v>
      </c>
      <c r="M459">
        <v>33</v>
      </c>
      <c r="N459">
        <v>14392</v>
      </c>
      <c r="O459" t="s">
        <v>52</v>
      </c>
      <c r="P459" t="s">
        <v>52</v>
      </c>
      <c r="Q459" t="s">
        <v>197</v>
      </c>
      <c r="R459" t="s">
        <v>53</v>
      </c>
      <c r="S459" t="s">
        <v>116</v>
      </c>
      <c r="T459" t="s">
        <v>198</v>
      </c>
      <c r="U459" t="s">
        <v>108</v>
      </c>
    </row>
    <row r="460" spans="1:21" x14ac:dyDescent="0.3">
      <c r="A460" t="s">
        <v>332</v>
      </c>
      <c r="B460" t="s">
        <v>332</v>
      </c>
      <c r="C460" t="s">
        <v>194</v>
      </c>
      <c r="D460">
        <v>3</v>
      </c>
      <c r="E460" t="s">
        <v>105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339</v>
      </c>
      <c r="L460" t="s">
        <v>334</v>
      </c>
      <c r="M460">
        <v>33</v>
      </c>
      <c r="N460">
        <v>14392</v>
      </c>
      <c r="O460" t="s">
        <v>52</v>
      </c>
      <c r="P460" t="s">
        <v>52</v>
      </c>
      <c r="Q460" t="s">
        <v>197</v>
      </c>
      <c r="R460" t="s">
        <v>53</v>
      </c>
      <c r="S460" t="s">
        <v>116</v>
      </c>
      <c r="T460" t="s">
        <v>198</v>
      </c>
      <c r="U460" t="s">
        <v>108</v>
      </c>
    </row>
    <row r="461" spans="1:21" x14ac:dyDescent="0.3">
      <c r="A461" t="s">
        <v>332</v>
      </c>
      <c r="B461" t="s">
        <v>332</v>
      </c>
      <c r="C461" t="s">
        <v>194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335</v>
      </c>
      <c r="L461" t="s">
        <v>334</v>
      </c>
      <c r="M461">
        <v>33</v>
      </c>
      <c r="N461">
        <v>14392</v>
      </c>
      <c r="O461" t="s">
        <v>52</v>
      </c>
      <c r="P461" t="s">
        <v>52</v>
      </c>
      <c r="Q461" t="s">
        <v>197</v>
      </c>
      <c r="R461" t="s">
        <v>53</v>
      </c>
      <c r="S461" t="s">
        <v>116</v>
      </c>
      <c r="T461" t="s">
        <v>198</v>
      </c>
      <c r="U461" t="s">
        <v>108</v>
      </c>
    </row>
    <row r="462" spans="1:21" x14ac:dyDescent="0.3">
      <c r="A462" t="s">
        <v>332</v>
      </c>
      <c r="B462" t="s">
        <v>332</v>
      </c>
      <c r="C462" t="s">
        <v>194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336</v>
      </c>
      <c r="L462" t="s">
        <v>334</v>
      </c>
      <c r="M462">
        <v>33</v>
      </c>
      <c r="N462">
        <v>14392</v>
      </c>
      <c r="O462" t="s">
        <v>52</v>
      </c>
      <c r="P462" t="s">
        <v>52</v>
      </c>
      <c r="Q462" t="s">
        <v>197</v>
      </c>
      <c r="R462" t="s">
        <v>53</v>
      </c>
      <c r="S462" t="s">
        <v>116</v>
      </c>
      <c r="T462" t="s">
        <v>198</v>
      </c>
      <c r="U462" t="s">
        <v>108</v>
      </c>
    </row>
    <row r="463" spans="1:21" x14ac:dyDescent="0.3">
      <c r="A463" t="s">
        <v>332</v>
      </c>
      <c r="B463" t="s">
        <v>332</v>
      </c>
      <c r="C463" t="s">
        <v>194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117</v>
      </c>
      <c r="J463" t="s">
        <v>51</v>
      </c>
      <c r="K463" t="s">
        <v>340</v>
      </c>
      <c r="L463" t="s">
        <v>338</v>
      </c>
      <c r="M463">
        <v>61</v>
      </c>
      <c r="O463" t="s">
        <v>52</v>
      </c>
      <c r="P463" t="s">
        <v>52</v>
      </c>
      <c r="Q463" t="s">
        <v>197</v>
      </c>
      <c r="R463" t="s">
        <v>53</v>
      </c>
      <c r="S463" t="s">
        <v>116</v>
      </c>
      <c r="T463" t="s">
        <v>198</v>
      </c>
      <c r="U463" t="s">
        <v>108</v>
      </c>
    </row>
    <row r="464" spans="1:21" x14ac:dyDescent="0.3">
      <c r="A464" t="s">
        <v>332</v>
      </c>
      <c r="B464" t="s">
        <v>332</v>
      </c>
      <c r="C464" t="s">
        <v>194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333</v>
      </c>
      <c r="L464" t="s">
        <v>334</v>
      </c>
      <c r="M464">
        <v>33</v>
      </c>
      <c r="N464">
        <v>14392</v>
      </c>
      <c r="O464" t="s">
        <v>52</v>
      </c>
      <c r="P464" t="s">
        <v>52</v>
      </c>
      <c r="Q464" t="s">
        <v>197</v>
      </c>
      <c r="R464" t="s">
        <v>53</v>
      </c>
      <c r="S464" t="s">
        <v>116</v>
      </c>
      <c r="T464" t="s">
        <v>198</v>
      </c>
      <c r="U464" t="s">
        <v>108</v>
      </c>
    </row>
    <row r="465" spans="1:21" x14ac:dyDescent="0.3">
      <c r="A465" t="s">
        <v>332</v>
      </c>
      <c r="B465" t="s">
        <v>332</v>
      </c>
      <c r="C465" t="s">
        <v>194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119</v>
      </c>
      <c r="J465" t="s">
        <v>58</v>
      </c>
      <c r="K465" t="s">
        <v>337</v>
      </c>
      <c r="L465" t="s">
        <v>338</v>
      </c>
      <c r="M465">
        <v>61</v>
      </c>
      <c r="O465" t="s">
        <v>52</v>
      </c>
      <c r="P465" t="s">
        <v>52</v>
      </c>
      <c r="Q465" t="s">
        <v>197</v>
      </c>
      <c r="R465" t="s">
        <v>53</v>
      </c>
      <c r="S465" t="s">
        <v>116</v>
      </c>
      <c r="T465" t="s">
        <v>198</v>
      </c>
      <c r="U465" t="s">
        <v>108</v>
      </c>
    </row>
    <row r="466" spans="1:21" x14ac:dyDescent="0.3">
      <c r="A466" t="s">
        <v>332</v>
      </c>
      <c r="B466" t="s">
        <v>332</v>
      </c>
      <c r="C466" t="s">
        <v>194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339</v>
      </c>
      <c r="L466" t="s">
        <v>334</v>
      </c>
      <c r="M466">
        <v>33</v>
      </c>
      <c r="N466">
        <v>14392</v>
      </c>
      <c r="O466" t="s">
        <v>52</v>
      </c>
      <c r="P466" t="s">
        <v>52</v>
      </c>
      <c r="Q466" t="s">
        <v>197</v>
      </c>
      <c r="R466" t="s">
        <v>53</v>
      </c>
      <c r="S466" t="s">
        <v>116</v>
      </c>
      <c r="T466" t="s">
        <v>198</v>
      </c>
      <c r="U466" t="s">
        <v>108</v>
      </c>
    </row>
    <row r="467" spans="1:21" x14ac:dyDescent="0.3">
      <c r="A467" t="s">
        <v>332</v>
      </c>
      <c r="B467" t="s">
        <v>332</v>
      </c>
      <c r="C467" t="s">
        <v>194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339</v>
      </c>
      <c r="L467" t="s">
        <v>334</v>
      </c>
      <c r="M467">
        <v>33</v>
      </c>
      <c r="N467">
        <v>14392</v>
      </c>
      <c r="O467" t="s">
        <v>52</v>
      </c>
      <c r="P467" t="s">
        <v>52</v>
      </c>
      <c r="Q467" t="s">
        <v>197</v>
      </c>
      <c r="R467" t="s">
        <v>53</v>
      </c>
      <c r="S467" t="s">
        <v>116</v>
      </c>
      <c r="T467" t="s">
        <v>198</v>
      </c>
      <c r="U467" t="s">
        <v>108</v>
      </c>
    </row>
    <row r="468" spans="1:21" x14ac:dyDescent="0.3">
      <c r="A468" t="s">
        <v>332</v>
      </c>
      <c r="B468" t="s">
        <v>332</v>
      </c>
      <c r="C468" t="s">
        <v>194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336</v>
      </c>
      <c r="L468" t="s">
        <v>334</v>
      </c>
      <c r="M468">
        <v>33</v>
      </c>
      <c r="N468">
        <v>14392</v>
      </c>
      <c r="O468" t="s">
        <v>52</v>
      </c>
      <c r="P468" t="s">
        <v>52</v>
      </c>
      <c r="Q468" t="s">
        <v>197</v>
      </c>
      <c r="R468" t="s">
        <v>53</v>
      </c>
      <c r="S468" t="s">
        <v>116</v>
      </c>
      <c r="T468" t="s">
        <v>198</v>
      </c>
      <c r="U468" t="s">
        <v>108</v>
      </c>
    </row>
    <row r="469" spans="1:21" x14ac:dyDescent="0.3">
      <c r="A469" t="s">
        <v>332</v>
      </c>
      <c r="B469" t="s">
        <v>332</v>
      </c>
      <c r="C469" t="s">
        <v>194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117</v>
      </c>
      <c r="J469" t="s">
        <v>51</v>
      </c>
      <c r="K469" t="s">
        <v>340</v>
      </c>
      <c r="L469" t="s">
        <v>338</v>
      </c>
      <c r="M469">
        <v>61</v>
      </c>
      <c r="O469" t="s">
        <v>52</v>
      </c>
      <c r="P469" t="s">
        <v>52</v>
      </c>
      <c r="Q469" t="s">
        <v>197</v>
      </c>
      <c r="R469" t="s">
        <v>53</v>
      </c>
      <c r="S469" t="s">
        <v>116</v>
      </c>
      <c r="T469" t="s">
        <v>198</v>
      </c>
      <c r="U469" t="s">
        <v>108</v>
      </c>
    </row>
    <row r="470" spans="1:21" x14ac:dyDescent="0.3">
      <c r="A470" t="s">
        <v>332</v>
      </c>
      <c r="B470" t="s">
        <v>332</v>
      </c>
      <c r="C470" t="s">
        <v>194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333</v>
      </c>
      <c r="L470" t="s">
        <v>334</v>
      </c>
      <c r="M470">
        <v>33</v>
      </c>
      <c r="N470">
        <v>14392</v>
      </c>
      <c r="O470" t="s">
        <v>52</v>
      </c>
      <c r="P470" t="s">
        <v>52</v>
      </c>
      <c r="Q470" t="s">
        <v>197</v>
      </c>
      <c r="R470" t="s">
        <v>53</v>
      </c>
      <c r="S470" t="s">
        <v>116</v>
      </c>
      <c r="T470" t="s">
        <v>198</v>
      </c>
      <c r="U470" t="s">
        <v>108</v>
      </c>
    </row>
    <row r="471" spans="1:21" x14ac:dyDescent="0.3">
      <c r="A471" t="s">
        <v>332</v>
      </c>
      <c r="B471" t="s">
        <v>332</v>
      </c>
      <c r="C471" t="s">
        <v>194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335</v>
      </c>
      <c r="L471" t="s">
        <v>334</v>
      </c>
      <c r="M471">
        <v>33</v>
      </c>
      <c r="N471">
        <v>14392</v>
      </c>
      <c r="O471" t="s">
        <v>52</v>
      </c>
      <c r="P471" t="s">
        <v>52</v>
      </c>
      <c r="Q471" t="s">
        <v>197</v>
      </c>
      <c r="R471" t="s">
        <v>53</v>
      </c>
      <c r="S471" t="s">
        <v>116</v>
      </c>
      <c r="T471" t="s">
        <v>198</v>
      </c>
      <c r="U471" t="s">
        <v>108</v>
      </c>
    </row>
    <row r="472" spans="1:21" x14ac:dyDescent="0.3">
      <c r="A472" t="s">
        <v>341</v>
      </c>
      <c r="B472" t="s">
        <v>341</v>
      </c>
      <c r="C472" t="s">
        <v>194</v>
      </c>
      <c r="D472">
        <v>1</v>
      </c>
      <c r="E472" t="s">
        <v>107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342</v>
      </c>
      <c r="L472" t="s">
        <v>343</v>
      </c>
      <c r="M472">
        <v>33</v>
      </c>
      <c r="N472">
        <v>14796</v>
      </c>
      <c r="O472" t="s">
        <v>52</v>
      </c>
      <c r="P472" t="s">
        <v>52</v>
      </c>
      <c r="Q472" t="s">
        <v>197</v>
      </c>
      <c r="R472" t="s">
        <v>53</v>
      </c>
      <c r="S472" t="s">
        <v>116</v>
      </c>
      <c r="T472" t="s">
        <v>198</v>
      </c>
      <c r="U472" t="s">
        <v>108</v>
      </c>
    </row>
    <row r="473" spans="1:21" x14ac:dyDescent="0.3">
      <c r="A473" t="s">
        <v>341</v>
      </c>
      <c r="B473" t="s">
        <v>341</v>
      </c>
      <c r="C473" t="s">
        <v>194</v>
      </c>
      <c r="D473">
        <v>1</v>
      </c>
      <c r="E473" t="s">
        <v>107</v>
      </c>
      <c r="F473">
        <v>1</v>
      </c>
      <c r="G473">
        <v>-4</v>
      </c>
      <c r="H473">
        <v>-4</v>
      </c>
      <c r="I473" t="s">
        <v>119</v>
      </c>
      <c r="J473" t="s">
        <v>58</v>
      </c>
      <c r="K473" t="s">
        <v>344</v>
      </c>
      <c r="L473" t="s">
        <v>345</v>
      </c>
      <c r="M473">
        <v>33</v>
      </c>
      <c r="O473" t="s">
        <v>52</v>
      </c>
      <c r="P473" t="s">
        <v>52</v>
      </c>
      <c r="Q473" t="s">
        <v>197</v>
      </c>
      <c r="R473" t="s">
        <v>53</v>
      </c>
      <c r="S473" t="s">
        <v>116</v>
      </c>
      <c r="T473" t="s">
        <v>198</v>
      </c>
      <c r="U473" t="s">
        <v>108</v>
      </c>
    </row>
    <row r="474" spans="1:21" x14ac:dyDescent="0.3">
      <c r="A474" t="s">
        <v>341</v>
      </c>
      <c r="B474" t="s">
        <v>341</v>
      </c>
      <c r="C474" t="s">
        <v>194</v>
      </c>
      <c r="D474">
        <v>1</v>
      </c>
      <c r="E474" t="s">
        <v>107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346</v>
      </c>
      <c r="L474" t="s">
        <v>343</v>
      </c>
      <c r="M474">
        <v>33</v>
      </c>
      <c r="N474">
        <v>14796</v>
      </c>
      <c r="O474" t="s">
        <v>52</v>
      </c>
      <c r="P474" t="s">
        <v>52</v>
      </c>
      <c r="Q474" t="s">
        <v>197</v>
      </c>
      <c r="R474" t="s">
        <v>53</v>
      </c>
      <c r="S474" t="s">
        <v>116</v>
      </c>
      <c r="T474" t="s">
        <v>198</v>
      </c>
      <c r="U474" t="s">
        <v>108</v>
      </c>
    </row>
    <row r="475" spans="1:21" x14ac:dyDescent="0.3">
      <c r="A475" t="s">
        <v>341</v>
      </c>
      <c r="B475" t="s">
        <v>341</v>
      </c>
      <c r="C475" t="s">
        <v>194</v>
      </c>
      <c r="D475">
        <v>1</v>
      </c>
      <c r="E475" t="s">
        <v>107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347</v>
      </c>
      <c r="L475" t="s">
        <v>343</v>
      </c>
      <c r="M475">
        <v>33</v>
      </c>
      <c r="N475">
        <v>14796</v>
      </c>
      <c r="O475" t="s">
        <v>52</v>
      </c>
      <c r="P475" t="s">
        <v>52</v>
      </c>
      <c r="Q475" t="s">
        <v>197</v>
      </c>
      <c r="R475" t="s">
        <v>53</v>
      </c>
      <c r="S475" t="s">
        <v>116</v>
      </c>
      <c r="T475" t="s">
        <v>198</v>
      </c>
      <c r="U475" t="s">
        <v>108</v>
      </c>
    </row>
    <row r="476" spans="1:21" x14ac:dyDescent="0.3">
      <c r="A476" t="s">
        <v>341</v>
      </c>
      <c r="B476" t="s">
        <v>341</v>
      </c>
      <c r="C476" t="s">
        <v>194</v>
      </c>
      <c r="D476">
        <v>1</v>
      </c>
      <c r="E476" t="s">
        <v>107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348</v>
      </c>
      <c r="L476" t="s">
        <v>343</v>
      </c>
      <c r="M476">
        <v>33</v>
      </c>
      <c r="N476">
        <v>14796</v>
      </c>
      <c r="O476" t="s">
        <v>52</v>
      </c>
      <c r="P476" t="s">
        <v>52</v>
      </c>
      <c r="Q476" t="s">
        <v>197</v>
      </c>
      <c r="R476" t="s">
        <v>53</v>
      </c>
      <c r="S476" t="s">
        <v>116</v>
      </c>
      <c r="T476" t="s">
        <v>198</v>
      </c>
      <c r="U476" t="s">
        <v>108</v>
      </c>
    </row>
    <row r="477" spans="1:21" x14ac:dyDescent="0.3">
      <c r="A477" t="s">
        <v>341</v>
      </c>
      <c r="B477" t="s">
        <v>341</v>
      </c>
      <c r="C477" t="s">
        <v>194</v>
      </c>
      <c r="D477">
        <v>1</v>
      </c>
      <c r="E477" t="s">
        <v>107</v>
      </c>
      <c r="F477">
        <v>1</v>
      </c>
      <c r="G477">
        <v>7664</v>
      </c>
      <c r="H477">
        <v>7664</v>
      </c>
      <c r="I477" t="s">
        <v>117</v>
      </c>
      <c r="J477" t="s">
        <v>51</v>
      </c>
      <c r="K477" t="s">
        <v>349</v>
      </c>
      <c r="L477" t="s">
        <v>345</v>
      </c>
      <c r="M477">
        <v>33</v>
      </c>
      <c r="O477" t="s">
        <v>52</v>
      </c>
      <c r="P477" t="s">
        <v>52</v>
      </c>
      <c r="Q477" t="s">
        <v>197</v>
      </c>
      <c r="R477" t="s">
        <v>53</v>
      </c>
      <c r="S477" t="s">
        <v>116</v>
      </c>
      <c r="T477" t="s">
        <v>198</v>
      </c>
      <c r="U477" t="s">
        <v>108</v>
      </c>
    </row>
    <row r="478" spans="1:21" x14ac:dyDescent="0.3">
      <c r="A478" t="s">
        <v>341</v>
      </c>
      <c r="B478" t="s">
        <v>341</v>
      </c>
      <c r="C478" t="s">
        <v>194</v>
      </c>
      <c r="D478">
        <v>2</v>
      </c>
      <c r="E478" t="s">
        <v>118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342</v>
      </c>
      <c r="L478" t="s">
        <v>343</v>
      </c>
      <c r="M478">
        <v>33</v>
      </c>
      <c r="N478">
        <v>14796</v>
      </c>
      <c r="O478" t="s">
        <v>52</v>
      </c>
      <c r="P478" t="s">
        <v>52</v>
      </c>
      <c r="Q478" t="s">
        <v>197</v>
      </c>
      <c r="R478" t="s">
        <v>53</v>
      </c>
      <c r="S478" t="s">
        <v>116</v>
      </c>
      <c r="T478" t="s">
        <v>198</v>
      </c>
      <c r="U478" t="s">
        <v>108</v>
      </c>
    </row>
    <row r="479" spans="1:21" x14ac:dyDescent="0.3">
      <c r="A479" t="s">
        <v>341</v>
      </c>
      <c r="B479" t="s">
        <v>341</v>
      </c>
      <c r="C479" t="s">
        <v>194</v>
      </c>
      <c r="D479">
        <v>2</v>
      </c>
      <c r="E479" t="s">
        <v>118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348</v>
      </c>
      <c r="L479" t="s">
        <v>343</v>
      </c>
      <c r="M479">
        <v>33</v>
      </c>
      <c r="N479">
        <v>14796</v>
      </c>
      <c r="O479" t="s">
        <v>52</v>
      </c>
      <c r="P479" t="s">
        <v>52</v>
      </c>
      <c r="Q479" t="s">
        <v>197</v>
      </c>
      <c r="R479" t="s">
        <v>53</v>
      </c>
      <c r="S479" t="s">
        <v>116</v>
      </c>
      <c r="T479" t="s">
        <v>198</v>
      </c>
      <c r="U479" t="s">
        <v>108</v>
      </c>
    </row>
    <row r="480" spans="1:21" x14ac:dyDescent="0.3">
      <c r="A480" t="s">
        <v>341</v>
      </c>
      <c r="B480" t="s">
        <v>341</v>
      </c>
      <c r="C480" t="s">
        <v>194</v>
      </c>
      <c r="D480">
        <v>2</v>
      </c>
      <c r="E480" t="s">
        <v>118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346</v>
      </c>
      <c r="L480" t="s">
        <v>343</v>
      </c>
      <c r="M480">
        <v>33</v>
      </c>
      <c r="N480">
        <v>14796</v>
      </c>
      <c r="O480" t="s">
        <v>52</v>
      </c>
      <c r="P480" t="s">
        <v>52</v>
      </c>
      <c r="Q480" t="s">
        <v>197</v>
      </c>
      <c r="R480" t="s">
        <v>53</v>
      </c>
      <c r="S480" t="s">
        <v>116</v>
      </c>
      <c r="T480" t="s">
        <v>198</v>
      </c>
      <c r="U480" t="s">
        <v>108</v>
      </c>
    </row>
    <row r="481" spans="1:21" x14ac:dyDescent="0.3">
      <c r="A481" t="s">
        <v>341</v>
      </c>
      <c r="B481" t="s">
        <v>341</v>
      </c>
      <c r="C481" t="s">
        <v>194</v>
      </c>
      <c r="D481">
        <v>2</v>
      </c>
      <c r="E481" t="s">
        <v>118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347</v>
      </c>
      <c r="L481" t="s">
        <v>343</v>
      </c>
      <c r="M481">
        <v>33</v>
      </c>
      <c r="N481">
        <v>14796</v>
      </c>
      <c r="O481" t="s">
        <v>52</v>
      </c>
      <c r="P481" t="s">
        <v>52</v>
      </c>
      <c r="Q481" t="s">
        <v>197</v>
      </c>
      <c r="R481" t="s">
        <v>53</v>
      </c>
      <c r="S481" t="s">
        <v>116</v>
      </c>
      <c r="T481" t="s">
        <v>198</v>
      </c>
      <c r="U481" t="s">
        <v>108</v>
      </c>
    </row>
    <row r="482" spans="1:21" x14ac:dyDescent="0.3">
      <c r="A482" t="s">
        <v>341</v>
      </c>
      <c r="B482" t="s">
        <v>341</v>
      </c>
      <c r="C482" t="s">
        <v>194</v>
      </c>
      <c r="D482">
        <v>2</v>
      </c>
      <c r="E482" t="s">
        <v>118</v>
      </c>
      <c r="F482">
        <v>1</v>
      </c>
      <c r="G482">
        <v>35</v>
      </c>
      <c r="H482">
        <v>35</v>
      </c>
      <c r="I482" t="s">
        <v>117</v>
      </c>
      <c r="J482" t="s">
        <v>51</v>
      </c>
      <c r="K482" t="s">
        <v>349</v>
      </c>
      <c r="L482" t="s">
        <v>345</v>
      </c>
      <c r="M482">
        <v>33</v>
      </c>
      <c r="O482" t="s">
        <v>52</v>
      </c>
      <c r="P482" t="s">
        <v>52</v>
      </c>
      <c r="Q482" t="s">
        <v>197</v>
      </c>
      <c r="R482" t="s">
        <v>53</v>
      </c>
      <c r="S482" t="s">
        <v>116</v>
      </c>
      <c r="T482" t="s">
        <v>198</v>
      </c>
      <c r="U482" t="s">
        <v>108</v>
      </c>
    </row>
    <row r="483" spans="1:21" x14ac:dyDescent="0.3">
      <c r="A483" t="s">
        <v>341</v>
      </c>
      <c r="B483" t="s">
        <v>341</v>
      </c>
      <c r="C483" t="s">
        <v>194</v>
      </c>
      <c r="D483">
        <v>3</v>
      </c>
      <c r="E483" t="s">
        <v>105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348</v>
      </c>
      <c r="L483" t="s">
        <v>343</v>
      </c>
      <c r="M483">
        <v>33</v>
      </c>
      <c r="N483">
        <v>14796</v>
      </c>
      <c r="O483" t="s">
        <v>52</v>
      </c>
      <c r="P483" t="s">
        <v>52</v>
      </c>
      <c r="Q483" t="s">
        <v>197</v>
      </c>
      <c r="R483" t="s">
        <v>53</v>
      </c>
      <c r="S483" t="s">
        <v>116</v>
      </c>
      <c r="T483" t="s">
        <v>198</v>
      </c>
      <c r="U483" t="s">
        <v>108</v>
      </c>
    </row>
    <row r="484" spans="1:21" x14ac:dyDescent="0.3">
      <c r="A484" t="s">
        <v>341</v>
      </c>
      <c r="B484" t="s">
        <v>341</v>
      </c>
      <c r="C484" t="s">
        <v>194</v>
      </c>
      <c r="D484">
        <v>3</v>
      </c>
      <c r="E484" t="s">
        <v>105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347</v>
      </c>
      <c r="L484" t="s">
        <v>343</v>
      </c>
      <c r="M484">
        <v>33</v>
      </c>
      <c r="N484">
        <v>14796</v>
      </c>
      <c r="O484" t="s">
        <v>52</v>
      </c>
      <c r="P484" t="s">
        <v>52</v>
      </c>
      <c r="Q484" t="s">
        <v>197</v>
      </c>
      <c r="R484" t="s">
        <v>53</v>
      </c>
      <c r="S484" t="s">
        <v>116</v>
      </c>
      <c r="T484" t="s">
        <v>198</v>
      </c>
      <c r="U484" t="s">
        <v>108</v>
      </c>
    </row>
    <row r="485" spans="1:21" x14ac:dyDescent="0.3">
      <c r="A485" t="s">
        <v>341</v>
      </c>
      <c r="B485" t="s">
        <v>341</v>
      </c>
      <c r="C485" t="s">
        <v>194</v>
      </c>
      <c r="D485">
        <v>3</v>
      </c>
      <c r="E485" t="s">
        <v>105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346</v>
      </c>
      <c r="L485" t="s">
        <v>343</v>
      </c>
      <c r="M485">
        <v>33</v>
      </c>
      <c r="N485">
        <v>14796</v>
      </c>
      <c r="O485" t="s">
        <v>52</v>
      </c>
      <c r="P485" t="s">
        <v>52</v>
      </c>
      <c r="Q485" t="s">
        <v>197</v>
      </c>
      <c r="R485" t="s">
        <v>53</v>
      </c>
      <c r="S485" t="s">
        <v>116</v>
      </c>
      <c r="T485" t="s">
        <v>198</v>
      </c>
      <c r="U485" t="s">
        <v>108</v>
      </c>
    </row>
    <row r="486" spans="1:21" x14ac:dyDescent="0.3">
      <c r="A486" t="s">
        <v>341</v>
      </c>
      <c r="B486" t="s">
        <v>341</v>
      </c>
      <c r="C486" t="s">
        <v>194</v>
      </c>
      <c r="D486">
        <v>3</v>
      </c>
      <c r="E486" t="s">
        <v>105</v>
      </c>
      <c r="F486">
        <v>1</v>
      </c>
      <c r="G486">
        <v>1075</v>
      </c>
      <c r="H486">
        <v>1075</v>
      </c>
      <c r="I486" t="s">
        <v>117</v>
      </c>
      <c r="J486" t="s">
        <v>51</v>
      </c>
      <c r="K486" t="s">
        <v>349</v>
      </c>
      <c r="L486" t="s">
        <v>345</v>
      </c>
      <c r="M486">
        <v>33</v>
      </c>
      <c r="O486" t="s">
        <v>52</v>
      </c>
      <c r="P486" t="s">
        <v>52</v>
      </c>
      <c r="Q486" t="s">
        <v>197</v>
      </c>
      <c r="R486" t="s">
        <v>53</v>
      </c>
      <c r="S486" t="s">
        <v>116</v>
      </c>
      <c r="T486" t="s">
        <v>198</v>
      </c>
      <c r="U486" t="s">
        <v>108</v>
      </c>
    </row>
    <row r="487" spans="1:21" x14ac:dyDescent="0.3">
      <c r="A487" t="s">
        <v>341</v>
      </c>
      <c r="B487" t="s">
        <v>341</v>
      </c>
      <c r="C487" t="s">
        <v>194</v>
      </c>
      <c r="D487">
        <v>3</v>
      </c>
      <c r="E487" t="s">
        <v>105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342</v>
      </c>
      <c r="L487" t="s">
        <v>343</v>
      </c>
      <c r="M487">
        <v>33</v>
      </c>
      <c r="N487">
        <v>14796</v>
      </c>
      <c r="O487" t="s">
        <v>52</v>
      </c>
      <c r="P487" t="s">
        <v>52</v>
      </c>
      <c r="Q487" t="s">
        <v>197</v>
      </c>
      <c r="R487" t="s">
        <v>53</v>
      </c>
      <c r="S487" t="s">
        <v>116</v>
      </c>
      <c r="T487" t="s">
        <v>198</v>
      </c>
      <c r="U487" t="s">
        <v>108</v>
      </c>
    </row>
    <row r="488" spans="1:21" x14ac:dyDescent="0.3">
      <c r="A488" t="s">
        <v>341</v>
      </c>
      <c r="B488" t="s">
        <v>341</v>
      </c>
      <c r="C488" t="s">
        <v>194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348</v>
      </c>
      <c r="L488" t="s">
        <v>343</v>
      </c>
      <c r="M488">
        <v>33</v>
      </c>
      <c r="N488">
        <v>14796</v>
      </c>
      <c r="O488" t="s">
        <v>52</v>
      </c>
      <c r="P488" t="s">
        <v>52</v>
      </c>
      <c r="Q488" t="s">
        <v>197</v>
      </c>
      <c r="R488" t="s">
        <v>53</v>
      </c>
      <c r="S488" t="s">
        <v>116</v>
      </c>
      <c r="T488" t="s">
        <v>198</v>
      </c>
      <c r="U488" t="s">
        <v>108</v>
      </c>
    </row>
    <row r="489" spans="1:21" x14ac:dyDescent="0.3">
      <c r="A489" t="s">
        <v>341</v>
      </c>
      <c r="B489" t="s">
        <v>341</v>
      </c>
      <c r="C489" t="s">
        <v>194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346</v>
      </c>
      <c r="L489" t="s">
        <v>343</v>
      </c>
      <c r="M489">
        <v>33</v>
      </c>
      <c r="N489">
        <v>14796</v>
      </c>
      <c r="O489" t="s">
        <v>52</v>
      </c>
      <c r="P489" t="s">
        <v>52</v>
      </c>
      <c r="Q489" t="s">
        <v>197</v>
      </c>
      <c r="R489" t="s">
        <v>53</v>
      </c>
      <c r="S489" t="s">
        <v>116</v>
      </c>
      <c r="T489" t="s">
        <v>198</v>
      </c>
      <c r="U489" t="s">
        <v>108</v>
      </c>
    </row>
    <row r="490" spans="1:21" x14ac:dyDescent="0.3">
      <c r="A490" t="s">
        <v>341</v>
      </c>
      <c r="B490" t="s">
        <v>341</v>
      </c>
      <c r="C490" t="s">
        <v>194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342</v>
      </c>
      <c r="L490" t="s">
        <v>343</v>
      </c>
      <c r="M490">
        <v>33</v>
      </c>
      <c r="N490">
        <v>14796</v>
      </c>
      <c r="O490" t="s">
        <v>52</v>
      </c>
      <c r="P490" t="s">
        <v>52</v>
      </c>
      <c r="Q490" t="s">
        <v>197</v>
      </c>
      <c r="R490" t="s">
        <v>53</v>
      </c>
      <c r="S490" t="s">
        <v>116</v>
      </c>
      <c r="T490" t="s">
        <v>198</v>
      </c>
      <c r="U490" t="s">
        <v>108</v>
      </c>
    </row>
    <row r="491" spans="1:21" x14ac:dyDescent="0.3">
      <c r="A491" t="s">
        <v>341</v>
      </c>
      <c r="B491" t="s">
        <v>341</v>
      </c>
      <c r="C491" t="s">
        <v>194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347</v>
      </c>
      <c r="L491" t="s">
        <v>343</v>
      </c>
      <c r="M491">
        <v>33</v>
      </c>
      <c r="N491">
        <v>14796</v>
      </c>
      <c r="O491" t="s">
        <v>52</v>
      </c>
      <c r="P491" t="s">
        <v>52</v>
      </c>
      <c r="Q491" t="s">
        <v>197</v>
      </c>
      <c r="R491" t="s">
        <v>53</v>
      </c>
      <c r="S491" t="s">
        <v>116</v>
      </c>
      <c r="T491" t="s">
        <v>198</v>
      </c>
      <c r="U491" t="s">
        <v>108</v>
      </c>
    </row>
    <row r="492" spans="1:21" x14ac:dyDescent="0.3">
      <c r="A492" t="s">
        <v>341</v>
      </c>
      <c r="B492" t="s">
        <v>341</v>
      </c>
      <c r="C492" t="s">
        <v>194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119</v>
      </c>
      <c r="J492" t="s">
        <v>58</v>
      </c>
      <c r="K492" t="s">
        <v>344</v>
      </c>
      <c r="L492" t="s">
        <v>345</v>
      </c>
      <c r="M492">
        <v>33</v>
      </c>
      <c r="O492" t="s">
        <v>52</v>
      </c>
      <c r="P492" t="s">
        <v>52</v>
      </c>
      <c r="Q492" t="s">
        <v>197</v>
      </c>
      <c r="R492" t="s">
        <v>53</v>
      </c>
      <c r="S492" t="s">
        <v>116</v>
      </c>
      <c r="T492" t="s">
        <v>198</v>
      </c>
      <c r="U492" t="s">
        <v>108</v>
      </c>
    </row>
    <row r="493" spans="1:21" x14ac:dyDescent="0.3">
      <c r="A493" t="s">
        <v>341</v>
      </c>
      <c r="B493" t="s">
        <v>341</v>
      </c>
      <c r="C493" t="s">
        <v>194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117</v>
      </c>
      <c r="J493" t="s">
        <v>51</v>
      </c>
      <c r="K493" t="s">
        <v>349</v>
      </c>
      <c r="L493" t="s">
        <v>345</v>
      </c>
      <c r="M493">
        <v>33</v>
      </c>
      <c r="O493" t="s">
        <v>52</v>
      </c>
      <c r="P493" t="s">
        <v>52</v>
      </c>
      <c r="Q493" t="s">
        <v>197</v>
      </c>
      <c r="R493" t="s">
        <v>53</v>
      </c>
      <c r="S493" t="s">
        <v>116</v>
      </c>
      <c r="T493" t="s">
        <v>198</v>
      </c>
      <c r="U493" t="s">
        <v>108</v>
      </c>
    </row>
    <row r="494" spans="1:21" x14ac:dyDescent="0.3">
      <c r="A494" t="s">
        <v>341</v>
      </c>
      <c r="B494" t="s">
        <v>341</v>
      </c>
      <c r="C494" t="s">
        <v>194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342</v>
      </c>
      <c r="L494" t="s">
        <v>343</v>
      </c>
      <c r="M494">
        <v>33</v>
      </c>
      <c r="N494">
        <v>14796</v>
      </c>
      <c r="O494" t="s">
        <v>52</v>
      </c>
      <c r="P494" t="s">
        <v>52</v>
      </c>
      <c r="Q494" t="s">
        <v>197</v>
      </c>
      <c r="R494" t="s">
        <v>53</v>
      </c>
      <c r="S494" t="s">
        <v>116</v>
      </c>
      <c r="T494" t="s">
        <v>198</v>
      </c>
      <c r="U494" t="s">
        <v>108</v>
      </c>
    </row>
    <row r="495" spans="1:21" x14ac:dyDescent="0.3">
      <c r="A495" t="s">
        <v>341</v>
      </c>
      <c r="B495" t="s">
        <v>341</v>
      </c>
      <c r="C495" t="s">
        <v>194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117</v>
      </c>
      <c r="J495" t="s">
        <v>51</v>
      </c>
      <c r="K495" t="s">
        <v>349</v>
      </c>
      <c r="L495" t="s">
        <v>345</v>
      </c>
      <c r="M495">
        <v>33</v>
      </c>
      <c r="O495" t="s">
        <v>52</v>
      </c>
      <c r="P495" t="s">
        <v>52</v>
      </c>
      <c r="Q495" t="s">
        <v>197</v>
      </c>
      <c r="R495" t="s">
        <v>53</v>
      </c>
      <c r="S495" t="s">
        <v>116</v>
      </c>
      <c r="T495" t="s">
        <v>198</v>
      </c>
      <c r="U495" t="s">
        <v>108</v>
      </c>
    </row>
    <row r="496" spans="1:21" x14ac:dyDescent="0.3">
      <c r="A496" t="s">
        <v>341</v>
      </c>
      <c r="B496" t="s">
        <v>341</v>
      </c>
      <c r="C496" t="s">
        <v>194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346</v>
      </c>
      <c r="L496" t="s">
        <v>343</v>
      </c>
      <c r="M496">
        <v>33</v>
      </c>
      <c r="N496">
        <v>14796</v>
      </c>
      <c r="O496" t="s">
        <v>52</v>
      </c>
      <c r="P496" t="s">
        <v>52</v>
      </c>
      <c r="Q496" t="s">
        <v>197</v>
      </c>
      <c r="R496" t="s">
        <v>53</v>
      </c>
      <c r="S496" t="s">
        <v>116</v>
      </c>
      <c r="T496" t="s">
        <v>198</v>
      </c>
      <c r="U496" t="s">
        <v>108</v>
      </c>
    </row>
    <row r="497" spans="1:21" x14ac:dyDescent="0.3">
      <c r="A497" t="s">
        <v>341</v>
      </c>
      <c r="B497" t="s">
        <v>341</v>
      </c>
      <c r="C497" t="s">
        <v>194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347</v>
      </c>
      <c r="L497" t="s">
        <v>343</v>
      </c>
      <c r="M497">
        <v>33</v>
      </c>
      <c r="N497">
        <v>14796</v>
      </c>
      <c r="O497" t="s">
        <v>52</v>
      </c>
      <c r="P497" t="s">
        <v>52</v>
      </c>
      <c r="Q497" t="s">
        <v>197</v>
      </c>
      <c r="R497" t="s">
        <v>53</v>
      </c>
      <c r="S497" t="s">
        <v>116</v>
      </c>
      <c r="T497" t="s">
        <v>198</v>
      </c>
      <c r="U497" t="s">
        <v>108</v>
      </c>
    </row>
    <row r="498" spans="1:21" x14ac:dyDescent="0.3">
      <c r="A498" t="s">
        <v>341</v>
      </c>
      <c r="B498" t="s">
        <v>341</v>
      </c>
      <c r="C498" t="s">
        <v>194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348</v>
      </c>
      <c r="L498" t="s">
        <v>343</v>
      </c>
      <c r="M498">
        <v>33</v>
      </c>
      <c r="N498">
        <v>14796</v>
      </c>
      <c r="O498" t="s">
        <v>52</v>
      </c>
      <c r="P498" t="s">
        <v>52</v>
      </c>
      <c r="Q498" t="s">
        <v>197</v>
      </c>
      <c r="R498" t="s">
        <v>53</v>
      </c>
      <c r="S498" t="s">
        <v>116</v>
      </c>
      <c r="T498" t="s">
        <v>198</v>
      </c>
      <c r="U498" t="s">
        <v>108</v>
      </c>
    </row>
    <row r="499" spans="1:21" x14ac:dyDescent="0.3">
      <c r="A499" t="s">
        <v>350</v>
      </c>
      <c r="B499" t="s">
        <v>350</v>
      </c>
      <c r="C499" t="s">
        <v>194</v>
      </c>
      <c r="D499">
        <v>1</v>
      </c>
      <c r="E499" t="s">
        <v>107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351</v>
      </c>
      <c r="L499" t="s">
        <v>352</v>
      </c>
      <c r="M499">
        <v>33</v>
      </c>
      <c r="N499">
        <v>15128</v>
      </c>
      <c r="O499" t="s">
        <v>52</v>
      </c>
      <c r="P499" t="s">
        <v>52</v>
      </c>
      <c r="Q499" t="s">
        <v>197</v>
      </c>
      <c r="R499" t="s">
        <v>53</v>
      </c>
      <c r="S499" t="s">
        <v>116</v>
      </c>
      <c r="T499" t="s">
        <v>198</v>
      </c>
      <c r="U499" t="s">
        <v>108</v>
      </c>
    </row>
    <row r="500" spans="1:21" x14ac:dyDescent="0.3">
      <c r="A500" t="s">
        <v>350</v>
      </c>
      <c r="B500" t="s">
        <v>350</v>
      </c>
      <c r="C500" t="s">
        <v>194</v>
      </c>
      <c r="D500">
        <v>1</v>
      </c>
      <c r="E500" t="s">
        <v>107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353</v>
      </c>
      <c r="L500" t="s">
        <v>352</v>
      </c>
      <c r="M500">
        <v>33</v>
      </c>
      <c r="N500">
        <v>15128</v>
      </c>
      <c r="O500" t="s">
        <v>52</v>
      </c>
      <c r="P500" t="s">
        <v>52</v>
      </c>
      <c r="Q500" t="s">
        <v>197</v>
      </c>
      <c r="R500" t="s">
        <v>53</v>
      </c>
      <c r="S500" t="s">
        <v>116</v>
      </c>
      <c r="T500" t="s">
        <v>198</v>
      </c>
      <c r="U500" t="s">
        <v>108</v>
      </c>
    </row>
    <row r="501" spans="1:21" x14ac:dyDescent="0.3">
      <c r="A501" t="s">
        <v>350</v>
      </c>
      <c r="B501" t="s">
        <v>350</v>
      </c>
      <c r="C501" t="s">
        <v>194</v>
      </c>
      <c r="D501">
        <v>1</v>
      </c>
      <c r="E501" t="s">
        <v>107</v>
      </c>
      <c r="F501">
        <v>1</v>
      </c>
      <c r="G501">
        <v>8</v>
      </c>
      <c r="H501">
        <v>8</v>
      </c>
      <c r="I501" t="s">
        <v>119</v>
      </c>
      <c r="J501" t="s">
        <v>58</v>
      </c>
      <c r="K501" t="s">
        <v>354</v>
      </c>
      <c r="L501" t="s">
        <v>355</v>
      </c>
      <c r="M501">
        <v>33</v>
      </c>
      <c r="O501" t="s">
        <v>52</v>
      </c>
      <c r="P501" t="s">
        <v>52</v>
      </c>
      <c r="Q501" t="s">
        <v>197</v>
      </c>
      <c r="R501" t="s">
        <v>53</v>
      </c>
      <c r="S501" t="s">
        <v>116</v>
      </c>
      <c r="T501" t="s">
        <v>198</v>
      </c>
      <c r="U501" t="s">
        <v>108</v>
      </c>
    </row>
    <row r="502" spans="1:21" x14ac:dyDescent="0.3">
      <c r="A502" t="s">
        <v>350</v>
      </c>
      <c r="B502" t="s">
        <v>350</v>
      </c>
      <c r="C502" t="s">
        <v>194</v>
      </c>
      <c r="D502">
        <v>1</v>
      </c>
      <c r="E502" t="s">
        <v>107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356</v>
      </c>
      <c r="L502" t="s">
        <v>352</v>
      </c>
      <c r="M502">
        <v>33</v>
      </c>
      <c r="N502">
        <v>15128</v>
      </c>
      <c r="O502" t="s">
        <v>52</v>
      </c>
      <c r="P502" t="s">
        <v>52</v>
      </c>
      <c r="Q502" t="s">
        <v>197</v>
      </c>
      <c r="R502" t="s">
        <v>53</v>
      </c>
      <c r="S502" t="s">
        <v>116</v>
      </c>
      <c r="T502" t="s">
        <v>198</v>
      </c>
      <c r="U502" t="s">
        <v>108</v>
      </c>
    </row>
    <row r="503" spans="1:21" x14ac:dyDescent="0.3">
      <c r="A503" t="s">
        <v>350</v>
      </c>
      <c r="B503" t="s">
        <v>350</v>
      </c>
      <c r="C503" t="s">
        <v>194</v>
      </c>
      <c r="D503">
        <v>1</v>
      </c>
      <c r="E503" t="s">
        <v>107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357</v>
      </c>
      <c r="L503" t="s">
        <v>352</v>
      </c>
      <c r="M503">
        <v>33</v>
      </c>
      <c r="N503">
        <v>15128</v>
      </c>
      <c r="O503" t="s">
        <v>52</v>
      </c>
      <c r="P503" t="s">
        <v>52</v>
      </c>
      <c r="Q503" t="s">
        <v>197</v>
      </c>
      <c r="R503" t="s">
        <v>53</v>
      </c>
      <c r="S503" t="s">
        <v>116</v>
      </c>
      <c r="T503" t="s">
        <v>198</v>
      </c>
      <c r="U503" t="s">
        <v>108</v>
      </c>
    </row>
    <row r="504" spans="1:21" x14ac:dyDescent="0.3">
      <c r="A504" t="s">
        <v>350</v>
      </c>
      <c r="B504" t="s">
        <v>350</v>
      </c>
      <c r="C504" t="s">
        <v>194</v>
      </c>
      <c r="D504">
        <v>1</v>
      </c>
      <c r="E504" t="s">
        <v>107</v>
      </c>
      <c r="F504">
        <v>1</v>
      </c>
      <c r="G504">
        <v>689</v>
      </c>
      <c r="H504">
        <v>689</v>
      </c>
      <c r="I504" t="s">
        <v>117</v>
      </c>
      <c r="J504" t="s">
        <v>51</v>
      </c>
      <c r="K504" t="s">
        <v>358</v>
      </c>
      <c r="L504" t="s">
        <v>355</v>
      </c>
      <c r="M504">
        <v>33</v>
      </c>
      <c r="O504" t="s">
        <v>52</v>
      </c>
      <c r="P504" t="s">
        <v>52</v>
      </c>
      <c r="Q504" t="s">
        <v>197</v>
      </c>
      <c r="R504" t="s">
        <v>53</v>
      </c>
      <c r="S504" t="s">
        <v>116</v>
      </c>
      <c r="T504" t="s">
        <v>198</v>
      </c>
      <c r="U504" t="s">
        <v>108</v>
      </c>
    </row>
    <row r="505" spans="1:21" x14ac:dyDescent="0.3">
      <c r="A505" t="s">
        <v>350</v>
      </c>
      <c r="B505" t="s">
        <v>350</v>
      </c>
      <c r="C505" t="s">
        <v>194</v>
      </c>
      <c r="D505">
        <v>2</v>
      </c>
      <c r="E505" t="s">
        <v>118</v>
      </c>
      <c r="F505">
        <v>1</v>
      </c>
      <c r="G505">
        <v>2</v>
      </c>
      <c r="H505">
        <v>2</v>
      </c>
      <c r="I505" t="s">
        <v>117</v>
      </c>
      <c r="J505" t="s">
        <v>51</v>
      </c>
      <c r="K505" t="s">
        <v>358</v>
      </c>
      <c r="L505" t="s">
        <v>355</v>
      </c>
      <c r="M505">
        <v>33</v>
      </c>
      <c r="O505" t="s">
        <v>52</v>
      </c>
      <c r="P505" t="s">
        <v>52</v>
      </c>
      <c r="Q505" t="s">
        <v>197</v>
      </c>
      <c r="R505" t="s">
        <v>53</v>
      </c>
      <c r="S505" t="s">
        <v>116</v>
      </c>
      <c r="T505" t="s">
        <v>198</v>
      </c>
      <c r="U505" t="s">
        <v>108</v>
      </c>
    </row>
    <row r="506" spans="1:21" x14ac:dyDescent="0.3">
      <c r="A506" t="s">
        <v>350</v>
      </c>
      <c r="B506" t="s">
        <v>350</v>
      </c>
      <c r="C506" t="s">
        <v>194</v>
      </c>
      <c r="D506">
        <v>2</v>
      </c>
      <c r="E506" t="s">
        <v>118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357</v>
      </c>
      <c r="L506" t="s">
        <v>352</v>
      </c>
      <c r="M506">
        <v>33</v>
      </c>
      <c r="N506">
        <v>15128</v>
      </c>
      <c r="O506" t="s">
        <v>52</v>
      </c>
      <c r="P506" t="s">
        <v>52</v>
      </c>
      <c r="Q506" t="s">
        <v>197</v>
      </c>
      <c r="R506" t="s">
        <v>53</v>
      </c>
      <c r="S506" t="s">
        <v>116</v>
      </c>
      <c r="T506" t="s">
        <v>198</v>
      </c>
      <c r="U506" t="s">
        <v>108</v>
      </c>
    </row>
    <row r="507" spans="1:21" x14ac:dyDescent="0.3">
      <c r="A507" t="s">
        <v>350</v>
      </c>
      <c r="B507" t="s">
        <v>350</v>
      </c>
      <c r="C507" t="s">
        <v>194</v>
      </c>
      <c r="D507">
        <v>2</v>
      </c>
      <c r="E507" t="s">
        <v>118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356</v>
      </c>
      <c r="L507" t="s">
        <v>352</v>
      </c>
      <c r="M507">
        <v>33</v>
      </c>
      <c r="N507">
        <v>15128</v>
      </c>
      <c r="O507" t="s">
        <v>52</v>
      </c>
      <c r="P507" t="s">
        <v>52</v>
      </c>
      <c r="Q507" t="s">
        <v>197</v>
      </c>
      <c r="R507" t="s">
        <v>53</v>
      </c>
      <c r="S507" t="s">
        <v>116</v>
      </c>
      <c r="T507" t="s">
        <v>198</v>
      </c>
      <c r="U507" t="s">
        <v>108</v>
      </c>
    </row>
    <row r="508" spans="1:21" x14ac:dyDescent="0.3">
      <c r="A508" t="s">
        <v>350</v>
      </c>
      <c r="B508" t="s">
        <v>350</v>
      </c>
      <c r="C508" t="s">
        <v>194</v>
      </c>
      <c r="D508">
        <v>2</v>
      </c>
      <c r="E508" t="s">
        <v>118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351</v>
      </c>
      <c r="L508" t="s">
        <v>352</v>
      </c>
      <c r="M508">
        <v>33</v>
      </c>
      <c r="N508">
        <v>15128</v>
      </c>
      <c r="O508" t="s">
        <v>52</v>
      </c>
      <c r="P508" t="s">
        <v>52</v>
      </c>
      <c r="Q508" t="s">
        <v>197</v>
      </c>
      <c r="R508" t="s">
        <v>53</v>
      </c>
      <c r="S508" t="s">
        <v>116</v>
      </c>
      <c r="T508" t="s">
        <v>198</v>
      </c>
      <c r="U508" t="s">
        <v>108</v>
      </c>
    </row>
    <row r="509" spans="1:21" x14ac:dyDescent="0.3">
      <c r="A509" t="s">
        <v>350</v>
      </c>
      <c r="B509" t="s">
        <v>350</v>
      </c>
      <c r="C509" t="s">
        <v>194</v>
      </c>
      <c r="D509">
        <v>2</v>
      </c>
      <c r="E509" t="s">
        <v>118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353</v>
      </c>
      <c r="L509" t="s">
        <v>352</v>
      </c>
      <c r="M509">
        <v>33</v>
      </c>
      <c r="N509">
        <v>15128</v>
      </c>
      <c r="O509" t="s">
        <v>52</v>
      </c>
      <c r="P509" t="s">
        <v>52</v>
      </c>
      <c r="Q509" t="s">
        <v>197</v>
      </c>
      <c r="R509" t="s">
        <v>53</v>
      </c>
      <c r="S509" t="s">
        <v>116</v>
      </c>
      <c r="T509" t="s">
        <v>198</v>
      </c>
      <c r="U509" t="s">
        <v>108</v>
      </c>
    </row>
    <row r="510" spans="1:21" x14ac:dyDescent="0.3">
      <c r="A510" t="s">
        <v>350</v>
      </c>
      <c r="B510" t="s">
        <v>350</v>
      </c>
      <c r="C510" t="s">
        <v>194</v>
      </c>
      <c r="D510">
        <v>3</v>
      </c>
      <c r="E510" t="s">
        <v>105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357</v>
      </c>
      <c r="L510" t="s">
        <v>352</v>
      </c>
      <c r="M510">
        <v>33</v>
      </c>
      <c r="N510">
        <v>15128</v>
      </c>
      <c r="O510" t="s">
        <v>52</v>
      </c>
      <c r="P510" t="s">
        <v>52</v>
      </c>
      <c r="Q510" t="s">
        <v>197</v>
      </c>
      <c r="R510" t="s">
        <v>53</v>
      </c>
      <c r="S510" t="s">
        <v>116</v>
      </c>
      <c r="T510" t="s">
        <v>198</v>
      </c>
      <c r="U510" t="s">
        <v>108</v>
      </c>
    </row>
    <row r="511" spans="1:21" x14ac:dyDescent="0.3">
      <c r="A511" t="s">
        <v>350</v>
      </c>
      <c r="B511" t="s">
        <v>350</v>
      </c>
      <c r="C511" t="s">
        <v>194</v>
      </c>
      <c r="D511">
        <v>3</v>
      </c>
      <c r="E511" t="s">
        <v>105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356</v>
      </c>
      <c r="L511" t="s">
        <v>352</v>
      </c>
      <c r="M511">
        <v>33</v>
      </c>
      <c r="N511">
        <v>15128</v>
      </c>
      <c r="O511" t="s">
        <v>52</v>
      </c>
      <c r="P511" t="s">
        <v>52</v>
      </c>
      <c r="Q511" t="s">
        <v>197</v>
      </c>
      <c r="R511" t="s">
        <v>53</v>
      </c>
      <c r="S511" t="s">
        <v>116</v>
      </c>
      <c r="T511" t="s">
        <v>198</v>
      </c>
      <c r="U511" t="s">
        <v>108</v>
      </c>
    </row>
    <row r="512" spans="1:21" x14ac:dyDescent="0.3">
      <c r="A512" t="s">
        <v>350</v>
      </c>
      <c r="B512" t="s">
        <v>350</v>
      </c>
      <c r="C512" t="s">
        <v>194</v>
      </c>
      <c r="D512">
        <v>3</v>
      </c>
      <c r="E512" t="s">
        <v>105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353</v>
      </c>
      <c r="L512" t="s">
        <v>352</v>
      </c>
      <c r="M512">
        <v>33</v>
      </c>
      <c r="N512">
        <v>15128</v>
      </c>
      <c r="O512" t="s">
        <v>52</v>
      </c>
      <c r="P512" t="s">
        <v>52</v>
      </c>
      <c r="Q512" t="s">
        <v>197</v>
      </c>
      <c r="R512" t="s">
        <v>53</v>
      </c>
      <c r="S512" t="s">
        <v>116</v>
      </c>
      <c r="T512" t="s">
        <v>198</v>
      </c>
      <c r="U512" t="s">
        <v>108</v>
      </c>
    </row>
    <row r="513" spans="1:21" x14ac:dyDescent="0.3">
      <c r="A513" t="s">
        <v>350</v>
      </c>
      <c r="B513" t="s">
        <v>350</v>
      </c>
      <c r="C513" t="s">
        <v>194</v>
      </c>
      <c r="D513">
        <v>3</v>
      </c>
      <c r="E513" t="s">
        <v>105</v>
      </c>
      <c r="F513">
        <v>1</v>
      </c>
      <c r="G513">
        <v>2</v>
      </c>
      <c r="H513">
        <v>2</v>
      </c>
      <c r="I513" t="s">
        <v>119</v>
      </c>
      <c r="J513" t="s">
        <v>58</v>
      </c>
      <c r="K513" t="s">
        <v>354</v>
      </c>
      <c r="L513" t="s">
        <v>355</v>
      </c>
      <c r="M513">
        <v>33</v>
      </c>
      <c r="O513" t="s">
        <v>52</v>
      </c>
      <c r="P513" t="s">
        <v>52</v>
      </c>
      <c r="Q513" t="s">
        <v>197</v>
      </c>
      <c r="R513" t="s">
        <v>53</v>
      </c>
      <c r="S513" t="s">
        <v>116</v>
      </c>
      <c r="T513" t="s">
        <v>198</v>
      </c>
      <c r="U513" t="s">
        <v>108</v>
      </c>
    </row>
    <row r="514" spans="1:21" x14ac:dyDescent="0.3">
      <c r="A514" t="s">
        <v>350</v>
      </c>
      <c r="B514" t="s">
        <v>350</v>
      </c>
      <c r="C514" t="s">
        <v>194</v>
      </c>
      <c r="D514">
        <v>3</v>
      </c>
      <c r="E514" t="s">
        <v>105</v>
      </c>
      <c r="F514">
        <v>1</v>
      </c>
      <c r="G514">
        <v>99</v>
      </c>
      <c r="H514">
        <v>99</v>
      </c>
      <c r="I514" t="s">
        <v>117</v>
      </c>
      <c r="J514" t="s">
        <v>51</v>
      </c>
      <c r="K514" t="s">
        <v>358</v>
      </c>
      <c r="L514" t="s">
        <v>355</v>
      </c>
      <c r="M514">
        <v>33</v>
      </c>
      <c r="O514" t="s">
        <v>52</v>
      </c>
      <c r="P514" t="s">
        <v>52</v>
      </c>
      <c r="Q514" t="s">
        <v>197</v>
      </c>
      <c r="R514" t="s">
        <v>53</v>
      </c>
      <c r="S514" t="s">
        <v>116</v>
      </c>
      <c r="T514" t="s">
        <v>198</v>
      </c>
      <c r="U514" t="s">
        <v>108</v>
      </c>
    </row>
    <row r="515" spans="1:21" x14ac:dyDescent="0.3">
      <c r="A515" t="s">
        <v>350</v>
      </c>
      <c r="B515" t="s">
        <v>350</v>
      </c>
      <c r="C515" t="s">
        <v>194</v>
      </c>
      <c r="D515">
        <v>3</v>
      </c>
      <c r="E515" t="s">
        <v>105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351</v>
      </c>
      <c r="L515" t="s">
        <v>352</v>
      </c>
      <c r="M515">
        <v>33</v>
      </c>
      <c r="N515">
        <v>15128</v>
      </c>
      <c r="O515" t="s">
        <v>52</v>
      </c>
      <c r="P515" t="s">
        <v>52</v>
      </c>
      <c r="Q515" t="s">
        <v>197</v>
      </c>
      <c r="R515" t="s">
        <v>53</v>
      </c>
      <c r="S515" t="s">
        <v>116</v>
      </c>
      <c r="T515" t="s">
        <v>198</v>
      </c>
      <c r="U515" t="s">
        <v>108</v>
      </c>
    </row>
    <row r="516" spans="1:21" x14ac:dyDescent="0.3">
      <c r="A516" t="s">
        <v>350</v>
      </c>
      <c r="B516" t="s">
        <v>350</v>
      </c>
      <c r="C516" t="s">
        <v>194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356</v>
      </c>
      <c r="L516" t="s">
        <v>352</v>
      </c>
      <c r="M516">
        <v>33</v>
      </c>
      <c r="N516">
        <v>15128</v>
      </c>
      <c r="O516" t="s">
        <v>52</v>
      </c>
      <c r="P516" t="s">
        <v>52</v>
      </c>
      <c r="Q516" t="s">
        <v>197</v>
      </c>
      <c r="R516" t="s">
        <v>53</v>
      </c>
      <c r="S516" t="s">
        <v>116</v>
      </c>
      <c r="T516" t="s">
        <v>198</v>
      </c>
      <c r="U516" t="s">
        <v>108</v>
      </c>
    </row>
    <row r="517" spans="1:21" x14ac:dyDescent="0.3">
      <c r="A517" t="s">
        <v>350</v>
      </c>
      <c r="B517" t="s">
        <v>350</v>
      </c>
      <c r="C517" t="s">
        <v>194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353</v>
      </c>
      <c r="L517" t="s">
        <v>352</v>
      </c>
      <c r="M517">
        <v>33</v>
      </c>
      <c r="N517">
        <v>15128</v>
      </c>
      <c r="O517" t="s">
        <v>52</v>
      </c>
      <c r="P517" t="s">
        <v>52</v>
      </c>
      <c r="Q517" t="s">
        <v>197</v>
      </c>
      <c r="R517" t="s">
        <v>53</v>
      </c>
      <c r="S517" t="s">
        <v>116</v>
      </c>
      <c r="T517" t="s">
        <v>198</v>
      </c>
      <c r="U517" t="s">
        <v>108</v>
      </c>
    </row>
    <row r="518" spans="1:21" x14ac:dyDescent="0.3">
      <c r="A518" t="s">
        <v>350</v>
      </c>
      <c r="B518" t="s">
        <v>350</v>
      </c>
      <c r="C518" t="s">
        <v>194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119</v>
      </c>
      <c r="J518" t="s">
        <v>58</v>
      </c>
      <c r="K518" t="s">
        <v>354</v>
      </c>
      <c r="L518" t="s">
        <v>355</v>
      </c>
      <c r="M518">
        <v>33</v>
      </c>
      <c r="O518" t="s">
        <v>52</v>
      </c>
      <c r="P518" t="s">
        <v>52</v>
      </c>
      <c r="Q518" t="s">
        <v>197</v>
      </c>
      <c r="R518" t="s">
        <v>53</v>
      </c>
      <c r="S518" t="s">
        <v>116</v>
      </c>
      <c r="T518" t="s">
        <v>198</v>
      </c>
      <c r="U518" t="s">
        <v>108</v>
      </c>
    </row>
    <row r="519" spans="1:21" x14ac:dyDescent="0.3">
      <c r="A519" t="s">
        <v>350</v>
      </c>
      <c r="B519" t="s">
        <v>350</v>
      </c>
      <c r="C519" t="s">
        <v>194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357</v>
      </c>
      <c r="L519" t="s">
        <v>352</v>
      </c>
      <c r="M519">
        <v>33</v>
      </c>
      <c r="N519">
        <v>15128</v>
      </c>
      <c r="O519" t="s">
        <v>52</v>
      </c>
      <c r="P519" t="s">
        <v>52</v>
      </c>
      <c r="Q519" t="s">
        <v>197</v>
      </c>
      <c r="R519" t="s">
        <v>53</v>
      </c>
      <c r="S519" t="s">
        <v>116</v>
      </c>
      <c r="T519" t="s">
        <v>198</v>
      </c>
      <c r="U519" t="s">
        <v>108</v>
      </c>
    </row>
    <row r="520" spans="1:21" x14ac:dyDescent="0.3">
      <c r="A520" t="s">
        <v>350</v>
      </c>
      <c r="B520" t="s">
        <v>350</v>
      </c>
      <c r="C520" t="s">
        <v>194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117</v>
      </c>
      <c r="J520" t="s">
        <v>51</v>
      </c>
      <c r="K520" t="s">
        <v>358</v>
      </c>
      <c r="L520" t="s">
        <v>355</v>
      </c>
      <c r="M520">
        <v>33</v>
      </c>
      <c r="O520" t="s">
        <v>52</v>
      </c>
      <c r="P520" t="s">
        <v>52</v>
      </c>
      <c r="Q520" t="s">
        <v>197</v>
      </c>
      <c r="R520" t="s">
        <v>53</v>
      </c>
      <c r="S520" t="s">
        <v>116</v>
      </c>
      <c r="T520" t="s">
        <v>198</v>
      </c>
      <c r="U520" t="s">
        <v>108</v>
      </c>
    </row>
    <row r="521" spans="1:21" x14ac:dyDescent="0.3">
      <c r="A521" t="s">
        <v>350</v>
      </c>
      <c r="B521" t="s">
        <v>350</v>
      </c>
      <c r="C521" t="s">
        <v>194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351</v>
      </c>
      <c r="L521" t="s">
        <v>352</v>
      </c>
      <c r="M521">
        <v>33</v>
      </c>
      <c r="N521">
        <v>15128</v>
      </c>
      <c r="O521" t="s">
        <v>52</v>
      </c>
      <c r="P521" t="s">
        <v>52</v>
      </c>
      <c r="Q521" t="s">
        <v>197</v>
      </c>
      <c r="R521" t="s">
        <v>53</v>
      </c>
      <c r="S521" t="s">
        <v>116</v>
      </c>
      <c r="T521" t="s">
        <v>198</v>
      </c>
      <c r="U521" t="s">
        <v>108</v>
      </c>
    </row>
    <row r="522" spans="1:21" x14ac:dyDescent="0.3">
      <c r="A522" t="s">
        <v>350</v>
      </c>
      <c r="B522" t="s">
        <v>350</v>
      </c>
      <c r="C522" t="s">
        <v>194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357</v>
      </c>
      <c r="L522" t="s">
        <v>352</v>
      </c>
      <c r="M522">
        <v>33</v>
      </c>
      <c r="N522">
        <v>15128</v>
      </c>
      <c r="O522" t="s">
        <v>52</v>
      </c>
      <c r="P522" t="s">
        <v>52</v>
      </c>
      <c r="Q522" t="s">
        <v>197</v>
      </c>
      <c r="R522" t="s">
        <v>53</v>
      </c>
      <c r="S522" t="s">
        <v>116</v>
      </c>
      <c r="T522" t="s">
        <v>198</v>
      </c>
      <c r="U522" t="s">
        <v>108</v>
      </c>
    </row>
    <row r="523" spans="1:21" x14ac:dyDescent="0.3">
      <c r="A523" t="s">
        <v>350</v>
      </c>
      <c r="B523" t="s">
        <v>350</v>
      </c>
      <c r="C523" t="s">
        <v>194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117</v>
      </c>
      <c r="J523" t="s">
        <v>51</v>
      </c>
      <c r="K523" t="s">
        <v>358</v>
      </c>
      <c r="L523" t="s">
        <v>355</v>
      </c>
      <c r="M523">
        <v>33</v>
      </c>
      <c r="O523" t="s">
        <v>52</v>
      </c>
      <c r="P523" t="s">
        <v>52</v>
      </c>
      <c r="Q523" t="s">
        <v>197</v>
      </c>
      <c r="R523" t="s">
        <v>53</v>
      </c>
      <c r="S523" t="s">
        <v>116</v>
      </c>
      <c r="T523" t="s">
        <v>198</v>
      </c>
      <c r="U523" t="s">
        <v>108</v>
      </c>
    </row>
    <row r="524" spans="1:21" x14ac:dyDescent="0.3">
      <c r="A524" t="s">
        <v>350</v>
      </c>
      <c r="B524" t="s">
        <v>350</v>
      </c>
      <c r="C524" t="s">
        <v>194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353</v>
      </c>
      <c r="L524" t="s">
        <v>352</v>
      </c>
      <c r="M524">
        <v>33</v>
      </c>
      <c r="N524">
        <v>15128</v>
      </c>
      <c r="O524" t="s">
        <v>52</v>
      </c>
      <c r="P524" t="s">
        <v>52</v>
      </c>
      <c r="Q524" t="s">
        <v>197</v>
      </c>
      <c r="R524" t="s">
        <v>53</v>
      </c>
      <c r="S524" t="s">
        <v>116</v>
      </c>
      <c r="T524" t="s">
        <v>198</v>
      </c>
      <c r="U524" t="s">
        <v>108</v>
      </c>
    </row>
    <row r="525" spans="1:21" x14ac:dyDescent="0.3">
      <c r="A525" t="s">
        <v>350</v>
      </c>
      <c r="B525" t="s">
        <v>350</v>
      </c>
      <c r="C525" t="s">
        <v>194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351</v>
      </c>
      <c r="L525" t="s">
        <v>352</v>
      </c>
      <c r="M525">
        <v>33</v>
      </c>
      <c r="N525">
        <v>15128</v>
      </c>
      <c r="O525" t="s">
        <v>52</v>
      </c>
      <c r="P525" t="s">
        <v>52</v>
      </c>
      <c r="Q525" t="s">
        <v>197</v>
      </c>
      <c r="R525" t="s">
        <v>53</v>
      </c>
      <c r="S525" t="s">
        <v>116</v>
      </c>
      <c r="T525" t="s">
        <v>198</v>
      </c>
      <c r="U525" t="s">
        <v>108</v>
      </c>
    </row>
    <row r="526" spans="1:21" x14ac:dyDescent="0.3">
      <c r="A526" t="s">
        <v>350</v>
      </c>
      <c r="B526" t="s">
        <v>350</v>
      </c>
      <c r="C526" t="s">
        <v>194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356</v>
      </c>
      <c r="L526" t="s">
        <v>352</v>
      </c>
      <c r="M526">
        <v>33</v>
      </c>
      <c r="N526">
        <v>15128</v>
      </c>
      <c r="O526" t="s">
        <v>52</v>
      </c>
      <c r="P526" t="s">
        <v>52</v>
      </c>
      <c r="Q526" t="s">
        <v>197</v>
      </c>
      <c r="R526" t="s">
        <v>53</v>
      </c>
      <c r="S526" t="s">
        <v>116</v>
      </c>
      <c r="T526" t="s">
        <v>198</v>
      </c>
      <c r="U526" t="s">
        <v>108</v>
      </c>
    </row>
    <row r="527" spans="1:21" x14ac:dyDescent="0.3">
      <c r="A527" t="s">
        <v>359</v>
      </c>
      <c r="B527" t="s">
        <v>359</v>
      </c>
      <c r="C527" t="s">
        <v>194</v>
      </c>
      <c r="D527">
        <v>1</v>
      </c>
      <c r="E527" t="s">
        <v>107</v>
      </c>
      <c r="F527">
        <v>1</v>
      </c>
      <c r="G527">
        <v>-323</v>
      </c>
      <c r="H527">
        <v>-323</v>
      </c>
      <c r="I527" t="s">
        <v>117</v>
      </c>
      <c r="J527" t="s">
        <v>51</v>
      </c>
      <c r="K527" t="s">
        <v>360</v>
      </c>
      <c r="L527" t="s">
        <v>361</v>
      </c>
      <c r="M527">
        <v>61</v>
      </c>
      <c r="O527" t="s">
        <v>52</v>
      </c>
      <c r="P527" t="s">
        <v>52</v>
      </c>
      <c r="Q527" t="s">
        <v>197</v>
      </c>
      <c r="R527" t="s">
        <v>53</v>
      </c>
      <c r="S527" t="s">
        <v>116</v>
      </c>
      <c r="T527" t="s">
        <v>198</v>
      </c>
      <c r="U527" t="s">
        <v>108</v>
      </c>
    </row>
    <row r="528" spans="1:21" x14ac:dyDescent="0.3">
      <c r="A528" t="s">
        <v>359</v>
      </c>
      <c r="B528" t="s">
        <v>359</v>
      </c>
      <c r="C528" t="s">
        <v>194</v>
      </c>
      <c r="D528">
        <v>1</v>
      </c>
      <c r="E528" t="s">
        <v>107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362</v>
      </c>
      <c r="L528" t="s">
        <v>363</v>
      </c>
      <c r="M528">
        <v>33</v>
      </c>
      <c r="N528">
        <v>15552</v>
      </c>
      <c r="O528" t="s">
        <v>52</v>
      </c>
      <c r="P528" t="s">
        <v>52</v>
      </c>
      <c r="Q528" t="s">
        <v>197</v>
      </c>
      <c r="R528" t="s">
        <v>53</v>
      </c>
      <c r="S528" t="s">
        <v>116</v>
      </c>
      <c r="T528" t="s">
        <v>198</v>
      </c>
      <c r="U528" t="s">
        <v>108</v>
      </c>
    </row>
    <row r="529" spans="1:21" x14ac:dyDescent="0.3">
      <c r="A529" t="s">
        <v>359</v>
      </c>
      <c r="B529" t="s">
        <v>359</v>
      </c>
      <c r="C529" t="s">
        <v>194</v>
      </c>
      <c r="D529">
        <v>1</v>
      </c>
      <c r="E529" t="s">
        <v>107</v>
      </c>
      <c r="F529">
        <v>1</v>
      </c>
      <c r="G529">
        <v>-5</v>
      </c>
      <c r="H529">
        <v>-5</v>
      </c>
      <c r="I529" t="s">
        <v>119</v>
      </c>
      <c r="J529" t="s">
        <v>58</v>
      </c>
      <c r="K529" t="s">
        <v>364</v>
      </c>
      <c r="L529" t="s">
        <v>361</v>
      </c>
      <c r="M529">
        <v>61</v>
      </c>
      <c r="O529" t="s">
        <v>52</v>
      </c>
      <c r="P529" t="s">
        <v>52</v>
      </c>
      <c r="Q529" t="s">
        <v>197</v>
      </c>
      <c r="R529" t="s">
        <v>53</v>
      </c>
      <c r="S529" t="s">
        <v>116</v>
      </c>
      <c r="T529" t="s">
        <v>198</v>
      </c>
      <c r="U529" t="s">
        <v>108</v>
      </c>
    </row>
    <row r="530" spans="1:21" x14ac:dyDescent="0.3">
      <c r="A530" t="s">
        <v>359</v>
      </c>
      <c r="B530" t="s">
        <v>359</v>
      </c>
      <c r="C530" t="s">
        <v>194</v>
      </c>
      <c r="D530">
        <v>1</v>
      </c>
      <c r="E530" t="s">
        <v>107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365</v>
      </c>
      <c r="L530" t="s">
        <v>363</v>
      </c>
      <c r="M530">
        <v>33</v>
      </c>
      <c r="N530">
        <v>15552</v>
      </c>
      <c r="O530" t="s">
        <v>52</v>
      </c>
      <c r="P530" t="s">
        <v>52</v>
      </c>
      <c r="Q530" t="s">
        <v>197</v>
      </c>
      <c r="R530" t="s">
        <v>53</v>
      </c>
      <c r="S530" t="s">
        <v>116</v>
      </c>
      <c r="T530" t="s">
        <v>198</v>
      </c>
      <c r="U530" t="s">
        <v>108</v>
      </c>
    </row>
    <row r="531" spans="1:21" x14ac:dyDescent="0.3">
      <c r="A531" t="s">
        <v>359</v>
      </c>
      <c r="B531" t="s">
        <v>359</v>
      </c>
      <c r="C531" t="s">
        <v>194</v>
      </c>
      <c r="D531">
        <v>1</v>
      </c>
      <c r="E531" t="s">
        <v>107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366</v>
      </c>
      <c r="L531" t="s">
        <v>363</v>
      </c>
      <c r="M531">
        <v>33</v>
      </c>
      <c r="N531">
        <v>15552</v>
      </c>
      <c r="O531" t="s">
        <v>52</v>
      </c>
      <c r="P531" t="s">
        <v>52</v>
      </c>
      <c r="Q531" t="s">
        <v>197</v>
      </c>
      <c r="R531" t="s">
        <v>53</v>
      </c>
      <c r="S531" t="s">
        <v>116</v>
      </c>
      <c r="T531" t="s">
        <v>198</v>
      </c>
      <c r="U531" t="s">
        <v>108</v>
      </c>
    </row>
    <row r="532" spans="1:21" x14ac:dyDescent="0.3">
      <c r="A532" t="s">
        <v>359</v>
      </c>
      <c r="B532" t="s">
        <v>359</v>
      </c>
      <c r="C532" t="s">
        <v>194</v>
      </c>
      <c r="D532">
        <v>1</v>
      </c>
      <c r="E532" t="s">
        <v>107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367</v>
      </c>
      <c r="L532" t="s">
        <v>363</v>
      </c>
      <c r="M532">
        <v>33</v>
      </c>
      <c r="N532">
        <v>15552</v>
      </c>
      <c r="O532" t="s">
        <v>52</v>
      </c>
      <c r="P532" t="s">
        <v>52</v>
      </c>
      <c r="Q532" t="s">
        <v>197</v>
      </c>
      <c r="R532" t="s">
        <v>53</v>
      </c>
      <c r="S532" t="s">
        <v>116</v>
      </c>
      <c r="T532" t="s">
        <v>198</v>
      </c>
      <c r="U532" t="s">
        <v>108</v>
      </c>
    </row>
    <row r="533" spans="1:21" x14ac:dyDescent="0.3">
      <c r="A533" t="s">
        <v>359</v>
      </c>
      <c r="B533" t="s">
        <v>359</v>
      </c>
      <c r="C533" t="s">
        <v>194</v>
      </c>
      <c r="D533">
        <v>2</v>
      </c>
      <c r="E533" t="s">
        <v>118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365</v>
      </c>
      <c r="L533" t="s">
        <v>363</v>
      </c>
      <c r="M533">
        <v>33</v>
      </c>
      <c r="N533">
        <v>15552</v>
      </c>
      <c r="O533" t="s">
        <v>52</v>
      </c>
      <c r="P533" t="s">
        <v>52</v>
      </c>
      <c r="Q533" t="s">
        <v>197</v>
      </c>
      <c r="R533" t="s">
        <v>53</v>
      </c>
      <c r="S533" t="s">
        <v>116</v>
      </c>
      <c r="T533" t="s">
        <v>198</v>
      </c>
      <c r="U533" t="s">
        <v>108</v>
      </c>
    </row>
    <row r="534" spans="1:21" x14ac:dyDescent="0.3">
      <c r="A534" t="s">
        <v>359</v>
      </c>
      <c r="B534" t="s">
        <v>359</v>
      </c>
      <c r="C534" t="s">
        <v>194</v>
      </c>
      <c r="D534">
        <v>2</v>
      </c>
      <c r="E534" t="s">
        <v>118</v>
      </c>
      <c r="F534">
        <v>1</v>
      </c>
      <c r="G534">
        <v>-2</v>
      </c>
      <c r="H534">
        <v>-2</v>
      </c>
      <c r="I534" t="s">
        <v>117</v>
      </c>
      <c r="J534" t="s">
        <v>51</v>
      </c>
      <c r="K534" t="s">
        <v>360</v>
      </c>
      <c r="L534" t="s">
        <v>361</v>
      </c>
      <c r="M534">
        <v>61</v>
      </c>
      <c r="O534" t="s">
        <v>52</v>
      </c>
      <c r="P534" t="s">
        <v>52</v>
      </c>
      <c r="Q534" t="s">
        <v>197</v>
      </c>
      <c r="R534" t="s">
        <v>53</v>
      </c>
      <c r="S534" t="s">
        <v>116</v>
      </c>
      <c r="T534" t="s">
        <v>198</v>
      </c>
      <c r="U534" t="s">
        <v>108</v>
      </c>
    </row>
    <row r="535" spans="1:21" x14ac:dyDescent="0.3">
      <c r="A535" t="s">
        <v>359</v>
      </c>
      <c r="B535" t="s">
        <v>359</v>
      </c>
      <c r="C535" t="s">
        <v>194</v>
      </c>
      <c r="D535">
        <v>2</v>
      </c>
      <c r="E535" t="s">
        <v>118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362</v>
      </c>
      <c r="L535" t="s">
        <v>363</v>
      </c>
      <c r="M535">
        <v>33</v>
      </c>
      <c r="N535">
        <v>15552</v>
      </c>
      <c r="O535" t="s">
        <v>52</v>
      </c>
      <c r="P535" t="s">
        <v>52</v>
      </c>
      <c r="Q535" t="s">
        <v>197</v>
      </c>
      <c r="R535" t="s">
        <v>53</v>
      </c>
      <c r="S535" t="s">
        <v>116</v>
      </c>
      <c r="T535" t="s">
        <v>198</v>
      </c>
      <c r="U535" t="s">
        <v>108</v>
      </c>
    </row>
    <row r="536" spans="1:21" x14ac:dyDescent="0.3">
      <c r="A536" t="s">
        <v>359</v>
      </c>
      <c r="B536" t="s">
        <v>359</v>
      </c>
      <c r="C536" t="s">
        <v>194</v>
      </c>
      <c r="D536">
        <v>2</v>
      </c>
      <c r="E536" t="s">
        <v>118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366</v>
      </c>
      <c r="L536" t="s">
        <v>363</v>
      </c>
      <c r="M536">
        <v>33</v>
      </c>
      <c r="N536">
        <v>15552</v>
      </c>
      <c r="O536" t="s">
        <v>52</v>
      </c>
      <c r="P536" t="s">
        <v>52</v>
      </c>
      <c r="Q536" t="s">
        <v>197</v>
      </c>
      <c r="R536" t="s">
        <v>53</v>
      </c>
      <c r="S536" t="s">
        <v>116</v>
      </c>
      <c r="T536" t="s">
        <v>198</v>
      </c>
      <c r="U536" t="s">
        <v>108</v>
      </c>
    </row>
    <row r="537" spans="1:21" x14ac:dyDescent="0.3">
      <c r="A537" t="s">
        <v>359</v>
      </c>
      <c r="B537" t="s">
        <v>359</v>
      </c>
      <c r="C537" t="s">
        <v>194</v>
      </c>
      <c r="D537">
        <v>2</v>
      </c>
      <c r="E537" t="s">
        <v>118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367</v>
      </c>
      <c r="L537" t="s">
        <v>363</v>
      </c>
      <c r="M537">
        <v>33</v>
      </c>
      <c r="N537">
        <v>15552</v>
      </c>
      <c r="O537" t="s">
        <v>52</v>
      </c>
      <c r="P537" t="s">
        <v>52</v>
      </c>
      <c r="Q537" t="s">
        <v>197</v>
      </c>
      <c r="R537" t="s">
        <v>53</v>
      </c>
      <c r="S537" t="s">
        <v>116</v>
      </c>
      <c r="T537" t="s">
        <v>198</v>
      </c>
      <c r="U537" t="s">
        <v>108</v>
      </c>
    </row>
    <row r="538" spans="1:21" x14ac:dyDescent="0.3">
      <c r="A538" t="s">
        <v>359</v>
      </c>
      <c r="B538" t="s">
        <v>359</v>
      </c>
      <c r="C538" t="s">
        <v>194</v>
      </c>
      <c r="D538">
        <v>3</v>
      </c>
      <c r="E538" t="s">
        <v>105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367</v>
      </c>
      <c r="L538" t="s">
        <v>363</v>
      </c>
      <c r="M538">
        <v>33</v>
      </c>
      <c r="N538">
        <v>15552</v>
      </c>
      <c r="O538" t="s">
        <v>52</v>
      </c>
      <c r="P538" t="s">
        <v>52</v>
      </c>
      <c r="Q538" t="s">
        <v>197</v>
      </c>
      <c r="R538" t="s">
        <v>53</v>
      </c>
      <c r="S538" t="s">
        <v>116</v>
      </c>
      <c r="T538" t="s">
        <v>198</v>
      </c>
      <c r="U538" t="s">
        <v>108</v>
      </c>
    </row>
    <row r="539" spans="1:21" x14ac:dyDescent="0.3">
      <c r="A539" t="s">
        <v>359</v>
      </c>
      <c r="B539" t="s">
        <v>359</v>
      </c>
      <c r="C539" t="s">
        <v>194</v>
      </c>
      <c r="D539">
        <v>3</v>
      </c>
      <c r="E539" t="s">
        <v>105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362</v>
      </c>
      <c r="L539" t="s">
        <v>363</v>
      </c>
      <c r="M539">
        <v>33</v>
      </c>
      <c r="N539">
        <v>15552</v>
      </c>
      <c r="O539" t="s">
        <v>52</v>
      </c>
      <c r="P539" t="s">
        <v>52</v>
      </c>
      <c r="Q539" t="s">
        <v>197</v>
      </c>
      <c r="R539" t="s">
        <v>53</v>
      </c>
      <c r="S539" t="s">
        <v>116</v>
      </c>
      <c r="T539" t="s">
        <v>198</v>
      </c>
      <c r="U539" t="s">
        <v>108</v>
      </c>
    </row>
    <row r="540" spans="1:21" x14ac:dyDescent="0.3">
      <c r="A540" t="s">
        <v>359</v>
      </c>
      <c r="B540" t="s">
        <v>359</v>
      </c>
      <c r="C540" t="s">
        <v>194</v>
      </c>
      <c r="D540">
        <v>3</v>
      </c>
      <c r="E540" t="s">
        <v>105</v>
      </c>
      <c r="F540">
        <v>1</v>
      </c>
      <c r="G540">
        <v>-44</v>
      </c>
      <c r="H540">
        <v>-44</v>
      </c>
      <c r="I540" t="s">
        <v>117</v>
      </c>
      <c r="J540" t="s">
        <v>51</v>
      </c>
      <c r="K540" t="s">
        <v>360</v>
      </c>
      <c r="L540" t="s">
        <v>361</v>
      </c>
      <c r="M540">
        <v>61</v>
      </c>
      <c r="O540" t="s">
        <v>52</v>
      </c>
      <c r="P540" t="s">
        <v>52</v>
      </c>
      <c r="Q540" t="s">
        <v>197</v>
      </c>
      <c r="R540" t="s">
        <v>53</v>
      </c>
      <c r="S540" t="s">
        <v>116</v>
      </c>
      <c r="T540" t="s">
        <v>198</v>
      </c>
      <c r="U540" t="s">
        <v>108</v>
      </c>
    </row>
    <row r="541" spans="1:21" x14ac:dyDescent="0.3">
      <c r="A541" t="s">
        <v>359</v>
      </c>
      <c r="B541" t="s">
        <v>359</v>
      </c>
      <c r="C541" t="s">
        <v>194</v>
      </c>
      <c r="D541">
        <v>3</v>
      </c>
      <c r="E541" t="s">
        <v>105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366</v>
      </c>
      <c r="L541" t="s">
        <v>363</v>
      </c>
      <c r="M541">
        <v>33</v>
      </c>
      <c r="N541">
        <v>15552</v>
      </c>
      <c r="O541" t="s">
        <v>52</v>
      </c>
      <c r="P541" t="s">
        <v>52</v>
      </c>
      <c r="Q541" t="s">
        <v>197</v>
      </c>
      <c r="R541" t="s">
        <v>53</v>
      </c>
      <c r="S541" t="s">
        <v>116</v>
      </c>
      <c r="T541" t="s">
        <v>198</v>
      </c>
      <c r="U541" t="s">
        <v>108</v>
      </c>
    </row>
    <row r="542" spans="1:21" x14ac:dyDescent="0.3">
      <c r="A542" t="s">
        <v>359</v>
      </c>
      <c r="B542" t="s">
        <v>359</v>
      </c>
      <c r="C542" t="s">
        <v>194</v>
      </c>
      <c r="D542">
        <v>3</v>
      </c>
      <c r="E542" t="s">
        <v>105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365</v>
      </c>
      <c r="L542" t="s">
        <v>363</v>
      </c>
      <c r="M542">
        <v>33</v>
      </c>
      <c r="N542">
        <v>15552</v>
      </c>
      <c r="O542" t="s">
        <v>52</v>
      </c>
      <c r="P542" t="s">
        <v>52</v>
      </c>
      <c r="Q542" t="s">
        <v>197</v>
      </c>
      <c r="R542" t="s">
        <v>53</v>
      </c>
      <c r="S542" t="s">
        <v>116</v>
      </c>
      <c r="T542" t="s">
        <v>198</v>
      </c>
      <c r="U542" t="s">
        <v>108</v>
      </c>
    </row>
    <row r="543" spans="1:21" x14ac:dyDescent="0.3">
      <c r="A543" t="s">
        <v>359</v>
      </c>
      <c r="B543" t="s">
        <v>359</v>
      </c>
      <c r="C543" t="s">
        <v>194</v>
      </c>
      <c r="D543">
        <v>3</v>
      </c>
      <c r="E543" t="s">
        <v>105</v>
      </c>
      <c r="F543">
        <v>1</v>
      </c>
      <c r="G543">
        <v>-1</v>
      </c>
      <c r="H543">
        <v>-1</v>
      </c>
      <c r="I543" t="s">
        <v>119</v>
      </c>
      <c r="J543" t="s">
        <v>58</v>
      </c>
      <c r="K543" t="s">
        <v>364</v>
      </c>
      <c r="L543" t="s">
        <v>361</v>
      </c>
      <c r="M543">
        <v>61</v>
      </c>
      <c r="O543" t="s">
        <v>52</v>
      </c>
      <c r="P543" t="s">
        <v>52</v>
      </c>
      <c r="Q543" t="s">
        <v>197</v>
      </c>
      <c r="R543" t="s">
        <v>53</v>
      </c>
      <c r="S543" t="s">
        <v>116</v>
      </c>
      <c r="T543" t="s">
        <v>198</v>
      </c>
      <c r="U543" t="s">
        <v>108</v>
      </c>
    </row>
    <row r="544" spans="1:21" x14ac:dyDescent="0.3">
      <c r="A544" t="s">
        <v>359</v>
      </c>
      <c r="B544" t="s">
        <v>359</v>
      </c>
      <c r="C544" t="s">
        <v>194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362</v>
      </c>
      <c r="L544" t="s">
        <v>363</v>
      </c>
      <c r="M544">
        <v>33</v>
      </c>
      <c r="N544">
        <v>15552</v>
      </c>
      <c r="O544" t="s">
        <v>52</v>
      </c>
      <c r="P544" t="s">
        <v>52</v>
      </c>
      <c r="Q544" t="s">
        <v>197</v>
      </c>
      <c r="R544" t="s">
        <v>53</v>
      </c>
      <c r="S544" t="s">
        <v>116</v>
      </c>
      <c r="T544" t="s">
        <v>198</v>
      </c>
      <c r="U544" t="s">
        <v>108</v>
      </c>
    </row>
    <row r="545" spans="1:21" x14ac:dyDescent="0.3">
      <c r="A545" t="s">
        <v>359</v>
      </c>
      <c r="B545" t="s">
        <v>359</v>
      </c>
      <c r="C545" t="s">
        <v>194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365</v>
      </c>
      <c r="L545" t="s">
        <v>363</v>
      </c>
      <c r="M545">
        <v>33</v>
      </c>
      <c r="N545">
        <v>15552</v>
      </c>
      <c r="O545" t="s">
        <v>52</v>
      </c>
      <c r="P545" t="s">
        <v>52</v>
      </c>
      <c r="Q545" t="s">
        <v>197</v>
      </c>
      <c r="R545" t="s">
        <v>53</v>
      </c>
      <c r="S545" t="s">
        <v>116</v>
      </c>
      <c r="T545" t="s">
        <v>198</v>
      </c>
      <c r="U545" t="s">
        <v>108</v>
      </c>
    </row>
    <row r="546" spans="1:21" x14ac:dyDescent="0.3">
      <c r="A546" t="s">
        <v>359</v>
      </c>
      <c r="B546" t="s">
        <v>359</v>
      </c>
      <c r="C546" t="s">
        <v>194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119</v>
      </c>
      <c r="J546" t="s">
        <v>58</v>
      </c>
      <c r="K546" t="s">
        <v>364</v>
      </c>
      <c r="L546" t="s">
        <v>361</v>
      </c>
      <c r="M546">
        <v>61</v>
      </c>
      <c r="O546" t="s">
        <v>52</v>
      </c>
      <c r="P546" t="s">
        <v>52</v>
      </c>
      <c r="Q546" t="s">
        <v>197</v>
      </c>
      <c r="R546" t="s">
        <v>53</v>
      </c>
      <c r="S546" t="s">
        <v>116</v>
      </c>
      <c r="T546" t="s">
        <v>198</v>
      </c>
      <c r="U546" t="s">
        <v>108</v>
      </c>
    </row>
    <row r="547" spans="1:21" x14ac:dyDescent="0.3">
      <c r="A547" t="s">
        <v>359</v>
      </c>
      <c r="B547" t="s">
        <v>359</v>
      </c>
      <c r="C547" t="s">
        <v>194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367</v>
      </c>
      <c r="L547" t="s">
        <v>363</v>
      </c>
      <c r="M547">
        <v>33</v>
      </c>
      <c r="N547">
        <v>15552</v>
      </c>
      <c r="O547" t="s">
        <v>52</v>
      </c>
      <c r="P547" t="s">
        <v>52</v>
      </c>
      <c r="Q547" t="s">
        <v>197</v>
      </c>
      <c r="R547" t="s">
        <v>53</v>
      </c>
      <c r="S547" t="s">
        <v>116</v>
      </c>
      <c r="T547" t="s">
        <v>198</v>
      </c>
      <c r="U547" t="s">
        <v>108</v>
      </c>
    </row>
    <row r="548" spans="1:21" x14ac:dyDescent="0.3">
      <c r="A548" t="s">
        <v>359</v>
      </c>
      <c r="B548" t="s">
        <v>359</v>
      </c>
      <c r="C548" t="s">
        <v>194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117</v>
      </c>
      <c r="J548" t="s">
        <v>51</v>
      </c>
      <c r="K548" t="s">
        <v>360</v>
      </c>
      <c r="L548" t="s">
        <v>361</v>
      </c>
      <c r="M548">
        <v>61</v>
      </c>
      <c r="O548" t="s">
        <v>52</v>
      </c>
      <c r="P548" t="s">
        <v>52</v>
      </c>
      <c r="Q548" t="s">
        <v>197</v>
      </c>
      <c r="R548" t="s">
        <v>53</v>
      </c>
      <c r="S548" t="s">
        <v>116</v>
      </c>
      <c r="T548" t="s">
        <v>198</v>
      </c>
      <c r="U548" t="s">
        <v>108</v>
      </c>
    </row>
    <row r="549" spans="1:21" x14ac:dyDescent="0.3">
      <c r="A549" t="s">
        <v>359</v>
      </c>
      <c r="B549" t="s">
        <v>359</v>
      </c>
      <c r="C549" t="s">
        <v>194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366</v>
      </c>
      <c r="L549" t="s">
        <v>363</v>
      </c>
      <c r="M549">
        <v>33</v>
      </c>
      <c r="N549">
        <v>15552</v>
      </c>
      <c r="O549" t="s">
        <v>52</v>
      </c>
      <c r="P549" t="s">
        <v>52</v>
      </c>
      <c r="Q549" t="s">
        <v>197</v>
      </c>
      <c r="R549" t="s">
        <v>53</v>
      </c>
      <c r="S549" t="s">
        <v>116</v>
      </c>
      <c r="T549" t="s">
        <v>198</v>
      </c>
      <c r="U549" t="s">
        <v>108</v>
      </c>
    </row>
    <row r="550" spans="1:21" x14ac:dyDescent="0.3">
      <c r="A550" t="s">
        <v>359</v>
      </c>
      <c r="B550" t="s">
        <v>359</v>
      </c>
      <c r="C550" t="s">
        <v>194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367</v>
      </c>
      <c r="L550" t="s">
        <v>363</v>
      </c>
      <c r="M550">
        <v>33</v>
      </c>
      <c r="N550">
        <v>15552</v>
      </c>
      <c r="O550" t="s">
        <v>52</v>
      </c>
      <c r="P550" t="s">
        <v>52</v>
      </c>
      <c r="Q550" t="s">
        <v>197</v>
      </c>
      <c r="R550" t="s">
        <v>53</v>
      </c>
      <c r="S550" t="s">
        <v>116</v>
      </c>
      <c r="T550" t="s">
        <v>198</v>
      </c>
      <c r="U550" t="s">
        <v>108</v>
      </c>
    </row>
    <row r="551" spans="1:21" x14ac:dyDescent="0.3">
      <c r="A551" t="s">
        <v>359</v>
      </c>
      <c r="B551" t="s">
        <v>359</v>
      </c>
      <c r="C551" t="s">
        <v>194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365</v>
      </c>
      <c r="L551" t="s">
        <v>363</v>
      </c>
      <c r="M551">
        <v>33</v>
      </c>
      <c r="N551">
        <v>15552</v>
      </c>
      <c r="O551" t="s">
        <v>52</v>
      </c>
      <c r="P551" t="s">
        <v>52</v>
      </c>
      <c r="Q551" t="s">
        <v>197</v>
      </c>
      <c r="R551" t="s">
        <v>53</v>
      </c>
      <c r="S551" t="s">
        <v>116</v>
      </c>
      <c r="T551" t="s">
        <v>198</v>
      </c>
      <c r="U551" t="s">
        <v>108</v>
      </c>
    </row>
    <row r="552" spans="1:21" x14ac:dyDescent="0.3">
      <c r="A552" t="s">
        <v>359</v>
      </c>
      <c r="B552" t="s">
        <v>359</v>
      </c>
      <c r="C552" t="s">
        <v>194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117</v>
      </c>
      <c r="J552" t="s">
        <v>51</v>
      </c>
      <c r="K552" t="s">
        <v>360</v>
      </c>
      <c r="L552" t="s">
        <v>361</v>
      </c>
      <c r="M552">
        <v>61</v>
      </c>
      <c r="O552" t="s">
        <v>52</v>
      </c>
      <c r="P552" t="s">
        <v>52</v>
      </c>
      <c r="Q552" t="s">
        <v>197</v>
      </c>
      <c r="R552" t="s">
        <v>53</v>
      </c>
      <c r="S552" t="s">
        <v>116</v>
      </c>
      <c r="T552" t="s">
        <v>198</v>
      </c>
      <c r="U552" t="s">
        <v>108</v>
      </c>
    </row>
    <row r="553" spans="1:21" x14ac:dyDescent="0.3">
      <c r="A553" t="s">
        <v>359</v>
      </c>
      <c r="B553" t="s">
        <v>359</v>
      </c>
      <c r="C553" t="s">
        <v>194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362</v>
      </c>
      <c r="L553" t="s">
        <v>363</v>
      </c>
      <c r="M553">
        <v>33</v>
      </c>
      <c r="N553">
        <v>15552</v>
      </c>
      <c r="O553" t="s">
        <v>52</v>
      </c>
      <c r="P553" t="s">
        <v>52</v>
      </c>
      <c r="Q553" t="s">
        <v>197</v>
      </c>
      <c r="R553" t="s">
        <v>53</v>
      </c>
      <c r="S553" t="s">
        <v>116</v>
      </c>
      <c r="T553" t="s">
        <v>198</v>
      </c>
      <c r="U553" t="s">
        <v>108</v>
      </c>
    </row>
    <row r="554" spans="1:21" x14ac:dyDescent="0.3">
      <c r="A554" t="s">
        <v>359</v>
      </c>
      <c r="B554" t="s">
        <v>359</v>
      </c>
      <c r="C554" t="s">
        <v>194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366</v>
      </c>
      <c r="L554" t="s">
        <v>363</v>
      </c>
      <c r="M554">
        <v>33</v>
      </c>
      <c r="N554">
        <v>15552</v>
      </c>
      <c r="O554" t="s">
        <v>52</v>
      </c>
      <c r="P554" t="s">
        <v>52</v>
      </c>
      <c r="Q554" t="s">
        <v>197</v>
      </c>
      <c r="R554" t="s">
        <v>53</v>
      </c>
      <c r="S554" t="s">
        <v>116</v>
      </c>
      <c r="T554" t="s">
        <v>198</v>
      </c>
      <c r="U554" t="s">
        <v>108</v>
      </c>
    </row>
    <row r="555" spans="1:21" x14ac:dyDescent="0.3">
      <c r="A555" t="s">
        <v>368</v>
      </c>
      <c r="B555" t="s">
        <v>368</v>
      </c>
      <c r="C555" t="s">
        <v>194</v>
      </c>
      <c r="D555">
        <v>1</v>
      </c>
      <c r="E555" t="s">
        <v>107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369</v>
      </c>
      <c r="L555" t="s">
        <v>370</v>
      </c>
      <c r="M555">
        <v>33</v>
      </c>
      <c r="N555">
        <v>15894</v>
      </c>
      <c r="O555" t="s">
        <v>52</v>
      </c>
      <c r="P555" t="s">
        <v>52</v>
      </c>
      <c r="Q555" t="s">
        <v>197</v>
      </c>
      <c r="R555" t="s">
        <v>53</v>
      </c>
      <c r="S555" t="s">
        <v>116</v>
      </c>
      <c r="T555" t="s">
        <v>198</v>
      </c>
      <c r="U555" t="s">
        <v>108</v>
      </c>
    </row>
    <row r="556" spans="1:21" x14ac:dyDescent="0.3">
      <c r="A556" t="s">
        <v>368</v>
      </c>
      <c r="B556" t="s">
        <v>368</v>
      </c>
      <c r="C556" t="s">
        <v>194</v>
      </c>
      <c r="D556">
        <v>1</v>
      </c>
      <c r="E556" t="s">
        <v>107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371</v>
      </c>
      <c r="L556" t="s">
        <v>370</v>
      </c>
      <c r="M556">
        <v>33</v>
      </c>
      <c r="N556">
        <v>15894</v>
      </c>
      <c r="O556" t="s">
        <v>52</v>
      </c>
      <c r="P556" t="s">
        <v>52</v>
      </c>
      <c r="Q556" t="s">
        <v>197</v>
      </c>
      <c r="R556" t="s">
        <v>53</v>
      </c>
      <c r="S556" t="s">
        <v>116</v>
      </c>
      <c r="T556" t="s">
        <v>198</v>
      </c>
      <c r="U556" t="s">
        <v>108</v>
      </c>
    </row>
    <row r="557" spans="1:21" x14ac:dyDescent="0.3">
      <c r="A557" t="s">
        <v>368</v>
      </c>
      <c r="B557" t="s">
        <v>368</v>
      </c>
      <c r="C557" t="s">
        <v>194</v>
      </c>
      <c r="D557">
        <v>1</v>
      </c>
      <c r="E557" t="s">
        <v>107</v>
      </c>
      <c r="F557">
        <v>1</v>
      </c>
      <c r="G557">
        <v>-570</v>
      </c>
      <c r="H557">
        <v>-570</v>
      </c>
      <c r="I557" t="s">
        <v>117</v>
      </c>
      <c r="J557" t="s">
        <v>51</v>
      </c>
      <c r="K557" t="s">
        <v>372</v>
      </c>
      <c r="L557" t="s">
        <v>373</v>
      </c>
      <c r="M557">
        <v>61</v>
      </c>
      <c r="O557" t="s">
        <v>52</v>
      </c>
      <c r="P557" t="s">
        <v>52</v>
      </c>
      <c r="Q557" t="s">
        <v>197</v>
      </c>
      <c r="R557" t="s">
        <v>53</v>
      </c>
      <c r="S557" t="s">
        <v>116</v>
      </c>
      <c r="T557" t="s">
        <v>198</v>
      </c>
      <c r="U557" t="s">
        <v>108</v>
      </c>
    </row>
    <row r="558" spans="1:21" x14ac:dyDescent="0.3">
      <c r="A558" t="s">
        <v>368</v>
      </c>
      <c r="B558" t="s">
        <v>368</v>
      </c>
      <c r="C558" t="s">
        <v>194</v>
      </c>
      <c r="D558">
        <v>1</v>
      </c>
      <c r="E558" t="s">
        <v>107</v>
      </c>
      <c r="F558">
        <v>1</v>
      </c>
      <c r="G558">
        <v>-2594</v>
      </c>
      <c r="H558">
        <v>-2594</v>
      </c>
      <c r="I558" t="s">
        <v>119</v>
      </c>
      <c r="J558" t="s">
        <v>58</v>
      </c>
      <c r="K558" t="s">
        <v>374</v>
      </c>
      <c r="L558" t="s">
        <v>373</v>
      </c>
      <c r="M558">
        <v>61</v>
      </c>
      <c r="O558" t="s">
        <v>52</v>
      </c>
      <c r="P558" t="s">
        <v>52</v>
      </c>
      <c r="Q558" t="s">
        <v>197</v>
      </c>
      <c r="R558" t="s">
        <v>53</v>
      </c>
      <c r="S558" t="s">
        <v>116</v>
      </c>
      <c r="T558" t="s">
        <v>198</v>
      </c>
      <c r="U558" t="s">
        <v>108</v>
      </c>
    </row>
    <row r="559" spans="1:21" x14ac:dyDescent="0.3">
      <c r="A559" t="s">
        <v>368</v>
      </c>
      <c r="B559" t="s">
        <v>368</v>
      </c>
      <c r="C559" t="s">
        <v>194</v>
      </c>
      <c r="D559">
        <v>1</v>
      </c>
      <c r="E559" t="s">
        <v>107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375</v>
      </c>
      <c r="L559" t="s">
        <v>370</v>
      </c>
      <c r="M559">
        <v>33</v>
      </c>
      <c r="N559">
        <v>15894</v>
      </c>
      <c r="O559" t="s">
        <v>52</v>
      </c>
      <c r="P559" t="s">
        <v>52</v>
      </c>
      <c r="Q559" t="s">
        <v>197</v>
      </c>
      <c r="R559" t="s">
        <v>53</v>
      </c>
      <c r="S559" t="s">
        <v>116</v>
      </c>
      <c r="T559" t="s">
        <v>198</v>
      </c>
      <c r="U559" t="s">
        <v>108</v>
      </c>
    </row>
    <row r="560" spans="1:21" x14ac:dyDescent="0.3">
      <c r="A560" t="s">
        <v>368</v>
      </c>
      <c r="B560" t="s">
        <v>368</v>
      </c>
      <c r="C560" t="s">
        <v>194</v>
      </c>
      <c r="D560">
        <v>1</v>
      </c>
      <c r="E560" t="s">
        <v>107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376</v>
      </c>
      <c r="L560" t="s">
        <v>370</v>
      </c>
      <c r="M560">
        <v>33</v>
      </c>
      <c r="N560">
        <v>15894</v>
      </c>
      <c r="O560" t="s">
        <v>52</v>
      </c>
      <c r="P560" t="s">
        <v>52</v>
      </c>
      <c r="Q560" t="s">
        <v>197</v>
      </c>
      <c r="R560" t="s">
        <v>53</v>
      </c>
      <c r="S560" t="s">
        <v>116</v>
      </c>
      <c r="T560" t="s">
        <v>198</v>
      </c>
      <c r="U560" t="s">
        <v>108</v>
      </c>
    </row>
    <row r="561" spans="1:21" x14ac:dyDescent="0.3">
      <c r="A561" t="s">
        <v>368</v>
      </c>
      <c r="B561" t="s">
        <v>368</v>
      </c>
      <c r="C561" t="s">
        <v>194</v>
      </c>
      <c r="D561">
        <v>2</v>
      </c>
      <c r="E561" t="s">
        <v>118</v>
      </c>
      <c r="F561">
        <v>1</v>
      </c>
      <c r="G561">
        <v>-11</v>
      </c>
      <c r="H561">
        <v>-11</v>
      </c>
      <c r="I561" t="s">
        <v>119</v>
      </c>
      <c r="J561" t="s">
        <v>58</v>
      </c>
      <c r="K561" t="s">
        <v>374</v>
      </c>
      <c r="L561" t="s">
        <v>373</v>
      </c>
      <c r="M561">
        <v>61</v>
      </c>
      <c r="O561" t="s">
        <v>52</v>
      </c>
      <c r="P561" t="s">
        <v>52</v>
      </c>
      <c r="Q561" t="s">
        <v>197</v>
      </c>
      <c r="R561" t="s">
        <v>53</v>
      </c>
      <c r="S561" t="s">
        <v>116</v>
      </c>
      <c r="T561" t="s">
        <v>198</v>
      </c>
      <c r="U561" t="s">
        <v>108</v>
      </c>
    </row>
    <row r="562" spans="1:21" x14ac:dyDescent="0.3">
      <c r="A562" t="s">
        <v>368</v>
      </c>
      <c r="B562" t="s">
        <v>368</v>
      </c>
      <c r="C562" t="s">
        <v>194</v>
      </c>
      <c r="D562">
        <v>2</v>
      </c>
      <c r="E562" t="s">
        <v>118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369</v>
      </c>
      <c r="L562" t="s">
        <v>370</v>
      </c>
      <c r="M562">
        <v>33</v>
      </c>
      <c r="N562">
        <v>15894</v>
      </c>
      <c r="O562" t="s">
        <v>52</v>
      </c>
      <c r="P562" t="s">
        <v>52</v>
      </c>
      <c r="Q562" t="s">
        <v>197</v>
      </c>
      <c r="R562" t="s">
        <v>53</v>
      </c>
      <c r="S562" t="s">
        <v>116</v>
      </c>
      <c r="T562" t="s">
        <v>198</v>
      </c>
      <c r="U562" t="s">
        <v>108</v>
      </c>
    </row>
    <row r="563" spans="1:21" x14ac:dyDescent="0.3">
      <c r="A563" t="s">
        <v>368</v>
      </c>
      <c r="B563" t="s">
        <v>368</v>
      </c>
      <c r="C563" t="s">
        <v>194</v>
      </c>
      <c r="D563">
        <v>2</v>
      </c>
      <c r="E563" t="s">
        <v>118</v>
      </c>
      <c r="F563">
        <v>1</v>
      </c>
      <c r="G563">
        <v>-3</v>
      </c>
      <c r="H563">
        <v>-3</v>
      </c>
      <c r="I563" t="s">
        <v>117</v>
      </c>
      <c r="J563" t="s">
        <v>51</v>
      </c>
      <c r="K563" t="s">
        <v>372</v>
      </c>
      <c r="L563" t="s">
        <v>373</v>
      </c>
      <c r="M563">
        <v>61</v>
      </c>
      <c r="O563" t="s">
        <v>52</v>
      </c>
      <c r="P563" t="s">
        <v>52</v>
      </c>
      <c r="Q563" t="s">
        <v>197</v>
      </c>
      <c r="R563" t="s">
        <v>53</v>
      </c>
      <c r="S563" t="s">
        <v>116</v>
      </c>
      <c r="T563" t="s">
        <v>198</v>
      </c>
      <c r="U563" t="s">
        <v>108</v>
      </c>
    </row>
    <row r="564" spans="1:21" x14ac:dyDescent="0.3">
      <c r="A564" t="s">
        <v>368</v>
      </c>
      <c r="B564" t="s">
        <v>368</v>
      </c>
      <c r="C564" t="s">
        <v>194</v>
      </c>
      <c r="D564">
        <v>2</v>
      </c>
      <c r="E564" t="s">
        <v>118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371</v>
      </c>
      <c r="L564" t="s">
        <v>370</v>
      </c>
      <c r="M564">
        <v>33</v>
      </c>
      <c r="N564">
        <v>15894</v>
      </c>
      <c r="O564" t="s">
        <v>52</v>
      </c>
      <c r="P564" t="s">
        <v>52</v>
      </c>
      <c r="Q564" t="s">
        <v>197</v>
      </c>
      <c r="R564" t="s">
        <v>53</v>
      </c>
      <c r="S564" t="s">
        <v>116</v>
      </c>
      <c r="T564" t="s">
        <v>198</v>
      </c>
      <c r="U564" t="s">
        <v>108</v>
      </c>
    </row>
    <row r="565" spans="1:21" x14ac:dyDescent="0.3">
      <c r="A565" t="s">
        <v>368</v>
      </c>
      <c r="B565" t="s">
        <v>368</v>
      </c>
      <c r="C565" t="s">
        <v>194</v>
      </c>
      <c r="D565">
        <v>2</v>
      </c>
      <c r="E565" t="s">
        <v>118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376</v>
      </c>
      <c r="L565" t="s">
        <v>370</v>
      </c>
      <c r="M565">
        <v>33</v>
      </c>
      <c r="N565">
        <v>15894</v>
      </c>
      <c r="O565" t="s">
        <v>52</v>
      </c>
      <c r="P565" t="s">
        <v>52</v>
      </c>
      <c r="Q565" t="s">
        <v>197</v>
      </c>
      <c r="R565" t="s">
        <v>53</v>
      </c>
      <c r="S565" t="s">
        <v>116</v>
      </c>
      <c r="T565" t="s">
        <v>198</v>
      </c>
      <c r="U565" t="s">
        <v>108</v>
      </c>
    </row>
    <row r="566" spans="1:21" x14ac:dyDescent="0.3">
      <c r="A566" t="s">
        <v>368</v>
      </c>
      <c r="B566" t="s">
        <v>368</v>
      </c>
      <c r="C566" t="s">
        <v>194</v>
      </c>
      <c r="D566">
        <v>2</v>
      </c>
      <c r="E566" t="s">
        <v>118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375</v>
      </c>
      <c r="L566" t="s">
        <v>370</v>
      </c>
      <c r="M566">
        <v>33</v>
      </c>
      <c r="N566">
        <v>15894</v>
      </c>
      <c r="O566" t="s">
        <v>52</v>
      </c>
      <c r="P566" t="s">
        <v>52</v>
      </c>
      <c r="Q566" t="s">
        <v>197</v>
      </c>
      <c r="R566" t="s">
        <v>53</v>
      </c>
      <c r="S566" t="s">
        <v>116</v>
      </c>
      <c r="T566" t="s">
        <v>198</v>
      </c>
      <c r="U566" t="s">
        <v>108</v>
      </c>
    </row>
    <row r="567" spans="1:21" x14ac:dyDescent="0.3">
      <c r="A567" t="s">
        <v>368</v>
      </c>
      <c r="B567" t="s">
        <v>368</v>
      </c>
      <c r="C567" t="s">
        <v>194</v>
      </c>
      <c r="D567">
        <v>3</v>
      </c>
      <c r="E567" t="s">
        <v>105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371</v>
      </c>
      <c r="L567" t="s">
        <v>370</v>
      </c>
      <c r="M567">
        <v>33</v>
      </c>
      <c r="N567">
        <v>15894</v>
      </c>
      <c r="O567" t="s">
        <v>52</v>
      </c>
      <c r="P567" t="s">
        <v>52</v>
      </c>
      <c r="Q567" t="s">
        <v>197</v>
      </c>
      <c r="R567" t="s">
        <v>53</v>
      </c>
      <c r="S567" t="s">
        <v>116</v>
      </c>
      <c r="T567" t="s">
        <v>198</v>
      </c>
      <c r="U567" t="s">
        <v>108</v>
      </c>
    </row>
    <row r="568" spans="1:21" x14ac:dyDescent="0.3">
      <c r="A568" t="s">
        <v>368</v>
      </c>
      <c r="B568" t="s">
        <v>368</v>
      </c>
      <c r="C568" t="s">
        <v>194</v>
      </c>
      <c r="D568">
        <v>3</v>
      </c>
      <c r="E568" t="s">
        <v>105</v>
      </c>
      <c r="F568">
        <v>1</v>
      </c>
      <c r="G568">
        <v>-383</v>
      </c>
      <c r="H568">
        <v>-383</v>
      </c>
      <c r="I568" t="s">
        <v>119</v>
      </c>
      <c r="J568" t="s">
        <v>58</v>
      </c>
      <c r="K568" t="s">
        <v>374</v>
      </c>
      <c r="L568" t="s">
        <v>373</v>
      </c>
      <c r="M568">
        <v>61</v>
      </c>
      <c r="O568" t="s">
        <v>52</v>
      </c>
      <c r="P568" t="s">
        <v>52</v>
      </c>
      <c r="Q568" t="s">
        <v>197</v>
      </c>
      <c r="R568" t="s">
        <v>53</v>
      </c>
      <c r="S568" t="s">
        <v>116</v>
      </c>
      <c r="T568" t="s">
        <v>198</v>
      </c>
      <c r="U568" t="s">
        <v>108</v>
      </c>
    </row>
    <row r="569" spans="1:21" x14ac:dyDescent="0.3">
      <c r="A569" t="s">
        <v>368</v>
      </c>
      <c r="B569" t="s">
        <v>368</v>
      </c>
      <c r="C569" t="s">
        <v>194</v>
      </c>
      <c r="D569">
        <v>3</v>
      </c>
      <c r="E569" t="s">
        <v>105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375</v>
      </c>
      <c r="L569" t="s">
        <v>370</v>
      </c>
      <c r="M569">
        <v>33</v>
      </c>
      <c r="N569">
        <v>15894</v>
      </c>
      <c r="O569" t="s">
        <v>52</v>
      </c>
      <c r="P569" t="s">
        <v>52</v>
      </c>
      <c r="Q569" t="s">
        <v>197</v>
      </c>
      <c r="R569" t="s">
        <v>53</v>
      </c>
      <c r="S569" t="s">
        <v>116</v>
      </c>
      <c r="T569" t="s">
        <v>198</v>
      </c>
      <c r="U569" t="s">
        <v>108</v>
      </c>
    </row>
    <row r="570" spans="1:21" x14ac:dyDescent="0.3">
      <c r="A570" t="s">
        <v>368</v>
      </c>
      <c r="B570" t="s">
        <v>368</v>
      </c>
      <c r="C570" t="s">
        <v>194</v>
      </c>
      <c r="D570">
        <v>3</v>
      </c>
      <c r="E570" t="s">
        <v>105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376</v>
      </c>
      <c r="L570" t="s">
        <v>370</v>
      </c>
      <c r="M570">
        <v>33</v>
      </c>
      <c r="N570">
        <v>15894</v>
      </c>
      <c r="O570" t="s">
        <v>52</v>
      </c>
      <c r="P570" t="s">
        <v>52</v>
      </c>
      <c r="Q570" t="s">
        <v>197</v>
      </c>
      <c r="R570" t="s">
        <v>53</v>
      </c>
      <c r="S570" t="s">
        <v>116</v>
      </c>
      <c r="T570" t="s">
        <v>198</v>
      </c>
      <c r="U570" t="s">
        <v>108</v>
      </c>
    </row>
    <row r="571" spans="1:21" x14ac:dyDescent="0.3">
      <c r="A571" t="s">
        <v>368</v>
      </c>
      <c r="B571" t="s">
        <v>368</v>
      </c>
      <c r="C571" t="s">
        <v>194</v>
      </c>
      <c r="D571">
        <v>3</v>
      </c>
      <c r="E571" t="s">
        <v>105</v>
      </c>
      <c r="F571">
        <v>1</v>
      </c>
      <c r="G571">
        <v>-80</v>
      </c>
      <c r="H571">
        <v>-80</v>
      </c>
      <c r="I571" t="s">
        <v>117</v>
      </c>
      <c r="J571" t="s">
        <v>51</v>
      </c>
      <c r="K571" t="s">
        <v>372</v>
      </c>
      <c r="L571" t="s">
        <v>373</v>
      </c>
      <c r="M571">
        <v>61</v>
      </c>
      <c r="O571" t="s">
        <v>52</v>
      </c>
      <c r="P571" t="s">
        <v>52</v>
      </c>
      <c r="Q571" t="s">
        <v>197</v>
      </c>
      <c r="R571" t="s">
        <v>53</v>
      </c>
      <c r="S571" t="s">
        <v>116</v>
      </c>
      <c r="T571" t="s">
        <v>198</v>
      </c>
      <c r="U571" t="s">
        <v>108</v>
      </c>
    </row>
    <row r="572" spans="1:21" x14ac:dyDescent="0.3">
      <c r="A572" t="s">
        <v>368</v>
      </c>
      <c r="B572" t="s">
        <v>368</v>
      </c>
      <c r="C572" t="s">
        <v>194</v>
      </c>
      <c r="D572">
        <v>3</v>
      </c>
      <c r="E572" t="s">
        <v>105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369</v>
      </c>
      <c r="L572" t="s">
        <v>370</v>
      </c>
      <c r="M572">
        <v>33</v>
      </c>
      <c r="N572">
        <v>15894</v>
      </c>
      <c r="O572" t="s">
        <v>52</v>
      </c>
      <c r="P572" t="s">
        <v>52</v>
      </c>
      <c r="Q572" t="s">
        <v>197</v>
      </c>
      <c r="R572" t="s">
        <v>53</v>
      </c>
      <c r="S572" t="s">
        <v>116</v>
      </c>
      <c r="T572" t="s">
        <v>198</v>
      </c>
      <c r="U572" t="s">
        <v>108</v>
      </c>
    </row>
    <row r="573" spans="1:21" x14ac:dyDescent="0.3">
      <c r="A573" t="s">
        <v>368</v>
      </c>
      <c r="B573" t="s">
        <v>368</v>
      </c>
      <c r="C573" t="s">
        <v>194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371</v>
      </c>
      <c r="L573" t="s">
        <v>370</v>
      </c>
      <c r="M573">
        <v>33</v>
      </c>
      <c r="N573">
        <v>15894</v>
      </c>
      <c r="O573" t="s">
        <v>52</v>
      </c>
      <c r="P573" t="s">
        <v>52</v>
      </c>
      <c r="Q573" t="s">
        <v>197</v>
      </c>
      <c r="R573" t="s">
        <v>53</v>
      </c>
      <c r="S573" t="s">
        <v>116</v>
      </c>
      <c r="T573" t="s">
        <v>198</v>
      </c>
      <c r="U573" t="s">
        <v>108</v>
      </c>
    </row>
    <row r="574" spans="1:21" x14ac:dyDescent="0.3">
      <c r="A574" t="s">
        <v>368</v>
      </c>
      <c r="B574" t="s">
        <v>368</v>
      </c>
      <c r="C574" t="s">
        <v>194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369</v>
      </c>
      <c r="L574" t="s">
        <v>370</v>
      </c>
      <c r="M574">
        <v>33</v>
      </c>
      <c r="N574">
        <v>15894</v>
      </c>
      <c r="O574" t="s">
        <v>52</v>
      </c>
      <c r="P574" t="s">
        <v>52</v>
      </c>
      <c r="Q574" t="s">
        <v>197</v>
      </c>
      <c r="R574" t="s">
        <v>53</v>
      </c>
      <c r="S574" t="s">
        <v>116</v>
      </c>
      <c r="T574" t="s">
        <v>198</v>
      </c>
      <c r="U574" t="s">
        <v>108</v>
      </c>
    </row>
    <row r="575" spans="1:21" x14ac:dyDescent="0.3">
      <c r="A575" t="s">
        <v>368</v>
      </c>
      <c r="B575" t="s">
        <v>368</v>
      </c>
      <c r="C575" t="s">
        <v>194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376</v>
      </c>
      <c r="L575" t="s">
        <v>370</v>
      </c>
      <c r="M575">
        <v>33</v>
      </c>
      <c r="N575">
        <v>15894</v>
      </c>
      <c r="O575" t="s">
        <v>52</v>
      </c>
      <c r="P575" t="s">
        <v>52</v>
      </c>
      <c r="Q575" t="s">
        <v>197</v>
      </c>
      <c r="R575" t="s">
        <v>53</v>
      </c>
      <c r="S575" t="s">
        <v>116</v>
      </c>
      <c r="T575" t="s">
        <v>198</v>
      </c>
      <c r="U575" t="s">
        <v>108</v>
      </c>
    </row>
    <row r="576" spans="1:21" x14ac:dyDescent="0.3">
      <c r="A576" t="s">
        <v>368</v>
      </c>
      <c r="B576" t="s">
        <v>368</v>
      </c>
      <c r="C576" t="s">
        <v>194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119</v>
      </c>
      <c r="J576" t="s">
        <v>58</v>
      </c>
      <c r="K576" t="s">
        <v>374</v>
      </c>
      <c r="L576" t="s">
        <v>373</v>
      </c>
      <c r="M576">
        <v>61</v>
      </c>
      <c r="O576" t="s">
        <v>52</v>
      </c>
      <c r="P576" t="s">
        <v>52</v>
      </c>
      <c r="Q576" t="s">
        <v>197</v>
      </c>
      <c r="R576" t="s">
        <v>53</v>
      </c>
      <c r="S576" t="s">
        <v>116</v>
      </c>
      <c r="T576" t="s">
        <v>198</v>
      </c>
      <c r="U576" t="s">
        <v>108</v>
      </c>
    </row>
    <row r="577" spans="1:21" x14ac:dyDescent="0.3">
      <c r="A577" t="s">
        <v>368</v>
      </c>
      <c r="B577" t="s">
        <v>368</v>
      </c>
      <c r="C577" t="s">
        <v>194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117</v>
      </c>
      <c r="J577" t="s">
        <v>51</v>
      </c>
      <c r="K577" t="s">
        <v>372</v>
      </c>
      <c r="L577" t="s">
        <v>373</v>
      </c>
      <c r="M577">
        <v>61</v>
      </c>
      <c r="O577" t="s">
        <v>52</v>
      </c>
      <c r="P577" t="s">
        <v>52</v>
      </c>
      <c r="Q577" t="s">
        <v>197</v>
      </c>
      <c r="R577" t="s">
        <v>53</v>
      </c>
      <c r="S577" t="s">
        <v>116</v>
      </c>
      <c r="T577" t="s">
        <v>198</v>
      </c>
      <c r="U577" t="s">
        <v>108</v>
      </c>
    </row>
    <row r="578" spans="1:21" x14ac:dyDescent="0.3">
      <c r="A578" t="s">
        <v>368</v>
      </c>
      <c r="B578" t="s">
        <v>368</v>
      </c>
      <c r="C578" t="s">
        <v>194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375</v>
      </c>
      <c r="L578" t="s">
        <v>370</v>
      </c>
      <c r="M578">
        <v>33</v>
      </c>
      <c r="N578">
        <v>15894</v>
      </c>
      <c r="O578" t="s">
        <v>52</v>
      </c>
      <c r="P578" t="s">
        <v>52</v>
      </c>
      <c r="Q578" t="s">
        <v>197</v>
      </c>
      <c r="R578" t="s">
        <v>53</v>
      </c>
      <c r="S578" t="s">
        <v>116</v>
      </c>
      <c r="T578" t="s">
        <v>198</v>
      </c>
      <c r="U578" t="s">
        <v>108</v>
      </c>
    </row>
    <row r="579" spans="1:21" x14ac:dyDescent="0.3">
      <c r="A579" t="s">
        <v>368</v>
      </c>
      <c r="B579" t="s">
        <v>368</v>
      </c>
      <c r="C579" t="s">
        <v>194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369</v>
      </c>
      <c r="L579" t="s">
        <v>370</v>
      </c>
      <c r="M579">
        <v>33</v>
      </c>
      <c r="N579">
        <v>15894</v>
      </c>
      <c r="O579" t="s">
        <v>52</v>
      </c>
      <c r="P579" t="s">
        <v>52</v>
      </c>
      <c r="Q579" t="s">
        <v>197</v>
      </c>
      <c r="R579" t="s">
        <v>53</v>
      </c>
      <c r="S579" t="s">
        <v>116</v>
      </c>
      <c r="T579" t="s">
        <v>198</v>
      </c>
      <c r="U579" t="s">
        <v>108</v>
      </c>
    </row>
    <row r="580" spans="1:21" x14ac:dyDescent="0.3">
      <c r="A580" t="s">
        <v>368</v>
      </c>
      <c r="B580" t="s">
        <v>368</v>
      </c>
      <c r="C580" t="s">
        <v>194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371</v>
      </c>
      <c r="L580" t="s">
        <v>370</v>
      </c>
      <c r="M580">
        <v>33</v>
      </c>
      <c r="N580">
        <v>15894</v>
      </c>
      <c r="O580" t="s">
        <v>52</v>
      </c>
      <c r="P580" t="s">
        <v>52</v>
      </c>
      <c r="Q580" t="s">
        <v>197</v>
      </c>
      <c r="R580" t="s">
        <v>53</v>
      </c>
      <c r="S580" t="s">
        <v>116</v>
      </c>
      <c r="T580" t="s">
        <v>198</v>
      </c>
      <c r="U580" t="s">
        <v>108</v>
      </c>
    </row>
    <row r="581" spans="1:21" x14ac:dyDescent="0.3">
      <c r="A581" t="s">
        <v>368</v>
      </c>
      <c r="B581" t="s">
        <v>368</v>
      </c>
      <c r="C581" t="s">
        <v>194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376</v>
      </c>
      <c r="L581" t="s">
        <v>370</v>
      </c>
      <c r="M581">
        <v>33</v>
      </c>
      <c r="N581">
        <v>15894</v>
      </c>
      <c r="O581" t="s">
        <v>52</v>
      </c>
      <c r="P581" t="s">
        <v>52</v>
      </c>
      <c r="Q581" t="s">
        <v>197</v>
      </c>
      <c r="R581" t="s">
        <v>53</v>
      </c>
      <c r="S581" t="s">
        <v>116</v>
      </c>
      <c r="T581" t="s">
        <v>198</v>
      </c>
      <c r="U581" t="s">
        <v>108</v>
      </c>
    </row>
    <row r="582" spans="1:21" x14ac:dyDescent="0.3">
      <c r="A582" t="s">
        <v>368</v>
      </c>
      <c r="B582" t="s">
        <v>368</v>
      </c>
      <c r="C582" t="s">
        <v>194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119</v>
      </c>
      <c r="J582" t="s">
        <v>58</v>
      </c>
      <c r="K582" t="s">
        <v>374</v>
      </c>
      <c r="L582" t="s">
        <v>373</v>
      </c>
      <c r="M582">
        <v>61</v>
      </c>
      <c r="O582" t="s">
        <v>52</v>
      </c>
      <c r="P582" t="s">
        <v>52</v>
      </c>
      <c r="Q582" t="s">
        <v>197</v>
      </c>
      <c r="R582" t="s">
        <v>53</v>
      </c>
      <c r="S582" t="s">
        <v>116</v>
      </c>
      <c r="T582" t="s">
        <v>198</v>
      </c>
      <c r="U582" t="s">
        <v>108</v>
      </c>
    </row>
    <row r="583" spans="1:21" x14ac:dyDescent="0.3">
      <c r="A583" t="s">
        <v>368</v>
      </c>
      <c r="B583" t="s">
        <v>368</v>
      </c>
      <c r="C583" t="s">
        <v>194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375</v>
      </c>
      <c r="L583" t="s">
        <v>370</v>
      </c>
      <c r="M583">
        <v>33</v>
      </c>
      <c r="N583">
        <v>15894</v>
      </c>
      <c r="O583" t="s">
        <v>52</v>
      </c>
      <c r="P583" t="s">
        <v>52</v>
      </c>
      <c r="Q583" t="s">
        <v>197</v>
      </c>
      <c r="R583" t="s">
        <v>53</v>
      </c>
      <c r="S583" t="s">
        <v>116</v>
      </c>
      <c r="T583" t="s">
        <v>198</v>
      </c>
      <c r="U583" t="s">
        <v>108</v>
      </c>
    </row>
    <row r="584" spans="1:21" x14ac:dyDescent="0.3">
      <c r="A584" t="s">
        <v>368</v>
      </c>
      <c r="B584" t="s">
        <v>368</v>
      </c>
      <c r="C584" t="s">
        <v>194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117</v>
      </c>
      <c r="J584" t="s">
        <v>51</v>
      </c>
      <c r="K584" t="s">
        <v>372</v>
      </c>
      <c r="L584" t="s">
        <v>373</v>
      </c>
      <c r="M584">
        <v>61</v>
      </c>
      <c r="O584" t="s">
        <v>52</v>
      </c>
      <c r="P584" t="s">
        <v>52</v>
      </c>
      <c r="Q584" t="s">
        <v>197</v>
      </c>
      <c r="R584" t="s">
        <v>53</v>
      </c>
      <c r="S584" t="s">
        <v>116</v>
      </c>
      <c r="T584" t="s">
        <v>198</v>
      </c>
      <c r="U584" t="s">
        <v>108</v>
      </c>
    </row>
    <row r="585" spans="1:21" x14ac:dyDescent="0.3">
      <c r="A585" t="s">
        <v>377</v>
      </c>
      <c r="B585" t="s">
        <v>377</v>
      </c>
      <c r="C585" t="s">
        <v>194</v>
      </c>
      <c r="D585">
        <v>1</v>
      </c>
      <c r="E585" t="s">
        <v>107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378</v>
      </c>
      <c r="L585" t="s">
        <v>379</v>
      </c>
      <c r="M585">
        <v>33</v>
      </c>
      <c r="N585">
        <v>16653</v>
      </c>
      <c r="O585" t="s">
        <v>52</v>
      </c>
      <c r="P585" t="s">
        <v>52</v>
      </c>
      <c r="Q585" t="s">
        <v>197</v>
      </c>
      <c r="R585" t="s">
        <v>53</v>
      </c>
      <c r="S585" t="s">
        <v>116</v>
      </c>
      <c r="T585" t="s">
        <v>198</v>
      </c>
      <c r="U585" t="s">
        <v>108</v>
      </c>
    </row>
    <row r="586" spans="1:21" x14ac:dyDescent="0.3">
      <c r="A586" t="s">
        <v>377</v>
      </c>
      <c r="B586" t="s">
        <v>377</v>
      </c>
      <c r="C586" t="s">
        <v>194</v>
      </c>
      <c r="D586">
        <v>1</v>
      </c>
      <c r="E586" t="s">
        <v>107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380</v>
      </c>
      <c r="L586" t="s">
        <v>379</v>
      </c>
      <c r="M586">
        <v>33</v>
      </c>
      <c r="N586">
        <v>16653</v>
      </c>
      <c r="O586" t="s">
        <v>52</v>
      </c>
      <c r="P586" t="s">
        <v>52</v>
      </c>
      <c r="Q586" t="s">
        <v>197</v>
      </c>
      <c r="R586" t="s">
        <v>53</v>
      </c>
      <c r="S586" t="s">
        <v>116</v>
      </c>
      <c r="T586" t="s">
        <v>198</v>
      </c>
      <c r="U586" t="s">
        <v>108</v>
      </c>
    </row>
    <row r="587" spans="1:21" x14ac:dyDescent="0.3">
      <c r="A587" t="s">
        <v>377</v>
      </c>
      <c r="B587" t="s">
        <v>377</v>
      </c>
      <c r="C587" t="s">
        <v>194</v>
      </c>
      <c r="D587">
        <v>1</v>
      </c>
      <c r="E587" t="s">
        <v>107</v>
      </c>
      <c r="F587">
        <v>1</v>
      </c>
      <c r="G587">
        <v>-1312</v>
      </c>
      <c r="H587">
        <v>-1312</v>
      </c>
      <c r="I587" t="s">
        <v>117</v>
      </c>
      <c r="J587" t="s">
        <v>51</v>
      </c>
      <c r="K587" t="s">
        <v>381</v>
      </c>
      <c r="L587" t="s">
        <v>382</v>
      </c>
      <c r="M587">
        <v>61</v>
      </c>
      <c r="O587" t="s">
        <v>52</v>
      </c>
      <c r="P587" t="s">
        <v>52</v>
      </c>
      <c r="Q587" t="s">
        <v>197</v>
      </c>
      <c r="R587" t="s">
        <v>53</v>
      </c>
      <c r="S587" t="s">
        <v>116</v>
      </c>
      <c r="T587" t="s">
        <v>198</v>
      </c>
      <c r="U587" t="s">
        <v>108</v>
      </c>
    </row>
    <row r="588" spans="1:21" x14ac:dyDescent="0.3">
      <c r="A588" t="s">
        <v>377</v>
      </c>
      <c r="B588" t="s">
        <v>377</v>
      </c>
      <c r="C588" t="s">
        <v>194</v>
      </c>
      <c r="D588">
        <v>1</v>
      </c>
      <c r="E588" t="s">
        <v>107</v>
      </c>
      <c r="F588">
        <v>1</v>
      </c>
      <c r="G588">
        <v>-3027</v>
      </c>
      <c r="H588">
        <v>-3027</v>
      </c>
      <c r="I588" t="s">
        <v>119</v>
      </c>
      <c r="J588" t="s">
        <v>58</v>
      </c>
      <c r="K588" t="s">
        <v>383</v>
      </c>
      <c r="L588" t="s">
        <v>384</v>
      </c>
      <c r="M588">
        <v>61</v>
      </c>
      <c r="O588" t="s">
        <v>52</v>
      </c>
      <c r="P588" t="s">
        <v>52</v>
      </c>
      <c r="Q588" t="s">
        <v>197</v>
      </c>
      <c r="R588" t="s">
        <v>53</v>
      </c>
      <c r="S588" t="s">
        <v>116</v>
      </c>
      <c r="T588" t="s">
        <v>198</v>
      </c>
      <c r="U588" t="s">
        <v>108</v>
      </c>
    </row>
    <row r="589" spans="1:21" x14ac:dyDescent="0.3">
      <c r="A589" t="s">
        <v>377</v>
      </c>
      <c r="B589" t="s">
        <v>377</v>
      </c>
      <c r="C589" t="s">
        <v>194</v>
      </c>
      <c r="D589">
        <v>1</v>
      </c>
      <c r="E589" t="s">
        <v>107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385</v>
      </c>
      <c r="L589" t="s">
        <v>379</v>
      </c>
      <c r="M589">
        <v>33</v>
      </c>
      <c r="N589">
        <v>16653</v>
      </c>
      <c r="O589" t="s">
        <v>52</v>
      </c>
      <c r="P589" t="s">
        <v>52</v>
      </c>
      <c r="Q589" t="s">
        <v>197</v>
      </c>
      <c r="R589" t="s">
        <v>53</v>
      </c>
      <c r="S589" t="s">
        <v>116</v>
      </c>
      <c r="T589" t="s">
        <v>198</v>
      </c>
      <c r="U589" t="s">
        <v>108</v>
      </c>
    </row>
    <row r="590" spans="1:21" x14ac:dyDescent="0.3">
      <c r="A590" t="s">
        <v>377</v>
      </c>
      <c r="B590" t="s">
        <v>377</v>
      </c>
      <c r="C590" t="s">
        <v>194</v>
      </c>
      <c r="D590">
        <v>1</v>
      </c>
      <c r="E590" t="s">
        <v>107</v>
      </c>
      <c r="F590">
        <v>1</v>
      </c>
      <c r="G590">
        <v>10</v>
      </c>
      <c r="H590">
        <v>10</v>
      </c>
      <c r="I590" t="s">
        <v>386</v>
      </c>
      <c r="J590" t="s">
        <v>55</v>
      </c>
      <c r="K590" t="s">
        <v>387</v>
      </c>
      <c r="L590" t="s">
        <v>382</v>
      </c>
      <c r="M590">
        <v>61</v>
      </c>
      <c r="O590" t="s">
        <v>52</v>
      </c>
      <c r="P590" t="s">
        <v>52</v>
      </c>
      <c r="Q590" t="s">
        <v>197</v>
      </c>
      <c r="R590" t="s">
        <v>53</v>
      </c>
      <c r="S590" t="s">
        <v>116</v>
      </c>
      <c r="T590" t="s">
        <v>198</v>
      </c>
      <c r="U590" t="s">
        <v>108</v>
      </c>
    </row>
    <row r="591" spans="1:21" x14ac:dyDescent="0.3">
      <c r="A591" t="s">
        <v>377</v>
      </c>
      <c r="B591" t="s">
        <v>377</v>
      </c>
      <c r="C591" t="s">
        <v>194</v>
      </c>
      <c r="D591">
        <v>1</v>
      </c>
      <c r="E591" t="s">
        <v>107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388</v>
      </c>
      <c r="L591" t="s">
        <v>379</v>
      </c>
      <c r="M591">
        <v>33</v>
      </c>
      <c r="N591">
        <v>16653</v>
      </c>
      <c r="O591" t="s">
        <v>52</v>
      </c>
      <c r="P591" t="s">
        <v>52</v>
      </c>
      <c r="Q591" t="s">
        <v>197</v>
      </c>
      <c r="R591" t="s">
        <v>53</v>
      </c>
      <c r="S591" t="s">
        <v>116</v>
      </c>
      <c r="T591" t="s">
        <v>198</v>
      </c>
      <c r="U591" t="s">
        <v>108</v>
      </c>
    </row>
    <row r="592" spans="1:21" x14ac:dyDescent="0.3">
      <c r="A592" t="s">
        <v>377</v>
      </c>
      <c r="B592" t="s">
        <v>377</v>
      </c>
      <c r="C592" t="s">
        <v>194</v>
      </c>
      <c r="D592">
        <v>2</v>
      </c>
      <c r="E592" t="s">
        <v>118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380</v>
      </c>
      <c r="L592" t="s">
        <v>379</v>
      </c>
      <c r="M592">
        <v>33</v>
      </c>
      <c r="N592">
        <v>16653</v>
      </c>
      <c r="O592" t="s">
        <v>52</v>
      </c>
      <c r="P592" t="s">
        <v>52</v>
      </c>
      <c r="Q592" t="s">
        <v>197</v>
      </c>
      <c r="R592" t="s">
        <v>53</v>
      </c>
      <c r="S592" t="s">
        <v>116</v>
      </c>
      <c r="T592" t="s">
        <v>198</v>
      </c>
      <c r="U592" t="s">
        <v>108</v>
      </c>
    </row>
    <row r="593" spans="1:21" x14ac:dyDescent="0.3">
      <c r="A593" t="s">
        <v>377</v>
      </c>
      <c r="B593" t="s">
        <v>377</v>
      </c>
      <c r="C593" t="s">
        <v>194</v>
      </c>
      <c r="D593">
        <v>2</v>
      </c>
      <c r="E593" t="s">
        <v>118</v>
      </c>
      <c r="F593">
        <v>1</v>
      </c>
      <c r="G593">
        <v>-13</v>
      </c>
      <c r="H593">
        <v>-13</v>
      </c>
      <c r="I593" t="s">
        <v>119</v>
      </c>
      <c r="J593" t="s">
        <v>58</v>
      </c>
      <c r="K593" t="s">
        <v>383</v>
      </c>
      <c r="L593" t="s">
        <v>384</v>
      </c>
      <c r="M593">
        <v>61</v>
      </c>
      <c r="O593" t="s">
        <v>52</v>
      </c>
      <c r="P593" t="s">
        <v>52</v>
      </c>
      <c r="Q593" t="s">
        <v>197</v>
      </c>
      <c r="R593" t="s">
        <v>53</v>
      </c>
      <c r="S593" t="s">
        <v>116</v>
      </c>
      <c r="T593" t="s">
        <v>198</v>
      </c>
      <c r="U593" t="s">
        <v>108</v>
      </c>
    </row>
    <row r="594" spans="1:21" x14ac:dyDescent="0.3">
      <c r="A594" t="s">
        <v>377</v>
      </c>
      <c r="B594" t="s">
        <v>377</v>
      </c>
      <c r="C594" t="s">
        <v>194</v>
      </c>
      <c r="D594">
        <v>2</v>
      </c>
      <c r="E594" t="s">
        <v>118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385</v>
      </c>
      <c r="L594" t="s">
        <v>379</v>
      </c>
      <c r="M594">
        <v>33</v>
      </c>
      <c r="N594">
        <v>16653</v>
      </c>
      <c r="O594" t="s">
        <v>52</v>
      </c>
      <c r="P594" t="s">
        <v>52</v>
      </c>
      <c r="Q594" t="s">
        <v>197</v>
      </c>
      <c r="R594" t="s">
        <v>53</v>
      </c>
      <c r="S594" t="s">
        <v>116</v>
      </c>
      <c r="T594" t="s">
        <v>198</v>
      </c>
      <c r="U594" t="s">
        <v>108</v>
      </c>
    </row>
    <row r="595" spans="1:21" x14ac:dyDescent="0.3">
      <c r="A595" t="s">
        <v>377</v>
      </c>
      <c r="B595" t="s">
        <v>377</v>
      </c>
      <c r="C595" t="s">
        <v>194</v>
      </c>
      <c r="D595">
        <v>2</v>
      </c>
      <c r="E595" t="s">
        <v>118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388</v>
      </c>
      <c r="L595" t="s">
        <v>379</v>
      </c>
      <c r="M595">
        <v>33</v>
      </c>
      <c r="N595">
        <v>16653</v>
      </c>
      <c r="O595" t="s">
        <v>52</v>
      </c>
      <c r="P595" t="s">
        <v>52</v>
      </c>
      <c r="Q595" t="s">
        <v>197</v>
      </c>
      <c r="R595" t="s">
        <v>53</v>
      </c>
      <c r="S595" t="s">
        <v>116</v>
      </c>
      <c r="T595" t="s">
        <v>198</v>
      </c>
      <c r="U595" t="s">
        <v>108</v>
      </c>
    </row>
    <row r="596" spans="1:21" x14ac:dyDescent="0.3">
      <c r="A596" t="s">
        <v>377</v>
      </c>
      <c r="B596" t="s">
        <v>377</v>
      </c>
      <c r="C596" t="s">
        <v>194</v>
      </c>
      <c r="D596">
        <v>2</v>
      </c>
      <c r="E596" t="s">
        <v>118</v>
      </c>
      <c r="F596">
        <v>1</v>
      </c>
      <c r="G596">
        <v>-6</v>
      </c>
      <c r="H596">
        <v>-6</v>
      </c>
      <c r="I596" t="s">
        <v>117</v>
      </c>
      <c r="J596" t="s">
        <v>51</v>
      </c>
      <c r="K596" t="s">
        <v>381</v>
      </c>
      <c r="L596" t="s">
        <v>382</v>
      </c>
      <c r="M596">
        <v>61</v>
      </c>
      <c r="O596" t="s">
        <v>52</v>
      </c>
      <c r="P596" t="s">
        <v>52</v>
      </c>
      <c r="Q596" t="s">
        <v>197</v>
      </c>
      <c r="R596" t="s">
        <v>53</v>
      </c>
      <c r="S596" t="s">
        <v>116</v>
      </c>
      <c r="T596" t="s">
        <v>198</v>
      </c>
      <c r="U596" t="s">
        <v>108</v>
      </c>
    </row>
    <row r="597" spans="1:21" x14ac:dyDescent="0.3">
      <c r="A597" t="s">
        <v>377</v>
      </c>
      <c r="B597" t="s">
        <v>377</v>
      </c>
      <c r="C597" t="s">
        <v>194</v>
      </c>
      <c r="D597">
        <v>2</v>
      </c>
      <c r="E597" t="s">
        <v>118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378</v>
      </c>
      <c r="L597" t="s">
        <v>379</v>
      </c>
      <c r="M597">
        <v>33</v>
      </c>
      <c r="N597">
        <v>16653</v>
      </c>
      <c r="O597" t="s">
        <v>52</v>
      </c>
      <c r="P597" t="s">
        <v>52</v>
      </c>
      <c r="Q597" t="s">
        <v>197</v>
      </c>
      <c r="R597" t="s">
        <v>53</v>
      </c>
      <c r="S597" t="s">
        <v>116</v>
      </c>
      <c r="T597" t="s">
        <v>198</v>
      </c>
      <c r="U597" t="s">
        <v>108</v>
      </c>
    </row>
    <row r="598" spans="1:21" x14ac:dyDescent="0.3">
      <c r="A598" t="s">
        <v>377</v>
      </c>
      <c r="B598" t="s">
        <v>377</v>
      </c>
      <c r="C598" t="s">
        <v>194</v>
      </c>
      <c r="D598">
        <v>3</v>
      </c>
      <c r="E598" t="s">
        <v>105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380</v>
      </c>
      <c r="L598" t="s">
        <v>379</v>
      </c>
      <c r="M598">
        <v>33</v>
      </c>
      <c r="N598">
        <v>16653</v>
      </c>
      <c r="O598" t="s">
        <v>52</v>
      </c>
      <c r="P598" t="s">
        <v>52</v>
      </c>
      <c r="Q598" t="s">
        <v>197</v>
      </c>
      <c r="R598" t="s">
        <v>53</v>
      </c>
      <c r="S598" t="s">
        <v>116</v>
      </c>
      <c r="T598" t="s">
        <v>198</v>
      </c>
      <c r="U598" t="s">
        <v>108</v>
      </c>
    </row>
    <row r="599" spans="1:21" x14ac:dyDescent="0.3">
      <c r="A599" t="s">
        <v>377</v>
      </c>
      <c r="B599" t="s">
        <v>377</v>
      </c>
      <c r="C599" t="s">
        <v>194</v>
      </c>
      <c r="D599">
        <v>3</v>
      </c>
      <c r="E599" t="s">
        <v>105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388</v>
      </c>
      <c r="L599" t="s">
        <v>379</v>
      </c>
      <c r="M599">
        <v>33</v>
      </c>
      <c r="N599">
        <v>16653</v>
      </c>
      <c r="O599" t="s">
        <v>52</v>
      </c>
      <c r="P599" t="s">
        <v>52</v>
      </c>
      <c r="Q599" t="s">
        <v>197</v>
      </c>
      <c r="R599" t="s">
        <v>53</v>
      </c>
      <c r="S599" t="s">
        <v>116</v>
      </c>
      <c r="T599" t="s">
        <v>198</v>
      </c>
      <c r="U599" t="s">
        <v>108</v>
      </c>
    </row>
    <row r="600" spans="1:21" x14ac:dyDescent="0.3">
      <c r="A600" t="s">
        <v>377</v>
      </c>
      <c r="B600" t="s">
        <v>377</v>
      </c>
      <c r="C600" t="s">
        <v>194</v>
      </c>
      <c r="D600">
        <v>3</v>
      </c>
      <c r="E600" t="s">
        <v>105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385</v>
      </c>
      <c r="L600" t="s">
        <v>379</v>
      </c>
      <c r="M600">
        <v>33</v>
      </c>
      <c r="N600">
        <v>16653</v>
      </c>
      <c r="O600" t="s">
        <v>52</v>
      </c>
      <c r="P600" t="s">
        <v>52</v>
      </c>
      <c r="Q600" t="s">
        <v>197</v>
      </c>
      <c r="R600" t="s">
        <v>53</v>
      </c>
      <c r="S600" t="s">
        <v>116</v>
      </c>
      <c r="T600" t="s">
        <v>198</v>
      </c>
      <c r="U600" t="s">
        <v>108</v>
      </c>
    </row>
    <row r="601" spans="1:21" x14ac:dyDescent="0.3">
      <c r="A601" t="s">
        <v>377</v>
      </c>
      <c r="B601" t="s">
        <v>377</v>
      </c>
      <c r="C601" t="s">
        <v>194</v>
      </c>
      <c r="D601">
        <v>3</v>
      </c>
      <c r="E601" t="s">
        <v>105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378</v>
      </c>
      <c r="L601" t="s">
        <v>379</v>
      </c>
      <c r="M601">
        <v>33</v>
      </c>
      <c r="N601">
        <v>16653</v>
      </c>
      <c r="O601" t="s">
        <v>52</v>
      </c>
      <c r="P601" t="s">
        <v>52</v>
      </c>
      <c r="Q601" t="s">
        <v>197</v>
      </c>
      <c r="R601" t="s">
        <v>53</v>
      </c>
      <c r="S601" t="s">
        <v>116</v>
      </c>
      <c r="T601" t="s">
        <v>198</v>
      </c>
      <c r="U601" t="s">
        <v>108</v>
      </c>
    </row>
    <row r="602" spans="1:21" x14ac:dyDescent="0.3">
      <c r="A602" t="s">
        <v>377</v>
      </c>
      <c r="B602" t="s">
        <v>377</v>
      </c>
      <c r="C602" t="s">
        <v>194</v>
      </c>
      <c r="D602">
        <v>3</v>
      </c>
      <c r="E602" t="s">
        <v>105</v>
      </c>
      <c r="F602">
        <v>1</v>
      </c>
      <c r="G602">
        <v>-456</v>
      </c>
      <c r="H602">
        <v>-456</v>
      </c>
      <c r="I602" t="s">
        <v>119</v>
      </c>
      <c r="J602" t="s">
        <v>58</v>
      </c>
      <c r="K602" t="s">
        <v>383</v>
      </c>
      <c r="L602" t="s">
        <v>384</v>
      </c>
      <c r="M602">
        <v>61</v>
      </c>
      <c r="O602" t="s">
        <v>52</v>
      </c>
      <c r="P602" t="s">
        <v>52</v>
      </c>
      <c r="Q602" t="s">
        <v>197</v>
      </c>
      <c r="R602" t="s">
        <v>53</v>
      </c>
      <c r="S602" t="s">
        <v>116</v>
      </c>
      <c r="T602" t="s">
        <v>198</v>
      </c>
      <c r="U602" t="s">
        <v>108</v>
      </c>
    </row>
    <row r="603" spans="1:21" x14ac:dyDescent="0.3">
      <c r="A603" t="s">
        <v>377</v>
      </c>
      <c r="B603" t="s">
        <v>377</v>
      </c>
      <c r="C603" t="s">
        <v>194</v>
      </c>
      <c r="D603">
        <v>3</v>
      </c>
      <c r="E603" t="s">
        <v>105</v>
      </c>
      <c r="F603">
        <v>1</v>
      </c>
      <c r="G603">
        <v>-189</v>
      </c>
      <c r="H603">
        <v>-189</v>
      </c>
      <c r="I603" t="s">
        <v>117</v>
      </c>
      <c r="J603" t="s">
        <v>51</v>
      </c>
      <c r="K603" t="s">
        <v>381</v>
      </c>
      <c r="L603" t="s">
        <v>382</v>
      </c>
      <c r="M603">
        <v>61</v>
      </c>
      <c r="O603" t="s">
        <v>52</v>
      </c>
      <c r="P603" t="s">
        <v>52</v>
      </c>
      <c r="Q603" t="s">
        <v>197</v>
      </c>
      <c r="R603" t="s">
        <v>53</v>
      </c>
      <c r="S603" t="s">
        <v>116</v>
      </c>
      <c r="T603" t="s">
        <v>198</v>
      </c>
      <c r="U603" t="s">
        <v>108</v>
      </c>
    </row>
    <row r="604" spans="1:21" x14ac:dyDescent="0.3">
      <c r="A604" t="s">
        <v>377</v>
      </c>
      <c r="B604" t="s">
        <v>377</v>
      </c>
      <c r="C604" t="s">
        <v>194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378</v>
      </c>
      <c r="L604" t="s">
        <v>379</v>
      </c>
      <c r="M604">
        <v>33</v>
      </c>
      <c r="N604">
        <v>16653</v>
      </c>
      <c r="O604" t="s">
        <v>52</v>
      </c>
      <c r="P604" t="s">
        <v>52</v>
      </c>
      <c r="Q604" t="s">
        <v>197</v>
      </c>
      <c r="R604" t="s">
        <v>53</v>
      </c>
      <c r="S604" t="s">
        <v>116</v>
      </c>
      <c r="T604" t="s">
        <v>198</v>
      </c>
      <c r="U604" t="s">
        <v>108</v>
      </c>
    </row>
    <row r="605" spans="1:21" x14ac:dyDescent="0.3">
      <c r="A605" t="s">
        <v>377</v>
      </c>
      <c r="B605" t="s">
        <v>377</v>
      </c>
      <c r="C605" t="s">
        <v>194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117</v>
      </c>
      <c r="J605" t="s">
        <v>51</v>
      </c>
      <c r="K605" t="s">
        <v>381</v>
      </c>
      <c r="L605" t="s">
        <v>382</v>
      </c>
      <c r="M605">
        <v>61</v>
      </c>
      <c r="O605" t="s">
        <v>52</v>
      </c>
      <c r="P605" t="s">
        <v>52</v>
      </c>
      <c r="Q605" t="s">
        <v>197</v>
      </c>
      <c r="R605" t="s">
        <v>53</v>
      </c>
      <c r="S605" t="s">
        <v>116</v>
      </c>
      <c r="T605" t="s">
        <v>198</v>
      </c>
      <c r="U605" t="s">
        <v>108</v>
      </c>
    </row>
    <row r="606" spans="1:21" x14ac:dyDescent="0.3">
      <c r="A606" t="s">
        <v>377</v>
      </c>
      <c r="B606" t="s">
        <v>377</v>
      </c>
      <c r="C606" t="s">
        <v>194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119</v>
      </c>
      <c r="J606" t="s">
        <v>58</v>
      </c>
      <c r="K606" t="s">
        <v>383</v>
      </c>
      <c r="L606" t="s">
        <v>384</v>
      </c>
      <c r="M606">
        <v>61</v>
      </c>
      <c r="O606" t="s">
        <v>52</v>
      </c>
      <c r="P606" t="s">
        <v>52</v>
      </c>
      <c r="Q606" t="s">
        <v>197</v>
      </c>
      <c r="R606" t="s">
        <v>53</v>
      </c>
      <c r="S606" t="s">
        <v>116</v>
      </c>
      <c r="T606" t="s">
        <v>198</v>
      </c>
      <c r="U606" t="s">
        <v>108</v>
      </c>
    </row>
    <row r="607" spans="1:21" x14ac:dyDescent="0.3">
      <c r="A607" t="s">
        <v>377</v>
      </c>
      <c r="B607" t="s">
        <v>377</v>
      </c>
      <c r="C607" t="s">
        <v>194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388</v>
      </c>
      <c r="L607" t="s">
        <v>379</v>
      </c>
      <c r="M607">
        <v>33</v>
      </c>
      <c r="N607">
        <v>16653</v>
      </c>
      <c r="O607" t="s">
        <v>52</v>
      </c>
      <c r="P607" t="s">
        <v>52</v>
      </c>
      <c r="Q607" t="s">
        <v>197</v>
      </c>
      <c r="R607" t="s">
        <v>53</v>
      </c>
      <c r="S607" t="s">
        <v>116</v>
      </c>
      <c r="T607" t="s">
        <v>198</v>
      </c>
      <c r="U607" t="s">
        <v>108</v>
      </c>
    </row>
    <row r="608" spans="1:21" x14ac:dyDescent="0.3">
      <c r="A608" t="s">
        <v>377</v>
      </c>
      <c r="B608" t="s">
        <v>377</v>
      </c>
      <c r="C608" t="s">
        <v>194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380</v>
      </c>
      <c r="L608" t="s">
        <v>379</v>
      </c>
      <c r="M608">
        <v>33</v>
      </c>
      <c r="N608">
        <v>16653</v>
      </c>
      <c r="O608" t="s">
        <v>52</v>
      </c>
      <c r="P608" t="s">
        <v>52</v>
      </c>
      <c r="Q608" t="s">
        <v>197</v>
      </c>
      <c r="R608" t="s">
        <v>53</v>
      </c>
      <c r="S608" t="s">
        <v>116</v>
      </c>
      <c r="T608" t="s">
        <v>198</v>
      </c>
      <c r="U608" t="s">
        <v>108</v>
      </c>
    </row>
    <row r="609" spans="1:21" x14ac:dyDescent="0.3">
      <c r="A609" t="s">
        <v>377</v>
      </c>
      <c r="B609" t="s">
        <v>377</v>
      </c>
      <c r="C609" t="s">
        <v>194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385</v>
      </c>
      <c r="L609" t="s">
        <v>379</v>
      </c>
      <c r="M609">
        <v>33</v>
      </c>
      <c r="N609">
        <v>16653</v>
      </c>
      <c r="O609" t="s">
        <v>52</v>
      </c>
      <c r="P609" t="s">
        <v>52</v>
      </c>
      <c r="Q609" t="s">
        <v>197</v>
      </c>
      <c r="R609" t="s">
        <v>53</v>
      </c>
      <c r="S609" t="s">
        <v>116</v>
      </c>
      <c r="T609" t="s">
        <v>198</v>
      </c>
      <c r="U609" t="s">
        <v>108</v>
      </c>
    </row>
    <row r="610" spans="1:21" x14ac:dyDescent="0.3">
      <c r="A610" t="s">
        <v>377</v>
      </c>
      <c r="B610" t="s">
        <v>377</v>
      </c>
      <c r="C610" t="s">
        <v>194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380</v>
      </c>
      <c r="L610" t="s">
        <v>379</v>
      </c>
      <c r="M610">
        <v>33</v>
      </c>
      <c r="N610">
        <v>16653</v>
      </c>
      <c r="O610" t="s">
        <v>52</v>
      </c>
      <c r="P610" t="s">
        <v>52</v>
      </c>
      <c r="Q610" t="s">
        <v>197</v>
      </c>
      <c r="R610" t="s">
        <v>53</v>
      </c>
      <c r="S610" t="s">
        <v>116</v>
      </c>
      <c r="T610" t="s">
        <v>198</v>
      </c>
      <c r="U610" t="s">
        <v>108</v>
      </c>
    </row>
    <row r="611" spans="1:21" x14ac:dyDescent="0.3">
      <c r="A611" t="s">
        <v>377</v>
      </c>
      <c r="B611" t="s">
        <v>377</v>
      </c>
      <c r="C611" t="s">
        <v>194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385</v>
      </c>
      <c r="L611" t="s">
        <v>379</v>
      </c>
      <c r="M611">
        <v>33</v>
      </c>
      <c r="N611">
        <v>16653</v>
      </c>
      <c r="O611" t="s">
        <v>52</v>
      </c>
      <c r="P611" t="s">
        <v>52</v>
      </c>
      <c r="Q611" t="s">
        <v>197</v>
      </c>
      <c r="R611" t="s">
        <v>53</v>
      </c>
      <c r="S611" t="s">
        <v>116</v>
      </c>
      <c r="T611" t="s">
        <v>198</v>
      </c>
      <c r="U611" t="s">
        <v>108</v>
      </c>
    </row>
    <row r="612" spans="1:21" x14ac:dyDescent="0.3">
      <c r="A612" t="s">
        <v>377</v>
      </c>
      <c r="B612" t="s">
        <v>377</v>
      </c>
      <c r="C612" t="s">
        <v>194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117</v>
      </c>
      <c r="J612" t="s">
        <v>51</v>
      </c>
      <c r="K612" t="s">
        <v>381</v>
      </c>
      <c r="L612" t="s">
        <v>382</v>
      </c>
      <c r="M612">
        <v>61</v>
      </c>
      <c r="O612" t="s">
        <v>52</v>
      </c>
      <c r="P612" t="s">
        <v>52</v>
      </c>
      <c r="Q612" t="s">
        <v>197</v>
      </c>
      <c r="R612" t="s">
        <v>53</v>
      </c>
      <c r="S612" t="s">
        <v>116</v>
      </c>
      <c r="T612" t="s">
        <v>198</v>
      </c>
      <c r="U612" t="s">
        <v>108</v>
      </c>
    </row>
    <row r="613" spans="1:21" x14ac:dyDescent="0.3">
      <c r="A613" t="s">
        <v>377</v>
      </c>
      <c r="B613" t="s">
        <v>377</v>
      </c>
      <c r="C613" t="s">
        <v>194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378</v>
      </c>
      <c r="L613" t="s">
        <v>379</v>
      </c>
      <c r="M613">
        <v>33</v>
      </c>
      <c r="N613">
        <v>16653</v>
      </c>
      <c r="O613" t="s">
        <v>52</v>
      </c>
      <c r="P613" t="s">
        <v>52</v>
      </c>
      <c r="Q613" t="s">
        <v>197</v>
      </c>
      <c r="R613" t="s">
        <v>53</v>
      </c>
      <c r="S613" t="s">
        <v>116</v>
      </c>
      <c r="T613" t="s">
        <v>198</v>
      </c>
      <c r="U613" t="s">
        <v>108</v>
      </c>
    </row>
    <row r="614" spans="1:21" x14ac:dyDescent="0.3">
      <c r="A614" t="s">
        <v>377</v>
      </c>
      <c r="B614" t="s">
        <v>377</v>
      </c>
      <c r="C614" t="s">
        <v>194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119</v>
      </c>
      <c r="J614" t="s">
        <v>58</v>
      </c>
      <c r="K614" t="s">
        <v>383</v>
      </c>
      <c r="L614" t="s">
        <v>384</v>
      </c>
      <c r="M614">
        <v>61</v>
      </c>
      <c r="O614" t="s">
        <v>52</v>
      </c>
      <c r="P614" t="s">
        <v>52</v>
      </c>
      <c r="Q614" t="s">
        <v>197</v>
      </c>
      <c r="R614" t="s">
        <v>53</v>
      </c>
      <c r="S614" t="s">
        <v>116</v>
      </c>
      <c r="T614" t="s">
        <v>198</v>
      </c>
      <c r="U614" t="s">
        <v>108</v>
      </c>
    </row>
    <row r="615" spans="1:21" x14ac:dyDescent="0.3">
      <c r="A615" t="s">
        <v>377</v>
      </c>
      <c r="B615" t="s">
        <v>377</v>
      </c>
      <c r="C615" t="s">
        <v>194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388</v>
      </c>
      <c r="L615" t="s">
        <v>379</v>
      </c>
      <c r="M615">
        <v>33</v>
      </c>
      <c r="N615">
        <v>16653</v>
      </c>
      <c r="O615" t="s">
        <v>52</v>
      </c>
      <c r="P615" t="s">
        <v>52</v>
      </c>
      <c r="Q615" t="s">
        <v>197</v>
      </c>
      <c r="R615" t="s">
        <v>53</v>
      </c>
      <c r="S615" t="s">
        <v>116</v>
      </c>
      <c r="T615" t="s">
        <v>198</v>
      </c>
      <c r="U615" t="s">
        <v>108</v>
      </c>
    </row>
    <row r="616" spans="1:21" x14ac:dyDescent="0.3">
      <c r="A616" t="s">
        <v>389</v>
      </c>
      <c r="B616" t="s">
        <v>389</v>
      </c>
      <c r="C616" t="s">
        <v>194</v>
      </c>
      <c r="D616">
        <v>1</v>
      </c>
      <c r="E616" t="s">
        <v>107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390</v>
      </c>
      <c r="L616" t="s">
        <v>391</v>
      </c>
      <c r="M616">
        <v>33</v>
      </c>
      <c r="N616">
        <v>16938</v>
      </c>
      <c r="O616" t="s">
        <v>52</v>
      </c>
      <c r="P616" t="s">
        <v>52</v>
      </c>
      <c r="Q616" t="s">
        <v>197</v>
      </c>
      <c r="R616" t="s">
        <v>53</v>
      </c>
      <c r="S616" t="s">
        <v>116</v>
      </c>
      <c r="T616" t="s">
        <v>198</v>
      </c>
      <c r="U616" t="s">
        <v>108</v>
      </c>
    </row>
    <row r="617" spans="1:21" x14ac:dyDescent="0.3">
      <c r="A617" t="s">
        <v>389</v>
      </c>
      <c r="B617" t="s">
        <v>389</v>
      </c>
      <c r="C617" t="s">
        <v>194</v>
      </c>
      <c r="D617">
        <v>1</v>
      </c>
      <c r="E617" t="s">
        <v>107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392</v>
      </c>
      <c r="L617" t="s">
        <v>391</v>
      </c>
      <c r="M617">
        <v>33</v>
      </c>
      <c r="N617">
        <v>16938</v>
      </c>
      <c r="O617" t="s">
        <v>52</v>
      </c>
      <c r="P617" t="s">
        <v>52</v>
      </c>
      <c r="Q617" t="s">
        <v>197</v>
      </c>
      <c r="R617" t="s">
        <v>53</v>
      </c>
      <c r="S617" t="s">
        <v>116</v>
      </c>
      <c r="T617" t="s">
        <v>198</v>
      </c>
      <c r="U617" t="s">
        <v>108</v>
      </c>
    </row>
    <row r="618" spans="1:21" x14ac:dyDescent="0.3">
      <c r="A618" t="s">
        <v>389</v>
      </c>
      <c r="B618" t="s">
        <v>389</v>
      </c>
      <c r="C618" t="s">
        <v>194</v>
      </c>
      <c r="D618">
        <v>1</v>
      </c>
      <c r="E618" t="s">
        <v>107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393</v>
      </c>
      <c r="L618" t="s">
        <v>391</v>
      </c>
      <c r="M618">
        <v>33</v>
      </c>
      <c r="N618">
        <v>16938</v>
      </c>
      <c r="O618" t="s">
        <v>52</v>
      </c>
      <c r="P618" t="s">
        <v>52</v>
      </c>
      <c r="Q618" t="s">
        <v>197</v>
      </c>
      <c r="R618" t="s">
        <v>53</v>
      </c>
      <c r="S618" t="s">
        <v>116</v>
      </c>
      <c r="T618" t="s">
        <v>198</v>
      </c>
      <c r="U618" t="s">
        <v>108</v>
      </c>
    </row>
    <row r="619" spans="1:21" x14ac:dyDescent="0.3">
      <c r="A619" t="s">
        <v>389</v>
      </c>
      <c r="B619" t="s">
        <v>389</v>
      </c>
      <c r="C619" t="s">
        <v>194</v>
      </c>
      <c r="D619">
        <v>1</v>
      </c>
      <c r="E619" t="s">
        <v>107</v>
      </c>
      <c r="F619">
        <v>1</v>
      </c>
      <c r="G619">
        <v>882</v>
      </c>
      <c r="H619">
        <v>882</v>
      </c>
      <c r="I619" t="s">
        <v>117</v>
      </c>
      <c r="J619" t="s">
        <v>51</v>
      </c>
      <c r="K619" t="s">
        <v>394</v>
      </c>
      <c r="L619" t="s">
        <v>395</v>
      </c>
      <c r="M619">
        <v>33</v>
      </c>
      <c r="O619" t="s">
        <v>52</v>
      </c>
      <c r="P619" t="s">
        <v>52</v>
      </c>
      <c r="Q619" t="s">
        <v>197</v>
      </c>
      <c r="R619" t="s">
        <v>53</v>
      </c>
      <c r="S619" t="s">
        <v>116</v>
      </c>
      <c r="T619" t="s">
        <v>198</v>
      </c>
      <c r="U619" t="s">
        <v>108</v>
      </c>
    </row>
    <row r="620" spans="1:21" x14ac:dyDescent="0.3">
      <c r="A620" t="s">
        <v>389</v>
      </c>
      <c r="B620" t="s">
        <v>389</v>
      </c>
      <c r="C620" t="s">
        <v>194</v>
      </c>
      <c r="D620">
        <v>1</v>
      </c>
      <c r="E620" t="s">
        <v>107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396</v>
      </c>
      <c r="L620" t="s">
        <v>391</v>
      </c>
      <c r="M620">
        <v>33</v>
      </c>
      <c r="N620">
        <v>16938</v>
      </c>
      <c r="O620" t="s">
        <v>52</v>
      </c>
      <c r="P620" t="s">
        <v>52</v>
      </c>
      <c r="Q620" t="s">
        <v>197</v>
      </c>
      <c r="R620" t="s">
        <v>53</v>
      </c>
      <c r="S620" t="s">
        <v>116</v>
      </c>
      <c r="T620" t="s">
        <v>198</v>
      </c>
      <c r="U620" t="s">
        <v>108</v>
      </c>
    </row>
    <row r="621" spans="1:21" x14ac:dyDescent="0.3">
      <c r="A621" t="s">
        <v>389</v>
      </c>
      <c r="B621" t="s">
        <v>389</v>
      </c>
      <c r="C621" t="s">
        <v>194</v>
      </c>
      <c r="D621">
        <v>2</v>
      </c>
      <c r="E621" t="s">
        <v>118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393</v>
      </c>
      <c r="L621" t="s">
        <v>391</v>
      </c>
      <c r="M621">
        <v>33</v>
      </c>
      <c r="N621">
        <v>16938</v>
      </c>
      <c r="O621" t="s">
        <v>52</v>
      </c>
      <c r="P621" t="s">
        <v>52</v>
      </c>
      <c r="Q621" t="s">
        <v>197</v>
      </c>
      <c r="R621" t="s">
        <v>53</v>
      </c>
      <c r="S621" t="s">
        <v>116</v>
      </c>
      <c r="T621" t="s">
        <v>198</v>
      </c>
      <c r="U621" t="s">
        <v>108</v>
      </c>
    </row>
    <row r="622" spans="1:21" x14ac:dyDescent="0.3">
      <c r="A622" t="s">
        <v>389</v>
      </c>
      <c r="B622" t="s">
        <v>389</v>
      </c>
      <c r="C622" t="s">
        <v>194</v>
      </c>
      <c r="D622">
        <v>2</v>
      </c>
      <c r="E622" t="s">
        <v>118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392</v>
      </c>
      <c r="L622" t="s">
        <v>391</v>
      </c>
      <c r="M622">
        <v>33</v>
      </c>
      <c r="N622">
        <v>16938</v>
      </c>
      <c r="O622" t="s">
        <v>52</v>
      </c>
      <c r="P622" t="s">
        <v>52</v>
      </c>
      <c r="Q622" t="s">
        <v>197</v>
      </c>
      <c r="R622" t="s">
        <v>53</v>
      </c>
      <c r="S622" t="s">
        <v>116</v>
      </c>
      <c r="T622" t="s">
        <v>198</v>
      </c>
      <c r="U622" t="s">
        <v>108</v>
      </c>
    </row>
    <row r="623" spans="1:21" x14ac:dyDescent="0.3">
      <c r="A623" t="s">
        <v>389</v>
      </c>
      <c r="B623" t="s">
        <v>389</v>
      </c>
      <c r="C623" t="s">
        <v>194</v>
      </c>
      <c r="D623">
        <v>2</v>
      </c>
      <c r="E623" t="s">
        <v>118</v>
      </c>
      <c r="F623">
        <v>1</v>
      </c>
      <c r="G623">
        <v>4</v>
      </c>
      <c r="H623">
        <v>4</v>
      </c>
      <c r="I623" t="s">
        <v>117</v>
      </c>
      <c r="J623" t="s">
        <v>51</v>
      </c>
      <c r="K623" t="s">
        <v>394</v>
      </c>
      <c r="L623" t="s">
        <v>395</v>
      </c>
      <c r="M623">
        <v>33</v>
      </c>
      <c r="O623" t="s">
        <v>52</v>
      </c>
      <c r="P623" t="s">
        <v>52</v>
      </c>
      <c r="Q623" t="s">
        <v>197</v>
      </c>
      <c r="R623" t="s">
        <v>53</v>
      </c>
      <c r="S623" t="s">
        <v>116</v>
      </c>
      <c r="T623" t="s">
        <v>198</v>
      </c>
      <c r="U623" t="s">
        <v>108</v>
      </c>
    </row>
    <row r="624" spans="1:21" x14ac:dyDescent="0.3">
      <c r="A624" t="s">
        <v>389</v>
      </c>
      <c r="B624" t="s">
        <v>389</v>
      </c>
      <c r="C624" t="s">
        <v>194</v>
      </c>
      <c r="D624">
        <v>2</v>
      </c>
      <c r="E624" t="s">
        <v>118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390</v>
      </c>
      <c r="L624" t="s">
        <v>391</v>
      </c>
      <c r="M624">
        <v>33</v>
      </c>
      <c r="N624">
        <v>16938</v>
      </c>
      <c r="O624" t="s">
        <v>52</v>
      </c>
      <c r="P624" t="s">
        <v>52</v>
      </c>
      <c r="Q624" t="s">
        <v>197</v>
      </c>
      <c r="R624" t="s">
        <v>53</v>
      </c>
      <c r="S624" t="s">
        <v>116</v>
      </c>
      <c r="T624" t="s">
        <v>198</v>
      </c>
      <c r="U624" t="s">
        <v>108</v>
      </c>
    </row>
    <row r="625" spans="1:21" x14ac:dyDescent="0.3">
      <c r="A625" t="s">
        <v>389</v>
      </c>
      <c r="B625" t="s">
        <v>389</v>
      </c>
      <c r="C625" t="s">
        <v>194</v>
      </c>
      <c r="D625">
        <v>2</v>
      </c>
      <c r="E625" t="s">
        <v>118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396</v>
      </c>
      <c r="L625" t="s">
        <v>391</v>
      </c>
      <c r="M625">
        <v>33</v>
      </c>
      <c r="N625">
        <v>16938</v>
      </c>
      <c r="O625" t="s">
        <v>52</v>
      </c>
      <c r="P625" t="s">
        <v>52</v>
      </c>
      <c r="Q625" t="s">
        <v>197</v>
      </c>
      <c r="R625" t="s">
        <v>53</v>
      </c>
      <c r="S625" t="s">
        <v>116</v>
      </c>
      <c r="T625" t="s">
        <v>198</v>
      </c>
      <c r="U625" t="s">
        <v>108</v>
      </c>
    </row>
    <row r="626" spans="1:21" x14ac:dyDescent="0.3">
      <c r="A626" t="s">
        <v>389</v>
      </c>
      <c r="B626" t="s">
        <v>389</v>
      </c>
      <c r="C626" t="s">
        <v>194</v>
      </c>
      <c r="D626">
        <v>3</v>
      </c>
      <c r="E626" t="s">
        <v>105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390</v>
      </c>
      <c r="L626" t="s">
        <v>391</v>
      </c>
      <c r="M626">
        <v>33</v>
      </c>
      <c r="N626">
        <v>16938</v>
      </c>
      <c r="O626" t="s">
        <v>52</v>
      </c>
      <c r="P626" t="s">
        <v>52</v>
      </c>
      <c r="Q626" t="s">
        <v>197</v>
      </c>
      <c r="R626" t="s">
        <v>53</v>
      </c>
      <c r="S626" t="s">
        <v>116</v>
      </c>
      <c r="T626" t="s">
        <v>198</v>
      </c>
      <c r="U626" t="s">
        <v>108</v>
      </c>
    </row>
    <row r="627" spans="1:21" x14ac:dyDescent="0.3">
      <c r="A627" t="s">
        <v>389</v>
      </c>
      <c r="B627" t="s">
        <v>389</v>
      </c>
      <c r="C627" t="s">
        <v>194</v>
      </c>
      <c r="D627">
        <v>3</v>
      </c>
      <c r="E627" t="s">
        <v>105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392</v>
      </c>
      <c r="L627" t="s">
        <v>391</v>
      </c>
      <c r="M627">
        <v>33</v>
      </c>
      <c r="N627">
        <v>16938</v>
      </c>
      <c r="O627" t="s">
        <v>52</v>
      </c>
      <c r="P627" t="s">
        <v>52</v>
      </c>
      <c r="Q627" t="s">
        <v>197</v>
      </c>
      <c r="R627" t="s">
        <v>53</v>
      </c>
      <c r="S627" t="s">
        <v>116</v>
      </c>
      <c r="T627" t="s">
        <v>198</v>
      </c>
      <c r="U627" t="s">
        <v>108</v>
      </c>
    </row>
    <row r="628" spans="1:21" x14ac:dyDescent="0.3">
      <c r="A628" t="s">
        <v>389</v>
      </c>
      <c r="B628" t="s">
        <v>389</v>
      </c>
      <c r="C628" t="s">
        <v>194</v>
      </c>
      <c r="D628">
        <v>3</v>
      </c>
      <c r="E628" t="s">
        <v>105</v>
      </c>
      <c r="F628">
        <v>1</v>
      </c>
      <c r="G628">
        <v>128</v>
      </c>
      <c r="H628">
        <v>128</v>
      </c>
      <c r="I628" t="s">
        <v>117</v>
      </c>
      <c r="J628" t="s">
        <v>51</v>
      </c>
      <c r="K628" t="s">
        <v>394</v>
      </c>
      <c r="L628" t="s">
        <v>395</v>
      </c>
      <c r="M628">
        <v>33</v>
      </c>
      <c r="O628" t="s">
        <v>52</v>
      </c>
      <c r="P628" t="s">
        <v>52</v>
      </c>
      <c r="Q628" t="s">
        <v>197</v>
      </c>
      <c r="R628" t="s">
        <v>53</v>
      </c>
      <c r="S628" t="s">
        <v>116</v>
      </c>
      <c r="T628" t="s">
        <v>198</v>
      </c>
      <c r="U628" t="s">
        <v>108</v>
      </c>
    </row>
    <row r="629" spans="1:21" x14ac:dyDescent="0.3">
      <c r="A629" t="s">
        <v>389</v>
      </c>
      <c r="B629" t="s">
        <v>389</v>
      </c>
      <c r="C629" t="s">
        <v>194</v>
      </c>
      <c r="D629">
        <v>3</v>
      </c>
      <c r="E629" t="s">
        <v>105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396</v>
      </c>
      <c r="L629" t="s">
        <v>391</v>
      </c>
      <c r="M629">
        <v>33</v>
      </c>
      <c r="N629">
        <v>16938</v>
      </c>
      <c r="O629" t="s">
        <v>52</v>
      </c>
      <c r="P629" t="s">
        <v>52</v>
      </c>
      <c r="Q629" t="s">
        <v>197</v>
      </c>
      <c r="R629" t="s">
        <v>53</v>
      </c>
      <c r="S629" t="s">
        <v>116</v>
      </c>
      <c r="T629" t="s">
        <v>198</v>
      </c>
      <c r="U629" t="s">
        <v>108</v>
      </c>
    </row>
    <row r="630" spans="1:21" x14ac:dyDescent="0.3">
      <c r="A630" t="s">
        <v>389</v>
      </c>
      <c r="B630" t="s">
        <v>389</v>
      </c>
      <c r="C630" t="s">
        <v>194</v>
      </c>
      <c r="D630">
        <v>3</v>
      </c>
      <c r="E630" t="s">
        <v>105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393</v>
      </c>
      <c r="L630" t="s">
        <v>391</v>
      </c>
      <c r="M630">
        <v>33</v>
      </c>
      <c r="N630">
        <v>16938</v>
      </c>
      <c r="O630" t="s">
        <v>52</v>
      </c>
      <c r="P630" t="s">
        <v>52</v>
      </c>
      <c r="Q630" t="s">
        <v>197</v>
      </c>
      <c r="R630" t="s">
        <v>53</v>
      </c>
      <c r="S630" t="s">
        <v>116</v>
      </c>
      <c r="T630" t="s">
        <v>198</v>
      </c>
      <c r="U630" t="s">
        <v>108</v>
      </c>
    </row>
    <row r="631" spans="1:21" x14ac:dyDescent="0.3">
      <c r="A631" t="s">
        <v>389</v>
      </c>
      <c r="B631" t="s">
        <v>389</v>
      </c>
      <c r="C631" t="s">
        <v>194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396</v>
      </c>
      <c r="L631" t="s">
        <v>391</v>
      </c>
      <c r="M631">
        <v>33</v>
      </c>
      <c r="N631">
        <v>16938</v>
      </c>
      <c r="O631" t="s">
        <v>52</v>
      </c>
      <c r="P631" t="s">
        <v>52</v>
      </c>
      <c r="Q631" t="s">
        <v>197</v>
      </c>
      <c r="R631" t="s">
        <v>53</v>
      </c>
      <c r="S631" t="s">
        <v>116</v>
      </c>
      <c r="T631" t="s">
        <v>198</v>
      </c>
      <c r="U631" t="s">
        <v>108</v>
      </c>
    </row>
    <row r="632" spans="1:21" x14ac:dyDescent="0.3">
      <c r="A632" t="s">
        <v>389</v>
      </c>
      <c r="B632" t="s">
        <v>389</v>
      </c>
      <c r="C632" t="s">
        <v>194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393</v>
      </c>
      <c r="L632" t="s">
        <v>391</v>
      </c>
      <c r="M632">
        <v>33</v>
      </c>
      <c r="N632">
        <v>16938</v>
      </c>
      <c r="O632" t="s">
        <v>52</v>
      </c>
      <c r="P632" t="s">
        <v>52</v>
      </c>
      <c r="Q632" t="s">
        <v>197</v>
      </c>
      <c r="R632" t="s">
        <v>53</v>
      </c>
      <c r="S632" t="s">
        <v>116</v>
      </c>
      <c r="T632" t="s">
        <v>198</v>
      </c>
      <c r="U632" t="s">
        <v>108</v>
      </c>
    </row>
    <row r="633" spans="1:21" x14ac:dyDescent="0.3">
      <c r="A633" t="s">
        <v>389</v>
      </c>
      <c r="B633" t="s">
        <v>389</v>
      </c>
      <c r="C633" t="s">
        <v>194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392</v>
      </c>
      <c r="L633" t="s">
        <v>391</v>
      </c>
      <c r="M633">
        <v>33</v>
      </c>
      <c r="N633">
        <v>16938</v>
      </c>
      <c r="O633" t="s">
        <v>52</v>
      </c>
      <c r="P633" t="s">
        <v>52</v>
      </c>
      <c r="Q633" t="s">
        <v>197</v>
      </c>
      <c r="R633" t="s">
        <v>53</v>
      </c>
      <c r="S633" t="s">
        <v>116</v>
      </c>
      <c r="T633" t="s">
        <v>198</v>
      </c>
      <c r="U633" t="s">
        <v>108</v>
      </c>
    </row>
    <row r="634" spans="1:21" x14ac:dyDescent="0.3">
      <c r="A634" t="s">
        <v>389</v>
      </c>
      <c r="B634" t="s">
        <v>389</v>
      </c>
      <c r="C634" t="s">
        <v>194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390</v>
      </c>
      <c r="L634" t="s">
        <v>391</v>
      </c>
      <c r="M634">
        <v>33</v>
      </c>
      <c r="N634">
        <v>16938</v>
      </c>
      <c r="O634" t="s">
        <v>52</v>
      </c>
      <c r="P634" t="s">
        <v>52</v>
      </c>
      <c r="Q634" t="s">
        <v>197</v>
      </c>
      <c r="R634" t="s">
        <v>53</v>
      </c>
      <c r="S634" t="s">
        <v>116</v>
      </c>
      <c r="T634" t="s">
        <v>198</v>
      </c>
      <c r="U634" t="s">
        <v>108</v>
      </c>
    </row>
    <row r="635" spans="1:21" x14ac:dyDescent="0.3">
      <c r="A635" t="s">
        <v>389</v>
      </c>
      <c r="B635" t="s">
        <v>389</v>
      </c>
      <c r="C635" t="s">
        <v>194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117</v>
      </c>
      <c r="J635" t="s">
        <v>51</v>
      </c>
      <c r="K635" t="s">
        <v>394</v>
      </c>
      <c r="L635" t="s">
        <v>395</v>
      </c>
      <c r="M635">
        <v>33</v>
      </c>
      <c r="O635" t="s">
        <v>52</v>
      </c>
      <c r="P635" t="s">
        <v>52</v>
      </c>
      <c r="Q635" t="s">
        <v>197</v>
      </c>
      <c r="R635" t="s">
        <v>53</v>
      </c>
      <c r="S635" t="s">
        <v>116</v>
      </c>
      <c r="T635" t="s">
        <v>198</v>
      </c>
      <c r="U635" t="s">
        <v>108</v>
      </c>
    </row>
    <row r="636" spans="1:21" x14ac:dyDescent="0.3">
      <c r="A636" t="s">
        <v>389</v>
      </c>
      <c r="B636" t="s">
        <v>389</v>
      </c>
      <c r="C636" t="s">
        <v>194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392</v>
      </c>
      <c r="L636" t="s">
        <v>391</v>
      </c>
      <c r="M636">
        <v>33</v>
      </c>
      <c r="N636">
        <v>16938</v>
      </c>
      <c r="O636" t="s">
        <v>52</v>
      </c>
      <c r="P636" t="s">
        <v>52</v>
      </c>
      <c r="Q636" t="s">
        <v>197</v>
      </c>
      <c r="R636" t="s">
        <v>53</v>
      </c>
      <c r="S636" t="s">
        <v>116</v>
      </c>
      <c r="T636" t="s">
        <v>198</v>
      </c>
      <c r="U636" t="s">
        <v>108</v>
      </c>
    </row>
    <row r="637" spans="1:21" x14ac:dyDescent="0.3">
      <c r="A637" t="s">
        <v>389</v>
      </c>
      <c r="B637" t="s">
        <v>389</v>
      </c>
      <c r="C637" t="s">
        <v>194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390</v>
      </c>
      <c r="L637" t="s">
        <v>391</v>
      </c>
      <c r="M637">
        <v>33</v>
      </c>
      <c r="N637">
        <v>16938</v>
      </c>
      <c r="O637" t="s">
        <v>52</v>
      </c>
      <c r="P637" t="s">
        <v>52</v>
      </c>
      <c r="Q637" t="s">
        <v>197</v>
      </c>
      <c r="R637" t="s">
        <v>53</v>
      </c>
      <c r="S637" t="s">
        <v>116</v>
      </c>
      <c r="T637" t="s">
        <v>198</v>
      </c>
      <c r="U637" t="s">
        <v>108</v>
      </c>
    </row>
    <row r="638" spans="1:21" x14ac:dyDescent="0.3">
      <c r="A638" t="s">
        <v>389</v>
      </c>
      <c r="B638" t="s">
        <v>389</v>
      </c>
      <c r="C638" t="s">
        <v>194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117</v>
      </c>
      <c r="J638" t="s">
        <v>51</v>
      </c>
      <c r="K638" t="s">
        <v>394</v>
      </c>
      <c r="L638" t="s">
        <v>395</v>
      </c>
      <c r="M638">
        <v>33</v>
      </c>
      <c r="O638" t="s">
        <v>52</v>
      </c>
      <c r="P638" t="s">
        <v>52</v>
      </c>
      <c r="Q638" t="s">
        <v>197</v>
      </c>
      <c r="R638" t="s">
        <v>53</v>
      </c>
      <c r="S638" t="s">
        <v>116</v>
      </c>
      <c r="T638" t="s">
        <v>198</v>
      </c>
      <c r="U638" t="s">
        <v>108</v>
      </c>
    </row>
    <row r="639" spans="1:21" x14ac:dyDescent="0.3">
      <c r="A639" t="s">
        <v>389</v>
      </c>
      <c r="B639" t="s">
        <v>389</v>
      </c>
      <c r="C639" t="s">
        <v>194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396</v>
      </c>
      <c r="L639" t="s">
        <v>391</v>
      </c>
      <c r="M639">
        <v>33</v>
      </c>
      <c r="N639">
        <v>16938</v>
      </c>
      <c r="O639" t="s">
        <v>52</v>
      </c>
      <c r="P639" t="s">
        <v>52</v>
      </c>
      <c r="Q639" t="s">
        <v>197</v>
      </c>
      <c r="R639" t="s">
        <v>53</v>
      </c>
      <c r="S639" t="s">
        <v>116</v>
      </c>
      <c r="T639" t="s">
        <v>198</v>
      </c>
      <c r="U639" t="s">
        <v>108</v>
      </c>
    </row>
    <row r="640" spans="1:21" x14ac:dyDescent="0.3">
      <c r="A640" t="s">
        <v>389</v>
      </c>
      <c r="B640" t="s">
        <v>389</v>
      </c>
      <c r="C640" t="s">
        <v>194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393</v>
      </c>
      <c r="L640" t="s">
        <v>391</v>
      </c>
      <c r="M640">
        <v>33</v>
      </c>
      <c r="N640">
        <v>16938</v>
      </c>
      <c r="O640" t="s">
        <v>52</v>
      </c>
      <c r="P640" t="s">
        <v>52</v>
      </c>
      <c r="Q640" t="s">
        <v>197</v>
      </c>
      <c r="R640" t="s">
        <v>53</v>
      </c>
      <c r="S640" t="s">
        <v>116</v>
      </c>
      <c r="T640" t="s">
        <v>198</v>
      </c>
      <c r="U640" t="s">
        <v>108</v>
      </c>
    </row>
    <row r="641" spans="1:21" x14ac:dyDescent="0.3">
      <c r="A641" t="s">
        <v>397</v>
      </c>
      <c r="B641" t="s">
        <v>397</v>
      </c>
      <c r="C641" t="s">
        <v>194</v>
      </c>
      <c r="D641">
        <v>1</v>
      </c>
      <c r="E641" t="s">
        <v>107</v>
      </c>
      <c r="F641">
        <v>1</v>
      </c>
      <c r="G641">
        <v>-332</v>
      </c>
      <c r="H641">
        <v>-332</v>
      </c>
      <c r="I641" t="s">
        <v>117</v>
      </c>
      <c r="J641" t="s">
        <v>51</v>
      </c>
      <c r="K641" t="s">
        <v>398</v>
      </c>
      <c r="L641" t="s">
        <v>399</v>
      </c>
      <c r="M641">
        <v>61</v>
      </c>
      <c r="O641" t="s">
        <v>52</v>
      </c>
      <c r="P641" t="s">
        <v>52</v>
      </c>
      <c r="Q641" t="s">
        <v>197</v>
      </c>
      <c r="R641" t="s">
        <v>53</v>
      </c>
      <c r="S641" t="s">
        <v>116</v>
      </c>
      <c r="T641" t="s">
        <v>198</v>
      </c>
      <c r="U641" t="s">
        <v>108</v>
      </c>
    </row>
    <row r="642" spans="1:21" x14ac:dyDescent="0.3">
      <c r="A642" t="s">
        <v>397</v>
      </c>
      <c r="B642" t="s">
        <v>397</v>
      </c>
      <c r="C642" t="s">
        <v>194</v>
      </c>
      <c r="D642">
        <v>1</v>
      </c>
      <c r="E642" t="s">
        <v>107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400</v>
      </c>
      <c r="L642" t="s">
        <v>401</v>
      </c>
      <c r="M642">
        <v>33</v>
      </c>
      <c r="N642">
        <v>17339</v>
      </c>
      <c r="O642" t="s">
        <v>52</v>
      </c>
      <c r="P642" t="s">
        <v>52</v>
      </c>
      <c r="Q642" t="s">
        <v>197</v>
      </c>
      <c r="R642" t="s">
        <v>53</v>
      </c>
      <c r="S642" t="s">
        <v>116</v>
      </c>
      <c r="T642" t="s">
        <v>198</v>
      </c>
      <c r="U642" t="s">
        <v>108</v>
      </c>
    </row>
    <row r="643" spans="1:21" x14ac:dyDescent="0.3">
      <c r="A643" t="s">
        <v>397</v>
      </c>
      <c r="B643" t="s">
        <v>397</v>
      </c>
      <c r="C643" t="s">
        <v>194</v>
      </c>
      <c r="D643">
        <v>1</v>
      </c>
      <c r="E643" t="s">
        <v>107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402</v>
      </c>
      <c r="L643" t="s">
        <v>401</v>
      </c>
      <c r="M643">
        <v>33</v>
      </c>
      <c r="N643">
        <v>17339</v>
      </c>
      <c r="O643" t="s">
        <v>52</v>
      </c>
      <c r="P643" t="s">
        <v>52</v>
      </c>
      <c r="Q643" t="s">
        <v>197</v>
      </c>
      <c r="R643" t="s">
        <v>53</v>
      </c>
      <c r="S643" t="s">
        <v>116</v>
      </c>
      <c r="T643" t="s">
        <v>198</v>
      </c>
      <c r="U643" t="s">
        <v>108</v>
      </c>
    </row>
    <row r="644" spans="1:21" x14ac:dyDescent="0.3">
      <c r="A644" t="s">
        <v>397</v>
      </c>
      <c r="B644" t="s">
        <v>397</v>
      </c>
      <c r="C644" t="s">
        <v>194</v>
      </c>
      <c r="D644">
        <v>1</v>
      </c>
      <c r="E644" t="s">
        <v>107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403</v>
      </c>
      <c r="L644" t="s">
        <v>401</v>
      </c>
      <c r="M644">
        <v>33</v>
      </c>
      <c r="N644">
        <v>17339</v>
      </c>
      <c r="O644" t="s">
        <v>52</v>
      </c>
      <c r="P644" t="s">
        <v>52</v>
      </c>
      <c r="Q644" t="s">
        <v>197</v>
      </c>
      <c r="R644" t="s">
        <v>53</v>
      </c>
      <c r="S644" t="s">
        <v>116</v>
      </c>
      <c r="T644" t="s">
        <v>198</v>
      </c>
      <c r="U644" t="s">
        <v>108</v>
      </c>
    </row>
    <row r="645" spans="1:21" x14ac:dyDescent="0.3">
      <c r="A645" t="s">
        <v>397</v>
      </c>
      <c r="B645" t="s">
        <v>397</v>
      </c>
      <c r="C645" t="s">
        <v>194</v>
      </c>
      <c r="D645">
        <v>1</v>
      </c>
      <c r="E645" t="s">
        <v>107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404</v>
      </c>
      <c r="L645" t="s">
        <v>401</v>
      </c>
      <c r="M645">
        <v>33</v>
      </c>
      <c r="N645">
        <v>17339</v>
      </c>
      <c r="O645" t="s">
        <v>52</v>
      </c>
      <c r="P645" t="s">
        <v>52</v>
      </c>
      <c r="Q645" t="s">
        <v>197</v>
      </c>
      <c r="R645" t="s">
        <v>53</v>
      </c>
      <c r="S645" t="s">
        <v>116</v>
      </c>
      <c r="T645" t="s">
        <v>198</v>
      </c>
      <c r="U645" t="s">
        <v>108</v>
      </c>
    </row>
    <row r="646" spans="1:21" x14ac:dyDescent="0.3">
      <c r="A646" t="s">
        <v>397</v>
      </c>
      <c r="B646" t="s">
        <v>397</v>
      </c>
      <c r="C646" t="s">
        <v>194</v>
      </c>
      <c r="D646">
        <v>2</v>
      </c>
      <c r="E646" t="s">
        <v>118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400</v>
      </c>
      <c r="L646" t="s">
        <v>401</v>
      </c>
      <c r="M646">
        <v>33</v>
      </c>
      <c r="N646">
        <v>17339</v>
      </c>
      <c r="O646" t="s">
        <v>52</v>
      </c>
      <c r="P646" t="s">
        <v>52</v>
      </c>
      <c r="Q646" t="s">
        <v>197</v>
      </c>
      <c r="R646" t="s">
        <v>53</v>
      </c>
      <c r="S646" t="s">
        <v>116</v>
      </c>
      <c r="T646" t="s">
        <v>198</v>
      </c>
      <c r="U646" t="s">
        <v>108</v>
      </c>
    </row>
    <row r="647" spans="1:21" x14ac:dyDescent="0.3">
      <c r="A647" t="s">
        <v>397</v>
      </c>
      <c r="B647" t="s">
        <v>397</v>
      </c>
      <c r="C647" t="s">
        <v>194</v>
      </c>
      <c r="D647">
        <v>2</v>
      </c>
      <c r="E647" t="s">
        <v>118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402</v>
      </c>
      <c r="L647" t="s">
        <v>401</v>
      </c>
      <c r="M647">
        <v>33</v>
      </c>
      <c r="N647">
        <v>17339</v>
      </c>
      <c r="O647" t="s">
        <v>52</v>
      </c>
      <c r="P647" t="s">
        <v>52</v>
      </c>
      <c r="Q647" t="s">
        <v>197</v>
      </c>
      <c r="R647" t="s">
        <v>53</v>
      </c>
      <c r="S647" t="s">
        <v>116</v>
      </c>
      <c r="T647" t="s">
        <v>198</v>
      </c>
      <c r="U647" t="s">
        <v>108</v>
      </c>
    </row>
    <row r="648" spans="1:21" x14ac:dyDescent="0.3">
      <c r="A648" t="s">
        <v>397</v>
      </c>
      <c r="B648" t="s">
        <v>397</v>
      </c>
      <c r="C648" t="s">
        <v>194</v>
      </c>
      <c r="D648">
        <v>2</v>
      </c>
      <c r="E648" t="s">
        <v>118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403</v>
      </c>
      <c r="L648" t="s">
        <v>401</v>
      </c>
      <c r="M648">
        <v>33</v>
      </c>
      <c r="N648">
        <v>17339</v>
      </c>
      <c r="O648" t="s">
        <v>52</v>
      </c>
      <c r="P648" t="s">
        <v>52</v>
      </c>
      <c r="Q648" t="s">
        <v>197</v>
      </c>
      <c r="R648" t="s">
        <v>53</v>
      </c>
      <c r="S648" t="s">
        <v>116</v>
      </c>
      <c r="T648" t="s">
        <v>198</v>
      </c>
      <c r="U648" t="s">
        <v>108</v>
      </c>
    </row>
    <row r="649" spans="1:21" x14ac:dyDescent="0.3">
      <c r="A649" t="s">
        <v>397</v>
      </c>
      <c r="B649" t="s">
        <v>397</v>
      </c>
      <c r="C649" t="s">
        <v>194</v>
      </c>
      <c r="D649">
        <v>2</v>
      </c>
      <c r="E649" t="s">
        <v>118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404</v>
      </c>
      <c r="L649" t="s">
        <v>401</v>
      </c>
      <c r="M649">
        <v>33</v>
      </c>
      <c r="N649">
        <v>17339</v>
      </c>
      <c r="O649" t="s">
        <v>52</v>
      </c>
      <c r="P649" t="s">
        <v>52</v>
      </c>
      <c r="Q649" t="s">
        <v>197</v>
      </c>
      <c r="R649" t="s">
        <v>53</v>
      </c>
      <c r="S649" t="s">
        <v>116</v>
      </c>
      <c r="T649" t="s">
        <v>198</v>
      </c>
      <c r="U649" t="s">
        <v>108</v>
      </c>
    </row>
    <row r="650" spans="1:21" x14ac:dyDescent="0.3">
      <c r="A650" t="s">
        <v>397</v>
      </c>
      <c r="B650" t="s">
        <v>397</v>
      </c>
      <c r="C650" t="s">
        <v>194</v>
      </c>
      <c r="D650">
        <v>2</v>
      </c>
      <c r="E650" t="s">
        <v>118</v>
      </c>
      <c r="F650">
        <v>1</v>
      </c>
      <c r="G650">
        <v>-1</v>
      </c>
      <c r="H650">
        <v>-1</v>
      </c>
      <c r="I650" t="s">
        <v>117</v>
      </c>
      <c r="J650" t="s">
        <v>51</v>
      </c>
      <c r="K650" t="s">
        <v>398</v>
      </c>
      <c r="L650" t="s">
        <v>399</v>
      </c>
      <c r="M650">
        <v>61</v>
      </c>
      <c r="O650" t="s">
        <v>52</v>
      </c>
      <c r="P650" t="s">
        <v>52</v>
      </c>
      <c r="Q650" t="s">
        <v>197</v>
      </c>
      <c r="R650" t="s">
        <v>53</v>
      </c>
      <c r="S650" t="s">
        <v>116</v>
      </c>
      <c r="T650" t="s">
        <v>198</v>
      </c>
      <c r="U650" t="s">
        <v>108</v>
      </c>
    </row>
    <row r="651" spans="1:21" x14ac:dyDescent="0.3">
      <c r="A651" t="s">
        <v>397</v>
      </c>
      <c r="B651" t="s">
        <v>397</v>
      </c>
      <c r="C651" t="s">
        <v>194</v>
      </c>
      <c r="D651">
        <v>3</v>
      </c>
      <c r="E651" t="s">
        <v>105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400</v>
      </c>
      <c r="L651" t="s">
        <v>401</v>
      </c>
      <c r="M651">
        <v>33</v>
      </c>
      <c r="N651">
        <v>17339</v>
      </c>
      <c r="O651" t="s">
        <v>52</v>
      </c>
      <c r="P651" t="s">
        <v>52</v>
      </c>
      <c r="Q651" t="s">
        <v>197</v>
      </c>
      <c r="R651" t="s">
        <v>53</v>
      </c>
      <c r="S651" t="s">
        <v>116</v>
      </c>
      <c r="T651" t="s">
        <v>198</v>
      </c>
      <c r="U651" t="s">
        <v>108</v>
      </c>
    </row>
    <row r="652" spans="1:21" x14ac:dyDescent="0.3">
      <c r="A652" t="s">
        <v>397</v>
      </c>
      <c r="B652" t="s">
        <v>397</v>
      </c>
      <c r="C652" t="s">
        <v>194</v>
      </c>
      <c r="D652">
        <v>3</v>
      </c>
      <c r="E652" t="s">
        <v>105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404</v>
      </c>
      <c r="L652" t="s">
        <v>401</v>
      </c>
      <c r="M652">
        <v>33</v>
      </c>
      <c r="N652">
        <v>17339</v>
      </c>
      <c r="O652" t="s">
        <v>52</v>
      </c>
      <c r="P652" t="s">
        <v>52</v>
      </c>
      <c r="Q652" t="s">
        <v>197</v>
      </c>
      <c r="R652" t="s">
        <v>53</v>
      </c>
      <c r="S652" t="s">
        <v>116</v>
      </c>
      <c r="T652" t="s">
        <v>198</v>
      </c>
      <c r="U652" t="s">
        <v>108</v>
      </c>
    </row>
    <row r="653" spans="1:21" x14ac:dyDescent="0.3">
      <c r="A653" t="s">
        <v>397</v>
      </c>
      <c r="B653" t="s">
        <v>397</v>
      </c>
      <c r="C653" t="s">
        <v>194</v>
      </c>
      <c r="D653">
        <v>3</v>
      </c>
      <c r="E653" t="s">
        <v>105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403</v>
      </c>
      <c r="L653" t="s">
        <v>401</v>
      </c>
      <c r="M653">
        <v>33</v>
      </c>
      <c r="N653">
        <v>17339</v>
      </c>
      <c r="O653" t="s">
        <v>52</v>
      </c>
      <c r="P653" t="s">
        <v>52</v>
      </c>
      <c r="Q653" t="s">
        <v>197</v>
      </c>
      <c r="R653" t="s">
        <v>53</v>
      </c>
      <c r="S653" t="s">
        <v>116</v>
      </c>
      <c r="T653" t="s">
        <v>198</v>
      </c>
      <c r="U653" t="s">
        <v>108</v>
      </c>
    </row>
    <row r="654" spans="1:21" x14ac:dyDescent="0.3">
      <c r="A654" t="s">
        <v>397</v>
      </c>
      <c r="B654" t="s">
        <v>397</v>
      </c>
      <c r="C654" t="s">
        <v>194</v>
      </c>
      <c r="D654">
        <v>3</v>
      </c>
      <c r="E654" t="s">
        <v>105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402</v>
      </c>
      <c r="L654" t="s">
        <v>401</v>
      </c>
      <c r="M654">
        <v>33</v>
      </c>
      <c r="N654">
        <v>17339</v>
      </c>
      <c r="O654" t="s">
        <v>52</v>
      </c>
      <c r="P654" t="s">
        <v>52</v>
      </c>
      <c r="Q654" t="s">
        <v>197</v>
      </c>
      <c r="R654" t="s">
        <v>53</v>
      </c>
      <c r="S654" t="s">
        <v>116</v>
      </c>
      <c r="T654" t="s">
        <v>198</v>
      </c>
      <c r="U654" t="s">
        <v>108</v>
      </c>
    </row>
    <row r="655" spans="1:21" x14ac:dyDescent="0.3">
      <c r="A655" t="s">
        <v>397</v>
      </c>
      <c r="B655" t="s">
        <v>397</v>
      </c>
      <c r="C655" t="s">
        <v>194</v>
      </c>
      <c r="D655">
        <v>3</v>
      </c>
      <c r="E655" t="s">
        <v>105</v>
      </c>
      <c r="F655">
        <v>1</v>
      </c>
      <c r="G655">
        <v>-33</v>
      </c>
      <c r="H655">
        <v>-33</v>
      </c>
      <c r="I655" t="s">
        <v>117</v>
      </c>
      <c r="J655" t="s">
        <v>51</v>
      </c>
      <c r="K655" t="s">
        <v>398</v>
      </c>
      <c r="L655" t="s">
        <v>399</v>
      </c>
      <c r="M655">
        <v>61</v>
      </c>
      <c r="O655" t="s">
        <v>52</v>
      </c>
      <c r="P655" t="s">
        <v>52</v>
      </c>
      <c r="Q655" t="s">
        <v>197</v>
      </c>
      <c r="R655" t="s">
        <v>53</v>
      </c>
      <c r="S655" t="s">
        <v>116</v>
      </c>
      <c r="T655" t="s">
        <v>198</v>
      </c>
      <c r="U655" t="s">
        <v>108</v>
      </c>
    </row>
    <row r="656" spans="1:21" x14ac:dyDescent="0.3">
      <c r="A656" t="s">
        <v>397</v>
      </c>
      <c r="B656" t="s">
        <v>397</v>
      </c>
      <c r="C656" t="s">
        <v>194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117</v>
      </c>
      <c r="J656" t="s">
        <v>51</v>
      </c>
      <c r="K656" t="s">
        <v>398</v>
      </c>
      <c r="L656" t="s">
        <v>399</v>
      </c>
      <c r="M656">
        <v>61</v>
      </c>
      <c r="O656" t="s">
        <v>52</v>
      </c>
      <c r="P656" t="s">
        <v>52</v>
      </c>
      <c r="Q656" t="s">
        <v>197</v>
      </c>
      <c r="R656" t="s">
        <v>53</v>
      </c>
      <c r="S656" t="s">
        <v>116</v>
      </c>
      <c r="T656" t="s">
        <v>198</v>
      </c>
      <c r="U656" t="s">
        <v>108</v>
      </c>
    </row>
    <row r="657" spans="1:21" x14ac:dyDescent="0.3">
      <c r="A657" t="s">
        <v>397</v>
      </c>
      <c r="B657" t="s">
        <v>397</v>
      </c>
      <c r="C657" t="s">
        <v>194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404</v>
      </c>
      <c r="L657" t="s">
        <v>401</v>
      </c>
      <c r="M657">
        <v>33</v>
      </c>
      <c r="N657">
        <v>17339</v>
      </c>
      <c r="O657" t="s">
        <v>52</v>
      </c>
      <c r="P657" t="s">
        <v>52</v>
      </c>
      <c r="Q657" t="s">
        <v>197</v>
      </c>
      <c r="R657" t="s">
        <v>53</v>
      </c>
      <c r="S657" t="s">
        <v>116</v>
      </c>
      <c r="T657" t="s">
        <v>198</v>
      </c>
      <c r="U657" t="s">
        <v>108</v>
      </c>
    </row>
    <row r="658" spans="1:21" x14ac:dyDescent="0.3">
      <c r="A658" t="s">
        <v>397</v>
      </c>
      <c r="B658" t="s">
        <v>397</v>
      </c>
      <c r="C658" t="s">
        <v>194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403</v>
      </c>
      <c r="L658" t="s">
        <v>401</v>
      </c>
      <c r="M658">
        <v>33</v>
      </c>
      <c r="N658">
        <v>17339</v>
      </c>
      <c r="O658" t="s">
        <v>52</v>
      </c>
      <c r="P658" t="s">
        <v>52</v>
      </c>
      <c r="Q658" t="s">
        <v>197</v>
      </c>
      <c r="R658" t="s">
        <v>53</v>
      </c>
      <c r="S658" t="s">
        <v>116</v>
      </c>
      <c r="T658" t="s">
        <v>198</v>
      </c>
      <c r="U658" t="s">
        <v>108</v>
      </c>
    </row>
    <row r="659" spans="1:21" x14ac:dyDescent="0.3">
      <c r="A659" t="s">
        <v>397</v>
      </c>
      <c r="B659" t="s">
        <v>397</v>
      </c>
      <c r="C659" t="s">
        <v>194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400</v>
      </c>
      <c r="L659" t="s">
        <v>401</v>
      </c>
      <c r="M659">
        <v>33</v>
      </c>
      <c r="N659">
        <v>17339</v>
      </c>
      <c r="O659" t="s">
        <v>52</v>
      </c>
      <c r="P659" t="s">
        <v>52</v>
      </c>
      <c r="Q659" t="s">
        <v>197</v>
      </c>
      <c r="R659" t="s">
        <v>53</v>
      </c>
      <c r="S659" t="s">
        <v>116</v>
      </c>
      <c r="T659" t="s">
        <v>198</v>
      </c>
      <c r="U659" t="s">
        <v>108</v>
      </c>
    </row>
    <row r="660" spans="1:21" x14ac:dyDescent="0.3">
      <c r="A660" t="s">
        <v>397</v>
      </c>
      <c r="B660" t="s">
        <v>397</v>
      </c>
      <c r="C660" t="s">
        <v>194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402</v>
      </c>
      <c r="L660" t="s">
        <v>401</v>
      </c>
      <c r="M660">
        <v>33</v>
      </c>
      <c r="N660">
        <v>17339</v>
      </c>
      <c r="O660" t="s">
        <v>52</v>
      </c>
      <c r="P660" t="s">
        <v>52</v>
      </c>
      <c r="Q660" t="s">
        <v>197</v>
      </c>
      <c r="R660" t="s">
        <v>53</v>
      </c>
      <c r="S660" t="s">
        <v>116</v>
      </c>
      <c r="T660" t="s">
        <v>198</v>
      </c>
      <c r="U660" t="s">
        <v>108</v>
      </c>
    </row>
    <row r="661" spans="1:21" x14ac:dyDescent="0.3">
      <c r="A661" t="s">
        <v>397</v>
      </c>
      <c r="B661" t="s">
        <v>397</v>
      </c>
      <c r="C661" t="s">
        <v>194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404</v>
      </c>
      <c r="L661" t="s">
        <v>401</v>
      </c>
      <c r="M661">
        <v>33</v>
      </c>
      <c r="N661">
        <v>17339</v>
      </c>
      <c r="O661" t="s">
        <v>52</v>
      </c>
      <c r="P661" t="s">
        <v>52</v>
      </c>
      <c r="Q661" t="s">
        <v>197</v>
      </c>
      <c r="R661" t="s">
        <v>53</v>
      </c>
      <c r="S661" t="s">
        <v>116</v>
      </c>
      <c r="T661" t="s">
        <v>198</v>
      </c>
      <c r="U661" t="s">
        <v>108</v>
      </c>
    </row>
    <row r="662" spans="1:21" x14ac:dyDescent="0.3">
      <c r="A662" t="s">
        <v>397</v>
      </c>
      <c r="B662" t="s">
        <v>397</v>
      </c>
      <c r="C662" t="s">
        <v>194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403</v>
      </c>
      <c r="L662" t="s">
        <v>401</v>
      </c>
      <c r="M662">
        <v>33</v>
      </c>
      <c r="N662">
        <v>17339</v>
      </c>
      <c r="O662" t="s">
        <v>52</v>
      </c>
      <c r="P662" t="s">
        <v>52</v>
      </c>
      <c r="Q662" t="s">
        <v>197</v>
      </c>
      <c r="R662" t="s">
        <v>53</v>
      </c>
      <c r="S662" t="s">
        <v>116</v>
      </c>
      <c r="T662" t="s">
        <v>198</v>
      </c>
      <c r="U662" t="s">
        <v>108</v>
      </c>
    </row>
    <row r="663" spans="1:21" x14ac:dyDescent="0.3">
      <c r="A663" t="s">
        <v>397</v>
      </c>
      <c r="B663" t="s">
        <v>397</v>
      </c>
      <c r="C663" t="s">
        <v>194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117</v>
      </c>
      <c r="J663" t="s">
        <v>51</v>
      </c>
      <c r="K663" t="s">
        <v>398</v>
      </c>
      <c r="L663" t="s">
        <v>399</v>
      </c>
      <c r="M663">
        <v>61</v>
      </c>
      <c r="O663" t="s">
        <v>52</v>
      </c>
      <c r="P663" t="s">
        <v>52</v>
      </c>
      <c r="Q663" t="s">
        <v>197</v>
      </c>
      <c r="R663" t="s">
        <v>53</v>
      </c>
      <c r="S663" t="s">
        <v>116</v>
      </c>
      <c r="T663" t="s">
        <v>198</v>
      </c>
      <c r="U663" t="s">
        <v>108</v>
      </c>
    </row>
    <row r="664" spans="1:21" x14ac:dyDescent="0.3">
      <c r="A664" t="s">
        <v>397</v>
      </c>
      <c r="B664" t="s">
        <v>397</v>
      </c>
      <c r="C664" t="s">
        <v>194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402</v>
      </c>
      <c r="L664" t="s">
        <v>401</v>
      </c>
      <c r="M664">
        <v>33</v>
      </c>
      <c r="N664">
        <v>17339</v>
      </c>
      <c r="O664" t="s">
        <v>52</v>
      </c>
      <c r="P664" t="s">
        <v>52</v>
      </c>
      <c r="Q664" t="s">
        <v>197</v>
      </c>
      <c r="R664" t="s">
        <v>53</v>
      </c>
      <c r="S664" t="s">
        <v>116</v>
      </c>
      <c r="T664" t="s">
        <v>198</v>
      </c>
      <c r="U664" t="s">
        <v>108</v>
      </c>
    </row>
    <row r="665" spans="1:21" x14ac:dyDescent="0.3">
      <c r="A665" t="s">
        <v>397</v>
      </c>
      <c r="B665" t="s">
        <v>397</v>
      </c>
      <c r="C665" t="s">
        <v>194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400</v>
      </c>
      <c r="L665" t="s">
        <v>401</v>
      </c>
      <c r="M665">
        <v>33</v>
      </c>
      <c r="N665">
        <v>17339</v>
      </c>
      <c r="O665" t="s">
        <v>52</v>
      </c>
      <c r="P665" t="s">
        <v>52</v>
      </c>
      <c r="Q665" t="s">
        <v>197</v>
      </c>
      <c r="R665" t="s">
        <v>53</v>
      </c>
      <c r="S665" t="s">
        <v>116</v>
      </c>
      <c r="T665" t="s">
        <v>198</v>
      </c>
      <c r="U665" t="s">
        <v>108</v>
      </c>
    </row>
    <row r="666" spans="1:21" x14ac:dyDescent="0.3">
      <c r="A666" t="s">
        <v>405</v>
      </c>
      <c r="B666" t="s">
        <v>405</v>
      </c>
      <c r="C666" t="s">
        <v>194</v>
      </c>
      <c r="D666">
        <v>1</v>
      </c>
      <c r="E666" t="s">
        <v>107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406</v>
      </c>
      <c r="L666" t="s">
        <v>407</v>
      </c>
      <c r="M666">
        <v>33</v>
      </c>
      <c r="N666">
        <v>17645</v>
      </c>
      <c r="O666" t="s">
        <v>52</v>
      </c>
      <c r="P666" t="s">
        <v>52</v>
      </c>
      <c r="Q666" t="s">
        <v>197</v>
      </c>
      <c r="R666" t="s">
        <v>53</v>
      </c>
      <c r="S666" t="s">
        <v>116</v>
      </c>
      <c r="T666" t="s">
        <v>198</v>
      </c>
      <c r="U666" t="s">
        <v>108</v>
      </c>
    </row>
    <row r="667" spans="1:21" x14ac:dyDescent="0.3">
      <c r="A667" t="s">
        <v>405</v>
      </c>
      <c r="B667" t="s">
        <v>405</v>
      </c>
      <c r="C667" t="s">
        <v>194</v>
      </c>
      <c r="D667">
        <v>1</v>
      </c>
      <c r="E667" t="s">
        <v>107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408</v>
      </c>
      <c r="L667" t="s">
        <v>407</v>
      </c>
      <c r="M667">
        <v>33</v>
      </c>
      <c r="N667">
        <v>17645</v>
      </c>
      <c r="O667" t="s">
        <v>52</v>
      </c>
      <c r="P667" t="s">
        <v>52</v>
      </c>
      <c r="Q667" t="s">
        <v>197</v>
      </c>
      <c r="R667" t="s">
        <v>53</v>
      </c>
      <c r="S667" t="s">
        <v>116</v>
      </c>
      <c r="T667" t="s">
        <v>198</v>
      </c>
      <c r="U667" t="s">
        <v>108</v>
      </c>
    </row>
    <row r="668" spans="1:21" x14ac:dyDescent="0.3">
      <c r="A668" t="s">
        <v>405</v>
      </c>
      <c r="B668" t="s">
        <v>405</v>
      </c>
      <c r="C668" t="s">
        <v>194</v>
      </c>
      <c r="D668">
        <v>1</v>
      </c>
      <c r="E668" t="s">
        <v>107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409</v>
      </c>
      <c r="L668" t="s">
        <v>407</v>
      </c>
      <c r="M668">
        <v>33</v>
      </c>
      <c r="N668">
        <v>17645</v>
      </c>
      <c r="O668" t="s">
        <v>52</v>
      </c>
      <c r="P668" t="s">
        <v>52</v>
      </c>
      <c r="Q668" t="s">
        <v>197</v>
      </c>
      <c r="R668" t="s">
        <v>53</v>
      </c>
      <c r="S668" t="s">
        <v>116</v>
      </c>
      <c r="T668" t="s">
        <v>198</v>
      </c>
      <c r="U668" t="s">
        <v>108</v>
      </c>
    </row>
    <row r="669" spans="1:21" x14ac:dyDescent="0.3">
      <c r="A669" t="s">
        <v>405</v>
      </c>
      <c r="B669" t="s">
        <v>405</v>
      </c>
      <c r="C669" t="s">
        <v>194</v>
      </c>
      <c r="D669">
        <v>1</v>
      </c>
      <c r="E669" t="s">
        <v>107</v>
      </c>
      <c r="F669">
        <v>1</v>
      </c>
      <c r="G669">
        <v>1042</v>
      </c>
      <c r="H669">
        <v>1042</v>
      </c>
      <c r="I669" t="s">
        <v>117</v>
      </c>
      <c r="J669" t="s">
        <v>51</v>
      </c>
      <c r="K669" t="s">
        <v>410</v>
      </c>
      <c r="L669" t="s">
        <v>411</v>
      </c>
      <c r="M669">
        <v>33</v>
      </c>
      <c r="O669" t="s">
        <v>52</v>
      </c>
      <c r="P669" t="s">
        <v>52</v>
      </c>
      <c r="Q669" t="s">
        <v>197</v>
      </c>
      <c r="R669" t="s">
        <v>53</v>
      </c>
      <c r="S669" t="s">
        <v>116</v>
      </c>
      <c r="T669" t="s">
        <v>198</v>
      </c>
      <c r="U669" t="s">
        <v>108</v>
      </c>
    </row>
    <row r="670" spans="1:21" x14ac:dyDescent="0.3">
      <c r="A670" t="s">
        <v>405</v>
      </c>
      <c r="B670" t="s">
        <v>405</v>
      </c>
      <c r="C670" t="s">
        <v>194</v>
      </c>
      <c r="D670">
        <v>1</v>
      </c>
      <c r="E670" t="s">
        <v>107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412</v>
      </c>
      <c r="L670" t="s">
        <v>407</v>
      </c>
      <c r="M670">
        <v>33</v>
      </c>
      <c r="N670">
        <v>17645</v>
      </c>
      <c r="O670" t="s">
        <v>52</v>
      </c>
      <c r="P670" t="s">
        <v>52</v>
      </c>
      <c r="Q670" t="s">
        <v>197</v>
      </c>
      <c r="R670" t="s">
        <v>53</v>
      </c>
      <c r="S670" t="s">
        <v>116</v>
      </c>
      <c r="T670" t="s">
        <v>198</v>
      </c>
      <c r="U670" t="s">
        <v>108</v>
      </c>
    </row>
    <row r="671" spans="1:21" x14ac:dyDescent="0.3">
      <c r="A671" t="s">
        <v>405</v>
      </c>
      <c r="B671" t="s">
        <v>405</v>
      </c>
      <c r="C671" t="s">
        <v>194</v>
      </c>
      <c r="D671">
        <v>2</v>
      </c>
      <c r="E671" t="s">
        <v>118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406</v>
      </c>
      <c r="L671" t="s">
        <v>407</v>
      </c>
      <c r="M671">
        <v>33</v>
      </c>
      <c r="N671">
        <v>17645</v>
      </c>
      <c r="O671" t="s">
        <v>52</v>
      </c>
      <c r="P671" t="s">
        <v>52</v>
      </c>
      <c r="Q671" t="s">
        <v>197</v>
      </c>
      <c r="R671" t="s">
        <v>53</v>
      </c>
      <c r="S671" t="s">
        <v>116</v>
      </c>
      <c r="T671" t="s">
        <v>198</v>
      </c>
      <c r="U671" t="s">
        <v>108</v>
      </c>
    </row>
    <row r="672" spans="1:21" x14ac:dyDescent="0.3">
      <c r="A672" t="s">
        <v>405</v>
      </c>
      <c r="B672" t="s">
        <v>405</v>
      </c>
      <c r="C672" t="s">
        <v>194</v>
      </c>
      <c r="D672">
        <v>2</v>
      </c>
      <c r="E672" t="s">
        <v>118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409</v>
      </c>
      <c r="L672" t="s">
        <v>407</v>
      </c>
      <c r="M672">
        <v>33</v>
      </c>
      <c r="N672">
        <v>17645</v>
      </c>
      <c r="O672" t="s">
        <v>52</v>
      </c>
      <c r="P672" t="s">
        <v>52</v>
      </c>
      <c r="Q672" t="s">
        <v>197</v>
      </c>
      <c r="R672" t="s">
        <v>53</v>
      </c>
      <c r="S672" t="s">
        <v>116</v>
      </c>
      <c r="T672" t="s">
        <v>198</v>
      </c>
      <c r="U672" t="s">
        <v>108</v>
      </c>
    </row>
    <row r="673" spans="1:21" x14ac:dyDescent="0.3">
      <c r="A673" t="s">
        <v>405</v>
      </c>
      <c r="B673" t="s">
        <v>405</v>
      </c>
      <c r="C673" t="s">
        <v>194</v>
      </c>
      <c r="D673">
        <v>2</v>
      </c>
      <c r="E673" t="s">
        <v>118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408</v>
      </c>
      <c r="L673" t="s">
        <v>407</v>
      </c>
      <c r="M673">
        <v>33</v>
      </c>
      <c r="N673">
        <v>17645</v>
      </c>
      <c r="O673" t="s">
        <v>52</v>
      </c>
      <c r="P673" t="s">
        <v>52</v>
      </c>
      <c r="Q673" t="s">
        <v>197</v>
      </c>
      <c r="R673" t="s">
        <v>53</v>
      </c>
      <c r="S673" t="s">
        <v>116</v>
      </c>
      <c r="T673" t="s">
        <v>198</v>
      </c>
      <c r="U673" t="s">
        <v>108</v>
      </c>
    </row>
    <row r="674" spans="1:21" x14ac:dyDescent="0.3">
      <c r="A674" t="s">
        <v>405</v>
      </c>
      <c r="B674" t="s">
        <v>405</v>
      </c>
      <c r="C674" t="s">
        <v>194</v>
      </c>
      <c r="D674">
        <v>2</v>
      </c>
      <c r="E674" t="s">
        <v>118</v>
      </c>
      <c r="F674">
        <v>1</v>
      </c>
      <c r="G674">
        <v>4</v>
      </c>
      <c r="H674">
        <v>4</v>
      </c>
      <c r="I674" t="s">
        <v>117</v>
      </c>
      <c r="J674" t="s">
        <v>51</v>
      </c>
      <c r="K674" t="s">
        <v>410</v>
      </c>
      <c r="L674" t="s">
        <v>411</v>
      </c>
      <c r="M674">
        <v>33</v>
      </c>
      <c r="O674" t="s">
        <v>52</v>
      </c>
      <c r="P674" t="s">
        <v>52</v>
      </c>
      <c r="Q674" t="s">
        <v>197</v>
      </c>
      <c r="R674" t="s">
        <v>53</v>
      </c>
      <c r="S674" t="s">
        <v>116</v>
      </c>
      <c r="T674" t="s">
        <v>198</v>
      </c>
      <c r="U674" t="s">
        <v>108</v>
      </c>
    </row>
    <row r="675" spans="1:21" x14ac:dyDescent="0.3">
      <c r="A675" t="s">
        <v>405</v>
      </c>
      <c r="B675" t="s">
        <v>405</v>
      </c>
      <c r="C675" t="s">
        <v>194</v>
      </c>
      <c r="D675">
        <v>2</v>
      </c>
      <c r="E675" t="s">
        <v>118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412</v>
      </c>
      <c r="L675" t="s">
        <v>407</v>
      </c>
      <c r="M675">
        <v>33</v>
      </c>
      <c r="N675">
        <v>17645</v>
      </c>
      <c r="O675" t="s">
        <v>52</v>
      </c>
      <c r="P675" t="s">
        <v>52</v>
      </c>
      <c r="Q675" t="s">
        <v>197</v>
      </c>
      <c r="R675" t="s">
        <v>53</v>
      </c>
      <c r="S675" t="s">
        <v>116</v>
      </c>
      <c r="T675" t="s">
        <v>198</v>
      </c>
      <c r="U675" t="s">
        <v>108</v>
      </c>
    </row>
    <row r="676" spans="1:21" x14ac:dyDescent="0.3">
      <c r="A676" t="s">
        <v>405</v>
      </c>
      <c r="B676" t="s">
        <v>405</v>
      </c>
      <c r="C676" t="s">
        <v>194</v>
      </c>
      <c r="D676">
        <v>3</v>
      </c>
      <c r="E676" t="s">
        <v>105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406</v>
      </c>
      <c r="L676" t="s">
        <v>407</v>
      </c>
      <c r="M676">
        <v>33</v>
      </c>
      <c r="N676">
        <v>17645</v>
      </c>
      <c r="O676" t="s">
        <v>52</v>
      </c>
      <c r="P676" t="s">
        <v>52</v>
      </c>
      <c r="Q676" t="s">
        <v>197</v>
      </c>
      <c r="R676" t="s">
        <v>53</v>
      </c>
      <c r="S676" t="s">
        <v>116</v>
      </c>
      <c r="T676" t="s">
        <v>198</v>
      </c>
      <c r="U676" t="s">
        <v>108</v>
      </c>
    </row>
    <row r="677" spans="1:21" x14ac:dyDescent="0.3">
      <c r="A677" t="s">
        <v>405</v>
      </c>
      <c r="B677" t="s">
        <v>405</v>
      </c>
      <c r="C677" t="s">
        <v>194</v>
      </c>
      <c r="D677">
        <v>3</v>
      </c>
      <c r="E677" t="s">
        <v>105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409</v>
      </c>
      <c r="L677" t="s">
        <v>407</v>
      </c>
      <c r="M677">
        <v>33</v>
      </c>
      <c r="N677">
        <v>17645</v>
      </c>
      <c r="O677" t="s">
        <v>52</v>
      </c>
      <c r="P677" t="s">
        <v>52</v>
      </c>
      <c r="Q677" t="s">
        <v>197</v>
      </c>
      <c r="R677" t="s">
        <v>53</v>
      </c>
      <c r="S677" t="s">
        <v>116</v>
      </c>
      <c r="T677" t="s">
        <v>198</v>
      </c>
      <c r="U677" t="s">
        <v>108</v>
      </c>
    </row>
    <row r="678" spans="1:21" x14ac:dyDescent="0.3">
      <c r="A678" t="s">
        <v>405</v>
      </c>
      <c r="B678" t="s">
        <v>405</v>
      </c>
      <c r="C678" t="s">
        <v>194</v>
      </c>
      <c r="D678">
        <v>3</v>
      </c>
      <c r="E678" t="s">
        <v>105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412</v>
      </c>
      <c r="L678" t="s">
        <v>407</v>
      </c>
      <c r="M678">
        <v>33</v>
      </c>
      <c r="N678">
        <v>17645</v>
      </c>
      <c r="O678" t="s">
        <v>52</v>
      </c>
      <c r="P678" t="s">
        <v>52</v>
      </c>
      <c r="Q678" t="s">
        <v>197</v>
      </c>
      <c r="R678" t="s">
        <v>53</v>
      </c>
      <c r="S678" t="s">
        <v>116</v>
      </c>
      <c r="T678" t="s">
        <v>198</v>
      </c>
      <c r="U678" t="s">
        <v>108</v>
      </c>
    </row>
    <row r="679" spans="1:21" x14ac:dyDescent="0.3">
      <c r="A679" t="s">
        <v>405</v>
      </c>
      <c r="B679" t="s">
        <v>405</v>
      </c>
      <c r="C679" t="s">
        <v>194</v>
      </c>
      <c r="D679">
        <v>3</v>
      </c>
      <c r="E679" t="s">
        <v>105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408</v>
      </c>
      <c r="L679" t="s">
        <v>407</v>
      </c>
      <c r="M679">
        <v>33</v>
      </c>
      <c r="N679">
        <v>17645</v>
      </c>
      <c r="O679" t="s">
        <v>52</v>
      </c>
      <c r="P679" t="s">
        <v>52</v>
      </c>
      <c r="Q679" t="s">
        <v>197</v>
      </c>
      <c r="R679" t="s">
        <v>53</v>
      </c>
      <c r="S679" t="s">
        <v>116</v>
      </c>
      <c r="T679" t="s">
        <v>198</v>
      </c>
      <c r="U679" t="s">
        <v>108</v>
      </c>
    </row>
    <row r="680" spans="1:21" x14ac:dyDescent="0.3">
      <c r="A680" t="s">
        <v>405</v>
      </c>
      <c r="B680" t="s">
        <v>405</v>
      </c>
      <c r="C680" t="s">
        <v>194</v>
      </c>
      <c r="D680">
        <v>3</v>
      </c>
      <c r="E680" t="s">
        <v>105</v>
      </c>
      <c r="F680">
        <v>1</v>
      </c>
      <c r="G680">
        <v>105</v>
      </c>
      <c r="H680">
        <v>105</v>
      </c>
      <c r="I680" t="s">
        <v>117</v>
      </c>
      <c r="J680" t="s">
        <v>51</v>
      </c>
      <c r="K680" t="s">
        <v>410</v>
      </c>
      <c r="L680" t="s">
        <v>411</v>
      </c>
      <c r="M680">
        <v>33</v>
      </c>
      <c r="O680" t="s">
        <v>52</v>
      </c>
      <c r="P680" t="s">
        <v>52</v>
      </c>
      <c r="Q680" t="s">
        <v>197</v>
      </c>
      <c r="R680" t="s">
        <v>53</v>
      </c>
      <c r="S680" t="s">
        <v>116</v>
      </c>
      <c r="T680" t="s">
        <v>198</v>
      </c>
      <c r="U680" t="s">
        <v>108</v>
      </c>
    </row>
    <row r="681" spans="1:21" x14ac:dyDescent="0.3">
      <c r="A681" t="s">
        <v>405</v>
      </c>
      <c r="B681" t="s">
        <v>405</v>
      </c>
      <c r="C681" t="s">
        <v>194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117</v>
      </c>
      <c r="J681" t="s">
        <v>51</v>
      </c>
      <c r="K681" t="s">
        <v>410</v>
      </c>
      <c r="L681" t="s">
        <v>411</v>
      </c>
      <c r="M681">
        <v>33</v>
      </c>
      <c r="O681" t="s">
        <v>52</v>
      </c>
      <c r="P681" t="s">
        <v>52</v>
      </c>
      <c r="Q681" t="s">
        <v>197</v>
      </c>
      <c r="R681" t="s">
        <v>53</v>
      </c>
      <c r="S681" t="s">
        <v>116</v>
      </c>
      <c r="T681" t="s">
        <v>198</v>
      </c>
      <c r="U681" t="s">
        <v>108</v>
      </c>
    </row>
    <row r="682" spans="1:21" x14ac:dyDescent="0.3">
      <c r="A682" t="s">
        <v>405</v>
      </c>
      <c r="B682" t="s">
        <v>405</v>
      </c>
      <c r="C682" t="s">
        <v>194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408</v>
      </c>
      <c r="L682" t="s">
        <v>407</v>
      </c>
      <c r="M682">
        <v>33</v>
      </c>
      <c r="N682">
        <v>17645</v>
      </c>
      <c r="O682" t="s">
        <v>52</v>
      </c>
      <c r="P682" t="s">
        <v>52</v>
      </c>
      <c r="Q682" t="s">
        <v>197</v>
      </c>
      <c r="R682" t="s">
        <v>53</v>
      </c>
      <c r="S682" t="s">
        <v>116</v>
      </c>
      <c r="T682" t="s">
        <v>198</v>
      </c>
      <c r="U682" t="s">
        <v>108</v>
      </c>
    </row>
    <row r="683" spans="1:21" x14ac:dyDescent="0.3">
      <c r="A683" t="s">
        <v>405</v>
      </c>
      <c r="B683" t="s">
        <v>405</v>
      </c>
      <c r="C683" t="s">
        <v>194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406</v>
      </c>
      <c r="L683" t="s">
        <v>407</v>
      </c>
      <c r="M683">
        <v>33</v>
      </c>
      <c r="N683">
        <v>17645</v>
      </c>
      <c r="O683" t="s">
        <v>52</v>
      </c>
      <c r="P683" t="s">
        <v>52</v>
      </c>
      <c r="Q683" t="s">
        <v>197</v>
      </c>
      <c r="R683" t="s">
        <v>53</v>
      </c>
      <c r="S683" t="s">
        <v>116</v>
      </c>
      <c r="T683" t="s">
        <v>198</v>
      </c>
      <c r="U683" t="s">
        <v>108</v>
      </c>
    </row>
    <row r="684" spans="1:21" x14ac:dyDescent="0.3">
      <c r="A684" t="s">
        <v>405</v>
      </c>
      <c r="B684" t="s">
        <v>405</v>
      </c>
      <c r="C684" t="s">
        <v>194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412</v>
      </c>
      <c r="L684" t="s">
        <v>407</v>
      </c>
      <c r="M684">
        <v>33</v>
      </c>
      <c r="N684">
        <v>17645</v>
      </c>
      <c r="O684" t="s">
        <v>52</v>
      </c>
      <c r="P684" t="s">
        <v>52</v>
      </c>
      <c r="Q684" t="s">
        <v>197</v>
      </c>
      <c r="R684" t="s">
        <v>53</v>
      </c>
      <c r="S684" t="s">
        <v>116</v>
      </c>
      <c r="T684" t="s">
        <v>198</v>
      </c>
      <c r="U684" t="s">
        <v>108</v>
      </c>
    </row>
    <row r="685" spans="1:21" x14ac:dyDescent="0.3">
      <c r="A685" t="s">
        <v>405</v>
      </c>
      <c r="B685" t="s">
        <v>405</v>
      </c>
      <c r="C685" t="s">
        <v>194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409</v>
      </c>
      <c r="L685" t="s">
        <v>407</v>
      </c>
      <c r="M685">
        <v>33</v>
      </c>
      <c r="N685">
        <v>17645</v>
      </c>
      <c r="O685" t="s">
        <v>52</v>
      </c>
      <c r="P685" t="s">
        <v>52</v>
      </c>
      <c r="Q685" t="s">
        <v>197</v>
      </c>
      <c r="R685" t="s">
        <v>53</v>
      </c>
      <c r="S685" t="s">
        <v>116</v>
      </c>
      <c r="T685" t="s">
        <v>198</v>
      </c>
      <c r="U685" t="s">
        <v>108</v>
      </c>
    </row>
    <row r="686" spans="1:21" x14ac:dyDescent="0.3">
      <c r="A686" t="s">
        <v>405</v>
      </c>
      <c r="B686" t="s">
        <v>405</v>
      </c>
      <c r="C686" t="s">
        <v>194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117</v>
      </c>
      <c r="J686" t="s">
        <v>51</v>
      </c>
      <c r="K686" t="s">
        <v>410</v>
      </c>
      <c r="L686" t="s">
        <v>411</v>
      </c>
      <c r="M686">
        <v>33</v>
      </c>
      <c r="O686" t="s">
        <v>52</v>
      </c>
      <c r="P686" t="s">
        <v>52</v>
      </c>
      <c r="Q686" t="s">
        <v>197</v>
      </c>
      <c r="R686" t="s">
        <v>53</v>
      </c>
      <c r="S686" t="s">
        <v>116</v>
      </c>
      <c r="T686" t="s">
        <v>198</v>
      </c>
      <c r="U686" t="s">
        <v>108</v>
      </c>
    </row>
    <row r="687" spans="1:21" x14ac:dyDescent="0.3">
      <c r="A687" t="s">
        <v>405</v>
      </c>
      <c r="B687" t="s">
        <v>405</v>
      </c>
      <c r="C687" t="s">
        <v>194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408</v>
      </c>
      <c r="L687" t="s">
        <v>407</v>
      </c>
      <c r="M687">
        <v>33</v>
      </c>
      <c r="N687">
        <v>17645</v>
      </c>
      <c r="O687" t="s">
        <v>52</v>
      </c>
      <c r="P687" t="s">
        <v>52</v>
      </c>
      <c r="Q687" t="s">
        <v>197</v>
      </c>
      <c r="R687" t="s">
        <v>53</v>
      </c>
      <c r="S687" t="s">
        <v>116</v>
      </c>
      <c r="T687" t="s">
        <v>198</v>
      </c>
      <c r="U687" t="s">
        <v>108</v>
      </c>
    </row>
    <row r="688" spans="1:21" x14ac:dyDescent="0.3">
      <c r="A688" t="s">
        <v>405</v>
      </c>
      <c r="B688" t="s">
        <v>405</v>
      </c>
      <c r="C688" t="s">
        <v>194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406</v>
      </c>
      <c r="L688" t="s">
        <v>407</v>
      </c>
      <c r="M688">
        <v>33</v>
      </c>
      <c r="N688">
        <v>17645</v>
      </c>
      <c r="O688" t="s">
        <v>52</v>
      </c>
      <c r="P688" t="s">
        <v>52</v>
      </c>
      <c r="Q688" t="s">
        <v>197</v>
      </c>
      <c r="R688" t="s">
        <v>53</v>
      </c>
      <c r="S688" t="s">
        <v>116</v>
      </c>
      <c r="T688" t="s">
        <v>198</v>
      </c>
      <c r="U688" t="s">
        <v>108</v>
      </c>
    </row>
    <row r="689" spans="1:21" x14ac:dyDescent="0.3">
      <c r="A689" t="s">
        <v>405</v>
      </c>
      <c r="B689" t="s">
        <v>405</v>
      </c>
      <c r="C689" t="s">
        <v>194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412</v>
      </c>
      <c r="L689" t="s">
        <v>407</v>
      </c>
      <c r="M689">
        <v>33</v>
      </c>
      <c r="N689">
        <v>17645</v>
      </c>
      <c r="O689" t="s">
        <v>52</v>
      </c>
      <c r="P689" t="s">
        <v>52</v>
      </c>
      <c r="Q689" t="s">
        <v>197</v>
      </c>
      <c r="R689" t="s">
        <v>53</v>
      </c>
      <c r="S689" t="s">
        <v>116</v>
      </c>
      <c r="T689" t="s">
        <v>198</v>
      </c>
      <c r="U689" t="s">
        <v>108</v>
      </c>
    </row>
    <row r="690" spans="1:21" x14ac:dyDescent="0.3">
      <c r="A690" t="s">
        <v>405</v>
      </c>
      <c r="B690" t="s">
        <v>405</v>
      </c>
      <c r="C690" t="s">
        <v>194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409</v>
      </c>
      <c r="L690" t="s">
        <v>407</v>
      </c>
      <c r="M690">
        <v>33</v>
      </c>
      <c r="N690">
        <v>17645</v>
      </c>
      <c r="O690" t="s">
        <v>52</v>
      </c>
      <c r="P690" t="s">
        <v>52</v>
      </c>
      <c r="Q690" t="s">
        <v>197</v>
      </c>
      <c r="R690" t="s">
        <v>53</v>
      </c>
      <c r="S690" t="s">
        <v>116</v>
      </c>
      <c r="T690" t="s">
        <v>198</v>
      </c>
      <c r="U690" t="s">
        <v>108</v>
      </c>
    </row>
    <row r="691" spans="1:21" x14ac:dyDescent="0.3">
      <c r="A691" t="s">
        <v>413</v>
      </c>
      <c r="B691" t="s">
        <v>413</v>
      </c>
      <c r="C691" t="s">
        <v>194</v>
      </c>
      <c r="D691">
        <v>1</v>
      </c>
      <c r="E691" t="s">
        <v>107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414</v>
      </c>
      <c r="L691" t="s">
        <v>415</v>
      </c>
      <c r="M691">
        <v>33</v>
      </c>
      <c r="N691">
        <v>18264</v>
      </c>
      <c r="O691" t="s">
        <v>52</v>
      </c>
      <c r="P691" t="s">
        <v>52</v>
      </c>
      <c r="Q691" t="s">
        <v>197</v>
      </c>
      <c r="R691" t="s">
        <v>53</v>
      </c>
      <c r="S691" t="s">
        <v>116</v>
      </c>
      <c r="T691" t="s">
        <v>198</v>
      </c>
      <c r="U691" t="s">
        <v>108</v>
      </c>
    </row>
    <row r="692" spans="1:21" x14ac:dyDescent="0.3">
      <c r="A692" t="s">
        <v>413</v>
      </c>
      <c r="B692" t="s">
        <v>413</v>
      </c>
      <c r="C692" t="s">
        <v>194</v>
      </c>
      <c r="D692">
        <v>1</v>
      </c>
      <c r="E692" t="s">
        <v>107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416</v>
      </c>
      <c r="L692" t="s">
        <v>415</v>
      </c>
      <c r="M692">
        <v>33</v>
      </c>
      <c r="N692">
        <v>18264</v>
      </c>
      <c r="O692" t="s">
        <v>52</v>
      </c>
      <c r="P692" t="s">
        <v>52</v>
      </c>
      <c r="Q692" t="s">
        <v>197</v>
      </c>
      <c r="R692" t="s">
        <v>53</v>
      </c>
      <c r="S692" t="s">
        <v>116</v>
      </c>
      <c r="T692" t="s">
        <v>198</v>
      </c>
      <c r="U692" t="s">
        <v>108</v>
      </c>
    </row>
    <row r="693" spans="1:21" x14ac:dyDescent="0.3">
      <c r="A693" t="s">
        <v>413</v>
      </c>
      <c r="B693" t="s">
        <v>413</v>
      </c>
      <c r="C693" t="s">
        <v>194</v>
      </c>
      <c r="D693">
        <v>1</v>
      </c>
      <c r="E693" t="s">
        <v>107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417</v>
      </c>
      <c r="L693" t="s">
        <v>415</v>
      </c>
      <c r="M693">
        <v>33</v>
      </c>
      <c r="N693">
        <v>18264</v>
      </c>
      <c r="O693" t="s">
        <v>52</v>
      </c>
      <c r="P693" t="s">
        <v>52</v>
      </c>
      <c r="Q693" t="s">
        <v>197</v>
      </c>
      <c r="R693" t="s">
        <v>53</v>
      </c>
      <c r="S693" t="s">
        <v>116</v>
      </c>
      <c r="T693" t="s">
        <v>198</v>
      </c>
      <c r="U693" t="s">
        <v>108</v>
      </c>
    </row>
    <row r="694" spans="1:21" x14ac:dyDescent="0.3">
      <c r="A694" t="s">
        <v>413</v>
      </c>
      <c r="B694" t="s">
        <v>413</v>
      </c>
      <c r="C694" t="s">
        <v>194</v>
      </c>
      <c r="D694">
        <v>1</v>
      </c>
      <c r="E694" t="s">
        <v>107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418</v>
      </c>
      <c r="L694" t="s">
        <v>415</v>
      </c>
      <c r="M694">
        <v>33</v>
      </c>
      <c r="N694">
        <v>18264</v>
      </c>
      <c r="O694" t="s">
        <v>52</v>
      </c>
      <c r="P694" t="s">
        <v>52</v>
      </c>
      <c r="Q694" t="s">
        <v>197</v>
      </c>
      <c r="R694" t="s">
        <v>53</v>
      </c>
      <c r="S694" t="s">
        <v>116</v>
      </c>
      <c r="T694" t="s">
        <v>198</v>
      </c>
      <c r="U694" t="s">
        <v>108</v>
      </c>
    </row>
    <row r="695" spans="1:21" x14ac:dyDescent="0.3">
      <c r="A695" t="s">
        <v>413</v>
      </c>
      <c r="B695" t="s">
        <v>413</v>
      </c>
      <c r="C695" t="s">
        <v>194</v>
      </c>
      <c r="D695">
        <v>1</v>
      </c>
      <c r="E695" t="s">
        <v>107</v>
      </c>
      <c r="F695">
        <v>1</v>
      </c>
      <c r="G695">
        <v>1933</v>
      </c>
      <c r="H695">
        <v>1933</v>
      </c>
      <c r="I695" t="s">
        <v>117</v>
      </c>
      <c r="J695" t="s">
        <v>51</v>
      </c>
      <c r="K695" t="s">
        <v>419</v>
      </c>
      <c r="L695" t="s">
        <v>420</v>
      </c>
      <c r="M695">
        <v>33</v>
      </c>
      <c r="O695" t="s">
        <v>52</v>
      </c>
      <c r="P695" t="s">
        <v>52</v>
      </c>
      <c r="Q695" t="s">
        <v>197</v>
      </c>
      <c r="R695" t="s">
        <v>53</v>
      </c>
      <c r="S695" t="s">
        <v>116</v>
      </c>
      <c r="T695" t="s">
        <v>198</v>
      </c>
      <c r="U695" t="s">
        <v>108</v>
      </c>
    </row>
    <row r="696" spans="1:21" x14ac:dyDescent="0.3">
      <c r="A696" t="s">
        <v>413</v>
      </c>
      <c r="B696" t="s">
        <v>413</v>
      </c>
      <c r="C696" t="s">
        <v>194</v>
      </c>
      <c r="D696">
        <v>2</v>
      </c>
      <c r="E696" t="s">
        <v>118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417</v>
      </c>
      <c r="L696" t="s">
        <v>415</v>
      </c>
      <c r="M696">
        <v>33</v>
      </c>
      <c r="N696">
        <v>18264</v>
      </c>
      <c r="O696" t="s">
        <v>52</v>
      </c>
      <c r="P696" t="s">
        <v>52</v>
      </c>
      <c r="Q696" t="s">
        <v>197</v>
      </c>
      <c r="R696" t="s">
        <v>53</v>
      </c>
      <c r="S696" t="s">
        <v>116</v>
      </c>
      <c r="T696" t="s">
        <v>198</v>
      </c>
      <c r="U696" t="s">
        <v>108</v>
      </c>
    </row>
    <row r="697" spans="1:21" x14ac:dyDescent="0.3">
      <c r="A697" t="s">
        <v>413</v>
      </c>
      <c r="B697" t="s">
        <v>413</v>
      </c>
      <c r="C697" t="s">
        <v>194</v>
      </c>
      <c r="D697">
        <v>2</v>
      </c>
      <c r="E697" t="s">
        <v>118</v>
      </c>
      <c r="F697">
        <v>1</v>
      </c>
      <c r="G697">
        <v>6</v>
      </c>
      <c r="H697">
        <v>6</v>
      </c>
      <c r="I697" t="s">
        <v>117</v>
      </c>
      <c r="J697" t="s">
        <v>51</v>
      </c>
      <c r="K697" t="s">
        <v>419</v>
      </c>
      <c r="L697" t="s">
        <v>420</v>
      </c>
      <c r="M697">
        <v>33</v>
      </c>
      <c r="O697" t="s">
        <v>52</v>
      </c>
      <c r="P697" t="s">
        <v>52</v>
      </c>
      <c r="Q697" t="s">
        <v>197</v>
      </c>
      <c r="R697" t="s">
        <v>53</v>
      </c>
      <c r="S697" t="s">
        <v>116</v>
      </c>
      <c r="T697" t="s">
        <v>198</v>
      </c>
      <c r="U697" t="s">
        <v>108</v>
      </c>
    </row>
    <row r="698" spans="1:21" x14ac:dyDescent="0.3">
      <c r="A698" t="s">
        <v>413</v>
      </c>
      <c r="B698" t="s">
        <v>413</v>
      </c>
      <c r="C698" t="s">
        <v>194</v>
      </c>
      <c r="D698">
        <v>2</v>
      </c>
      <c r="E698" t="s">
        <v>118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416</v>
      </c>
      <c r="L698" t="s">
        <v>415</v>
      </c>
      <c r="M698">
        <v>33</v>
      </c>
      <c r="N698">
        <v>18264</v>
      </c>
      <c r="O698" t="s">
        <v>52</v>
      </c>
      <c r="P698" t="s">
        <v>52</v>
      </c>
      <c r="Q698" t="s">
        <v>197</v>
      </c>
      <c r="R698" t="s">
        <v>53</v>
      </c>
      <c r="S698" t="s">
        <v>116</v>
      </c>
      <c r="T698" t="s">
        <v>198</v>
      </c>
      <c r="U698" t="s">
        <v>108</v>
      </c>
    </row>
    <row r="699" spans="1:21" x14ac:dyDescent="0.3">
      <c r="A699" t="s">
        <v>413</v>
      </c>
      <c r="B699" t="s">
        <v>413</v>
      </c>
      <c r="C699" t="s">
        <v>194</v>
      </c>
      <c r="D699">
        <v>2</v>
      </c>
      <c r="E699" t="s">
        <v>118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418</v>
      </c>
      <c r="L699" t="s">
        <v>415</v>
      </c>
      <c r="M699">
        <v>33</v>
      </c>
      <c r="N699">
        <v>18264</v>
      </c>
      <c r="O699" t="s">
        <v>52</v>
      </c>
      <c r="P699" t="s">
        <v>52</v>
      </c>
      <c r="Q699" t="s">
        <v>197</v>
      </c>
      <c r="R699" t="s">
        <v>53</v>
      </c>
      <c r="S699" t="s">
        <v>116</v>
      </c>
      <c r="T699" t="s">
        <v>198</v>
      </c>
      <c r="U699" t="s">
        <v>108</v>
      </c>
    </row>
    <row r="700" spans="1:21" x14ac:dyDescent="0.3">
      <c r="A700" t="s">
        <v>413</v>
      </c>
      <c r="B700" t="s">
        <v>413</v>
      </c>
      <c r="C700" t="s">
        <v>194</v>
      </c>
      <c r="D700">
        <v>2</v>
      </c>
      <c r="E700" t="s">
        <v>118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414</v>
      </c>
      <c r="L700" t="s">
        <v>415</v>
      </c>
      <c r="M700">
        <v>33</v>
      </c>
      <c r="N700">
        <v>18264</v>
      </c>
      <c r="O700" t="s">
        <v>52</v>
      </c>
      <c r="P700" t="s">
        <v>52</v>
      </c>
      <c r="Q700" t="s">
        <v>197</v>
      </c>
      <c r="R700" t="s">
        <v>53</v>
      </c>
      <c r="S700" t="s">
        <v>116</v>
      </c>
      <c r="T700" t="s">
        <v>198</v>
      </c>
      <c r="U700" t="s">
        <v>108</v>
      </c>
    </row>
    <row r="701" spans="1:21" x14ac:dyDescent="0.3">
      <c r="A701" t="s">
        <v>413</v>
      </c>
      <c r="B701" t="s">
        <v>413</v>
      </c>
      <c r="C701" t="s">
        <v>194</v>
      </c>
      <c r="D701">
        <v>3</v>
      </c>
      <c r="E701" t="s">
        <v>105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418</v>
      </c>
      <c r="L701" t="s">
        <v>415</v>
      </c>
      <c r="M701">
        <v>33</v>
      </c>
      <c r="N701">
        <v>18264</v>
      </c>
      <c r="O701" t="s">
        <v>52</v>
      </c>
      <c r="P701" t="s">
        <v>52</v>
      </c>
      <c r="Q701" t="s">
        <v>197</v>
      </c>
      <c r="R701" t="s">
        <v>53</v>
      </c>
      <c r="S701" t="s">
        <v>116</v>
      </c>
      <c r="T701" t="s">
        <v>198</v>
      </c>
      <c r="U701" t="s">
        <v>108</v>
      </c>
    </row>
    <row r="702" spans="1:21" x14ac:dyDescent="0.3">
      <c r="A702" t="s">
        <v>413</v>
      </c>
      <c r="B702" t="s">
        <v>413</v>
      </c>
      <c r="C702" t="s">
        <v>194</v>
      </c>
      <c r="D702">
        <v>3</v>
      </c>
      <c r="E702" t="s">
        <v>105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417</v>
      </c>
      <c r="L702" t="s">
        <v>415</v>
      </c>
      <c r="M702">
        <v>33</v>
      </c>
      <c r="N702">
        <v>18264</v>
      </c>
      <c r="O702" t="s">
        <v>52</v>
      </c>
      <c r="P702" t="s">
        <v>52</v>
      </c>
      <c r="Q702" t="s">
        <v>197</v>
      </c>
      <c r="R702" t="s">
        <v>53</v>
      </c>
      <c r="S702" t="s">
        <v>116</v>
      </c>
      <c r="T702" t="s">
        <v>198</v>
      </c>
      <c r="U702" t="s">
        <v>108</v>
      </c>
    </row>
    <row r="703" spans="1:21" x14ac:dyDescent="0.3">
      <c r="A703" t="s">
        <v>413</v>
      </c>
      <c r="B703" t="s">
        <v>413</v>
      </c>
      <c r="C703" t="s">
        <v>194</v>
      </c>
      <c r="D703">
        <v>3</v>
      </c>
      <c r="E703" t="s">
        <v>105</v>
      </c>
      <c r="F703">
        <v>1</v>
      </c>
      <c r="G703">
        <v>196</v>
      </c>
      <c r="H703">
        <v>196</v>
      </c>
      <c r="I703" t="s">
        <v>117</v>
      </c>
      <c r="J703" t="s">
        <v>51</v>
      </c>
      <c r="K703" t="s">
        <v>419</v>
      </c>
      <c r="L703" t="s">
        <v>420</v>
      </c>
      <c r="M703">
        <v>33</v>
      </c>
      <c r="O703" t="s">
        <v>52</v>
      </c>
      <c r="P703" t="s">
        <v>52</v>
      </c>
      <c r="Q703" t="s">
        <v>197</v>
      </c>
      <c r="R703" t="s">
        <v>53</v>
      </c>
      <c r="S703" t="s">
        <v>116</v>
      </c>
      <c r="T703" t="s">
        <v>198</v>
      </c>
      <c r="U703" t="s">
        <v>108</v>
      </c>
    </row>
    <row r="704" spans="1:21" x14ac:dyDescent="0.3">
      <c r="A704" t="s">
        <v>413</v>
      </c>
      <c r="B704" t="s">
        <v>413</v>
      </c>
      <c r="C704" t="s">
        <v>194</v>
      </c>
      <c r="D704">
        <v>3</v>
      </c>
      <c r="E704" t="s">
        <v>105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414</v>
      </c>
      <c r="L704" t="s">
        <v>415</v>
      </c>
      <c r="M704">
        <v>33</v>
      </c>
      <c r="N704">
        <v>18264</v>
      </c>
      <c r="O704" t="s">
        <v>52</v>
      </c>
      <c r="P704" t="s">
        <v>52</v>
      </c>
      <c r="Q704" t="s">
        <v>197</v>
      </c>
      <c r="R704" t="s">
        <v>53</v>
      </c>
      <c r="S704" t="s">
        <v>116</v>
      </c>
      <c r="T704" t="s">
        <v>198</v>
      </c>
      <c r="U704" t="s">
        <v>108</v>
      </c>
    </row>
    <row r="705" spans="1:21" x14ac:dyDescent="0.3">
      <c r="A705" t="s">
        <v>413</v>
      </c>
      <c r="B705" t="s">
        <v>413</v>
      </c>
      <c r="C705" t="s">
        <v>194</v>
      </c>
      <c r="D705">
        <v>3</v>
      </c>
      <c r="E705" t="s">
        <v>105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416</v>
      </c>
      <c r="L705" t="s">
        <v>415</v>
      </c>
      <c r="M705">
        <v>33</v>
      </c>
      <c r="N705">
        <v>18264</v>
      </c>
      <c r="O705" t="s">
        <v>52</v>
      </c>
      <c r="P705" t="s">
        <v>52</v>
      </c>
      <c r="Q705" t="s">
        <v>197</v>
      </c>
      <c r="R705" t="s">
        <v>53</v>
      </c>
      <c r="S705" t="s">
        <v>116</v>
      </c>
      <c r="T705" t="s">
        <v>198</v>
      </c>
      <c r="U705" t="s">
        <v>108</v>
      </c>
    </row>
    <row r="706" spans="1:21" x14ac:dyDescent="0.3">
      <c r="A706" t="s">
        <v>413</v>
      </c>
      <c r="B706" t="s">
        <v>413</v>
      </c>
      <c r="C706" t="s">
        <v>194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418</v>
      </c>
      <c r="L706" t="s">
        <v>415</v>
      </c>
      <c r="M706">
        <v>33</v>
      </c>
      <c r="N706">
        <v>18264</v>
      </c>
      <c r="O706" t="s">
        <v>52</v>
      </c>
      <c r="P706" t="s">
        <v>52</v>
      </c>
      <c r="Q706" t="s">
        <v>197</v>
      </c>
      <c r="R706" t="s">
        <v>53</v>
      </c>
      <c r="S706" t="s">
        <v>116</v>
      </c>
      <c r="T706" t="s">
        <v>198</v>
      </c>
      <c r="U706" t="s">
        <v>108</v>
      </c>
    </row>
    <row r="707" spans="1:21" x14ac:dyDescent="0.3">
      <c r="A707" t="s">
        <v>413</v>
      </c>
      <c r="B707" t="s">
        <v>413</v>
      </c>
      <c r="C707" t="s">
        <v>194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416</v>
      </c>
      <c r="L707" t="s">
        <v>415</v>
      </c>
      <c r="M707">
        <v>33</v>
      </c>
      <c r="N707">
        <v>18264</v>
      </c>
      <c r="O707" t="s">
        <v>52</v>
      </c>
      <c r="P707" t="s">
        <v>52</v>
      </c>
      <c r="Q707" t="s">
        <v>197</v>
      </c>
      <c r="R707" t="s">
        <v>53</v>
      </c>
      <c r="S707" t="s">
        <v>116</v>
      </c>
      <c r="T707" t="s">
        <v>198</v>
      </c>
      <c r="U707" t="s">
        <v>108</v>
      </c>
    </row>
    <row r="708" spans="1:21" x14ac:dyDescent="0.3">
      <c r="A708" t="s">
        <v>413</v>
      </c>
      <c r="B708" t="s">
        <v>413</v>
      </c>
      <c r="C708" t="s">
        <v>194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117</v>
      </c>
      <c r="J708" t="s">
        <v>51</v>
      </c>
      <c r="K708" t="s">
        <v>419</v>
      </c>
      <c r="L708" t="s">
        <v>420</v>
      </c>
      <c r="M708">
        <v>33</v>
      </c>
      <c r="O708" t="s">
        <v>52</v>
      </c>
      <c r="P708" t="s">
        <v>52</v>
      </c>
      <c r="Q708" t="s">
        <v>197</v>
      </c>
      <c r="R708" t="s">
        <v>53</v>
      </c>
      <c r="S708" t="s">
        <v>116</v>
      </c>
      <c r="T708" t="s">
        <v>198</v>
      </c>
      <c r="U708" t="s">
        <v>108</v>
      </c>
    </row>
    <row r="709" spans="1:21" x14ac:dyDescent="0.3">
      <c r="A709" t="s">
        <v>413</v>
      </c>
      <c r="B709" t="s">
        <v>413</v>
      </c>
      <c r="C709" t="s">
        <v>194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417</v>
      </c>
      <c r="L709" t="s">
        <v>415</v>
      </c>
      <c r="M709">
        <v>33</v>
      </c>
      <c r="N709">
        <v>18264</v>
      </c>
      <c r="O709" t="s">
        <v>52</v>
      </c>
      <c r="P709" t="s">
        <v>52</v>
      </c>
      <c r="Q709" t="s">
        <v>197</v>
      </c>
      <c r="R709" t="s">
        <v>53</v>
      </c>
      <c r="S709" t="s">
        <v>116</v>
      </c>
      <c r="T709" t="s">
        <v>198</v>
      </c>
      <c r="U709" t="s">
        <v>108</v>
      </c>
    </row>
    <row r="710" spans="1:21" x14ac:dyDescent="0.3">
      <c r="A710" t="s">
        <v>413</v>
      </c>
      <c r="B710" t="s">
        <v>413</v>
      </c>
      <c r="C710" t="s">
        <v>194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414</v>
      </c>
      <c r="L710" t="s">
        <v>415</v>
      </c>
      <c r="M710">
        <v>33</v>
      </c>
      <c r="N710">
        <v>18264</v>
      </c>
      <c r="O710" t="s">
        <v>52</v>
      </c>
      <c r="P710" t="s">
        <v>52</v>
      </c>
      <c r="Q710" t="s">
        <v>197</v>
      </c>
      <c r="R710" t="s">
        <v>53</v>
      </c>
      <c r="S710" t="s">
        <v>116</v>
      </c>
      <c r="T710" t="s">
        <v>198</v>
      </c>
      <c r="U710" t="s">
        <v>108</v>
      </c>
    </row>
    <row r="711" spans="1:21" x14ac:dyDescent="0.3">
      <c r="A711" t="s">
        <v>413</v>
      </c>
      <c r="B711" t="s">
        <v>413</v>
      </c>
      <c r="C711" t="s">
        <v>194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417</v>
      </c>
      <c r="L711" t="s">
        <v>415</v>
      </c>
      <c r="M711">
        <v>33</v>
      </c>
      <c r="N711">
        <v>18264</v>
      </c>
      <c r="O711" t="s">
        <v>52</v>
      </c>
      <c r="P711" t="s">
        <v>52</v>
      </c>
      <c r="Q711" t="s">
        <v>197</v>
      </c>
      <c r="R711" t="s">
        <v>53</v>
      </c>
      <c r="S711" t="s">
        <v>116</v>
      </c>
      <c r="T711" t="s">
        <v>198</v>
      </c>
      <c r="U711" t="s">
        <v>108</v>
      </c>
    </row>
    <row r="712" spans="1:21" x14ac:dyDescent="0.3">
      <c r="A712" t="s">
        <v>413</v>
      </c>
      <c r="B712" t="s">
        <v>413</v>
      </c>
      <c r="C712" t="s">
        <v>194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418</v>
      </c>
      <c r="L712" t="s">
        <v>415</v>
      </c>
      <c r="M712">
        <v>33</v>
      </c>
      <c r="N712">
        <v>18264</v>
      </c>
      <c r="O712" t="s">
        <v>52</v>
      </c>
      <c r="P712" t="s">
        <v>52</v>
      </c>
      <c r="Q712" t="s">
        <v>197</v>
      </c>
      <c r="R712" t="s">
        <v>53</v>
      </c>
      <c r="S712" t="s">
        <v>116</v>
      </c>
      <c r="T712" t="s">
        <v>198</v>
      </c>
      <c r="U712" t="s">
        <v>108</v>
      </c>
    </row>
    <row r="713" spans="1:21" x14ac:dyDescent="0.3">
      <c r="A713" t="s">
        <v>413</v>
      </c>
      <c r="B713" t="s">
        <v>413</v>
      </c>
      <c r="C713" t="s">
        <v>194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414</v>
      </c>
      <c r="L713" t="s">
        <v>415</v>
      </c>
      <c r="M713">
        <v>33</v>
      </c>
      <c r="N713">
        <v>18264</v>
      </c>
      <c r="O713" t="s">
        <v>52</v>
      </c>
      <c r="P713" t="s">
        <v>52</v>
      </c>
      <c r="Q713" t="s">
        <v>197</v>
      </c>
      <c r="R713" t="s">
        <v>53</v>
      </c>
      <c r="S713" t="s">
        <v>116</v>
      </c>
      <c r="T713" t="s">
        <v>198</v>
      </c>
      <c r="U713" t="s">
        <v>108</v>
      </c>
    </row>
    <row r="714" spans="1:21" x14ac:dyDescent="0.3">
      <c r="A714" t="s">
        <v>413</v>
      </c>
      <c r="B714" t="s">
        <v>413</v>
      </c>
      <c r="C714" t="s">
        <v>194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416</v>
      </c>
      <c r="L714" t="s">
        <v>415</v>
      </c>
      <c r="M714">
        <v>33</v>
      </c>
      <c r="N714">
        <v>18264</v>
      </c>
      <c r="O714" t="s">
        <v>52</v>
      </c>
      <c r="P714" t="s">
        <v>52</v>
      </c>
      <c r="Q714" t="s">
        <v>197</v>
      </c>
      <c r="R714" t="s">
        <v>53</v>
      </c>
      <c r="S714" t="s">
        <v>116</v>
      </c>
      <c r="T714" t="s">
        <v>198</v>
      </c>
      <c r="U714" t="s">
        <v>108</v>
      </c>
    </row>
    <row r="715" spans="1:21" x14ac:dyDescent="0.3">
      <c r="A715" t="s">
        <v>413</v>
      </c>
      <c r="B715" t="s">
        <v>413</v>
      </c>
      <c r="C715" t="s">
        <v>194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117</v>
      </c>
      <c r="J715" t="s">
        <v>51</v>
      </c>
      <c r="K715" t="s">
        <v>419</v>
      </c>
      <c r="L715" t="s">
        <v>420</v>
      </c>
      <c r="M715">
        <v>33</v>
      </c>
      <c r="O715" t="s">
        <v>52</v>
      </c>
      <c r="P715" t="s">
        <v>52</v>
      </c>
      <c r="Q715" t="s">
        <v>197</v>
      </c>
      <c r="R715" t="s">
        <v>53</v>
      </c>
      <c r="S715" t="s">
        <v>116</v>
      </c>
      <c r="T715" t="s">
        <v>198</v>
      </c>
      <c r="U715" t="s">
        <v>108</v>
      </c>
    </row>
    <row r="716" spans="1:21" x14ac:dyDescent="0.3">
      <c r="A716" t="s">
        <v>421</v>
      </c>
      <c r="B716" t="s">
        <v>421</v>
      </c>
      <c r="C716" t="s">
        <v>194</v>
      </c>
      <c r="D716">
        <v>1</v>
      </c>
      <c r="E716" t="s">
        <v>107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422</v>
      </c>
      <c r="L716" t="s">
        <v>423</v>
      </c>
      <c r="M716">
        <v>33</v>
      </c>
      <c r="N716">
        <v>18700</v>
      </c>
      <c r="O716" t="s">
        <v>52</v>
      </c>
      <c r="P716" t="s">
        <v>52</v>
      </c>
      <c r="Q716" t="s">
        <v>197</v>
      </c>
      <c r="R716" t="s">
        <v>53</v>
      </c>
      <c r="S716" t="s">
        <v>116</v>
      </c>
      <c r="T716" t="s">
        <v>198</v>
      </c>
      <c r="U716" t="s">
        <v>108</v>
      </c>
    </row>
    <row r="717" spans="1:21" x14ac:dyDescent="0.3">
      <c r="A717" t="s">
        <v>421</v>
      </c>
      <c r="B717" t="s">
        <v>421</v>
      </c>
      <c r="C717" t="s">
        <v>194</v>
      </c>
      <c r="D717">
        <v>1</v>
      </c>
      <c r="E717" t="s">
        <v>107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424</v>
      </c>
      <c r="L717" t="s">
        <v>423</v>
      </c>
      <c r="M717">
        <v>33</v>
      </c>
      <c r="N717">
        <v>18700</v>
      </c>
      <c r="O717" t="s">
        <v>52</v>
      </c>
      <c r="P717" t="s">
        <v>52</v>
      </c>
      <c r="Q717" t="s">
        <v>197</v>
      </c>
      <c r="R717" t="s">
        <v>53</v>
      </c>
      <c r="S717" t="s">
        <v>116</v>
      </c>
      <c r="T717" t="s">
        <v>198</v>
      </c>
      <c r="U717" t="s">
        <v>108</v>
      </c>
    </row>
    <row r="718" spans="1:21" x14ac:dyDescent="0.3">
      <c r="A718" t="s">
        <v>421</v>
      </c>
      <c r="B718" t="s">
        <v>421</v>
      </c>
      <c r="C718" t="s">
        <v>194</v>
      </c>
      <c r="D718">
        <v>1</v>
      </c>
      <c r="E718" t="s">
        <v>107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425</v>
      </c>
      <c r="L718" t="s">
        <v>423</v>
      </c>
      <c r="M718">
        <v>33</v>
      </c>
      <c r="N718">
        <v>18700</v>
      </c>
      <c r="O718" t="s">
        <v>52</v>
      </c>
      <c r="P718" t="s">
        <v>52</v>
      </c>
      <c r="Q718" t="s">
        <v>197</v>
      </c>
      <c r="R718" t="s">
        <v>53</v>
      </c>
      <c r="S718" t="s">
        <v>116</v>
      </c>
      <c r="T718" t="s">
        <v>198</v>
      </c>
      <c r="U718" t="s">
        <v>108</v>
      </c>
    </row>
    <row r="719" spans="1:21" x14ac:dyDescent="0.3">
      <c r="A719" t="s">
        <v>421</v>
      </c>
      <c r="B719" t="s">
        <v>421</v>
      </c>
      <c r="C719" t="s">
        <v>194</v>
      </c>
      <c r="D719">
        <v>1</v>
      </c>
      <c r="E719" t="s">
        <v>107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426</v>
      </c>
      <c r="L719" t="s">
        <v>423</v>
      </c>
      <c r="M719">
        <v>33</v>
      </c>
      <c r="N719">
        <v>18700</v>
      </c>
      <c r="O719" t="s">
        <v>52</v>
      </c>
      <c r="P719" t="s">
        <v>52</v>
      </c>
      <c r="Q719" t="s">
        <v>197</v>
      </c>
      <c r="R719" t="s">
        <v>53</v>
      </c>
      <c r="S719" t="s">
        <v>116</v>
      </c>
      <c r="T719" t="s">
        <v>198</v>
      </c>
      <c r="U719" t="s">
        <v>108</v>
      </c>
    </row>
    <row r="720" spans="1:21" x14ac:dyDescent="0.3">
      <c r="A720" t="s">
        <v>421</v>
      </c>
      <c r="B720" t="s">
        <v>421</v>
      </c>
      <c r="C720" t="s">
        <v>194</v>
      </c>
      <c r="D720">
        <v>2</v>
      </c>
      <c r="E720" t="s">
        <v>118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424</v>
      </c>
      <c r="L720" t="s">
        <v>423</v>
      </c>
      <c r="M720">
        <v>33</v>
      </c>
      <c r="N720">
        <v>18700</v>
      </c>
      <c r="O720" t="s">
        <v>52</v>
      </c>
      <c r="P720" t="s">
        <v>52</v>
      </c>
      <c r="Q720" t="s">
        <v>197</v>
      </c>
      <c r="R720" t="s">
        <v>53</v>
      </c>
      <c r="S720" t="s">
        <v>116</v>
      </c>
      <c r="T720" t="s">
        <v>198</v>
      </c>
      <c r="U720" t="s">
        <v>108</v>
      </c>
    </row>
    <row r="721" spans="1:21" x14ac:dyDescent="0.3">
      <c r="A721" t="s">
        <v>421</v>
      </c>
      <c r="B721" t="s">
        <v>421</v>
      </c>
      <c r="C721" t="s">
        <v>194</v>
      </c>
      <c r="D721">
        <v>2</v>
      </c>
      <c r="E721" t="s">
        <v>118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425</v>
      </c>
      <c r="L721" t="s">
        <v>423</v>
      </c>
      <c r="M721">
        <v>33</v>
      </c>
      <c r="N721">
        <v>18700</v>
      </c>
      <c r="O721" t="s">
        <v>52</v>
      </c>
      <c r="P721" t="s">
        <v>52</v>
      </c>
      <c r="Q721" t="s">
        <v>197</v>
      </c>
      <c r="R721" t="s">
        <v>53</v>
      </c>
      <c r="S721" t="s">
        <v>116</v>
      </c>
      <c r="T721" t="s">
        <v>198</v>
      </c>
      <c r="U721" t="s">
        <v>108</v>
      </c>
    </row>
    <row r="722" spans="1:21" x14ac:dyDescent="0.3">
      <c r="A722" t="s">
        <v>421</v>
      </c>
      <c r="B722" t="s">
        <v>421</v>
      </c>
      <c r="C722" t="s">
        <v>194</v>
      </c>
      <c r="D722">
        <v>2</v>
      </c>
      <c r="E722" t="s">
        <v>118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426</v>
      </c>
      <c r="L722" t="s">
        <v>423</v>
      </c>
      <c r="M722">
        <v>33</v>
      </c>
      <c r="N722">
        <v>18700</v>
      </c>
      <c r="O722" t="s">
        <v>52</v>
      </c>
      <c r="P722" t="s">
        <v>52</v>
      </c>
      <c r="Q722" t="s">
        <v>197</v>
      </c>
      <c r="R722" t="s">
        <v>53</v>
      </c>
      <c r="S722" t="s">
        <v>116</v>
      </c>
      <c r="T722" t="s">
        <v>198</v>
      </c>
      <c r="U722" t="s">
        <v>108</v>
      </c>
    </row>
    <row r="723" spans="1:21" x14ac:dyDescent="0.3">
      <c r="A723" t="s">
        <v>421</v>
      </c>
      <c r="B723" t="s">
        <v>421</v>
      </c>
      <c r="C723" t="s">
        <v>194</v>
      </c>
      <c r="D723">
        <v>2</v>
      </c>
      <c r="E723" t="s">
        <v>118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422</v>
      </c>
      <c r="L723" t="s">
        <v>423</v>
      </c>
      <c r="M723">
        <v>33</v>
      </c>
      <c r="N723">
        <v>18700</v>
      </c>
      <c r="O723" t="s">
        <v>52</v>
      </c>
      <c r="P723" t="s">
        <v>52</v>
      </c>
      <c r="Q723" t="s">
        <v>197</v>
      </c>
      <c r="R723" t="s">
        <v>53</v>
      </c>
      <c r="S723" t="s">
        <v>116</v>
      </c>
      <c r="T723" t="s">
        <v>198</v>
      </c>
      <c r="U723" t="s">
        <v>108</v>
      </c>
    </row>
    <row r="724" spans="1:21" x14ac:dyDescent="0.3">
      <c r="A724" t="s">
        <v>421</v>
      </c>
      <c r="B724" t="s">
        <v>421</v>
      </c>
      <c r="C724" t="s">
        <v>194</v>
      </c>
      <c r="D724">
        <v>3</v>
      </c>
      <c r="E724" t="s">
        <v>105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426</v>
      </c>
      <c r="L724" t="s">
        <v>423</v>
      </c>
      <c r="M724">
        <v>33</v>
      </c>
      <c r="N724">
        <v>18700</v>
      </c>
      <c r="O724" t="s">
        <v>52</v>
      </c>
      <c r="P724" t="s">
        <v>52</v>
      </c>
      <c r="Q724" t="s">
        <v>197</v>
      </c>
      <c r="R724" t="s">
        <v>53</v>
      </c>
      <c r="S724" t="s">
        <v>116</v>
      </c>
      <c r="T724" t="s">
        <v>198</v>
      </c>
      <c r="U724" t="s">
        <v>108</v>
      </c>
    </row>
    <row r="725" spans="1:21" x14ac:dyDescent="0.3">
      <c r="A725" t="s">
        <v>421</v>
      </c>
      <c r="B725" t="s">
        <v>421</v>
      </c>
      <c r="C725" t="s">
        <v>194</v>
      </c>
      <c r="D725">
        <v>3</v>
      </c>
      <c r="E725" t="s">
        <v>105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424</v>
      </c>
      <c r="L725" t="s">
        <v>423</v>
      </c>
      <c r="M725">
        <v>33</v>
      </c>
      <c r="N725">
        <v>18700</v>
      </c>
      <c r="O725" t="s">
        <v>52</v>
      </c>
      <c r="P725" t="s">
        <v>52</v>
      </c>
      <c r="Q725" t="s">
        <v>197</v>
      </c>
      <c r="R725" t="s">
        <v>53</v>
      </c>
      <c r="S725" t="s">
        <v>116</v>
      </c>
      <c r="T725" t="s">
        <v>198</v>
      </c>
      <c r="U725" t="s">
        <v>108</v>
      </c>
    </row>
    <row r="726" spans="1:21" x14ac:dyDescent="0.3">
      <c r="A726" t="s">
        <v>421</v>
      </c>
      <c r="B726" t="s">
        <v>421</v>
      </c>
      <c r="C726" t="s">
        <v>194</v>
      </c>
      <c r="D726">
        <v>3</v>
      </c>
      <c r="E726" t="s">
        <v>105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422</v>
      </c>
      <c r="L726" t="s">
        <v>423</v>
      </c>
      <c r="M726">
        <v>33</v>
      </c>
      <c r="N726">
        <v>18700</v>
      </c>
      <c r="O726" t="s">
        <v>52</v>
      </c>
      <c r="P726" t="s">
        <v>52</v>
      </c>
      <c r="Q726" t="s">
        <v>197</v>
      </c>
      <c r="R726" t="s">
        <v>53</v>
      </c>
      <c r="S726" t="s">
        <v>116</v>
      </c>
      <c r="T726" t="s">
        <v>198</v>
      </c>
      <c r="U726" t="s">
        <v>108</v>
      </c>
    </row>
    <row r="727" spans="1:21" x14ac:dyDescent="0.3">
      <c r="A727" t="s">
        <v>421</v>
      </c>
      <c r="B727" t="s">
        <v>421</v>
      </c>
      <c r="C727" t="s">
        <v>194</v>
      </c>
      <c r="D727">
        <v>3</v>
      </c>
      <c r="E727" t="s">
        <v>105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425</v>
      </c>
      <c r="L727" t="s">
        <v>423</v>
      </c>
      <c r="M727">
        <v>33</v>
      </c>
      <c r="N727">
        <v>18700</v>
      </c>
      <c r="O727" t="s">
        <v>52</v>
      </c>
      <c r="P727" t="s">
        <v>52</v>
      </c>
      <c r="Q727" t="s">
        <v>197</v>
      </c>
      <c r="R727" t="s">
        <v>53</v>
      </c>
      <c r="S727" t="s">
        <v>116</v>
      </c>
      <c r="T727" t="s">
        <v>198</v>
      </c>
      <c r="U727" t="s">
        <v>108</v>
      </c>
    </row>
    <row r="728" spans="1:21" x14ac:dyDescent="0.3">
      <c r="A728" t="s">
        <v>421</v>
      </c>
      <c r="B728" t="s">
        <v>421</v>
      </c>
      <c r="C728" t="s">
        <v>194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425</v>
      </c>
      <c r="L728" t="s">
        <v>423</v>
      </c>
      <c r="M728">
        <v>33</v>
      </c>
      <c r="N728">
        <v>18700</v>
      </c>
      <c r="O728" t="s">
        <v>52</v>
      </c>
      <c r="P728" t="s">
        <v>52</v>
      </c>
      <c r="Q728" t="s">
        <v>197</v>
      </c>
      <c r="R728" t="s">
        <v>53</v>
      </c>
      <c r="S728" t="s">
        <v>116</v>
      </c>
      <c r="T728" t="s">
        <v>198</v>
      </c>
      <c r="U728" t="s">
        <v>108</v>
      </c>
    </row>
    <row r="729" spans="1:21" x14ac:dyDescent="0.3">
      <c r="A729" t="s">
        <v>421</v>
      </c>
      <c r="B729" t="s">
        <v>421</v>
      </c>
      <c r="C729" t="s">
        <v>194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424</v>
      </c>
      <c r="L729" t="s">
        <v>423</v>
      </c>
      <c r="M729">
        <v>33</v>
      </c>
      <c r="N729">
        <v>18700</v>
      </c>
      <c r="O729" t="s">
        <v>52</v>
      </c>
      <c r="P729" t="s">
        <v>52</v>
      </c>
      <c r="Q729" t="s">
        <v>197</v>
      </c>
      <c r="R729" t="s">
        <v>53</v>
      </c>
      <c r="S729" t="s">
        <v>116</v>
      </c>
      <c r="T729" t="s">
        <v>198</v>
      </c>
      <c r="U729" t="s">
        <v>108</v>
      </c>
    </row>
    <row r="730" spans="1:21" x14ac:dyDescent="0.3">
      <c r="A730" t="s">
        <v>421</v>
      </c>
      <c r="B730" t="s">
        <v>421</v>
      </c>
      <c r="C730" t="s">
        <v>194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422</v>
      </c>
      <c r="L730" t="s">
        <v>423</v>
      </c>
      <c r="M730">
        <v>33</v>
      </c>
      <c r="N730">
        <v>18700</v>
      </c>
      <c r="O730" t="s">
        <v>52</v>
      </c>
      <c r="P730" t="s">
        <v>52</v>
      </c>
      <c r="Q730" t="s">
        <v>197</v>
      </c>
      <c r="R730" t="s">
        <v>53</v>
      </c>
      <c r="S730" t="s">
        <v>116</v>
      </c>
      <c r="T730" t="s">
        <v>198</v>
      </c>
      <c r="U730" t="s">
        <v>108</v>
      </c>
    </row>
    <row r="731" spans="1:21" x14ac:dyDescent="0.3">
      <c r="A731" t="s">
        <v>421</v>
      </c>
      <c r="B731" t="s">
        <v>421</v>
      </c>
      <c r="C731" t="s">
        <v>194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426</v>
      </c>
      <c r="L731" t="s">
        <v>423</v>
      </c>
      <c r="M731">
        <v>33</v>
      </c>
      <c r="N731">
        <v>18700</v>
      </c>
      <c r="O731" t="s">
        <v>52</v>
      </c>
      <c r="P731" t="s">
        <v>52</v>
      </c>
      <c r="Q731" t="s">
        <v>197</v>
      </c>
      <c r="R731" t="s">
        <v>53</v>
      </c>
      <c r="S731" t="s">
        <v>116</v>
      </c>
      <c r="T731" t="s">
        <v>198</v>
      </c>
      <c r="U731" t="s">
        <v>108</v>
      </c>
    </row>
    <row r="732" spans="1:21" x14ac:dyDescent="0.3">
      <c r="A732" t="s">
        <v>421</v>
      </c>
      <c r="B732" t="s">
        <v>421</v>
      </c>
      <c r="C732" t="s">
        <v>194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426</v>
      </c>
      <c r="L732" t="s">
        <v>423</v>
      </c>
      <c r="M732">
        <v>33</v>
      </c>
      <c r="N732">
        <v>18700</v>
      </c>
      <c r="O732" t="s">
        <v>52</v>
      </c>
      <c r="P732" t="s">
        <v>52</v>
      </c>
      <c r="Q732" t="s">
        <v>197</v>
      </c>
      <c r="R732" t="s">
        <v>53</v>
      </c>
      <c r="S732" t="s">
        <v>116</v>
      </c>
      <c r="T732" t="s">
        <v>198</v>
      </c>
      <c r="U732" t="s">
        <v>108</v>
      </c>
    </row>
    <row r="733" spans="1:21" x14ac:dyDescent="0.3">
      <c r="A733" t="s">
        <v>421</v>
      </c>
      <c r="B733" t="s">
        <v>421</v>
      </c>
      <c r="C733" t="s">
        <v>194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425</v>
      </c>
      <c r="L733" t="s">
        <v>423</v>
      </c>
      <c r="M733">
        <v>33</v>
      </c>
      <c r="N733">
        <v>18700</v>
      </c>
      <c r="O733" t="s">
        <v>52</v>
      </c>
      <c r="P733" t="s">
        <v>52</v>
      </c>
      <c r="Q733" t="s">
        <v>197</v>
      </c>
      <c r="R733" t="s">
        <v>53</v>
      </c>
      <c r="S733" t="s">
        <v>116</v>
      </c>
      <c r="T733" t="s">
        <v>198</v>
      </c>
      <c r="U733" t="s">
        <v>108</v>
      </c>
    </row>
    <row r="734" spans="1:21" x14ac:dyDescent="0.3">
      <c r="A734" t="s">
        <v>421</v>
      </c>
      <c r="B734" t="s">
        <v>421</v>
      </c>
      <c r="C734" t="s">
        <v>194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422</v>
      </c>
      <c r="L734" t="s">
        <v>423</v>
      </c>
      <c r="M734">
        <v>33</v>
      </c>
      <c r="N734">
        <v>18700</v>
      </c>
      <c r="O734" t="s">
        <v>52</v>
      </c>
      <c r="P734" t="s">
        <v>52</v>
      </c>
      <c r="Q734" t="s">
        <v>197</v>
      </c>
      <c r="R734" t="s">
        <v>53</v>
      </c>
      <c r="S734" t="s">
        <v>116</v>
      </c>
      <c r="T734" t="s">
        <v>198</v>
      </c>
      <c r="U734" t="s">
        <v>108</v>
      </c>
    </row>
    <row r="735" spans="1:21" x14ac:dyDescent="0.3">
      <c r="A735" t="s">
        <v>421</v>
      </c>
      <c r="B735" t="s">
        <v>421</v>
      </c>
      <c r="C735" t="s">
        <v>194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424</v>
      </c>
      <c r="L735" t="s">
        <v>423</v>
      </c>
      <c r="M735">
        <v>33</v>
      </c>
      <c r="N735">
        <v>18700</v>
      </c>
      <c r="O735" t="s">
        <v>52</v>
      </c>
      <c r="P735" t="s">
        <v>52</v>
      </c>
      <c r="Q735" t="s">
        <v>197</v>
      </c>
      <c r="R735" t="s">
        <v>53</v>
      </c>
      <c r="S735" t="s">
        <v>116</v>
      </c>
      <c r="T735" t="s">
        <v>198</v>
      </c>
      <c r="U735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735"/>
  <sheetViews>
    <sheetView workbookViewId="0">
      <selection activeCell="F1" sqref="F1:F1048576"/>
    </sheetView>
  </sheetViews>
  <sheetFormatPr baseColWidth="10" defaultRowHeight="14.4" x14ac:dyDescent="0.3"/>
  <cols>
    <col min="1" max="1" width="14.44140625" bestFit="1" customWidth="1"/>
    <col min="2" max="2" width="22.88671875" style="1" bestFit="1" customWidth="1"/>
    <col min="3" max="3" width="48" bestFit="1" customWidth="1"/>
    <col min="4" max="4" width="10.6640625" bestFit="1" customWidth="1"/>
    <col min="5" max="6" width="15.88671875" bestFit="1" customWidth="1"/>
    <col min="7" max="7" width="13" bestFit="1" customWidth="1"/>
    <col min="8" max="8" width="12.6640625" bestFit="1" customWidth="1"/>
    <col min="9" max="9" width="58.44140625" bestFit="1" customWidth="1"/>
    <col min="10" max="10" width="18.6640625" bestFit="1" customWidth="1"/>
    <col min="11" max="11" width="61.88671875" bestFit="1" customWidth="1"/>
    <col min="12" max="12" width="19.5546875" bestFit="1" customWidth="1"/>
    <col min="13" max="13" width="23.33203125" bestFit="1" customWidth="1"/>
    <col min="14" max="14" width="11.33203125" bestFit="1" customWidth="1"/>
    <col min="15" max="15" width="16.6640625" bestFit="1" customWidth="1"/>
    <col min="16" max="16" width="17.88671875" bestFit="1" customWidth="1"/>
    <col min="17" max="17" width="13.6640625" bestFit="1" customWidth="1"/>
    <col min="18" max="18" width="15.33203125" bestFit="1" customWidth="1"/>
    <col min="19" max="19" width="18.109375" bestFit="1" customWidth="1"/>
    <col min="20" max="20" width="16.88671875" bestFit="1" customWidth="1"/>
    <col min="21" max="21" width="23.5546875" bestFit="1" customWidth="1"/>
  </cols>
  <sheetData>
    <row r="1" spans="1:21" s="2" customFormat="1" x14ac:dyDescent="0.3">
      <c r="A1" s="55" t="s">
        <v>29</v>
      </c>
      <c r="B1" s="55" t="s">
        <v>1</v>
      </c>
      <c r="C1" s="55" t="s">
        <v>30</v>
      </c>
      <c r="D1" s="55" t="s">
        <v>31</v>
      </c>
      <c r="E1" s="55" t="s">
        <v>32</v>
      </c>
      <c r="F1" s="55" t="s">
        <v>33</v>
      </c>
      <c r="G1" s="55" t="s">
        <v>34</v>
      </c>
      <c r="H1" s="55" t="s">
        <v>35</v>
      </c>
      <c r="I1" s="55" t="s">
        <v>36</v>
      </c>
      <c r="J1" s="55" t="s">
        <v>37</v>
      </c>
      <c r="K1" s="55" t="s">
        <v>38</v>
      </c>
      <c r="L1" s="55" t="s">
        <v>39</v>
      </c>
      <c r="M1" s="55" t="s">
        <v>40</v>
      </c>
      <c r="N1" s="55" t="s">
        <v>41</v>
      </c>
      <c r="O1" s="55" t="s">
        <v>42</v>
      </c>
      <c r="P1" s="55" t="s">
        <v>43</v>
      </c>
      <c r="Q1" s="55" t="s">
        <v>44</v>
      </c>
      <c r="R1" s="55" t="s">
        <v>45</v>
      </c>
      <c r="S1" s="55" t="s">
        <v>46</v>
      </c>
      <c r="T1" s="55" t="s">
        <v>47</v>
      </c>
      <c r="U1" s="55" t="s">
        <v>48</v>
      </c>
    </row>
    <row r="2" spans="1:21" x14ac:dyDescent="0.3">
      <c r="A2" t="s">
        <v>150</v>
      </c>
      <c r="B2" t="s">
        <v>150</v>
      </c>
      <c r="C2" t="s">
        <v>194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195</v>
      </c>
      <c r="L2" t="s">
        <v>196</v>
      </c>
      <c r="M2">
        <v>33</v>
      </c>
      <c r="N2">
        <v>6305</v>
      </c>
      <c r="O2" t="s">
        <v>52</v>
      </c>
      <c r="P2" t="s">
        <v>52</v>
      </c>
      <c r="Q2" t="s">
        <v>197</v>
      </c>
      <c r="R2" t="s">
        <v>53</v>
      </c>
      <c r="S2" t="s">
        <v>116</v>
      </c>
      <c r="T2" t="s">
        <v>198</v>
      </c>
      <c r="U2" t="s">
        <v>108</v>
      </c>
    </row>
    <row r="3" spans="1:21" x14ac:dyDescent="0.3">
      <c r="A3" t="s">
        <v>151</v>
      </c>
      <c r="B3" t="s">
        <v>151</v>
      </c>
      <c r="C3" t="s">
        <v>194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199</v>
      </c>
      <c r="L3" t="s">
        <v>200</v>
      </c>
      <c r="M3">
        <v>33</v>
      </c>
      <c r="N3">
        <v>6796</v>
      </c>
      <c r="O3" t="s">
        <v>52</v>
      </c>
      <c r="P3" t="s">
        <v>52</v>
      </c>
      <c r="Q3" t="s">
        <v>197</v>
      </c>
      <c r="R3" t="s">
        <v>53</v>
      </c>
      <c r="S3" t="s">
        <v>116</v>
      </c>
      <c r="T3" t="s">
        <v>198</v>
      </c>
      <c r="U3" t="s">
        <v>108</v>
      </c>
    </row>
    <row r="4" spans="1:21" x14ac:dyDescent="0.3">
      <c r="A4" t="s">
        <v>152</v>
      </c>
      <c r="B4" t="s">
        <v>152</v>
      </c>
      <c r="C4" t="s">
        <v>194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201</v>
      </c>
      <c r="L4" t="s">
        <v>202</v>
      </c>
      <c r="M4">
        <v>33</v>
      </c>
      <c r="N4">
        <v>6939</v>
      </c>
      <c r="O4" t="s">
        <v>52</v>
      </c>
      <c r="P4" t="s">
        <v>52</v>
      </c>
      <c r="Q4" t="s">
        <v>197</v>
      </c>
      <c r="R4" t="s">
        <v>53</v>
      </c>
      <c r="S4" t="s">
        <v>116</v>
      </c>
      <c r="T4" t="s">
        <v>198</v>
      </c>
      <c r="U4" t="s">
        <v>108</v>
      </c>
    </row>
    <row r="5" spans="1:21" x14ac:dyDescent="0.3">
      <c r="A5" t="s">
        <v>153</v>
      </c>
      <c r="B5" t="s">
        <v>153</v>
      </c>
      <c r="C5" t="s">
        <v>194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203</v>
      </c>
      <c r="L5" t="s">
        <v>204</v>
      </c>
      <c r="M5">
        <v>33</v>
      </c>
      <c r="N5">
        <v>7194</v>
      </c>
      <c r="O5" t="s">
        <v>52</v>
      </c>
      <c r="P5" t="s">
        <v>52</v>
      </c>
      <c r="Q5" t="s">
        <v>197</v>
      </c>
      <c r="R5" t="s">
        <v>53</v>
      </c>
      <c r="S5" t="s">
        <v>116</v>
      </c>
      <c r="T5" t="s">
        <v>198</v>
      </c>
      <c r="U5" t="s">
        <v>108</v>
      </c>
    </row>
    <row r="6" spans="1:21" x14ac:dyDescent="0.3">
      <c r="A6" t="s">
        <v>182</v>
      </c>
      <c r="B6" t="s">
        <v>182</v>
      </c>
      <c r="C6" t="s">
        <v>194</v>
      </c>
      <c r="D6">
        <v>1</v>
      </c>
      <c r="E6" t="s">
        <v>107</v>
      </c>
      <c r="F6">
        <v>1.4618800000000001</v>
      </c>
      <c r="G6">
        <v>66.900000000000006</v>
      </c>
      <c r="H6">
        <v>98</v>
      </c>
      <c r="I6" t="s">
        <v>117</v>
      </c>
      <c r="J6" t="s">
        <v>51</v>
      </c>
      <c r="K6" t="s">
        <v>205</v>
      </c>
      <c r="L6" t="s">
        <v>206</v>
      </c>
      <c r="M6">
        <v>33</v>
      </c>
      <c r="O6" t="s">
        <v>52</v>
      </c>
      <c r="P6" t="s">
        <v>52</v>
      </c>
      <c r="Q6" t="s">
        <v>197</v>
      </c>
      <c r="R6" t="s">
        <v>53</v>
      </c>
      <c r="S6" t="s">
        <v>116</v>
      </c>
      <c r="T6" t="s">
        <v>198</v>
      </c>
      <c r="U6" t="s">
        <v>108</v>
      </c>
    </row>
    <row r="7" spans="1:21" x14ac:dyDescent="0.3">
      <c r="A7" t="s">
        <v>182</v>
      </c>
      <c r="B7" t="s">
        <v>182</v>
      </c>
      <c r="C7" t="s">
        <v>194</v>
      </c>
      <c r="D7">
        <v>1</v>
      </c>
      <c r="E7" t="s">
        <v>107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207</v>
      </c>
      <c r="L7" t="s">
        <v>208</v>
      </c>
      <c r="M7">
        <v>33</v>
      </c>
      <c r="N7">
        <v>7513</v>
      </c>
      <c r="O7" t="s">
        <v>52</v>
      </c>
      <c r="P7" t="s">
        <v>52</v>
      </c>
      <c r="Q7" t="s">
        <v>197</v>
      </c>
      <c r="R7" t="s">
        <v>53</v>
      </c>
      <c r="S7" t="s">
        <v>116</v>
      </c>
      <c r="T7" t="s">
        <v>198</v>
      </c>
      <c r="U7" t="s">
        <v>108</v>
      </c>
    </row>
    <row r="8" spans="1:21" x14ac:dyDescent="0.3">
      <c r="A8" t="s">
        <v>182</v>
      </c>
      <c r="B8" t="s">
        <v>182</v>
      </c>
      <c r="C8" t="s">
        <v>194</v>
      </c>
      <c r="D8">
        <v>2</v>
      </c>
      <c r="E8" t="s">
        <v>118</v>
      </c>
      <c r="F8">
        <v>9.3880000000000005E-3</v>
      </c>
      <c r="G8">
        <v>69.013999999999996</v>
      </c>
      <c r="H8">
        <v>1</v>
      </c>
      <c r="I8" t="s">
        <v>117</v>
      </c>
      <c r="J8" t="s">
        <v>51</v>
      </c>
      <c r="K8" t="s">
        <v>205</v>
      </c>
      <c r="L8" t="s">
        <v>206</v>
      </c>
      <c r="M8">
        <v>33</v>
      </c>
      <c r="O8" t="s">
        <v>52</v>
      </c>
      <c r="P8" t="s">
        <v>52</v>
      </c>
      <c r="Q8" t="s">
        <v>197</v>
      </c>
      <c r="R8" t="s">
        <v>53</v>
      </c>
      <c r="S8" t="s">
        <v>116</v>
      </c>
      <c r="T8" t="s">
        <v>198</v>
      </c>
      <c r="U8" t="s">
        <v>108</v>
      </c>
    </row>
    <row r="9" spans="1:21" x14ac:dyDescent="0.3">
      <c r="A9" t="s">
        <v>182</v>
      </c>
      <c r="B9" t="s">
        <v>182</v>
      </c>
      <c r="C9" t="s">
        <v>194</v>
      </c>
      <c r="D9">
        <v>2</v>
      </c>
      <c r="E9" t="s">
        <v>118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207</v>
      </c>
      <c r="L9" t="s">
        <v>208</v>
      </c>
      <c r="M9">
        <v>33</v>
      </c>
      <c r="N9">
        <v>7513</v>
      </c>
      <c r="O9" t="s">
        <v>52</v>
      </c>
      <c r="P9" t="s">
        <v>52</v>
      </c>
      <c r="Q9" t="s">
        <v>197</v>
      </c>
      <c r="R9" t="s">
        <v>53</v>
      </c>
      <c r="S9" t="s">
        <v>116</v>
      </c>
      <c r="T9" t="s">
        <v>198</v>
      </c>
      <c r="U9" t="s">
        <v>108</v>
      </c>
    </row>
    <row r="10" spans="1:21" x14ac:dyDescent="0.3">
      <c r="A10" t="s">
        <v>182</v>
      </c>
      <c r="B10" t="s">
        <v>182</v>
      </c>
      <c r="C10" t="s">
        <v>194</v>
      </c>
      <c r="D10">
        <v>3</v>
      </c>
      <c r="E10" t="s">
        <v>105</v>
      </c>
      <c r="F10">
        <v>0.45372099999999999</v>
      </c>
      <c r="G10">
        <v>63.27</v>
      </c>
      <c r="H10">
        <v>29</v>
      </c>
      <c r="I10" t="s">
        <v>117</v>
      </c>
      <c r="J10" t="s">
        <v>51</v>
      </c>
      <c r="K10" t="s">
        <v>205</v>
      </c>
      <c r="L10" t="s">
        <v>206</v>
      </c>
      <c r="M10">
        <v>33</v>
      </c>
      <c r="O10" t="s">
        <v>52</v>
      </c>
      <c r="P10" t="s">
        <v>52</v>
      </c>
      <c r="Q10" t="s">
        <v>197</v>
      </c>
      <c r="R10" t="s">
        <v>53</v>
      </c>
      <c r="S10" t="s">
        <v>116</v>
      </c>
      <c r="T10" t="s">
        <v>198</v>
      </c>
      <c r="U10" t="s">
        <v>108</v>
      </c>
    </row>
    <row r="11" spans="1:21" x14ac:dyDescent="0.3">
      <c r="A11" t="s">
        <v>182</v>
      </c>
      <c r="B11" t="s">
        <v>182</v>
      </c>
      <c r="C11" t="s">
        <v>194</v>
      </c>
      <c r="D11">
        <v>3</v>
      </c>
      <c r="E11" t="s">
        <v>105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207</v>
      </c>
      <c r="L11" t="s">
        <v>208</v>
      </c>
      <c r="M11">
        <v>33</v>
      </c>
      <c r="N11">
        <v>7513</v>
      </c>
      <c r="O11" t="s">
        <v>52</v>
      </c>
      <c r="P11" t="s">
        <v>52</v>
      </c>
      <c r="Q11" t="s">
        <v>197</v>
      </c>
      <c r="R11" t="s">
        <v>53</v>
      </c>
      <c r="S11" t="s">
        <v>116</v>
      </c>
      <c r="T11" t="s">
        <v>198</v>
      </c>
      <c r="U11" t="s">
        <v>108</v>
      </c>
    </row>
    <row r="12" spans="1:21" x14ac:dyDescent="0.3">
      <c r="A12" t="s">
        <v>182</v>
      </c>
      <c r="B12" t="s">
        <v>182</v>
      </c>
      <c r="C12" t="s">
        <v>194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117</v>
      </c>
      <c r="J12" t="s">
        <v>51</v>
      </c>
      <c r="K12" t="s">
        <v>205</v>
      </c>
      <c r="L12" t="s">
        <v>206</v>
      </c>
      <c r="M12">
        <v>33</v>
      </c>
      <c r="O12" t="s">
        <v>52</v>
      </c>
      <c r="P12" t="s">
        <v>52</v>
      </c>
      <c r="Q12" t="s">
        <v>197</v>
      </c>
      <c r="R12" t="s">
        <v>53</v>
      </c>
      <c r="S12" t="s">
        <v>116</v>
      </c>
      <c r="T12" t="s">
        <v>198</v>
      </c>
      <c r="U12" t="s">
        <v>108</v>
      </c>
    </row>
    <row r="13" spans="1:21" x14ac:dyDescent="0.3">
      <c r="A13" t="s">
        <v>182</v>
      </c>
      <c r="B13" t="s">
        <v>182</v>
      </c>
      <c r="C13" t="s">
        <v>194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207</v>
      </c>
      <c r="L13" t="s">
        <v>208</v>
      </c>
      <c r="M13">
        <v>33</v>
      </c>
      <c r="N13">
        <v>7513</v>
      </c>
      <c r="O13" t="s">
        <v>52</v>
      </c>
      <c r="P13" t="s">
        <v>52</v>
      </c>
      <c r="Q13" t="s">
        <v>197</v>
      </c>
      <c r="R13" t="s">
        <v>53</v>
      </c>
      <c r="S13" t="s">
        <v>116</v>
      </c>
      <c r="T13" t="s">
        <v>198</v>
      </c>
      <c r="U13" t="s">
        <v>108</v>
      </c>
    </row>
    <row r="14" spans="1:21" x14ac:dyDescent="0.3">
      <c r="A14" t="s">
        <v>182</v>
      </c>
      <c r="B14" t="s">
        <v>182</v>
      </c>
      <c r="C14" t="s">
        <v>194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207</v>
      </c>
      <c r="L14" t="s">
        <v>208</v>
      </c>
      <c r="M14">
        <v>33</v>
      </c>
      <c r="N14">
        <v>7513</v>
      </c>
      <c r="O14" t="s">
        <v>52</v>
      </c>
      <c r="P14" t="s">
        <v>52</v>
      </c>
      <c r="Q14" t="s">
        <v>197</v>
      </c>
      <c r="R14" t="s">
        <v>53</v>
      </c>
      <c r="S14" t="s">
        <v>116</v>
      </c>
      <c r="T14" t="s">
        <v>198</v>
      </c>
      <c r="U14" t="s">
        <v>108</v>
      </c>
    </row>
    <row r="15" spans="1:21" x14ac:dyDescent="0.3">
      <c r="A15" t="s">
        <v>182</v>
      </c>
      <c r="B15" t="s">
        <v>182</v>
      </c>
      <c r="C15" t="s">
        <v>194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117</v>
      </c>
      <c r="J15" t="s">
        <v>51</v>
      </c>
      <c r="K15" t="s">
        <v>205</v>
      </c>
      <c r="L15" t="s">
        <v>206</v>
      </c>
      <c r="M15">
        <v>33</v>
      </c>
      <c r="O15" t="s">
        <v>52</v>
      </c>
      <c r="P15" t="s">
        <v>52</v>
      </c>
      <c r="Q15" t="s">
        <v>197</v>
      </c>
      <c r="R15" t="s">
        <v>53</v>
      </c>
      <c r="S15" t="s">
        <v>116</v>
      </c>
      <c r="T15" t="s">
        <v>198</v>
      </c>
      <c r="U15" t="s">
        <v>108</v>
      </c>
    </row>
    <row r="16" spans="1:21" x14ac:dyDescent="0.3">
      <c r="A16" t="s">
        <v>184</v>
      </c>
      <c r="B16" t="s">
        <v>184</v>
      </c>
      <c r="C16" t="s">
        <v>194</v>
      </c>
      <c r="D16">
        <v>1</v>
      </c>
      <c r="E16" t="s">
        <v>107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209</v>
      </c>
      <c r="L16" t="s">
        <v>210</v>
      </c>
      <c r="M16">
        <v>33</v>
      </c>
      <c r="N16">
        <v>7798</v>
      </c>
      <c r="O16" t="s">
        <v>52</v>
      </c>
      <c r="P16" t="s">
        <v>52</v>
      </c>
      <c r="Q16" t="s">
        <v>197</v>
      </c>
      <c r="R16" t="s">
        <v>53</v>
      </c>
      <c r="S16" t="s">
        <v>116</v>
      </c>
      <c r="T16" t="s">
        <v>198</v>
      </c>
      <c r="U16" t="s">
        <v>108</v>
      </c>
    </row>
    <row r="17" spans="1:21" x14ac:dyDescent="0.3">
      <c r="A17" t="s">
        <v>184</v>
      </c>
      <c r="B17" t="s">
        <v>184</v>
      </c>
      <c r="C17" t="s">
        <v>194</v>
      </c>
      <c r="D17">
        <v>1</v>
      </c>
      <c r="E17" t="s">
        <v>107</v>
      </c>
      <c r="F17">
        <v>0.23349</v>
      </c>
      <c r="G17">
        <v>66.900000000000006</v>
      </c>
      <c r="H17">
        <v>16</v>
      </c>
      <c r="I17" t="s">
        <v>117</v>
      </c>
      <c r="J17" t="s">
        <v>51</v>
      </c>
      <c r="K17" t="s">
        <v>211</v>
      </c>
      <c r="L17" t="s">
        <v>212</v>
      </c>
      <c r="M17">
        <v>61</v>
      </c>
      <c r="O17" t="s">
        <v>52</v>
      </c>
      <c r="P17" t="s">
        <v>52</v>
      </c>
      <c r="Q17" t="s">
        <v>197</v>
      </c>
      <c r="R17" t="s">
        <v>53</v>
      </c>
      <c r="S17" t="s">
        <v>116</v>
      </c>
      <c r="T17" t="s">
        <v>198</v>
      </c>
      <c r="U17" t="s">
        <v>108</v>
      </c>
    </row>
    <row r="18" spans="1:21" x14ac:dyDescent="0.3">
      <c r="A18" t="s">
        <v>184</v>
      </c>
      <c r="B18" t="s">
        <v>184</v>
      </c>
      <c r="C18" t="s">
        <v>194</v>
      </c>
      <c r="D18">
        <v>2</v>
      </c>
      <c r="E18" t="s">
        <v>118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209</v>
      </c>
      <c r="L18" t="s">
        <v>210</v>
      </c>
      <c r="M18">
        <v>33</v>
      </c>
      <c r="N18">
        <v>7798</v>
      </c>
      <c r="O18" t="s">
        <v>52</v>
      </c>
      <c r="P18" t="s">
        <v>52</v>
      </c>
      <c r="Q18" t="s">
        <v>197</v>
      </c>
      <c r="R18" t="s">
        <v>53</v>
      </c>
      <c r="S18" t="s">
        <v>116</v>
      </c>
      <c r="T18" t="s">
        <v>198</v>
      </c>
      <c r="U18" t="s">
        <v>108</v>
      </c>
    </row>
    <row r="19" spans="1:21" x14ac:dyDescent="0.3">
      <c r="A19" t="s">
        <v>184</v>
      </c>
      <c r="B19" t="s">
        <v>184</v>
      </c>
      <c r="C19" t="s">
        <v>194</v>
      </c>
      <c r="D19">
        <v>3</v>
      </c>
      <c r="E19" t="s">
        <v>105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209</v>
      </c>
      <c r="L19" t="s">
        <v>210</v>
      </c>
      <c r="M19">
        <v>33</v>
      </c>
      <c r="N19">
        <v>7798</v>
      </c>
      <c r="O19" t="s">
        <v>52</v>
      </c>
      <c r="P19" t="s">
        <v>52</v>
      </c>
      <c r="Q19" t="s">
        <v>197</v>
      </c>
      <c r="R19" t="s">
        <v>53</v>
      </c>
      <c r="S19" t="s">
        <v>116</v>
      </c>
      <c r="T19" t="s">
        <v>198</v>
      </c>
      <c r="U19" t="s">
        <v>108</v>
      </c>
    </row>
    <row r="20" spans="1:21" x14ac:dyDescent="0.3">
      <c r="A20" t="s">
        <v>184</v>
      </c>
      <c r="B20" t="s">
        <v>184</v>
      </c>
      <c r="C20" t="s">
        <v>194</v>
      </c>
      <c r="D20">
        <v>3</v>
      </c>
      <c r="E20" t="s">
        <v>105</v>
      </c>
      <c r="F20">
        <v>7.2089E-2</v>
      </c>
      <c r="G20">
        <v>63.27</v>
      </c>
      <c r="H20">
        <v>5</v>
      </c>
      <c r="I20" t="s">
        <v>117</v>
      </c>
      <c r="J20" t="s">
        <v>51</v>
      </c>
      <c r="K20" t="s">
        <v>211</v>
      </c>
      <c r="L20" t="s">
        <v>212</v>
      </c>
      <c r="M20">
        <v>61</v>
      </c>
      <c r="O20" t="s">
        <v>52</v>
      </c>
      <c r="P20" t="s">
        <v>52</v>
      </c>
      <c r="Q20" t="s">
        <v>197</v>
      </c>
      <c r="R20" t="s">
        <v>53</v>
      </c>
      <c r="S20" t="s">
        <v>116</v>
      </c>
      <c r="T20" t="s">
        <v>198</v>
      </c>
      <c r="U20" t="s">
        <v>108</v>
      </c>
    </row>
    <row r="21" spans="1:21" x14ac:dyDescent="0.3">
      <c r="A21" t="s">
        <v>184</v>
      </c>
      <c r="B21" t="s">
        <v>184</v>
      </c>
      <c r="C21" t="s">
        <v>194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117</v>
      </c>
      <c r="J21" t="s">
        <v>51</v>
      </c>
      <c r="K21" t="s">
        <v>211</v>
      </c>
      <c r="L21" t="s">
        <v>212</v>
      </c>
      <c r="M21">
        <v>61</v>
      </c>
      <c r="O21" t="s">
        <v>52</v>
      </c>
      <c r="P21" t="s">
        <v>52</v>
      </c>
      <c r="Q21" t="s">
        <v>197</v>
      </c>
      <c r="R21" t="s">
        <v>53</v>
      </c>
      <c r="S21" t="s">
        <v>116</v>
      </c>
      <c r="T21" t="s">
        <v>198</v>
      </c>
      <c r="U21" t="s">
        <v>108</v>
      </c>
    </row>
    <row r="22" spans="1:21" x14ac:dyDescent="0.3">
      <c r="A22" t="s">
        <v>184</v>
      </c>
      <c r="B22" t="s">
        <v>184</v>
      </c>
      <c r="C22" t="s">
        <v>194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209</v>
      </c>
      <c r="L22" t="s">
        <v>210</v>
      </c>
      <c r="M22">
        <v>33</v>
      </c>
      <c r="N22">
        <v>7798</v>
      </c>
      <c r="O22" t="s">
        <v>52</v>
      </c>
      <c r="P22" t="s">
        <v>52</v>
      </c>
      <c r="Q22" t="s">
        <v>197</v>
      </c>
      <c r="R22" t="s">
        <v>53</v>
      </c>
      <c r="S22" t="s">
        <v>116</v>
      </c>
      <c r="T22" t="s">
        <v>198</v>
      </c>
      <c r="U22" t="s">
        <v>108</v>
      </c>
    </row>
    <row r="23" spans="1:21" x14ac:dyDescent="0.3">
      <c r="A23" t="s">
        <v>184</v>
      </c>
      <c r="B23" t="s">
        <v>184</v>
      </c>
      <c r="C23" t="s">
        <v>194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209</v>
      </c>
      <c r="L23" t="s">
        <v>210</v>
      </c>
      <c r="M23">
        <v>33</v>
      </c>
      <c r="N23">
        <v>7798</v>
      </c>
      <c r="O23" t="s">
        <v>52</v>
      </c>
      <c r="P23" t="s">
        <v>52</v>
      </c>
      <c r="Q23" t="s">
        <v>197</v>
      </c>
      <c r="R23" t="s">
        <v>53</v>
      </c>
      <c r="S23" t="s">
        <v>116</v>
      </c>
      <c r="T23" t="s">
        <v>198</v>
      </c>
      <c r="U23" t="s">
        <v>108</v>
      </c>
    </row>
    <row r="24" spans="1:21" x14ac:dyDescent="0.3">
      <c r="A24" t="s">
        <v>186</v>
      </c>
      <c r="B24" t="s">
        <v>186</v>
      </c>
      <c r="C24" t="s">
        <v>194</v>
      </c>
      <c r="D24">
        <v>1</v>
      </c>
      <c r="E24" t="s">
        <v>107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213</v>
      </c>
      <c r="L24" t="s">
        <v>214</v>
      </c>
      <c r="M24">
        <v>33</v>
      </c>
      <c r="N24">
        <v>8389</v>
      </c>
      <c r="O24" t="s">
        <v>52</v>
      </c>
      <c r="P24" t="s">
        <v>52</v>
      </c>
      <c r="Q24" t="s">
        <v>197</v>
      </c>
      <c r="R24" t="s">
        <v>53</v>
      </c>
      <c r="S24" t="s">
        <v>116</v>
      </c>
      <c r="T24" t="s">
        <v>198</v>
      </c>
      <c r="U24" t="s">
        <v>108</v>
      </c>
    </row>
    <row r="25" spans="1:21" x14ac:dyDescent="0.3">
      <c r="A25" t="s">
        <v>186</v>
      </c>
      <c r="B25" t="s">
        <v>186</v>
      </c>
      <c r="C25" t="s">
        <v>194</v>
      </c>
      <c r="D25">
        <v>1</v>
      </c>
      <c r="E25" t="s">
        <v>107</v>
      </c>
      <c r="F25">
        <v>0.58060900000000004</v>
      </c>
      <c r="G25">
        <v>66.900000000000006</v>
      </c>
      <c r="H25">
        <v>39</v>
      </c>
      <c r="I25" t="s">
        <v>117</v>
      </c>
      <c r="J25" t="s">
        <v>51</v>
      </c>
      <c r="K25" t="s">
        <v>215</v>
      </c>
      <c r="L25" t="s">
        <v>216</v>
      </c>
      <c r="M25">
        <v>33</v>
      </c>
      <c r="O25" t="s">
        <v>52</v>
      </c>
      <c r="P25" t="s">
        <v>52</v>
      </c>
      <c r="Q25" t="s">
        <v>197</v>
      </c>
      <c r="R25" t="s">
        <v>53</v>
      </c>
      <c r="S25" t="s">
        <v>116</v>
      </c>
      <c r="T25" t="s">
        <v>198</v>
      </c>
      <c r="U25" t="s">
        <v>108</v>
      </c>
    </row>
    <row r="26" spans="1:21" x14ac:dyDescent="0.3">
      <c r="A26" t="s">
        <v>186</v>
      </c>
      <c r="B26" t="s">
        <v>186</v>
      </c>
      <c r="C26" t="s">
        <v>194</v>
      </c>
      <c r="D26">
        <v>2</v>
      </c>
      <c r="E26" t="s">
        <v>118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213</v>
      </c>
      <c r="L26" t="s">
        <v>214</v>
      </c>
      <c r="M26">
        <v>33</v>
      </c>
      <c r="N26">
        <v>8389</v>
      </c>
      <c r="O26" t="s">
        <v>52</v>
      </c>
      <c r="P26" t="s">
        <v>52</v>
      </c>
      <c r="Q26" t="s">
        <v>197</v>
      </c>
      <c r="R26" t="s">
        <v>53</v>
      </c>
      <c r="S26" t="s">
        <v>116</v>
      </c>
      <c r="T26" t="s">
        <v>198</v>
      </c>
      <c r="U26" t="s">
        <v>108</v>
      </c>
    </row>
    <row r="27" spans="1:21" x14ac:dyDescent="0.3">
      <c r="A27" t="s">
        <v>186</v>
      </c>
      <c r="B27" t="s">
        <v>186</v>
      </c>
      <c r="C27" t="s">
        <v>194</v>
      </c>
      <c r="D27">
        <v>3</v>
      </c>
      <c r="E27" t="s">
        <v>105</v>
      </c>
      <c r="F27">
        <v>0.17821799999999999</v>
      </c>
      <c r="G27">
        <v>63.27</v>
      </c>
      <c r="H27">
        <v>11</v>
      </c>
      <c r="I27" t="s">
        <v>117</v>
      </c>
      <c r="J27" t="s">
        <v>51</v>
      </c>
      <c r="K27" t="s">
        <v>215</v>
      </c>
      <c r="L27" t="s">
        <v>216</v>
      </c>
      <c r="M27">
        <v>33</v>
      </c>
      <c r="O27" t="s">
        <v>52</v>
      </c>
      <c r="P27" t="s">
        <v>52</v>
      </c>
      <c r="Q27" t="s">
        <v>197</v>
      </c>
      <c r="R27" t="s">
        <v>53</v>
      </c>
      <c r="S27" t="s">
        <v>116</v>
      </c>
      <c r="T27" t="s">
        <v>198</v>
      </c>
      <c r="U27" t="s">
        <v>108</v>
      </c>
    </row>
    <row r="28" spans="1:21" x14ac:dyDescent="0.3">
      <c r="A28" t="s">
        <v>186</v>
      </c>
      <c r="B28" t="s">
        <v>186</v>
      </c>
      <c r="C28" t="s">
        <v>194</v>
      </c>
      <c r="D28">
        <v>3</v>
      </c>
      <c r="E28" t="s">
        <v>105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213</v>
      </c>
      <c r="L28" t="s">
        <v>214</v>
      </c>
      <c r="M28">
        <v>33</v>
      </c>
      <c r="N28">
        <v>8389</v>
      </c>
      <c r="O28" t="s">
        <v>52</v>
      </c>
      <c r="P28" t="s">
        <v>52</v>
      </c>
      <c r="Q28" t="s">
        <v>197</v>
      </c>
      <c r="R28" t="s">
        <v>53</v>
      </c>
      <c r="S28" t="s">
        <v>116</v>
      </c>
      <c r="T28" t="s">
        <v>198</v>
      </c>
      <c r="U28" t="s">
        <v>108</v>
      </c>
    </row>
    <row r="29" spans="1:21" x14ac:dyDescent="0.3">
      <c r="A29" t="s">
        <v>186</v>
      </c>
      <c r="B29" t="s">
        <v>186</v>
      </c>
      <c r="C29" t="s">
        <v>194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213</v>
      </c>
      <c r="L29" t="s">
        <v>214</v>
      </c>
      <c r="M29">
        <v>33</v>
      </c>
      <c r="N29">
        <v>8389</v>
      </c>
      <c r="O29" t="s">
        <v>52</v>
      </c>
      <c r="P29" t="s">
        <v>52</v>
      </c>
      <c r="Q29" t="s">
        <v>197</v>
      </c>
      <c r="R29" t="s">
        <v>53</v>
      </c>
      <c r="S29" t="s">
        <v>116</v>
      </c>
      <c r="T29" t="s">
        <v>198</v>
      </c>
      <c r="U29" t="s">
        <v>108</v>
      </c>
    </row>
    <row r="30" spans="1:21" x14ac:dyDescent="0.3">
      <c r="A30" t="s">
        <v>186</v>
      </c>
      <c r="B30" t="s">
        <v>186</v>
      </c>
      <c r="C30" t="s">
        <v>194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117</v>
      </c>
      <c r="J30" t="s">
        <v>51</v>
      </c>
      <c r="K30" t="s">
        <v>215</v>
      </c>
      <c r="L30" t="s">
        <v>216</v>
      </c>
      <c r="M30">
        <v>33</v>
      </c>
      <c r="O30" t="s">
        <v>52</v>
      </c>
      <c r="P30" t="s">
        <v>52</v>
      </c>
      <c r="Q30" t="s">
        <v>197</v>
      </c>
      <c r="R30" t="s">
        <v>53</v>
      </c>
      <c r="S30" t="s">
        <v>116</v>
      </c>
      <c r="T30" t="s">
        <v>198</v>
      </c>
      <c r="U30" t="s">
        <v>108</v>
      </c>
    </row>
    <row r="31" spans="1:21" x14ac:dyDescent="0.3">
      <c r="A31" t="s">
        <v>186</v>
      </c>
      <c r="B31" t="s">
        <v>186</v>
      </c>
      <c r="C31" t="s">
        <v>194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213</v>
      </c>
      <c r="L31" t="s">
        <v>214</v>
      </c>
      <c r="M31">
        <v>33</v>
      </c>
      <c r="N31">
        <v>8389</v>
      </c>
      <c r="O31" t="s">
        <v>52</v>
      </c>
      <c r="P31" t="s">
        <v>52</v>
      </c>
      <c r="Q31" t="s">
        <v>197</v>
      </c>
      <c r="R31" t="s">
        <v>53</v>
      </c>
      <c r="S31" t="s">
        <v>116</v>
      </c>
      <c r="T31" t="s">
        <v>198</v>
      </c>
      <c r="U31" t="s">
        <v>108</v>
      </c>
    </row>
    <row r="32" spans="1:21" x14ac:dyDescent="0.3">
      <c r="A32" t="s">
        <v>187</v>
      </c>
      <c r="B32" t="s">
        <v>187</v>
      </c>
      <c r="C32" t="s">
        <v>194</v>
      </c>
      <c r="D32">
        <v>1</v>
      </c>
      <c r="E32" t="s">
        <v>107</v>
      </c>
      <c r="F32">
        <v>1</v>
      </c>
      <c r="G32">
        <v>-1091</v>
      </c>
      <c r="H32">
        <v>-1091</v>
      </c>
      <c r="I32" t="s">
        <v>117</v>
      </c>
      <c r="J32" t="s">
        <v>51</v>
      </c>
      <c r="K32" t="s">
        <v>217</v>
      </c>
      <c r="L32" t="s">
        <v>218</v>
      </c>
      <c r="M32">
        <v>61</v>
      </c>
      <c r="O32" t="s">
        <v>52</v>
      </c>
      <c r="P32" t="s">
        <v>52</v>
      </c>
      <c r="Q32" t="s">
        <v>197</v>
      </c>
      <c r="R32" t="s">
        <v>53</v>
      </c>
      <c r="S32" t="s">
        <v>116</v>
      </c>
      <c r="T32" t="s">
        <v>198</v>
      </c>
      <c r="U32" t="s">
        <v>108</v>
      </c>
    </row>
    <row r="33" spans="1:21" x14ac:dyDescent="0.3">
      <c r="A33" t="s">
        <v>187</v>
      </c>
      <c r="B33" t="s">
        <v>187</v>
      </c>
      <c r="C33" t="s">
        <v>194</v>
      </c>
      <c r="D33">
        <v>1</v>
      </c>
      <c r="E33" t="s">
        <v>107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219</v>
      </c>
      <c r="L33" t="s">
        <v>216</v>
      </c>
      <c r="M33">
        <v>33</v>
      </c>
      <c r="N33">
        <v>8451</v>
      </c>
      <c r="O33" t="s">
        <v>52</v>
      </c>
      <c r="P33" t="s">
        <v>52</v>
      </c>
      <c r="Q33" t="s">
        <v>197</v>
      </c>
      <c r="R33" t="s">
        <v>53</v>
      </c>
      <c r="S33" t="s">
        <v>116</v>
      </c>
      <c r="T33" t="s">
        <v>198</v>
      </c>
      <c r="U33" t="s">
        <v>108</v>
      </c>
    </row>
    <row r="34" spans="1:21" x14ac:dyDescent="0.3">
      <c r="A34" t="s">
        <v>187</v>
      </c>
      <c r="B34" t="s">
        <v>187</v>
      </c>
      <c r="C34" t="s">
        <v>194</v>
      </c>
      <c r="D34">
        <v>1</v>
      </c>
      <c r="E34" t="s">
        <v>107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220</v>
      </c>
      <c r="L34" t="s">
        <v>216</v>
      </c>
      <c r="M34">
        <v>33</v>
      </c>
      <c r="N34">
        <v>8451</v>
      </c>
      <c r="O34" t="s">
        <v>52</v>
      </c>
      <c r="P34" t="s">
        <v>52</v>
      </c>
      <c r="Q34" t="s">
        <v>197</v>
      </c>
      <c r="R34" t="s">
        <v>53</v>
      </c>
      <c r="S34" t="s">
        <v>116</v>
      </c>
      <c r="T34" t="s">
        <v>198</v>
      </c>
      <c r="U34" t="s">
        <v>108</v>
      </c>
    </row>
    <row r="35" spans="1:21" x14ac:dyDescent="0.3">
      <c r="A35" t="s">
        <v>187</v>
      </c>
      <c r="B35" t="s">
        <v>187</v>
      </c>
      <c r="C35" t="s">
        <v>194</v>
      </c>
      <c r="D35">
        <v>1</v>
      </c>
      <c r="E35" t="s">
        <v>107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221</v>
      </c>
      <c r="L35" t="s">
        <v>216</v>
      </c>
      <c r="M35">
        <v>33</v>
      </c>
      <c r="N35">
        <v>8451</v>
      </c>
      <c r="O35" t="s">
        <v>52</v>
      </c>
      <c r="P35" t="s">
        <v>52</v>
      </c>
      <c r="Q35" t="s">
        <v>197</v>
      </c>
      <c r="R35" t="s">
        <v>53</v>
      </c>
      <c r="S35" t="s">
        <v>116</v>
      </c>
      <c r="T35" t="s">
        <v>198</v>
      </c>
      <c r="U35" t="s">
        <v>108</v>
      </c>
    </row>
    <row r="36" spans="1:21" x14ac:dyDescent="0.3">
      <c r="A36" t="s">
        <v>187</v>
      </c>
      <c r="B36" t="s">
        <v>187</v>
      </c>
      <c r="C36" t="s">
        <v>194</v>
      </c>
      <c r="D36">
        <v>1</v>
      </c>
      <c r="E36" t="s">
        <v>107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222</v>
      </c>
      <c r="L36" t="s">
        <v>216</v>
      </c>
      <c r="M36">
        <v>33</v>
      </c>
      <c r="N36">
        <v>8451</v>
      </c>
      <c r="O36" t="s">
        <v>52</v>
      </c>
      <c r="P36" t="s">
        <v>52</v>
      </c>
      <c r="Q36" t="s">
        <v>197</v>
      </c>
      <c r="R36" t="s">
        <v>53</v>
      </c>
      <c r="S36" t="s">
        <v>116</v>
      </c>
      <c r="T36" t="s">
        <v>198</v>
      </c>
      <c r="U36" t="s">
        <v>108</v>
      </c>
    </row>
    <row r="37" spans="1:21" x14ac:dyDescent="0.3">
      <c r="A37" t="s">
        <v>187</v>
      </c>
      <c r="B37" t="s">
        <v>187</v>
      </c>
      <c r="C37" t="s">
        <v>194</v>
      </c>
      <c r="D37">
        <v>2</v>
      </c>
      <c r="E37" t="s">
        <v>118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219</v>
      </c>
      <c r="L37" t="s">
        <v>216</v>
      </c>
      <c r="M37">
        <v>33</v>
      </c>
      <c r="N37">
        <v>8451</v>
      </c>
      <c r="O37" t="s">
        <v>52</v>
      </c>
      <c r="P37" t="s">
        <v>52</v>
      </c>
      <c r="Q37" t="s">
        <v>197</v>
      </c>
      <c r="R37" t="s">
        <v>53</v>
      </c>
      <c r="S37" t="s">
        <v>116</v>
      </c>
      <c r="T37" t="s">
        <v>198</v>
      </c>
      <c r="U37" t="s">
        <v>108</v>
      </c>
    </row>
    <row r="38" spans="1:21" x14ac:dyDescent="0.3">
      <c r="A38" t="s">
        <v>187</v>
      </c>
      <c r="B38" t="s">
        <v>187</v>
      </c>
      <c r="C38" t="s">
        <v>194</v>
      </c>
      <c r="D38">
        <v>2</v>
      </c>
      <c r="E38" t="s">
        <v>118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221</v>
      </c>
      <c r="L38" t="s">
        <v>216</v>
      </c>
      <c r="M38">
        <v>33</v>
      </c>
      <c r="N38">
        <v>8451</v>
      </c>
      <c r="O38" t="s">
        <v>52</v>
      </c>
      <c r="P38" t="s">
        <v>52</v>
      </c>
      <c r="Q38" t="s">
        <v>197</v>
      </c>
      <c r="R38" t="s">
        <v>53</v>
      </c>
      <c r="S38" t="s">
        <v>116</v>
      </c>
      <c r="T38" t="s">
        <v>198</v>
      </c>
      <c r="U38" t="s">
        <v>108</v>
      </c>
    </row>
    <row r="39" spans="1:21" x14ac:dyDescent="0.3">
      <c r="A39" t="s">
        <v>187</v>
      </c>
      <c r="B39" t="s">
        <v>187</v>
      </c>
      <c r="C39" t="s">
        <v>194</v>
      </c>
      <c r="D39">
        <v>2</v>
      </c>
      <c r="E39" t="s">
        <v>118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220</v>
      </c>
      <c r="L39" t="s">
        <v>216</v>
      </c>
      <c r="M39">
        <v>33</v>
      </c>
      <c r="N39">
        <v>8451</v>
      </c>
      <c r="O39" t="s">
        <v>52</v>
      </c>
      <c r="P39" t="s">
        <v>52</v>
      </c>
      <c r="Q39" t="s">
        <v>197</v>
      </c>
      <c r="R39" t="s">
        <v>53</v>
      </c>
      <c r="S39" t="s">
        <v>116</v>
      </c>
      <c r="T39" t="s">
        <v>198</v>
      </c>
      <c r="U39" t="s">
        <v>108</v>
      </c>
    </row>
    <row r="40" spans="1:21" x14ac:dyDescent="0.3">
      <c r="A40" t="s">
        <v>187</v>
      </c>
      <c r="B40" t="s">
        <v>187</v>
      </c>
      <c r="C40" t="s">
        <v>194</v>
      </c>
      <c r="D40">
        <v>2</v>
      </c>
      <c r="E40" t="s">
        <v>118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222</v>
      </c>
      <c r="L40" t="s">
        <v>216</v>
      </c>
      <c r="M40">
        <v>33</v>
      </c>
      <c r="N40">
        <v>8451</v>
      </c>
      <c r="O40" t="s">
        <v>52</v>
      </c>
      <c r="P40" t="s">
        <v>52</v>
      </c>
      <c r="Q40" t="s">
        <v>197</v>
      </c>
      <c r="R40" t="s">
        <v>53</v>
      </c>
      <c r="S40" t="s">
        <v>116</v>
      </c>
      <c r="T40" t="s">
        <v>198</v>
      </c>
      <c r="U40" t="s">
        <v>108</v>
      </c>
    </row>
    <row r="41" spans="1:21" x14ac:dyDescent="0.3">
      <c r="A41" t="s">
        <v>187</v>
      </c>
      <c r="B41" t="s">
        <v>187</v>
      </c>
      <c r="C41" t="s">
        <v>194</v>
      </c>
      <c r="D41">
        <v>2</v>
      </c>
      <c r="E41" t="s">
        <v>118</v>
      </c>
      <c r="F41">
        <v>1</v>
      </c>
      <c r="G41">
        <v>-8</v>
      </c>
      <c r="H41">
        <v>-8</v>
      </c>
      <c r="I41" t="s">
        <v>117</v>
      </c>
      <c r="J41" t="s">
        <v>51</v>
      </c>
      <c r="K41" t="s">
        <v>217</v>
      </c>
      <c r="L41" t="s">
        <v>218</v>
      </c>
      <c r="M41">
        <v>61</v>
      </c>
      <c r="O41" t="s">
        <v>52</v>
      </c>
      <c r="P41" t="s">
        <v>52</v>
      </c>
      <c r="Q41" t="s">
        <v>197</v>
      </c>
      <c r="R41" t="s">
        <v>53</v>
      </c>
      <c r="S41" t="s">
        <v>116</v>
      </c>
      <c r="T41" t="s">
        <v>198</v>
      </c>
      <c r="U41" t="s">
        <v>108</v>
      </c>
    </row>
    <row r="42" spans="1:21" x14ac:dyDescent="0.3">
      <c r="A42" t="s">
        <v>187</v>
      </c>
      <c r="B42" t="s">
        <v>187</v>
      </c>
      <c r="C42" t="s">
        <v>194</v>
      </c>
      <c r="D42">
        <v>3</v>
      </c>
      <c r="E42" t="s">
        <v>105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220</v>
      </c>
      <c r="L42" t="s">
        <v>216</v>
      </c>
      <c r="M42">
        <v>33</v>
      </c>
      <c r="N42">
        <v>8451</v>
      </c>
      <c r="O42" t="s">
        <v>52</v>
      </c>
      <c r="P42" t="s">
        <v>52</v>
      </c>
      <c r="Q42" t="s">
        <v>197</v>
      </c>
      <c r="R42" t="s">
        <v>53</v>
      </c>
      <c r="S42" t="s">
        <v>116</v>
      </c>
      <c r="T42" t="s">
        <v>198</v>
      </c>
      <c r="U42" t="s">
        <v>108</v>
      </c>
    </row>
    <row r="43" spans="1:21" x14ac:dyDescent="0.3">
      <c r="A43" t="s">
        <v>187</v>
      </c>
      <c r="B43" t="s">
        <v>187</v>
      </c>
      <c r="C43" t="s">
        <v>194</v>
      </c>
      <c r="D43">
        <v>3</v>
      </c>
      <c r="E43" t="s">
        <v>105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221</v>
      </c>
      <c r="L43" t="s">
        <v>216</v>
      </c>
      <c r="M43">
        <v>33</v>
      </c>
      <c r="N43">
        <v>8451</v>
      </c>
      <c r="O43" t="s">
        <v>52</v>
      </c>
      <c r="P43" t="s">
        <v>52</v>
      </c>
      <c r="Q43" t="s">
        <v>197</v>
      </c>
      <c r="R43" t="s">
        <v>53</v>
      </c>
      <c r="S43" t="s">
        <v>116</v>
      </c>
      <c r="T43" t="s">
        <v>198</v>
      </c>
      <c r="U43" t="s">
        <v>108</v>
      </c>
    </row>
    <row r="44" spans="1:21" x14ac:dyDescent="0.3">
      <c r="A44" t="s">
        <v>187</v>
      </c>
      <c r="B44" t="s">
        <v>187</v>
      </c>
      <c r="C44" t="s">
        <v>194</v>
      </c>
      <c r="D44">
        <v>3</v>
      </c>
      <c r="E44" t="s">
        <v>105</v>
      </c>
      <c r="F44">
        <v>1</v>
      </c>
      <c r="G44">
        <v>-327</v>
      </c>
      <c r="H44">
        <v>-327</v>
      </c>
      <c r="I44" t="s">
        <v>117</v>
      </c>
      <c r="J44" t="s">
        <v>51</v>
      </c>
      <c r="K44" t="s">
        <v>217</v>
      </c>
      <c r="L44" t="s">
        <v>218</v>
      </c>
      <c r="M44">
        <v>61</v>
      </c>
      <c r="O44" t="s">
        <v>52</v>
      </c>
      <c r="P44" t="s">
        <v>52</v>
      </c>
      <c r="Q44" t="s">
        <v>197</v>
      </c>
      <c r="R44" t="s">
        <v>53</v>
      </c>
      <c r="S44" t="s">
        <v>116</v>
      </c>
      <c r="T44" t="s">
        <v>198</v>
      </c>
      <c r="U44" t="s">
        <v>108</v>
      </c>
    </row>
    <row r="45" spans="1:21" x14ac:dyDescent="0.3">
      <c r="A45" t="s">
        <v>187</v>
      </c>
      <c r="B45" t="s">
        <v>187</v>
      </c>
      <c r="C45" t="s">
        <v>194</v>
      </c>
      <c r="D45">
        <v>3</v>
      </c>
      <c r="E45" t="s">
        <v>105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219</v>
      </c>
      <c r="L45" t="s">
        <v>216</v>
      </c>
      <c r="M45">
        <v>33</v>
      </c>
      <c r="N45">
        <v>8451</v>
      </c>
      <c r="O45" t="s">
        <v>52</v>
      </c>
      <c r="P45" t="s">
        <v>52</v>
      </c>
      <c r="Q45" t="s">
        <v>197</v>
      </c>
      <c r="R45" t="s">
        <v>53</v>
      </c>
      <c r="S45" t="s">
        <v>116</v>
      </c>
      <c r="T45" t="s">
        <v>198</v>
      </c>
      <c r="U45" t="s">
        <v>108</v>
      </c>
    </row>
    <row r="46" spans="1:21" x14ac:dyDescent="0.3">
      <c r="A46" t="s">
        <v>187</v>
      </c>
      <c r="B46" t="s">
        <v>187</v>
      </c>
      <c r="C46" t="s">
        <v>194</v>
      </c>
      <c r="D46">
        <v>3</v>
      </c>
      <c r="E46" t="s">
        <v>105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222</v>
      </c>
      <c r="L46" t="s">
        <v>216</v>
      </c>
      <c r="M46">
        <v>33</v>
      </c>
      <c r="N46">
        <v>8451</v>
      </c>
      <c r="O46" t="s">
        <v>52</v>
      </c>
      <c r="P46" t="s">
        <v>52</v>
      </c>
      <c r="Q46" t="s">
        <v>197</v>
      </c>
      <c r="R46" t="s">
        <v>53</v>
      </c>
      <c r="S46" t="s">
        <v>116</v>
      </c>
      <c r="T46" t="s">
        <v>198</v>
      </c>
      <c r="U46" t="s">
        <v>108</v>
      </c>
    </row>
    <row r="47" spans="1:21" x14ac:dyDescent="0.3">
      <c r="A47" t="s">
        <v>187</v>
      </c>
      <c r="B47" t="s">
        <v>187</v>
      </c>
      <c r="C47" t="s">
        <v>194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117</v>
      </c>
      <c r="J47" t="s">
        <v>51</v>
      </c>
      <c r="K47" t="s">
        <v>217</v>
      </c>
      <c r="L47" t="s">
        <v>218</v>
      </c>
      <c r="M47">
        <v>61</v>
      </c>
      <c r="O47" t="s">
        <v>52</v>
      </c>
      <c r="P47" t="s">
        <v>52</v>
      </c>
      <c r="Q47" t="s">
        <v>197</v>
      </c>
      <c r="R47" t="s">
        <v>53</v>
      </c>
      <c r="S47" t="s">
        <v>116</v>
      </c>
      <c r="T47" t="s">
        <v>198</v>
      </c>
      <c r="U47" t="s">
        <v>108</v>
      </c>
    </row>
    <row r="48" spans="1:21" x14ac:dyDescent="0.3">
      <c r="A48" t="s">
        <v>187</v>
      </c>
      <c r="B48" t="s">
        <v>187</v>
      </c>
      <c r="C48" t="s">
        <v>194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221</v>
      </c>
      <c r="L48" t="s">
        <v>216</v>
      </c>
      <c r="M48">
        <v>33</v>
      </c>
      <c r="N48">
        <v>8451</v>
      </c>
      <c r="O48" t="s">
        <v>52</v>
      </c>
      <c r="P48" t="s">
        <v>52</v>
      </c>
      <c r="Q48" t="s">
        <v>197</v>
      </c>
      <c r="R48" t="s">
        <v>53</v>
      </c>
      <c r="S48" t="s">
        <v>116</v>
      </c>
      <c r="T48" t="s">
        <v>198</v>
      </c>
      <c r="U48" t="s">
        <v>108</v>
      </c>
    </row>
    <row r="49" spans="1:21" x14ac:dyDescent="0.3">
      <c r="A49" t="s">
        <v>187</v>
      </c>
      <c r="B49" t="s">
        <v>187</v>
      </c>
      <c r="C49" t="s">
        <v>194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220</v>
      </c>
      <c r="L49" t="s">
        <v>216</v>
      </c>
      <c r="M49">
        <v>33</v>
      </c>
      <c r="N49">
        <v>8451</v>
      </c>
      <c r="O49" t="s">
        <v>52</v>
      </c>
      <c r="P49" t="s">
        <v>52</v>
      </c>
      <c r="Q49" t="s">
        <v>197</v>
      </c>
      <c r="R49" t="s">
        <v>53</v>
      </c>
      <c r="S49" t="s">
        <v>116</v>
      </c>
      <c r="T49" t="s">
        <v>198</v>
      </c>
      <c r="U49" t="s">
        <v>108</v>
      </c>
    </row>
    <row r="50" spans="1:21" x14ac:dyDescent="0.3">
      <c r="A50" t="s">
        <v>187</v>
      </c>
      <c r="B50" t="s">
        <v>187</v>
      </c>
      <c r="C50" t="s">
        <v>194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219</v>
      </c>
      <c r="L50" t="s">
        <v>216</v>
      </c>
      <c r="M50">
        <v>33</v>
      </c>
      <c r="N50">
        <v>8451</v>
      </c>
      <c r="O50" t="s">
        <v>52</v>
      </c>
      <c r="P50" t="s">
        <v>52</v>
      </c>
      <c r="Q50" t="s">
        <v>197</v>
      </c>
      <c r="R50" t="s">
        <v>53</v>
      </c>
      <c r="S50" t="s">
        <v>116</v>
      </c>
      <c r="T50" t="s">
        <v>198</v>
      </c>
      <c r="U50" t="s">
        <v>108</v>
      </c>
    </row>
    <row r="51" spans="1:21" x14ac:dyDescent="0.3">
      <c r="A51" t="s">
        <v>187</v>
      </c>
      <c r="B51" t="s">
        <v>187</v>
      </c>
      <c r="C51" t="s">
        <v>194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222</v>
      </c>
      <c r="L51" t="s">
        <v>216</v>
      </c>
      <c r="M51">
        <v>33</v>
      </c>
      <c r="N51">
        <v>8451</v>
      </c>
      <c r="O51" t="s">
        <v>52</v>
      </c>
      <c r="P51" t="s">
        <v>52</v>
      </c>
      <c r="Q51" t="s">
        <v>197</v>
      </c>
      <c r="R51" t="s">
        <v>53</v>
      </c>
      <c r="S51" t="s">
        <v>116</v>
      </c>
      <c r="T51" t="s">
        <v>198</v>
      </c>
      <c r="U51" t="s">
        <v>108</v>
      </c>
    </row>
    <row r="52" spans="1:21" x14ac:dyDescent="0.3">
      <c r="A52" t="s">
        <v>187</v>
      </c>
      <c r="B52" t="s">
        <v>187</v>
      </c>
      <c r="C52" t="s">
        <v>194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219</v>
      </c>
      <c r="L52" t="s">
        <v>216</v>
      </c>
      <c r="M52">
        <v>33</v>
      </c>
      <c r="N52">
        <v>8451</v>
      </c>
      <c r="O52" t="s">
        <v>52</v>
      </c>
      <c r="P52" t="s">
        <v>52</v>
      </c>
      <c r="Q52" t="s">
        <v>197</v>
      </c>
      <c r="R52" t="s">
        <v>53</v>
      </c>
      <c r="S52" t="s">
        <v>116</v>
      </c>
      <c r="T52" t="s">
        <v>198</v>
      </c>
      <c r="U52" t="s">
        <v>108</v>
      </c>
    </row>
    <row r="53" spans="1:21" x14ac:dyDescent="0.3">
      <c r="A53" t="s">
        <v>187</v>
      </c>
      <c r="B53" t="s">
        <v>187</v>
      </c>
      <c r="C53" t="s">
        <v>194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221</v>
      </c>
      <c r="L53" t="s">
        <v>216</v>
      </c>
      <c r="M53">
        <v>33</v>
      </c>
      <c r="N53">
        <v>8451</v>
      </c>
      <c r="O53" t="s">
        <v>52</v>
      </c>
      <c r="P53" t="s">
        <v>52</v>
      </c>
      <c r="Q53" t="s">
        <v>197</v>
      </c>
      <c r="R53" t="s">
        <v>53</v>
      </c>
      <c r="S53" t="s">
        <v>116</v>
      </c>
      <c r="T53" t="s">
        <v>198</v>
      </c>
      <c r="U53" t="s">
        <v>108</v>
      </c>
    </row>
    <row r="54" spans="1:21" x14ac:dyDescent="0.3">
      <c r="A54" t="s">
        <v>187</v>
      </c>
      <c r="B54" t="s">
        <v>187</v>
      </c>
      <c r="C54" t="s">
        <v>194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222</v>
      </c>
      <c r="L54" t="s">
        <v>216</v>
      </c>
      <c r="M54">
        <v>33</v>
      </c>
      <c r="N54">
        <v>8451</v>
      </c>
      <c r="O54" t="s">
        <v>52</v>
      </c>
      <c r="P54" t="s">
        <v>52</v>
      </c>
      <c r="Q54" t="s">
        <v>197</v>
      </c>
      <c r="R54" t="s">
        <v>53</v>
      </c>
      <c r="S54" t="s">
        <v>116</v>
      </c>
      <c r="T54" t="s">
        <v>198</v>
      </c>
      <c r="U54" t="s">
        <v>108</v>
      </c>
    </row>
    <row r="55" spans="1:21" x14ac:dyDescent="0.3">
      <c r="A55" t="s">
        <v>187</v>
      </c>
      <c r="B55" t="s">
        <v>187</v>
      </c>
      <c r="C55" t="s">
        <v>194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117</v>
      </c>
      <c r="J55" t="s">
        <v>51</v>
      </c>
      <c r="K55" t="s">
        <v>217</v>
      </c>
      <c r="L55" t="s">
        <v>218</v>
      </c>
      <c r="M55">
        <v>61</v>
      </c>
      <c r="O55" t="s">
        <v>52</v>
      </c>
      <c r="P55" t="s">
        <v>52</v>
      </c>
      <c r="Q55" t="s">
        <v>197</v>
      </c>
      <c r="R55" t="s">
        <v>53</v>
      </c>
      <c r="S55" t="s">
        <v>116</v>
      </c>
      <c r="T55" t="s">
        <v>198</v>
      </c>
      <c r="U55" t="s">
        <v>108</v>
      </c>
    </row>
    <row r="56" spans="1:21" x14ac:dyDescent="0.3">
      <c r="A56" t="s">
        <v>187</v>
      </c>
      <c r="B56" t="s">
        <v>187</v>
      </c>
      <c r="C56" t="s">
        <v>194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220</v>
      </c>
      <c r="L56" t="s">
        <v>216</v>
      </c>
      <c r="M56">
        <v>33</v>
      </c>
      <c r="N56">
        <v>8451</v>
      </c>
      <c r="O56" t="s">
        <v>52</v>
      </c>
      <c r="P56" t="s">
        <v>52</v>
      </c>
      <c r="Q56" t="s">
        <v>197</v>
      </c>
      <c r="R56" t="s">
        <v>53</v>
      </c>
      <c r="S56" t="s">
        <v>116</v>
      </c>
      <c r="T56" t="s">
        <v>198</v>
      </c>
      <c r="U56" t="s">
        <v>108</v>
      </c>
    </row>
    <row r="57" spans="1:21" x14ac:dyDescent="0.3">
      <c r="A57" t="s">
        <v>189</v>
      </c>
      <c r="B57" t="s">
        <v>189</v>
      </c>
      <c r="C57" t="s">
        <v>194</v>
      </c>
      <c r="D57">
        <v>1</v>
      </c>
      <c r="E57" t="s">
        <v>107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223</v>
      </c>
      <c r="L57" t="s">
        <v>224</v>
      </c>
      <c r="M57">
        <v>33</v>
      </c>
      <c r="N57">
        <v>8768</v>
      </c>
      <c r="O57" t="s">
        <v>52</v>
      </c>
      <c r="P57" t="s">
        <v>52</v>
      </c>
      <c r="Q57" t="s">
        <v>197</v>
      </c>
      <c r="R57" t="s">
        <v>53</v>
      </c>
      <c r="S57" t="s">
        <v>116</v>
      </c>
      <c r="T57" t="s">
        <v>198</v>
      </c>
      <c r="U57" t="s">
        <v>108</v>
      </c>
    </row>
    <row r="58" spans="1:21" x14ac:dyDescent="0.3">
      <c r="A58" t="s">
        <v>189</v>
      </c>
      <c r="B58" t="s">
        <v>189</v>
      </c>
      <c r="C58" t="s">
        <v>194</v>
      </c>
      <c r="D58">
        <v>1</v>
      </c>
      <c r="E58" t="s">
        <v>107</v>
      </c>
      <c r="F58">
        <v>1</v>
      </c>
      <c r="G58">
        <v>-337</v>
      </c>
      <c r="H58">
        <v>-337</v>
      </c>
      <c r="I58" t="s">
        <v>117</v>
      </c>
      <c r="J58" t="s">
        <v>51</v>
      </c>
      <c r="K58" t="s">
        <v>225</v>
      </c>
      <c r="L58" t="s">
        <v>226</v>
      </c>
      <c r="M58">
        <v>61</v>
      </c>
      <c r="O58" t="s">
        <v>52</v>
      </c>
      <c r="P58" t="s">
        <v>52</v>
      </c>
      <c r="Q58" t="s">
        <v>197</v>
      </c>
      <c r="R58" t="s">
        <v>53</v>
      </c>
      <c r="S58" t="s">
        <v>116</v>
      </c>
      <c r="T58" t="s">
        <v>198</v>
      </c>
      <c r="U58" t="s">
        <v>108</v>
      </c>
    </row>
    <row r="59" spans="1:21" x14ac:dyDescent="0.3">
      <c r="A59" t="s">
        <v>189</v>
      </c>
      <c r="B59" t="s">
        <v>189</v>
      </c>
      <c r="C59" t="s">
        <v>194</v>
      </c>
      <c r="D59">
        <v>1</v>
      </c>
      <c r="E59" t="s">
        <v>107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227</v>
      </c>
      <c r="L59" t="s">
        <v>224</v>
      </c>
      <c r="M59">
        <v>33</v>
      </c>
      <c r="N59">
        <v>8768</v>
      </c>
      <c r="O59" t="s">
        <v>52</v>
      </c>
      <c r="P59" t="s">
        <v>52</v>
      </c>
      <c r="Q59" t="s">
        <v>197</v>
      </c>
      <c r="R59" t="s">
        <v>53</v>
      </c>
      <c r="S59" t="s">
        <v>116</v>
      </c>
      <c r="T59" t="s">
        <v>198</v>
      </c>
      <c r="U59" t="s">
        <v>108</v>
      </c>
    </row>
    <row r="60" spans="1:21" x14ac:dyDescent="0.3">
      <c r="A60" t="s">
        <v>189</v>
      </c>
      <c r="B60" t="s">
        <v>189</v>
      </c>
      <c r="C60" t="s">
        <v>194</v>
      </c>
      <c r="D60">
        <v>1</v>
      </c>
      <c r="E60" t="s">
        <v>107</v>
      </c>
      <c r="F60">
        <v>1</v>
      </c>
      <c r="G60">
        <v>-4</v>
      </c>
      <c r="H60">
        <v>-4</v>
      </c>
      <c r="I60" t="s">
        <v>119</v>
      </c>
      <c r="J60" t="s">
        <v>58</v>
      </c>
      <c r="K60" t="s">
        <v>228</v>
      </c>
      <c r="L60" t="s">
        <v>226</v>
      </c>
      <c r="M60">
        <v>61</v>
      </c>
      <c r="O60" t="s">
        <v>52</v>
      </c>
      <c r="P60" t="s">
        <v>52</v>
      </c>
      <c r="Q60" t="s">
        <v>197</v>
      </c>
      <c r="R60" t="s">
        <v>53</v>
      </c>
      <c r="S60" t="s">
        <v>116</v>
      </c>
      <c r="T60" t="s">
        <v>198</v>
      </c>
      <c r="U60" t="s">
        <v>108</v>
      </c>
    </row>
    <row r="61" spans="1:21" x14ac:dyDescent="0.3">
      <c r="A61" t="s">
        <v>189</v>
      </c>
      <c r="B61" t="s">
        <v>189</v>
      </c>
      <c r="C61" t="s">
        <v>194</v>
      </c>
      <c r="D61">
        <v>1</v>
      </c>
      <c r="E61" t="s">
        <v>107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229</v>
      </c>
      <c r="L61" t="s">
        <v>224</v>
      </c>
      <c r="M61">
        <v>33</v>
      </c>
      <c r="N61">
        <v>8768</v>
      </c>
      <c r="O61" t="s">
        <v>52</v>
      </c>
      <c r="P61" t="s">
        <v>52</v>
      </c>
      <c r="Q61" t="s">
        <v>197</v>
      </c>
      <c r="R61" t="s">
        <v>53</v>
      </c>
      <c r="S61" t="s">
        <v>116</v>
      </c>
      <c r="T61" t="s">
        <v>198</v>
      </c>
      <c r="U61" t="s">
        <v>108</v>
      </c>
    </row>
    <row r="62" spans="1:21" x14ac:dyDescent="0.3">
      <c r="A62" t="s">
        <v>189</v>
      </c>
      <c r="B62" t="s">
        <v>189</v>
      </c>
      <c r="C62" t="s">
        <v>194</v>
      </c>
      <c r="D62">
        <v>1</v>
      </c>
      <c r="E62" t="s">
        <v>107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230</v>
      </c>
      <c r="L62" t="s">
        <v>224</v>
      </c>
      <c r="M62">
        <v>33</v>
      </c>
      <c r="N62">
        <v>8768</v>
      </c>
      <c r="O62" t="s">
        <v>52</v>
      </c>
      <c r="P62" t="s">
        <v>52</v>
      </c>
      <c r="Q62" t="s">
        <v>197</v>
      </c>
      <c r="R62" t="s">
        <v>53</v>
      </c>
      <c r="S62" t="s">
        <v>116</v>
      </c>
      <c r="T62" t="s">
        <v>198</v>
      </c>
      <c r="U62" t="s">
        <v>108</v>
      </c>
    </row>
    <row r="63" spans="1:21" x14ac:dyDescent="0.3">
      <c r="A63" t="s">
        <v>189</v>
      </c>
      <c r="B63" t="s">
        <v>189</v>
      </c>
      <c r="C63" t="s">
        <v>194</v>
      </c>
      <c r="D63">
        <v>2</v>
      </c>
      <c r="E63" t="s">
        <v>118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223</v>
      </c>
      <c r="L63" t="s">
        <v>224</v>
      </c>
      <c r="M63">
        <v>33</v>
      </c>
      <c r="N63">
        <v>8768</v>
      </c>
      <c r="O63" t="s">
        <v>52</v>
      </c>
      <c r="P63" t="s">
        <v>52</v>
      </c>
      <c r="Q63" t="s">
        <v>197</v>
      </c>
      <c r="R63" t="s">
        <v>53</v>
      </c>
      <c r="S63" t="s">
        <v>116</v>
      </c>
      <c r="T63" t="s">
        <v>198</v>
      </c>
      <c r="U63" t="s">
        <v>108</v>
      </c>
    </row>
    <row r="64" spans="1:21" x14ac:dyDescent="0.3">
      <c r="A64" t="s">
        <v>189</v>
      </c>
      <c r="B64" t="s">
        <v>189</v>
      </c>
      <c r="C64" t="s">
        <v>194</v>
      </c>
      <c r="D64">
        <v>2</v>
      </c>
      <c r="E64" t="s">
        <v>118</v>
      </c>
      <c r="F64">
        <v>1</v>
      </c>
      <c r="G64">
        <v>-2</v>
      </c>
      <c r="H64">
        <v>-2</v>
      </c>
      <c r="I64" t="s">
        <v>117</v>
      </c>
      <c r="J64" t="s">
        <v>51</v>
      </c>
      <c r="K64" t="s">
        <v>225</v>
      </c>
      <c r="L64" t="s">
        <v>226</v>
      </c>
      <c r="M64">
        <v>61</v>
      </c>
      <c r="O64" t="s">
        <v>52</v>
      </c>
      <c r="P64" t="s">
        <v>52</v>
      </c>
      <c r="Q64" t="s">
        <v>197</v>
      </c>
      <c r="R64" t="s">
        <v>53</v>
      </c>
      <c r="S64" t="s">
        <v>116</v>
      </c>
      <c r="T64" t="s">
        <v>198</v>
      </c>
      <c r="U64" t="s">
        <v>108</v>
      </c>
    </row>
    <row r="65" spans="1:21" x14ac:dyDescent="0.3">
      <c r="A65" t="s">
        <v>189</v>
      </c>
      <c r="B65" t="s">
        <v>189</v>
      </c>
      <c r="C65" t="s">
        <v>194</v>
      </c>
      <c r="D65">
        <v>2</v>
      </c>
      <c r="E65" t="s">
        <v>118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229</v>
      </c>
      <c r="L65" t="s">
        <v>224</v>
      </c>
      <c r="M65">
        <v>33</v>
      </c>
      <c r="N65">
        <v>8768</v>
      </c>
      <c r="O65" t="s">
        <v>52</v>
      </c>
      <c r="P65" t="s">
        <v>52</v>
      </c>
      <c r="Q65" t="s">
        <v>197</v>
      </c>
      <c r="R65" t="s">
        <v>53</v>
      </c>
      <c r="S65" t="s">
        <v>116</v>
      </c>
      <c r="T65" t="s">
        <v>198</v>
      </c>
      <c r="U65" t="s">
        <v>108</v>
      </c>
    </row>
    <row r="66" spans="1:21" x14ac:dyDescent="0.3">
      <c r="A66" t="s">
        <v>189</v>
      </c>
      <c r="B66" t="s">
        <v>189</v>
      </c>
      <c r="C66" t="s">
        <v>194</v>
      </c>
      <c r="D66">
        <v>2</v>
      </c>
      <c r="E66" t="s">
        <v>118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227</v>
      </c>
      <c r="L66" t="s">
        <v>224</v>
      </c>
      <c r="M66">
        <v>33</v>
      </c>
      <c r="N66">
        <v>8768</v>
      </c>
      <c r="O66" t="s">
        <v>52</v>
      </c>
      <c r="P66" t="s">
        <v>52</v>
      </c>
      <c r="Q66" t="s">
        <v>197</v>
      </c>
      <c r="R66" t="s">
        <v>53</v>
      </c>
      <c r="S66" t="s">
        <v>116</v>
      </c>
      <c r="T66" t="s">
        <v>198</v>
      </c>
      <c r="U66" t="s">
        <v>108</v>
      </c>
    </row>
    <row r="67" spans="1:21" x14ac:dyDescent="0.3">
      <c r="A67" t="s">
        <v>189</v>
      </c>
      <c r="B67" t="s">
        <v>189</v>
      </c>
      <c r="C67" t="s">
        <v>194</v>
      </c>
      <c r="D67">
        <v>2</v>
      </c>
      <c r="E67" t="s">
        <v>118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230</v>
      </c>
      <c r="L67" t="s">
        <v>224</v>
      </c>
      <c r="M67">
        <v>33</v>
      </c>
      <c r="N67">
        <v>8768</v>
      </c>
      <c r="O67" t="s">
        <v>52</v>
      </c>
      <c r="P67" t="s">
        <v>52</v>
      </c>
      <c r="Q67" t="s">
        <v>197</v>
      </c>
      <c r="R67" t="s">
        <v>53</v>
      </c>
      <c r="S67" t="s">
        <v>116</v>
      </c>
      <c r="T67" t="s">
        <v>198</v>
      </c>
      <c r="U67" t="s">
        <v>108</v>
      </c>
    </row>
    <row r="68" spans="1:21" x14ac:dyDescent="0.3">
      <c r="A68" t="s">
        <v>189</v>
      </c>
      <c r="B68" t="s">
        <v>189</v>
      </c>
      <c r="C68" t="s">
        <v>194</v>
      </c>
      <c r="D68">
        <v>3</v>
      </c>
      <c r="E68" t="s">
        <v>105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229</v>
      </c>
      <c r="L68" t="s">
        <v>224</v>
      </c>
      <c r="M68">
        <v>33</v>
      </c>
      <c r="N68">
        <v>8768</v>
      </c>
      <c r="O68" t="s">
        <v>52</v>
      </c>
      <c r="P68" t="s">
        <v>52</v>
      </c>
      <c r="Q68" t="s">
        <v>197</v>
      </c>
      <c r="R68" t="s">
        <v>53</v>
      </c>
      <c r="S68" t="s">
        <v>116</v>
      </c>
      <c r="T68" t="s">
        <v>198</v>
      </c>
      <c r="U68" t="s">
        <v>108</v>
      </c>
    </row>
    <row r="69" spans="1:21" x14ac:dyDescent="0.3">
      <c r="A69" t="s">
        <v>189</v>
      </c>
      <c r="B69" t="s">
        <v>189</v>
      </c>
      <c r="C69" t="s">
        <v>194</v>
      </c>
      <c r="D69">
        <v>3</v>
      </c>
      <c r="E69" t="s">
        <v>105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227</v>
      </c>
      <c r="L69" t="s">
        <v>224</v>
      </c>
      <c r="M69">
        <v>33</v>
      </c>
      <c r="N69">
        <v>8768</v>
      </c>
      <c r="O69" t="s">
        <v>52</v>
      </c>
      <c r="P69" t="s">
        <v>52</v>
      </c>
      <c r="Q69" t="s">
        <v>197</v>
      </c>
      <c r="R69" t="s">
        <v>53</v>
      </c>
      <c r="S69" t="s">
        <v>116</v>
      </c>
      <c r="T69" t="s">
        <v>198</v>
      </c>
      <c r="U69" t="s">
        <v>108</v>
      </c>
    </row>
    <row r="70" spans="1:21" x14ac:dyDescent="0.3">
      <c r="A70" t="s">
        <v>189</v>
      </c>
      <c r="B70" t="s">
        <v>189</v>
      </c>
      <c r="C70" t="s">
        <v>194</v>
      </c>
      <c r="D70">
        <v>3</v>
      </c>
      <c r="E70" t="s">
        <v>105</v>
      </c>
      <c r="F70">
        <v>1</v>
      </c>
      <c r="G70">
        <v>-1</v>
      </c>
      <c r="H70">
        <v>-1</v>
      </c>
      <c r="I70" t="s">
        <v>119</v>
      </c>
      <c r="J70" t="s">
        <v>58</v>
      </c>
      <c r="K70" t="s">
        <v>228</v>
      </c>
      <c r="L70" t="s">
        <v>226</v>
      </c>
      <c r="M70">
        <v>61</v>
      </c>
      <c r="O70" t="s">
        <v>52</v>
      </c>
      <c r="P70" t="s">
        <v>52</v>
      </c>
      <c r="Q70" t="s">
        <v>197</v>
      </c>
      <c r="R70" t="s">
        <v>53</v>
      </c>
      <c r="S70" t="s">
        <v>116</v>
      </c>
      <c r="T70" t="s">
        <v>198</v>
      </c>
      <c r="U70" t="s">
        <v>108</v>
      </c>
    </row>
    <row r="71" spans="1:21" x14ac:dyDescent="0.3">
      <c r="A71" t="s">
        <v>189</v>
      </c>
      <c r="B71" t="s">
        <v>189</v>
      </c>
      <c r="C71" t="s">
        <v>194</v>
      </c>
      <c r="D71">
        <v>3</v>
      </c>
      <c r="E71" t="s">
        <v>105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223</v>
      </c>
      <c r="L71" t="s">
        <v>224</v>
      </c>
      <c r="M71">
        <v>33</v>
      </c>
      <c r="N71">
        <v>8768</v>
      </c>
      <c r="O71" t="s">
        <v>52</v>
      </c>
      <c r="P71" t="s">
        <v>52</v>
      </c>
      <c r="Q71" t="s">
        <v>197</v>
      </c>
      <c r="R71" t="s">
        <v>53</v>
      </c>
      <c r="S71" t="s">
        <v>116</v>
      </c>
      <c r="T71" t="s">
        <v>198</v>
      </c>
      <c r="U71" t="s">
        <v>108</v>
      </c>
    </row>
    <row r="72" spans="1:21" x14ac:dyDescent="0.3">
      <c r="A72" t="s">
        <v>189</v>
      </c>
      <c r="B72" t="s">
        <v>189</v>
      </c>
      <c r="C72" t="s">
        <v>194</v>
      </c>
      <c r="D72">
        <v>3</v>
      </c>
      <c r="E72" t="s">
        <v>105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230</v>
      </c>
      <c r="L72" t="s">
        <v>224</v>
      </c>
      <c r="M72">
        <v>33</v>
      </c>
      <c r="N72">
        <v>8768</v>
      </c>
      <c r="O72" t="s">
        <v>52</v>
      </c>
      <c r="P72" t="s">
        <v>52</v>
      </c>
      <c r="Q72" t="s">
        <v>197</v>
      </c>
      <c r="R72" t="s">
        <v>53</v>
      </c>
      <c r="S72" t="s">
        <v>116</v>
      </c>
      <c r="T72" t="s">
        <v>198</v>
      </c>
      <c r="U72" t="s">
        <v>108</v>
      </c>
    </row>
    <row r="73" spans="1:21" x14ac:dyDescent="0.3">
      <c r="A73" t="s">
        <v>189</v>
      </c>
      <c r="B73" t="s">
        <v>189</v>
      </c>
      <c r="C73" t="s">
        <v>194</v>
      </c>
      <c r="D73">
        <v>3</v>
      </c>
      <c r="E73" t="s">
        <v>105</v>
      </c>
      <c r="F73">
        <v>1</v>
      </c>
      <c r="G73">
        <v>-99</v>
      </c>
      <c r="H73">
        <v>-99</v>
      </c>
      <c r="I73" t="s">
        <v>117</v>
      </c>
      <c r="J73" t="s">
        <v>51</v>
      </c>
      <c r="K73" t="s">
        <v>225</v>
      </c>
      <c r="L73" t="s">
        <v>226</v>
      </c>
      <c r="M73">
        <v>61</v>
      </c>
      <c r="O73" t="s">
        <v>52</v>
      </c>
      <c r="P73" t="s">
        <v>52</v>
      </c>
      <c r="Q73" t="s">
        <v>197</v>
      </c>
      <c r="R73" t="s">
        <v>53</v>
      </c>
      <c r="S73" t="s">
        <v>116</v>
      </c>
      <c r="T73" t="s">
        <v>198</v>
      </c>
      <c r="U73" t="s">
        <v>108</v>
      </c>
    </row>
    <row r="74" spans="1:21" x14ac:dyDescent="0.3">
      <c r="A74" t="s">
        <v>189</v>
      </c>
      <c r="B74" t="s">
        <v>189</v>
      </c>
      <c r="C74" t="s">
        <v>194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119</v>
      </c>
      <c r="J74" t="s">
        <v>58</v>
      </c>
      <c r="K74" t="s">
        <v>228</v>
      </c>
      <c r="L74" t="s">
        <v>226</v>
      </c>
      <c r="M74">
        <v>61</v>
      </c>
      <c r="O74" t="s">
        <v>52</v>
      </c>
      <c r="P74" t="s">
        <v>52</v>
      </c>
      <c r="Q74" t="s">
        <v>197</v>
      </c>
      <c r="R74" t="s">
        <v>53</v>
      </c>
      <c r="S74" t="s">
        <v>116</v>
      </c>
      <c r="T74" t="s">
        <v>198</v>
      </c>
      <c r="U74" t="s">
        <v>108</v>
      </c>
    </row>
    <row r="75" spans="1:21" x14ac:dyDescent="0.3">
      <c r="A75" t="s">
        <v>189</v>
      </c>
      <c r="B75" t="s">
        <v>189</v>
      </c>
      <c r="C75" t="s">
        <v>194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117</v>
      </c>
      <c r="J75" t="s">
        <v>51</v>
      </c>
      <c r="K75" t="s">
        <v>225</v>
      </c>
      <c r="L75" t="s">
        <v>226</v>
      </c>
      <c r="M75">
        <v>61</v>
      </c>
      <c r="O75" t="s">
        <v>52</v>
      </c>
      <c r="P75" t="s">
        <v>52</v>
      </c>
      <c r="Q75" t="s">
        <v>197</v>
      </c>
      <c r="R75" t="s">
        <v>53</v>
      </c>
      <c r="S75" t="s">
        <v>116</v>
      </c>
      <c r="T75" t="s">
        <v>198</v>
      </c>
      <c r="U75" t="s">
        <v>108</v>
      </c>
    </row>
    <row r="76" spans="1:21" x14ac:dyDescent="0.3">
      <c r="A76" t="s">
        <v>189</v>
      </c>
      <c r="B76" t="s">
        <v>189</v>
      </c>
      <c r="C76" t="s">
        <v>194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227</v>
      </c>
      <c r="L76" t="s">
        <v>224</v>
      </c>
      <c r="M76">
        <v>33</v>
      </c>
      <c r="N76">
        <v>8768</v>
      </c>
      <c r="O76" t="s">
        <v>52</v>
      </c>
      <c r="P76" t="s">
        <v>52</v>
      </c>
      <c r="Q76" t="s">
        <v>197</v>
      </c>
      <c r="R76" t="s">
        <v>53</v>
      </c>
      <c r="S76" t="s">
        <v>116</v>
      </c>
      <c r="T76" t="s">
        <v>198</v>
      </c>
      <c r="U76" t="s">
        <v>108</v>
      </c>
    </row>
    <row r="77" spans="1:21" x14ac:dyDescent="0.3">
      <c r="A77" t="s">
        <v>189</v>
      </c>
      <c r="B77" t="s">
        <v>189</v>
      </c>
      <c r="C77" t="s">
        <v>194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223</v>
      </c>
      <c r="L77" t="s">
        <v>224</v>
      </c>
      <c r="M77">
        <v>33</v>
      </c>
      <c r="N77">
        <v>8768</v>
      </c>
      <c r="O77" t="s">
        <v>52</v>
      </c>
      <c r="P77" t="s">
        <v>52</v>
      </c>
      <c r="Q77" t="s">
        <v>197</v>
      </c>
      <c r="R77" t="s">
        <v>53</v>
      </c>
      <c r="S77" t="s">
        <v>116</v>
      </c>
      <c r="T77" t="s">
        <v>198</v>
      </c>
      <c r="U77" t="s">
        <v>108</v>
      </c>
    </row>
    <row r="78" spans="1:21" x14ac:dyDescent="0.3">
      <c r="A78" t="s">
        <v>189</v>
      </c>
      <c r="B78" t="s">
        <v>189</v>
      </c>
      <c r="C78" t="s">
        <v>194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230</v>
      </c>
      <c r="L78" t="s">
        <v>224</v>
      </c>
      <c r="M78">
        <v>33</v>
      </c>
      <c r="N78">
        <v>8768</v>
      </c>
      <c r="O78" t="s">
        <v>52</v>
      </c>
      <c r="P78" t="s">
        <v>52</v>
      </c>
      <c r="Q78" t="s">
        <v>197</v>
      </c>
      <c r="R78" t="s">
        <v>53</v>
      </c>
      <c r="S78" t="s">
        <v>116</v>
      </c>
      <c r="T78" t="s">
        <v>198</v>
      </c>
      <c r="U78" t="s">
        <v>108</v>
      </c>
    </row>
    <row r="79" spans="1:21" x14ac:dyDescent="0.3">
      <c r="A79" t="s">
        <v>189</v>
      </c>
      <c r="B79" t="s">
        <v>189</v>
      </c>
      <c r="C79" t="s">
        <v>194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229</v>
      </c>
      <c r="L79" t="s">
        <v>224</v>
      </c>
      <c r="M79">
        <v>33</v>
      </c>
      <c r="N79">
        <v>8768</v>
      </c>
      <c r="O79" t="s">
        <v>52</v>
      </c>
      <c r="P79" t="s">
        <v>52</v>
      </c>
      <c r="Q79" t="s">
        <v>197</v>
      </c>
      <c r="R79" t="s">
        <v>53</v>
      </c>
      <c r="S79" t="s">
        <v>116</v>
      </c>
      <c r="T79" t="s">
        <v>198</v>
      </c>
      <c r="U79" t="s">
        <v>108</v>
      </c>
    </row>
    <row r="80" spans="1:21" x14ac:dyDescent="0.3">
      <c r="A80" t="s">
        <v>189</v>
      </c>
      <c r="B80" t="s">
        <v>189</v>
      </c>
      <c r="C80" t="s">
        <v>194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117</v>
      </c>
      <c r="J80" t="s">
        <v>51</v>
      </c>
      <c r="K80" t="s">
        <v>225</v>
      </c>
      <c r="L80" t="s">
        <v>226</v>
      </c>
      <c r="M80">
        <v>61</v>
      </c>
      <c r="O80" t="s">
        <v>52</v>
      </c>
      <c r="P80" t="s">
        <v>52</v>
      </c>
      <c r="Q80" t="s">
        <v>197</v>
      </c>
      <c r="R80" t="s">
        <v>53</v>
      </c>
      <c r="S80" t="s">
        <v>116</v>
      </c>
      <c r="T80" t="s">
        <v>198</v>
      </c>
      <c r="U80" t="s">
        <v>108</v>
      </c>
    </row>
    <row r="81" spans="1:21" x14ac:dyDescent="0.3">
      <c r="A81" t="s">
        <v>189</v>
      </c>
      <c r="B81" t="s">
        <v>189</v>
      </c>
      <c r="C81" t="s">
        <v>194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227</v>
      </c>
      <c r="L81" t="s">
        <v>224</v>
      </c>
      <c r="M81">
        <v>33</v>
      </c>
      <c r="N81">
        <v>8768</v>
      </c>
      <c r="O81" t="s">
        <v>52</v>
      </c>
      <c r="P81" t="s">
        <v>52</v>
      </c>
      <c r="Q81" t="s">
        <v>197</v>
      </c>
      <c r="R81" t="s">
        <v>53</v>
      </c>
      <c r="S81" t="s">
        <v>116</v>
      </c>
      <c r="T81" t="s">
        <v>198</v>
      </c>
      <c r="U81" t="s">
        <v>108</v>
      </c>
    </row>
    <row r="82" spans="1:21" x14ac:dyDescent="0.3">
      <c r="A82" t="s">
        <v>189</v>
      </c>
      <c r="B82" t="s">
        <v>189</v>
      </c>
      <c r="C82" t="s">
        <v>194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223</v>
      </c>
      <c r="L82" t="s">
        <v>224</v>
      </c>
      <c r="M82">
        <v>33</v>
      </c>
      <c r="N82">
        <v>8768</v>
      </c>
      <c r="O82" t="s">
        <v>52</v>
      </c>
      <c r="P82" t="s">
        <v>52</v>
      </c>
      <c r="Q82" t="s">
        <v>197</v>
      </c>
      <c r="R82" t="s">
        <v>53</v>
      </c>
      <c r="S82" t="s">
        <v>116</v>
      </c>
      <c r="T82" t="s">
        <v>198</v>
      </c>
      <c r="U82" t="s">
        <v>108</v>
      </c>
    </row>
    <row r="83" spans="1:21" x14ac:dyDescent="0.3">
      <c r="A83" t="s">
        <v>189</v>
      </c>
      <c r="B83" t="s">
        <v>189</v>
      </c>
      <c r="C83" t="s">
        <v>194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230</v>
      </c>
      <c r="L83" t="s">
        <v>224</v>
      </c>
      <c r="M83">
        <v>33</v>
      </c>
      <c r="N83">
        <v>8768</v>
      </c>
      <c r="O83" t="s">
        <v>52</v>
      </c>
      <c r="P83" t="s">
        <v>52</v>
      </c>
      <c r="Q83" t="s">
        <v>197</v>
      </c>
      <c r="R83" t="s">
        <v>53</v>
      </c>
      <c r="S83" t="s">
        <v>116</v>
      </c>
      <c r="T83" t="s">
        <v>198</v>
      </c>
      <c r="U83" t="s">
        <v>108</v>
      </c>
    </row>
    <row r="84" spans="1:21" x14ac:dyDescent="0.3">
      <c r="A84" t="s">
        <v>189</v>
      </c>
      <c r="B84" t="s">
        <v>189</v>
      </c>
      <c r="C84" t="s">
        <v>194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229</v>
      </c>
      <c r="L84" t="s">
        <v>224</v>
      </c>
      <c r="M84">
        <v>33</v>
      </c>
      <c r="N84">
        <v>8768</v>
      </c>
      <c r="O84" t="s">
        <v>52</v>
      </c>
      <c r="P84" t="s">
        <v>52</v>
      </c>
      <c r="Q84" t="s">
        <v>197</v>
      </c>
      <c r="R84" t="s">
        <v>53</v>
      </c>
      <c r="S84" t="s">
        <v>116</v>
      </c>
      <c r="T84" t="s">
        <v>198</v>
      </c>
      <c r="U84" t="s">
        <v>108</v>
      </c>
    </row>
    <row r="85" spans="1:21" x14ac:dyDescent="0.3">
      <c r="A85" t="s">
        <v>190</v>
      </c>
      <c r="B85" t="s">
        <v>190</v>
      </c>
      <c r="C85" t="s">
        <v>194</v>
      </c>
      <c r="D85">
        <v>1</v>
      </c>
      <c r="E85" t="s">
        <v>107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231</v>
      </c>
      <c r="L85" t="s">
        <v>232</v>
      </c>
      <c r="M85">
        <v>33</v>
      </c>
      <c r="N85">
        <v>9022</v>
      </c>
      <c r="O85" t="s">
        <v>52</v>
      </c>
      <c r="P85" t="s">
        <v>52</v>
      </c>
      <c r="Q85" t="s">
        <v>197</v>
      </c>
      <c r="R85" t="s">
        <v>53</v>
      </c>
      <c r="S85" t="s">
        <v>116</v>
      </c>
      <c r="T85" t="s">
        <v>198</v>
      </c>
      <c r="U85" t="s">
        <v>108</v>
      </c>
    </row>
    <row r="86" spans="1:21" x14ac:dyDescent="0.3">
      <c r="A86" t="s">
        <v>190</v>
      </c>
      <c r="B86" t="s">
        <v>190</v>
      </c>
      <c r="C86" t="s">
        <v>194</v>
      </c>
      <c r="D86">
        <v>1</v>
      </c>
      <c r="E86" t="s">
        <v>107</v>
      </c>
      <c r="F86">
        <v>1.7759450000000001</v>
      </c>
      <c r="G86">
        <v>74.400999999999996</v>
      </c>
      <c r="H86">
        <v>132</v>
      </c>
      <c r="I86" t="s">
        <v>117</v>
      </c>
      <c r="J86" t="s">
        <v>51</v>
      </c>
      <c r="K86" t="s">
        <v>233</v>
      </c>
      <c r="L86" t="s">
        <v>234</v>
      </c>
      <c r="M86">
        <v>33</v>
      </c>
      <c r="O86" t="s">
        <v>52</v>
      </c>
      <c r="P86" t="s">
        <v>52</v>
      </c>
      <c r="Q86" t="s">
        <v>197</v>
      </c>
      <c r="R86" t="s">
        <v>53</v>
      </c>
      <c r="S86" t="s">
        <v>116</v>
      </c>
      <c r="T86" t="s">
        <v>198</v>
      </c>
      <c r="U86" t="s">
        <v>108</v>
      </c>
    </row>
    <row r="87" spans="1:21" x14ac:dyDescent="0.3">
      <c r="A87" t="s">
        <v>190</v>
      </c>
      <c r="B87" t="s">
        <v>190</v>
      </c>
      <c r="C87" t="s">
        <v>194</v>
      </c>
      <c r="D87">
        <v>1</v>
      </c>
      <c r="E87" t="s">
        <v>107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235</v>
      </c>
      <c r="L87" t="s">
        <v>232</v>
      </c>
      <c r="M87">
        <v>33</v>
      </c>
      <c r="N87">
        <v>9022</v>
      </c>
      <c r="O87" t="s">
        <v>52</v>
      </c>
      <c r="P87" t="s">
        <v>52</v>
      </c>
      <c r="Q87" t="s">
        <v>197</v>
      </c>
      <c r="R87" t="s">
        <v>53</v>
      </c>
      <c r="S87" t="s">
        <v>116</v>
      </c>
      <c r="T87" t="s">
        <v>198</v>
      </c>
      <c r="U87" t="s">
        <v>108</v>
      </c>
    </row>
    <row r="88" spans="1:21" x14ac:dyDescent="0.3">
      <c r="A88" t="s">
        <v>190</v>
      </c>
      <c r="B88" t="s">
        <v>190</v>
      </c>
      <c r="C88" t="s">
        <v>194</v>
      </c>
      <c r="D88">
        <v>1</v>
      </c>
      <c r="E88" t="s">
        <v>107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236</v>
      </c>
      <c r="L88" t="s">
        <v>232</v>
      </c>
      <c r="M88">
        <v>33</v>
      </c>
      <c r="N88">
        <v>9022</v>
      </c>
      <c r="O88" t="s">
        <v>52</v>
      </c>
      <c r="P88" t="s">
        <v>52</v>
      </c>
      <c r="Q88" t="s">
        <v>197</v>
      </c>
      <c r="R88" t="s">
        <v>53</v>
      </c>
      <c r="S88" t="s">
        <v>116</v>
      </c>
      <c r="T88" t="s">
        <v>198</v>
      </c>
      <c r="U88" t="s">
        <v>108</v>
      </c>
    </row>
    <row r="89" spans="1:21" x14ac:dyDescent="0.3">
      <c r="A89" t="s">
        <v>190</v>
      </c>
      <c r="B89" t="s">
        <v>190</v>
      </c>
      <c r="C89" t="s">
        <v>194</v>
      </c>
      <c r="D89">
        <v>1</v>
      </c>
      <c r="E89" t="s">
        <v>107</v>
      </c>
      <c r="F89">
        <v>1.7759450000000001</v>
      </c>
      <c r="G89">
        <v>1.0669999999999999</v>
      </c>
      <c r="H89">
        <v>2</v>
      </c>
      <c r="I89" t="s">
        <v>119</v>
      </c>
      <c r="J89" t="s">
        <v>58</v>
      </c>
      <c r="K89" t="s">
        <v>237</v>
      </c>
      <c r="L89" t="s">
        <v>234</v>
      </c>
      <c r="M89">
        <v>33</v>
      </c>
      <c r="O89" t="s">
        <v>52</v>
      </c>
      <c r="P89" t="s">
        <v>52</v>
      </c>
      <c r="Q89" t="s">
        <v>197</v>
      </c>
      <c r="R89" t="s">
        <v>53</v>
      </c>
      <c r="S89" t="s">
        <v>116</v>
      </c>
      <c r="T89" t="s">
        <v>198</v>
      </c>
      <c r="U89" t="s">
        <v>108</v>
      </c>
    </row>
    <row r="90" spans="1:21" x14ac:dyDescent="0.3">
      <c r="A90" t="s">
        <v>190</v>
      </c>
      <c r="B90" t="s">
        <v>190</v>
      </c>
      <c r="C90" t="s">
        <v>194</v>
      </c>
      <c r="D90">
        <v>1</v>
      </c>
      <c r="E90" t="s">
        <v>107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238</v>
      </c>
      <c r="L90" t="s">
        <v>232</v>
      </c>
      <c r="M90">
        <v>33</v>
      </c>
      <c r="N90">
        <v>9022</v>
      </c>
      <c r="O90" t="s">
        <v>52</v>
      </c>
      <c r="P90" t="s">
        <v>52</v>
      </c>
      <c r="Q90" t="s">
        <v>197</v>
      </c>
      <c r="R90" t="s">
        <v>53</v>
      </c>
      <c r="S90" t="s">
        <v>116</v>
      </c>
      <c r="T90" t="s">
        <v>198</v>
      </c>
      <c r="U90" t="s">
        <v>108</v>
      </c>
    </row>
    <row r="91" spans="1:21" x14ac:dyDescent="0.3">
      <c r="A91" t="s">
        <v>190</v>
      </c>
      <c r="B91" t="s">
        <v>190</v>
      </c>
      <c r="C91" t="s">
        <v>194</v>
      </c>
      <c r="D91">
        <v>2</v>
      </c>
      <c r="E91" t="s">
        <v>118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235</v>
      </c>
      <c r="L91" t="s">
        <v>232</v>
      </c>
      <c r="M91">
        <v>33</v>
      </c>
      <c r="N91">
        <v>9022</v>
      </c>
      <c r="O91" t="s">
        <v>52</v>
      </c>
      <c r="P91" t="s">
        <v>52</v>
      </c>
      <c r="Q91" t="s">
        <v>197</v>
      </c>
      <c r="R91" t="s">
        <v>53</v>
      </c>
      <c r="S91" t="s">
        <v>116</v>
      </c>
      <c r="T91" t="s">
        <v>198</v>
      </c>
      <c r="U91" t="s">
        <v>108</v>
      </c>
    </row>
    <row r="92" spans="1:21" x14ac:dyDescent="0.3">
      <c r="A92" t="s">
        <v>190</v>
      </c>
      <c r="B92" t="s">
        <v>190</v>
      </c>
      <c r="C92" t="s">
        <v>194</v>
      </c>
      <c r="D92">
        <v>2</v>
      </c>
      <c r="E92" t="s">
        <v>118</v>
      </c>
      <c r="F92">
        <v>1.1665999999999999E-2</v>
      </c>
      <c r="G92">
        <v>75.736999999999995</v>
      </c>
      <c r="H92">
        <v>1</v>
      </c>
      <c r="I92" t="s">
        <v>117</v>
      </c>
      <c r="J92" t="s">
        <v>51</v>
      </c>
      <c r="K92" t="s">
        <v>233</v>
      </c>
      <c r="L92" t="s">
        <v>234</v>
      </c>
      <c r="M92">
        <v>33</v>
      </c>
      <c r="O92" t="s">
        <v>52</v>
      </c>
      <c r="P92" t="s">
        <v>52</v>
      </c>
      <c r="Q92" t="s">
        <v>197</v>
      </c>
      <c r="R92" t="s">
        <v>53</v>
      </c>
      <c r="S92" t="s">
        <v>116</v>
      </c>
      <c r="T92" t="s">
        <v>198</v>
      </c>
      <c r="U92" t="s">
        <v>108</v>
      </c>
    </row>
    <row r="93" spans="1:21" x14ac:dyDescent="0.3">
      <c r="A93" t="s">
        <v>190</v>
      </c>
      <c r="B93" t="s">
        <v>190</v>
      </c>
      <c r="C93" t="s">
        <v>194</v>
      </c>
      <c r="D93">
        <v>2</v>
      </c>
      <c r="E93" t="s">
        <v>118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231</v>
      </c>
      <c r="L93" t="s">
        <v>232</v>
      </c>
      <c r="M93">
        <v>33</v>
      </c>
      <c r="N93">
        <v>9022</v>
      </c>
      <c r="O93" t="s">
        <v>52</v>
      </c>
      <c r="P93" t="s">
        <v>52</v>
      </c>
      <c r="Q93" t="s">
        <v>197</v>
      </c>
      <c r="R93" t="s">
        <v>53</v>
      </c>
      <c r="S93" t="s">
        <v>116</v>
      </c>
      <c r="T93" t="s">
        <v>198</v>
      </c>
      <c r="U93" t="s">
        <v>108</v>
      </c>
    </row>
    <row r="94" spans="1:21" x14ac:dyDescent="0.3">
      <c r="A94" t="s">
        <v>190</v>
      </c>
      <c r="B94" t="s">
        <v>190</v>
      </c>
      <c r="C94" t="s">
        <v>194</v>
      </c>
      <c r="D94">
        <v>2</v>
      </c>
      <c r="E94" t="s">
        <v>118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238</v>
      </c>
      <c r="L94" t="s">
        <v>232</v>
      </c>
      <c r="M94">
        <v>33</v>
      </c>
      <c r="N94">
        <v>9022</v>
      </c>
      <c r="O94" t="s">
        <v>52</v>
      </c>
      <c r="P94" t="s">
        <v>52</v>
      </c>
      <c r="Q94" t="s">
        <v>197</v>
      </c>
      <c r="R94" t="s">
        <v>53</v>
      </c>
      <c r="S94" t="s">
        <v>116</v>
      </c>
      <c r="T94" t="s">
        <v>198</v>
      </c>
      <c r="U94" t="s">
        <v>108</v>
      </c>
    </row>
    <row r="95" spans="1:21" x14ac:dyDescent="0.3">
      <c r="A95" t="s">
        <v>190</v>
      </c>
      <c r="B95" t="s">
        <v>190</v>
      </c>
      <c r="C95" t="s">
        <v>194</v>
      </c>
      <c r="D95">
        <v>2</v>
      </c>
      <c r="E95" t="s">
        <v>118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236</v>
      </c>
      <c r="L95" t="s">
        <v>232</v>
      </c>
      <c r="M95">
        <v>33</v>
      </c>
      <c r="N95">
        <v>9022</v>
      </c>
      <c r="O95" t="s">
        <v>52</v>
      </c>
      <c r="P95" t="s">
        <v>52</v>
      </c>
      <c r="Q95" t="s">
        <v>197</v>
      </c>
      <c r="R95" t="s">
        <v>53</v>
      </c>
      <c r="S95" t="s">
        <v>116</v>
      </c>
      <c r="T95" t="s">
        <v>198</v>
      </c>
      <c r="U95" t="s">
        <v>108</v>
      </c>
    </row>
    <row r="96" spans="1:21" x14ac:dyDescent="0.3">
      <c r="A96" t="s">
        <v>190</v>
      </c>
      <c r="B96" t="s">
        <v>190</v>
      </c>
      <c r="C96" t="s">
        <v>194</v>
      </c>
      <c r="D96">
        <v>3</v>
      </c>
      <c r="E96" t="s">
        <v>105</v>
      </c>
      <c r="F96">
        <v>0.55193199999999998</v>
      </c>
      <c r="G96">
        <v>1.0669999999999999</v>
      </c>
      <c r="H96">
        <v>1</v>
      </c>
      <c r="I96" t="s">
        <v>119</v>
      </c>
      <c r="J96" t="s">
        <v>58</v>
      </c>
      <c r="K96" t="s">
        <v>237</v>
      </c>
      <c r="L96" t="s">
        <v>234</v>
      </c>
      <c r="M96">
        <v>33</v>
      </c>
      <c r="O96" t="s">
        <v>52</v>
      </c>
      <c r="P96" t="s">
        <v>52</v>
      </c>
      <c r="Q96" t="s">
        <v>197</v>
      </c>
      <c r="R96" t="s">
        <v>53</v>
      </c>
      <c r="S96" t="s">
        <v>116</v>
      </c>
      <c r="T96" t="s">
        <v>198</v>
      </c>
      <c r="U96" t="s">
        <v>108</v>
      </c>
    </row>
    <row r="97" spans="1:21" x14ac:dyDescent="0.3">
      <c r="A97" t="s">
        <v>190</v>
      </c>
      <c r="B97" t="s">
        <v>190</v>
      </c>
      <c r="C97" t="s">
        <v>194</v>
      </c>
      <c r="D97">
        <v>3</v>
      </c>
      <c r="E97" t="s">
        <v>105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235</v>
      </c>
      <c r="L97" t="s">
        <v>232</v>
      </c>
      <c r="M97">
        <v>33</v>
      </c>
      <c r="N97">
        <v>9022</v>
      </c>
      <c r="O97" t="s">
        <v>52</v>
      </c>
      <c r="P97" t="s">
        <v>52</v>
      </c>
      <c r="Q97" t="s">
        <v>197</v>
      </c>
      <c r="R97" t="s">
        <v>53</v>
      </c>
      <c r="S97" t="s">
        <v>116</v>
      </c>
      <c r="T97" t="s">
        <v>198</v>
      </c>
      <c r="U97" t="s">
        <v>108</v>
      </c>
    </row>
    <row r="98" spans="1:21" x14ac:dyDescent="0.3">
      <c r="A98" t="s">
        <v>190</v>
      </c>
      <c r="B98" t="s">
        <v>190</v>
      </c>
      <c r="C98" t="s">
        <v>194</v>
      </c>
      <c r="D98">
        <v>3</v>
      </c>
      <c r="E98" t="s">
        <v>105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238</v>
      </c>
      <c r="L98" t="s">
        <v>232</v>
      </c>
      <c r="M98">
        <v>33</v>
      </c>
      <c r="N98">
        <v>9022</v>
      </c>
      <c r="O98" t="s">
        <v>52</v>
      </c>
      <c r="P98" t="s">
        <v>52</v>
      </c>
      <c r="Q98" t="s">
        <v>197</v>
      </c>
      <c r="R98" t="s">
        <v>53</v>
      </c>
      <c r="S98" t="s">
        <v>116</v>
      </c>
      <c r="T98" t="s">
        <v>198</v>
      </c>
      <c r="U98" t="s">
        <v>108</v>
      </c>
    </row>
    <row r="99" spans="1:21" x14ac:dyDescent="0.3">
      <c r="A99" t="s">
        <v>190</v>
      </c>
      <c r="B99" t="s">
        <v>190</v>
      </c>
      <c r="C99" t="s">
        <v>194</v>
      </c>
      <c r="D99">
        <v>3</v>
      </c>
      <c r="E99" t="s">
        <v>105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231</v>
      </c>
      <c r="L99" t="s">
        <v>232</v>
      </c>
      <c r="M99">
        <v>33</v>
      </c>
      <c r="N99">
        <v>9022</v>
      </c>
      <c r="O99" t="s">
        <v>52</v>
      </c>
      <c r="P99" t="s">
        <v>52</v>
      </c>
      <c r="Q99" t="s">
        <v>197</v>
      </c>
      <c r="R99" t="s">
        <v>53</v>
      </c>
      <c r="S99" t="s">
        <v>116</v>
      </c>
      <c r="T99" t="s">
        <v>198</v>
      </c>
      <c r="U99" t="s">
        <v>108</v>
      </c>
    </row>
    <row r="100" spans="1:21" x14ac:dyDescent="0.3">
      <c r="A100" t="s">
        <v>190</v>
      </c>
      <c r="B100" t="s">
        <v>190</v>
      </c>
      <c r="C100" t="s">
        <v>194</v>
      </c>
      <c r="D100">
        <v>3</v>
      </c>
      <c r="E100" t="s">
        <v>105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236</v>
      </c>
      <c r="L100" t="s">
        <v>232</v>
      </c>
      <c r="M100">
        <v>33</v>
      </c>
      <c r="N100">
        <v>9022</v>
      </c>
      <c r="O100" t="s">
        <v>52</v>
      </c>
      <c r="P100" t="s">
        <v>52</v>
      </c>
      <c r="Q100" t="s">
        <v>197</v>
      </c>
      <c r="R100" t="s">
        <v>53</v>
      </c>
      <c r="S100" t="s">
        <v>116</v>
      </c>
      <c r="T100" t="s">
        <v>198</v>
      </c>
      <c r="U100" t="s">
        <v>108</v>
      </c>
    </row>
    <row r="101" spans="1:21" x14ac:dyDescent="0.3">
      <c r="A101" t="s">
        <v>190</v>
      </c>
      <c r="B101" t="s">
        <v>190</v>
      </c>
      <c r="C101" t="s">
        <v>194</v>
      </c>
      <c r="D101">
        <v>3</v>
      </c>
      <c r="E101" t="s">
        <v>105</v>
      </c>
      <c r="F101">
        <v>0.55193199999999998</v>
      </c>
      <c r="G101">
        <v>70.436999999999998</v>
      </c>
      <c r="H101">
        <v>39</v>
      </c>
      <c r="I101" t="s">
        <v>117</v>
      </c>
      <c r="J101" t="s">
        <v>51</v>
      </c>
      <c r="K101" t="s">
        <v>233</v>
      </c>
      <c r="L101" t="s">
        <v>234</v>
      </c>
      <c r="M101">
        <v>33</v>
      </c>
      <c r="O101" t="s">
        <v>52</v>
      </c>
      <c r="P101" t="s">
        <v>52</v>
      </c>
      <c r="Q101" t="s">
        <v>197</v>
      </c>
      <c r="R101" t="s">
        <v>53</v>
      </c>
      <c r="S101" t="s">
        <v>116</v>
      </c>
      <c r="T101" t="s">
        <v>198</v>
      </c>
      <c r="U101" t="s">
        <v>108</v>
      </c>
    </row>
    <row r="102" spans="1:21" x14ac:dyDescent="0.3">
      <c r="A102" t="s">
        <v>190</v>
      </c>
      <c r="B102" t="s">
        <v>190</v>
      </c>
      <c r="C102" t="s">
        <v>194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238</v>
      </c>
      <c r="L102" t="s">
        <v>232</v>
      </c>
      <c r="M102">
        <v>33</v>
      </c>
      <c r="N102">
        <v>9022</v>
      </c>
      <c r="O102" t="s">
        <v>52</v>
      </c>
      <c r="P102" t="s">
        <v>52</v>
      </c>
      <c r="Q102" t="s">
        <v>197</v>
      </c>
      <c r="R102" t="s">
        <v>53</v>
      </c>
      <c r="S102" t="s">
        <v>116</v>
      </c>
      <c r="T102" t="s">
        <v>198</v>
      </c>
      <c r="U102" t="s">
        <v>108</v>
      </c>
    </row>
    <row r="103" spans="1:21" x14ac:dyDescent="0.3">
      <c r="A103" t="s">
        <v>190</v>
      </c>
      <c r="B103" t="s">
        <v>190</v>
      </c>
      <c r="C103" t="s">
        <v>194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235</v>
      </c>
      <c r="L103" t="s">
        <v>232</v>
      </c>
      <c r="M103">
        <v>33</v>
      </c>
      <c r="N103">
        <v>9022</v>
      </c>
      <c r="O103" t="s">
        <v>52</v>
      </c>
      <c r="P103" t="s">
        <v>52</v>
      </c>
      <c r="Q103" t="s">
        <v>197</v>
      </c>
      <c r="R103" t="s">
        <v>53</v>
      </c>
      <c r="S103" t="s">
        <v>116</v>
      </c>
      <c r="T103" t="s">
        <v>198</v>
      </c>
      <c r="U103" t="s">
        <v>108</v>
      </c>
    </row>
    <row r="104" spans="1:21" x14ac:dyDescent="0.3">
      <c r="A104" t="s">
        <v>190</v>
      </c>
      <c r="B104" t="s">
        <v>190</v>
      </c>
      <c r="C104" t="s">
        <v>194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231</v>
      </c>
      <c r="L104" t="s">
        <v>232</v>
      </c>
      <c r="M104">
        <v>33</v>
      </c>
      <c r="N104">
        <v>9022</v>
      </c>
      <c r="O104" t="s">
        <v>52</v>
      </c>
      <c r="P104" t="s">
        <v>52</v>
      </c>
      <c r="Q104" t="s">
        <v>197</v>
      </c>
      <c r="R104" t="s">
        <v>53</v>
      </c>
      <c r="S104" t="s">
        <v>116</v>
      </c>
      <c r="T104" t="s">
        <v>198</v>
      </c>
      <c r="U104" t="s">
        <v>108</v>
      </c>
    </row>
    <row r="105" spans="1:21" x14ac:dyDescent="0.3">
      <c r="A105" t="s">
        <v>190</v>
      </c>
      <c r="B105" t="s">
        <v>190</v>
      </c>
      <c r="C105" t="s">
        <v>194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119</v>
      </c>
      <c r="J105" t="s">
        <v>58</v>
      </c>
      <c r="K105" t="s">
        <v>237</v>
      </c>
      <c r="L105" t="s">
        <v>234</v>
      </c>
      <c r="M105">
        <v>33</v>
      </c>
      <c r="O105" t="s">
        <v>52</v>
      </c>
      <c r="P105" t="s">
        <v>52</v>
      </c>
      <c r="Q105" t="s">
        <v>197</v>
      </c>
      <c r="R105" t="s">
        <v>53</v>
      </c>
      <c r="S105" t="s">
        <v>116</v>
      </c>
      <c r="T105" t="s">
        <v>198</v>
      </c>
      <c r="U105" t="s">
        <v>108</v>
      </c>
    </row>
    <row r="106" spans="1:21" x14ac:dyDescent="0.3">
      <c r="A106" t="s">
        <v>190</v>
      </c>
      <c r="B106" t="s">
        <v>190</v>
      </c>
      <c r="C106" t="s">
        <v>194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236</v>
      </c>
      <c r="L106" t="s">
        <v>232</v>
      </c>
      <c r="M106">
        <v>33</v>
      </c>
      <c r="N106">
        <v>9022</v>
      </c>
      <c r="O106" t="s">
        <v>52</v>
      </c>
      <c r="P106" t="s">
        <v>52</v>
      </c>
      <c r="Q106" t="s">
        <v>197</v>
      </c>
      <c r="R106" t="s">
        <v>53</v>
      </c>
      <c r="S106" t="s">
        <v>116</v>
      </c>
      <c r="T106" t="s">
        <v>198</v>
      </c>
      <c r="U106" t="s">
        <v>108</v>
      </c>
    </row>
    <row r="107" spans="1:21" x14ac:dyDescent="0.3">
      <c r="A107" t="s">
        <v>190</v>
      </c>
      <c r="B107" t="s">
        <v>190</v>
      </c>
      <c r="C107" t="s">
        <v>194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117</v>
      </c>
      <c r="J107" t="s">
        <v>51</v>
      </c>
      <c r="K107" t="s">
        <v>233</v>
      </c>
      <c r="L107" t="s">
        <v>234</v>
      </c>
      <c r="M107">
        <v>33</v>
      </c>
      <c r="O107" t="s">
        <v>52</v>
      </c>
      <c r="P107" t="s">
        <v>52</v>
      </c>
      <c r="Q107" t="s">
        <v>197</v>
      </c>
      <c r="R107" t="s">
        <v>53</v>
      </c>
      <c r="S107" t="s">
        <v>116</v>
      </c>
      <c r="T107" t="s">
        <v>198</v>
      </c>
      <c r="U107" t="s">
        <v>108</v>
      </c>
    </row>
    <row r="108" spans="1:21" x14ac:dyDescent="0.3">
      <c r="A108" t="s">
        <v>190</v>
      </c>
      <c r="B108" t="s">
        <v>190</v>
      </c>
      <c r="C108" t="s">
        <v>194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236</v>
      </c>
      <c r="L108" t="s">
        <v>232</v>
      </c>
      <c r="M108">
        <v>33</v>
      </c>
      <c r="N108">
        <v>9022</v>
      </c>
      <c r="O108" t="s">
        <v>52</v>
      </c>
      <c r="P108" t="s">
        <v>52</v>
      </c>
      <c r="Q108" t="s">
        <v>197</v>
      </c>
      <c r="R108" t="s">
        <v>53</v>
      </c>
      <c r="S108" t="s">
        <v>116</v>
      </c>
      <c r="T108" t="s">
        <v>198</v>
      </c>
      <c r="U108" t="s">
        <v>108</v>
      </c>
    </row>
    <row r="109" spans="1:21" x14ac:dyDescent="0.3">
      <c r="A109" t="s">
        <v>190</v>
      </c>
      <c r="B109" t="s">
        <v>190</v>
      </c>
      <c r="C109" t="s">
        <v>194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117</v>
      </c>
      <c r="J109" t="s">
        <v>51</v>
      </c>
      <c r="K109" t="s">
        <v>233</v>
      </c>
      <c r="L109" t="s">
        <v>234</v>
      </c>
      <c r="M109">
        <v>33</v>
      </c>
      <c r="O109" t="s">
        <v>52</v>
      </c>
      <c r="P109" t="s">
        <v>52</v>
      </c>
      <c r="Q109" t="s">
        <v>197</v>
      </c>
      <c r="R109" t="s">
        <v>53</v>
      </c>
      <c r="S109" t="s">
        <v>116</v>
      </c>
      <c r="T109" t="s">
        <v>198</v>
      </c>
      <c r="U109" t="s">
        <v>108</v>
      </c>
    </row>
    <row r="110" spans="1:21" x14ac:dyDescent="0.3">
      <c r="A110" t="s">
        <v>190</v>
      </c>
      <c r="B110" t="s">
        <v>190</v>
      </c>
      <c r="C110" t="s">
        <v>194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231</v>
      </c>
      <c r="L110" t="s">
        <v>232</v>
      </c>
      <c r="M110">
        <v>33</v>
      </c>
      <c r="N110">
        <v>9022</v>
      </c>
      <c r="O110" t="s">
        <v>52</v>
      </c>
      <c r="P110" t="s">
        <v>52</v>
      </c>
      <c r="Q110" t="s">
        <v>197</v>
      </c>
      <c r="R110" t="s">
        <v>53</v>
      </c>
      <c r="S110" t="s">
        <v>116</v>
      </c>
      <c r="T110" t="s">
        <v>198</v>
      </c>
      <c r="U110" t="s">
        <v>108</v>
      </c>
    </row>
    <row r="111" spans="1:21" x14ac:dyDescent="0.3">
      <c r="A111" t="s">
        <v>190</v>
      </c>
      <c r="B111" t="s">
        <v>190</v>
      </c>
      <c r="C111" t="s">
        <v>194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238</v>
      </c>
      <c r="L111" t="s">
        <v>232</v>
      </c>
      <c r="M111">
        <v>33</v>
      </c>
      <c r="N111">
        <v>9022</v>
      </c>
      <c r="O111" t="s">
        <v>52</v>
      </c>
      <c r="P111" t="s">
        <v>52</v>
      </c>
      <c r="Q111" t="s">
        <v>197</v>
      </c>
      <c r="R111" t="s">
        <v>53</v>
      </c>
      <c r="S111" t="s">
        <v>116</v>
      </c>
      <c r="T111" t="s">
        <v>198</v>
      </c>
      <c r="U111" t="s">
        <v>108</v>
      </c>
    </row>
    <row r="112" spans="1:21" x14ac:dyDescent="0.3">
      <c r="A112" t="s">
        <v>190</v>
      </c>
      <c r="B112" t="s">
        <v>190</v>
      </c>
      <c r="C112" t="s">
        <v>194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235</v>
      </c>
      <c r="L112" t="s">
        <v>232</v>
      </c>
      <c r="M112">
        <v>33</v>
      </c>
      <c r="N112">
        <v>9022</v>
      </c>
      <c r="O112" t="s">
        <v>52</v>
      </c>
      <c r="P112" t="s">
        <v>52</v>
      </c>
      <c r="Q112" t="s">
        <v>197</v>
      </c>
      <c r="R112" t="s">
        <v>53</v>
      </c>
      <c r="S112" t="s">
        <v>116</v>
      </c>
      <c r="T112" t="s">
        <v>198</v>
      </c>
      <c r="U112" t="s">
        <v>108</v>
      </c>
    </row>
    <row r="113" spans="1:21" x14ac:dyDescent="0.3">
      <c r="A113" t="s">
        <v>183</v>
      </c>
      <c r="B113" t="s">
        <v>183</v>
      </c>
      <c r="C113" t="s">
        <v>194</v>
      </c>
      <c r="D113">
        <v>1</v>
      </c>
      <c r="E113" t="s">
        <v>107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239</v>
      </c>
      <c r="L113" t="s">
        <v>240</v>
      </c>
      <c r="M113">
        <v>33</v>
      </c>
      <c r="N113">
        <v>9466</v>
      </c>
      <c r="O113" t="s">
        <v>52</v>
      </c>
      <c r="P113" t="s">
        <v>52</v>
      </c>
      <c r="Q113" t="s">
        <v>197</v>
      </c>
      <c r="R113" t="s">
        <v>53</v>
      </c>
      <c r="S113" t="s">
        <v>116</v>
      </c>
      <c r="T113" t="s">
        <v>198</v>
      </c>
      <c r="U113" t="s">
        <v>108</v>
      </c>
    </row>
    <row r="114" spans="1:21" x14ac:dyDescent="0.3">
      <c r="A114" t="s">
        <v>183</v>
      </c>
      <c r="B114" t="s">
        <v>183</v>
      </c>
      <c r="C114" t="s">
        <v>194</v>
      </c>
      <c r="D114">
        <v>1</v>
      </c>
      <c r="E114" t="s">
        <v>107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241</v>
      </c>
      <c r="L114" t="s">
        <v>240</v>
      </c>
      <c r="M114">
        <v>33</v>
      </c>
      <c r="N114">
        <v>9466</v>
      </c>
      <c r="O114" t="s">
        <v>52</v>
      </c>
      <c r="P114" t="s">
        <v>52</v>
      </c>
      <c r="Q114" t="s">
        <v>197</v>
      </c>
      <c r="R114" t="s">
        <v>53</v>
      </c>
      <c r="S114" t="s">
        <v>116</v>
      </c>
      <c r="T114" t="s">
        <v>198</v>
      </c>
      <c r="U114" t="s">
        <v>108</v>
      </c>
    </row>
    <row r="115" spans="1:21" x14ac:dyDescent="0.3">
      <c r="A115" t="s">
        <v>183</v>
      </c>
      <c r="B115" t="s">
        <v>183</v>
      </c>
      <c r="C115" t="s">
        <v>194</v>
      </c>
      <c r="D115">
        <v>1</v>
      </c>
      <c r="E115" t="s">
        <v>107</v>
      </c>
      <c r="F115">
        <v>1</v>
      </c>
      <c r="G115">
        <v>-19</v>
      </c>
      <c r="H115">
        <v>-19</v>
      </c>
      <c r="I115" t="s">
        <v>117</v>
      </c>
      <c r="J115" t="s">
        <v>51</v>
      </c>
      <c r="K115" t="s">
        <v>242</v>
      </c>
      <c r="L115" t="s">
        <v>243</v>
      </c>
      <c r="M115">
        <v>61</v>
      </c>
      <c r="O115" t="s">
        <v>52</v>
      </c>
      <c r="P115" t="s">
        <v>52</v>
      </c>
      <c r="Q115" t="s">
        <v>197</v>
      </c>
      <c r="R115" t="s">
        <v>53</v>
      </c>
      <c r="S115" t="s">
        <v>116</v>
      </c>
      <c r="T115" t="s">
        <v>198</v>
      </c>
      <c r="U115" t="s">
        <v>108</v>
      </c>
    </row>
    <row r="116" spans="1:21" x14ac:dyDescent="0.3">
      <c r="A116" t="s">
        <v>183</v>
      </c>
      <c r="B116" t="s">
        <v>183</v>
      </c>
      <c r="C116" t="s">
        <v>194</v>
      </c>
      <c r="D116">
        <v>1</v>
      </c>
      <c r="E116" t="s">
        <v>107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244</v>
      </c>
      <c r="L116" t="s">
        <v>240</v>
      </c>
      <c r="M116">
        <v>33</v>
      </c>
      <c r="N116">
        <v>9466</v>
      </c>
      <c r="O116" t="s">
        <v>52</v>
      </c>
      <c r="P116" t="s">
        <v>52</v>
      </c>
      <c r="Q116" t="s">
        <v>197</v>
      </c>
      <c r="R116" t="s">
        <v>53</v>
      </c>
      <c r="S116" t="s">
        <v>116</v>
      </c>
      <c r="T116" t="s">
        <v>198</v>
      </c>
      <c r="U116" t="s">
        <v>108</v>
      </c>
    </row>
    <row r="117" spans="1:21" x14ac:dyDescent="0.3">
      <c r="A117" t="s">
        <v>183</v>
      </c>
      <c r="B117" t="s">
        <v>183</v>
      </c>
      <c r="C117" t="s">
        <v>194</v>
      </c>
      <c r="D117">
        <v>1</v>
      </c>
      <c r="E117" t="s">
        <v>107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245</v>
      </c>
      <c r="L117" t="s">
        <v>240</v>
      </c>
      <c r="M117">
        <v>33</v>
      </c>
      <c r="N117">
        <v>9466</v>
      </c>
      <c r="O117" t="s">
        <v>52</v>
      </c>
      <c r="P117" t="s">
        <v>52</v>
      </c>
      <c r="Q117" t="s">
        <v>197</v>
      </c>
      <c r="R117" t="s">
        <v>53</v>
      </c>
      <c r="S117" t="s">
        <v>116</v>
      </c>
      <c r="T117" t="s">
        <v>198</v>
      </c>
      <c r="U117" t="s">
        <v>108</v>
      </c>
    </row>
    <row r="118" spans="1:21" x14ac:dyDescent="0.3">
      <c r="A118" t="s">
        <v>183</v>
      </c>
      <c r="B118" t="s">
        <v>183</v>
      </c>
      <c r="C118" t="s">
        <v>194</v>
      </c>
      <c r="D118">
        <v>2</v>
      </c>
      <c r="E118" t="s">
        <v>118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245</v>
      </c>
      <c r="L118" t="s">
        <v>240</v>
      </c>
      <c r="M118">
        <v>33</v>
      </c>
      <c r="N118">
        <v>9466</v>
      </c>
      <c r="O118" t="s">
        <v>52</v>
      </c>
      <c r="P118" t="s">
        <v>52</v>
      </c>
      <c r="Q118" t="s">
        <v>197</v>
      </c>
      <c r="R118" t="s">
        <v>53</v>
      </c>
      <c r="S118" t="s">
        <v>116</v>
      </c>
      <c r="T118" t="s">
        <v>198</v>
      </c>
      <c r="U118" t="s">
        <v>108</v>
      </c>
    </row>
    <row r="119" spans="1:21" x14ac:dyDescent="0.3">
      <c r="A119" t="s">
        <v>183</v>
      </c>
      <c r="B119" t="s">
        <v>183</v>
      </c>
      <c r="C119" t="s">
        <v>194</v>
      </c>
      <c r="D119">
        <v>2</v>
      </c>
      <c r="E119" t="s">
        <v>118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244</v>
      </c>
      <c r="L119" t="s">
        <v>240</v>
      </c>
      <c r="M119">
        <v>33</v>
      </c>
      <c r="N119">
        <v>9466</v>
      </c>
      <c r="O119" t="s">
        <v>52</v>
      </c>
      <c r="P119" t="s">
        <v>52</v>
      </c>
      <c r="Q119" t="s">
        <v>197</v>
      </c>
      <c r="R119" t="s">
        <v>53</v>
      </c>
      <c r="S119" t="s">
        <v>116</v>
      </c>
      <c r="T119" t="s">
        <v>198</v>
      </c>
      <c r="U119" t="s">
        <v>108</v>
      </c>
    </row>
    <row r="120" spans="1:21" x14ac:dyDescent="0.3">
      <c r="A120" t="s">
        <v>183</v>
      </c>
      <c r="B120" t="s">
        <v>183</v>
      </c>
      <c r="C120" t="s">
        <v>194</v>
      </c>
      <c r="D120">
        <v>2</v>
      </c>
      <c r="E120" t="s">
        <v>118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241</v>
      </c>
      <c r="L120" t="s">
        <v>240</v>
      </c>
      <c r="M120">
        <v>33</v>
      </c>
      <c r="N120">
        <v>9466</v>
      </c>
      <c r="O120" t="s">
        <v>52</v>
      </c>
      <c r="P120" t="s">
        <v>52</v>
      </c>
      <c r="Q120" t="s">
        <v>197</v>
      </c>
      <c r="R120" t="s">
        <v>53</v>
      </c>
      <c r="S120" t="s">
        <v>116</v>
      </c>
      <c r="T120" t="s">
        <v>198</v>
      </c>
      <c r="U120" t="s">
        <v>108</v>
      </c>
    </row>
    <row r="121" spans="1:21" x14ac:dyDescent="0.3">
      <c r="A121" t="s">
        <v>183</v>
      </c>
      <c r="B121" t="s">
        <v>183</v>
      </c>
      <c r="C121" t="s">
        <v>194</v>
      </c>
      <c r="D121">
        <v>2</v>
      </c>
      <c r="E121" t="s">
        <v>118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239</v>
      </c>
      <c r="L121" t="s">
        <v>240</v>
      </c>
      <c r="M121">
        <v>33</v>
      </c>
      <c r="N121">
        <v>9466</v>
      </c>
      <c r="O121" t="s">
        <v>52</v>
      </c>
      <c r="P121" t="s">
        <v>52</v>
      </c>
      <c r="Q121" t="s">
        <v>197</v>
      </c>
      <c r="R121" t="s">
        <v>53</v>
      </c>
      <c r="S121" t="s">
        <v>116</v>
      </c>
      <c r="T121" t="s">
        <v>198</v>
      </c>
      <c r="U121" t="s">
        <v>108</v>
      </c>
    </row>
    <row r="122" spans="1:21" x14ac:dyDescent="0.3">
      <c r="A122" t="s">
        <v>183</v>
      </c>
      <c r="B122" t="s">
        <v>183</v>
      </c>
      <c r="C122" t="s">
        <v>194</v>
      </c>
      <c r="D122">
        <v>3</v>
      </c>
      <c r="E122" t="s">
        <v>105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244</v>
      </c>
      <c r="L122" t="s">
        <v>240</v>
      </c>
      <c r="M122">
        <v>33</v>
      </c>
      <c r="N122">
        <v>9466</v>
      </c>
      <c r="O122" t="s">
        <v>52</v>
      </c>
      <c r="P122" t="s">
        <v>52</v>
      </c>
      <c r="Q122" t="s">
        <v>197</v>
      </c>
      <c r="R122" t="s">
        <v>53</v>
      </c>
      <c r="S122" t="s">
        <v>116</v>
      </c>
      <c r="T122" t="s">
        <v>198</v>
      </c>
      <c r="U122" t="s">
        <v>108</v>
      </c>
    </row>
    <row r="123" spans="1:21" x14ac:dyDescent="0.3">
      <c r="A123" t="s">
        <v>183</v>
      </c>
      <c r="B123" t="s">
        <v>183</v>
      </c>
      <c r="C123" t="s">
        <v>194</v>
      </c>
      <c r="D123">
        <v>3</v>
      </c>
      <c r="E123" t="s">
        <v>105</v>
      </c>
      <c r="F123">
        <v>1</v>
      </c>
      <c r="G123">
        <v>-3</v>
      </c>
      <c r="H123">
        <v>-3</v>
      </c>
      <c r="I123" t="s">
        <v>117</v>
      </c>
      <c r="J123" t="s">
        <v>51</v>
      </c>
      <c r="K123" t="s">
        <v>242</v>
      </c>
      <c r="L123" t="s">
        <v>243</v>
      </c>
      <c r="M123">
        <v>61</v>
      </c>
      <c r="O123" t="s">
        <v>52</v>
      </c>
      <c r="P123" t="s">
        <v>52</v>
      </c>
      <c r="Q123" t="s">
        <v>197</v>
      </c>
      <c r="R123" t="s">
        <v>53</v>
      </c>
      <c r="S123" t="s">
        <v>116</v>
      </c>
      <c r="T123" t="s">
        <v>198</v>
      </c>
      <c r="U123" t="s">
        <v>108</v>
      </c>
    </row>
    <row r="124" spans="1:21" x14ac:dyDescent="0.3">
      <c r="A124" t="s">
        <v>183</v>
      </c>
      <c r="B124" t="s">
        <v>183</v>
      </c>
      <c r="C124" t="s">
        <v>194</v>
      </c>
      <c r="D124">
        <v>3</v>
      </c>
      <c r="E124" t="s">
        <v>105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241</v>
      </c>
      <c r="L124" t="s">
        <v>240</v>
      </c>
      <c r="M124">
        <v>33</v>
      </c>
      <c r="N124">
        <v>9466</v>
      </c>
      <c r="O124" t="s">
        <v>52</v>
      </c>
      <c r="P124" t="s">
        <v>52</v>
      </c>
      <c r="Q124" t="s">
        <v>197</v>
      </c>
      <c r="R124" t="s">
        <v>53</v>
      </c>
      <c r="S124" t="s">
        <v>116</v>
      </c>
      <c r="T124" t="s">
        <v>198</v>
      </c>
      <c r="U124" t="s">
        <v>108</v>
      </c>
    </row>
    <row r="125" spans="1:21" x14ac:dyDescent="0.3">
      <c r="A125" t="s">
        <v>183</v>
      </c>
      <c r="B125" t="s">
        <v>183</v>
      </c>
      <c r="C125" t="s">
        <v>194</v>
      </c>
      <c r="D125">
        <v>3</v>
      </c>
      <c r="E125" t="s">
        <v>105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245</v>
      </c>
      <c r="L125" t="s">
        <v>240</v>
      </c>
      <c r="M125">
        <v>33</v>
      </c>
      <c r="N125">
        <v>9466</v>
      </c>
      <c r="O125" t="s">
        <v>52</v>
      </c>
      <c r="P125" t="s">
        <v>52</v>
      </c>
      <c r="Q125" t="s">
        <v>197</v>
      </c>
      <c r="R125" t="s">
        <v>53</v>
      </c>
      <c r="S125" t="s">
        <v>116</v>
      </c>
      <c r="T125" t="s">
        <v>198</v>
      </c>
      <c r="U125" t="s">
        <v>108</v>
      </c>
    </row>
    <row r="126" spans="1:21" x14ac:dyDescent="0.3">
      <c r="A126" t="s">
        <v>183</v>
      </c>
      <c r="B126" t="s">
        <v>183</v>
      </c>
      <c r="C126" t="s">
        <v>194</v>
      </c>
      <c r="D126">
        <v>3</v>
      </c>
      <c r="E126" t="s">
        <v>105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239</v>
      </c>
      <c r="L126" t="s">
        <v>240</v>
      </c>
      <c r="M126">
        <v>33</v>
      </c>
      <c r="N126">
        <v>9466</v>
      </c>
      <c r="O126" t="s">
        <v>52</v>
      </c>
      <c r="P126" t="s">
        <v>52</v>
      </c>
      <c r="Q126" t="s">
        <v>197</v>
      </c>
      <c r="R126" t="s">
        <v>53</v>
      </c>
      <c r="S126" t="s">
        <v>116</v>
      </c>
      <c r="T126" t="s">
        <v>198</v>
      </c>
      <c r="U126" t="s">
        <v>108</v>
      </c>
    </row>
    <row r="127" spans="1:21" x14ac:dyDescent="0.3">
      <c r="A127" t="s">
        <v>183</v>
      </c>
      <c r="B127" t="s">
        <v>183</v>
      </c>
      <c r="C127" t="s">
        <v>194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245</v>
      </c>
      <c r="L127" t="s">
        <v>240</v>
      </c>
      <c r="M127">
        <v>33</v>
      </c>
      <c r="N127">
        <v>9466</v>
      </c>
      <c r="O127" t="s">
        <v>52</v>
      </c>
      <c r="P127" t="s">
        <v>52</v>
      </c>
      <c r="Q127" t="s">
        <v>197</v>
      </c>
      <c r="R127" t="s">
        <v>53</v>
      </c>
      <c r="S127" t="s">
        <v>116</v>
      </c>
      <c r="T127" t="s">
        <v>198</v>
      </c>
      <c r="U127" t="s">
        <v>108</v>
      </c>
    </row>
    <row r="128" spans="1:21" x14ac:dyDescent="0.3">
      <c r="A128" t="s">
        <v>183</v>
      </c>
      <c r="B128" t="s">
        <v>183</v>
      </c>
      <c r="C128" t="s">
        <v>194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117</v>
      </c>
      <c r="J128" t="s">
        <v>51</v>
      </c>
      <c r="K128" t="s">
        <v>242</v>
      </c>
      <c r="L128" t="s">
        <v>243</v>
      </c>
      <c r="M128">
        <v>61</v>
      </c>
      <c r="O128" t="s">
        <v>52</v>
      </c>
      <c r="P128" t="s">
        <v>52</v>
      </c>
      <c r="Q128" t="s">
        <v>197</v>
      </c>
      <c r="R128" t="s">
        <v>53</v>
      </c>
      <c r="S128" t="s">
        <v>116</v>
      </c>
      <c r="T128" t="s">
        <v>198</v>
      </c>
      <c r="U128" t="s">
        <v>108</v>
      </c>
    </row>
    <row r="129" spans="1:21" x14ac:dyDescent="0.3">
      <c r="A129" t="s">
        <v>183</v>
      </c>
      <c r="B129" t="s">
        <v>183</v>
      </c>
      <c r="C129" t="s">
        <v>194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244</v>
      </c>
      <c r="L129" t="s">
        <v>240</v>
      </c>
      <c r="M129">
        <v>33</v>
      </c>
      <c r="N129">
        <v>9466</v>
      </c>
      <c r="O129" t="s">
        <v>52</v>
      </c>
      <c r="P129" t="s">
        <v>52</v>
      </c>
      <c r="Q129" t="s">
        <v>197</v>
      </c>
      <c r="R129" t="s">
        <v>53</v>
      </c>
      <c r="S129" t="s">
        <v>116</v>
      </c>
      <c r="T129" t="s">
        <v>198</v>
      </c>
      <c r="U129" t="s">
        <v>108</v>
      </c>
    </row>
    <row r="130" spans="1:21" x14ac:dyDescent="0.3">
      <c r="A130" t="s">
        <v>183</v>
      </c>
      <c r="B130" t="s">
        <v>183</v>
      </c>
      <c r="C130" t="s">
        <v>194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241</v>
      </c>
      <c r="L130" t="s">
        <v>240</v>
      </c>
      <c r="M130">
        <v>33</v>
      </c>
      <c r="N130">
        <v>9466</v>
      </c>
      <c r="O130" t="s">
        <v>52</v>
      </c>
      <c r="P130" t="s">
        <v>52</v>
      </c>
      <c r="Q130" t="s">
        <v>197</v>
      </c>
      <c r="R130" t="s">
        <v>53</v>
      </c>
      <c r="S130" t="s">
        <v>116</v>
      </c>
      <c r="T130" t="s">
        <v>198</v>
      </c>
      <c r="U130" t="s">
        <v>108</v>
      </c>
    </row>
    <row r="131" spans="1:21" x14ac:dyDescent="0.3">
      <c r="A131" t="s">
        <v>183</v>
      </c>
      <c r="B131" t="s">
        <v>183</v>
      </c>
      <c r="C131" t="s">
        <v>194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239</v>
      </c>
      <c r="L131" t="s">
        <v>240</v>
      </c>
      <c r="M131">
        <v>33</v>
      </c>
      <c r="N131">
        <v>9466</v>
      </c>
      <c r="O131" t="s">
        <v>52</v>
      </c>
      <c r="P131" t="s">
        <v>52</v>
      </c>
      <c r="Q131" t="s">
        <v>197</v>
      </c>
      <c r="R131" t="s">
        <v>53</v>
      </c>
      <c r="S131" t="s">
        <v>116</v>
      </c>
      <c r="T131" t="s">
        <v>198</v>
      </c>
      <c r="U131" t="s">
        <v>108</v>
      </c>
    </row>
    <row r="132" spans="1:21" x14ac:dyDescent="0.3">
      <c r="A132" t="s">
        <v>183</v>
      </c>
      <c r="B132" t="s">
        <v>183</v>
      </c>
      <c r="C132" t="s">
        <v>194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241</v>
      </c>
      <c r="L132" t="s">
        <v>240</v>
      </c>
      <c r="M132">
        <v>33</v>
      </c>
      <c r="N132">
        <v>9466</v>
      </c>
      <c r="O132" t="s">
        <v>52</v>
      </c>
      <c r="P132" t="s">
        <v>52</v>
      </c>
      <c r="Q132" t="s">
        <v>197</v>
      </c>
      <c r="R132" t="s">
        <v>53</v>
      </c>
      <c r="S132" t="s">
        <v>116</v>
      </c>
      <c r="T132" t="s">
        <v>198</v>
      </c>
      <c r="U132" t="s">
        <v>108</v>
      </c>
    </row>
    <row r="133" spans="1:21" x14ac:dyDescent="0.3">
      <c r="A133" t="s">
        <v>183</v>
      </c>
      <c r="B133" t="s">
        <v>183</v>
      </c>
      <c r="C133" t="s">
        <v>194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244</v>
      </c>
      <c r="L133" t="s">
        <v>240</v>
      </c>
      <c r="M133">
        <v>33</v>
      </c>
      <c r="N133">
        <v>9466</v>
      </c>
      <c r="O133" t="s">
        <v>52</v>
      </c>
      <c r="P133" t="s">
        <v>52</v>
      </c>
      <c r="Q133" t="s">
        <v>197</v>
      </c>
      <c r="R133" t="s">
        <v>53</v>
      </c>
      <c r="S133" t="s">
        <v>116</v>
      </c>
      <c r="T133" t="s">
        <v>198</v>
      </c>
      <c r="U133" t="s">
        <v>108</v>
      </c>
    </row>
    <row r="134" spans="1:21" x14ac:dyDescent="0.3">
      <c r="A134" t="s">
        <v>183</v>
      </c>
      <c r="B134" t="s">
        <v>183</v>
      </c>
      <c r="C134" t="s">
        <v>194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245</v>
      </c>
      <c r="L134" t="s">
        <v>240</v>
      </c>
      <c r="M134">
        <v>33</v>
      </c>
      <c r="N134">
        <v>9466</v>
      </c>
      <c r="O134" t="s">
        <v>52</v>
      </c>
      <c r="P134" t="s">
        <v>52</v>
      </c>
      <c r="Q134" t="s">
        <v>197</v>
      </c>
      <c r="R134" t="s">
        <v>53</v>
      </c>
      <c r="S134" t="s">
        <v>116</v>
      </c>
      <c r="T134" t="s">
        <v>198</v>
      </c>
      <c r="U134" t="s">
        <v>108</v>
      </c>
    </row>
    <row r="135" spans="1:21" x14ac:dyDescent="0.3">
      <c r="A135" t="s">
        <v>183</v>
      </c>
      <c r="B135" t="s">
        <v>183</v>
      </c>
      <c r="C135" t="s">
        <v>194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239</v>
      </c>
      <c r="L135" t="s">
        <v>240</v>
      </c>
      <c r="M135">
        <v>33</v>
      </c>
      <c r="N135">
        <v>9466</v>
      </c>
      <c r="O135" t="s">
        <v>52</v>
      </c>
      <c r="P135" t="s">
        <v>52</v>
      </c>
      <c r="Q135" t="s">
        <v>197</v>
      </c>
      <c r="R135" t="s">
        <v>53</v>
      </c>
      <c r="S135" t="s">
        <v>116</v>
      </c>
      <c r="T135" t="s">
        <v>198</v>
      </c>
      <c r="U135" t="s">
        <v>108</v>
      </c>
    </row>
    <row r="136" spans="1:21" x14ac:dyDescent="0.3">
      <c r="A136" t="s">
        <v>188</v>
      </c>
      <c r="B136" t="s">
        <v>188</v>
      </c>
      <c r="C136" t="s">
        <v>194</v>
      </c>
      <c r="D136">
        <v>1</v>
      </c>
      <c r="E136" t="s">
        <v>107</v>
      </c>
      <c r="F136">
        <v>1</v>
      </c>
      <c r="G136">
        <v>-6</v>
      </c>
      <c r="H136">
        <v>-6</v>
      </c>
      <c r="I136" t="s">
        <v>119</v>
      </c>
      <c r="J136" t="s">
        <v>58</v>
      </c>
      <c r="K136" t="s">
        <v>246</v>
      </c>
      <c r="L136" t="s">
        <v>247</v>
      </c>
      <c r="M136">
        <v>61</v>
      </c>
      <c r="O136" t="s">
        <v>52</v>
      </c>
      <c r="P136" t="s">
        <v>52</v>
      </c>
      <c r="Q136" t="s">
        <v>197</v>
      </c>
      <c r="R136" t="s">
        <v>53</v>
      </c>
      <c r="S136" t="s">
        <v>116</v>
      </c>
      <c r="T136" t="s">
        <v>198</v>
      </c>
      <c r="U136" t="s">
        <v>108</v>
      </c>
    </row>
    <row r="137" spans="1:21" x14ac:dyDescent="0.3">
      <c r="A137" t="s">
        <v>188</v>
      </c>
      <c r="B137" t="s">
        <v>188</v>
      </c>
      <c r="C137" t="s">
        <v>194</v>
      </c>
      <c r="D137">
        <v>1</v>
      </c>
      <c r="E137" t="s">
        <v>107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248</v>
      </c>
      <c r="L137" t="s">
        <v>249</v>
      </c>
      <c r="M137">
        <v>33</v>
      </c>
      <c r="N137">
        <v>9996</v>
      </c>
      <c r="O137" t="s">
        <v>52</v>
      </c>
      <c r="P137" t="s">
        <v>52</v>
      </c>
      <c r="Q137" t="s">
        <v>197</v>
      </c>
      <c r="R137" t="s">
        <v>53</v>
      </c>
      <c r="S137" t="s">
        <v>116</v>
      </c>
      <c r="T137" t="s">
        <v>198</v>
      </c>
      <c r="U137" t="s">
        <v>108</v>
      </c>
    </row>
    <row r="138" spans="1:21" x14ac:dyDescent="0.3">
      <c r="A138" t="s">
        <v>188</v>
      </c>
      <c r="B138" t="s">
        <v>188</v>
      </c>
      <c r="C138" t="s">
        <v>194</v>
      </c>
      <c r="D138">
        <v>1</v>
      </c>
      <c r="E138" t="s">
        <v>107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250</v>
      </c>
      <c r="L138" t="s">
        <v>249</v>
      </c>
      <c r="M138">
        <v>33</v>
      </c>
      <c r="N138">
        <v>9996</v>
      </c>
      <c r="O138" t="s">
        <v>52</v>
      </c>
      <c r="P138" t="s">
        <v>52</v>
      </c>
      <c r="Q138" t="s">
        <v>197</v>
      </c>
      <c r="R138" t="s">
        <v>53</v>
      </c>
      <c r="S138" t="s">
        <v>116</v>
      </c>
      <c r="T138" t="s">
        <v>198</v>
      </c>
      <c r="U138" t="s">
        <v>108</v>
      </c>
    </row>
    <row r="139" spans="1:21" x14ac:dyDescent="0.3">
      <c r="A139" t="s">
        <v>188</v>
      </c>
      <c r="B139" t="s">
        <v>188</v>
      </c>
      <c r="C139" t="s">
        <v>194</v>
      </c>
      <c r="D139">
        <v>1</v>
      </c>
      <c r="E139" t="s">
        <v>107</v>
      </c>
      <c r="F139">
        <v>1</v>
      </c>
      <c r="G139">
        <v>-415</v>
      </c>
      <c r="H139">
        <v>-415</v>
      </c>
      <c r="I139" t="s">
        <v>117</v>
      </c>
      <c r="J139" t="s">
        <v>51</v>
      </c>
      <c r="K139" t="s">
        <v>251</v>
      </c>
      <c r="L139" t="s">
        <v>247</v>
      </c>
      <c r="M139">
        <v>61</v>
      </c>
      <c r="O139" t="s">
        <v>52</v>
      </c>
      <c r="P139" t="s">
        <v>52</v>
      </c>
      <c r="Q139" t="s">
        <v>197</v>
      </c>
      <c r="R139" t="s">
        <v>53</v>
      </c>
      <c r="S139" t="s">
        <v>116</v>
      </c>
      <c r="T139" t="s">
        <v>198</v>
      </c>
      <c r="U139" t="s">
        <v>108</v>
      </c>
    </row>
    <row r="140" spans="1:21" x14ac:dyDescent="0.3">
      <c r="A140" t="s">
        <v>188</v>
      </c>
      <c r="B140" t="s">
        <v>193</v>
      </c>
      <c r="C140" t="s">
        <v>194</v>
      </c>
      <c r="D140">
        <v>1</v>
      </c>
      <c r="E140" t="s">
        <v>107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252</v>
      </c>
      <c r="L140" t="s">
        <v>249</v>
      </c>
      <c r="M140">
        <v>33</v>
      </c>
      <c r="N140">
        <v>9996</v>
      </c>
      <c r="O140" t="s">
        <v>52</v>
      </c>
      <c r="P140" t="s">
        <v>52</v>
      </c>
      <c r="Q140" t="s">
        <v>197</v>
      </c>
      <c r="R140" t="s">
        <v>53</v>
      </c>
      <c r="S140" t="s">
        <v>116</v>
      </c>
      <c r="T140" t="s">
        <v>198</v>
      </c>
      <c r="U140" t="s">
        <v>108</v>
      </c>
    </row>
    <row r="141" spans="1:21" x14ac:dyDescent="0.3">
      <c r="A141" t="s">
        <v>188</v>
      </c>
      <c r="B141" t="s">
        <v>193</v>
      </c>
      <c r="C141" t="s">
        <v>194</v>
      </c>
      <c r="D141">
        <v>1</v>
      </c>
      <c r="E141" t="s">
        <v>107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253</v>
      </c>
      <c r="L141" t="s">
        <v>249</v>
      </c>
      <c r="M141">
        <v>33</v>
      </c>
      <c r="N141">
        <v>9996</v>
      </c>
      <c r="O141" t="s">
        <v>52</v>
      </c>
      <c r="P141" t="s">
        <v>52</v>
      </c>
      <c r="Q141" t="s">
        <v>197</v>
      </c>
      <c r="R141" t="s">
        <v>53</v>
      </c>
      <c r="S141" t="s">
        <v>116</v>
      </c>
      <c r="T141" t="s">
        <v>198</v>
      </c>
      <c r="U141" t="s">
        <v>108</v>
      </c>
    </row>
    <row r="142" spans="1:21" x14ac:dyDescent="0.3">
      <c r="A142" t="s">
        <v>188</v>
      </c>
      <c r="B142" t="s">
        <v>193</v>
      </c>
      <c r="C142" t="s">
        <v>194</v>
      </c>
      <c r="D142">
        <v>2</v>
      </c>
      <c r="E142" t="s">
        <v>118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253</v>
      </c>
      <c r="L142" t="s">
        <v>249</v>
      </c>
      <c r="M142">
        <v>33</v>
      </c>
      <c r="N142">
        <v>9996</v>
      </c>
      <c r="O142" t="s">
        <v>52</v>
      </c>
      <c r="P142" t="s">
        <v>52</v>
      </c>
      <c r="Q142" t="s">
        <v>197</v>
      </c>
      <c r="R142" t="s">
        <v>53</v>
      </c>
      <c r="S142" t="s">
        <v>116</v>
      </c>
      <c r="T142" t="s">
        <v>198</v>
      </c>
      <c r="U142" t="s">
        <v>108</v>
      </c>
    </row>
    <row r="143" spans="1:21" x14ac:dyDescent="0.3">
      <c r="A143" t="s">
        <v>188</v>
      </c>
      <c r="B143" t="s">
        <v>193</v>
      </c>
      <c r="C143" t="s">
        <v>194</v>
      </c>
      <c r="D143">
        <v>2</v>
      </c>
      <c r="E143" t="s">
        <v>118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252</v>
      </c>
      <c r="L143" t="s">
        <v>249</v>
      </c>
      <c r="M143">
        <v>33</v>
      </c>
      <c r="N143">
        <v>9996</v>
      </c>
      <c r="O143" t="s">
        <v>52</v>
      </c>
      <c r="P143" t="s">
        <v>52</v>
      </c>
      <c r="Q143" t="s">
        <v>197</v>
      </c>
      <c r="R143" t="s">
        <v>53</v>
      </c>
      <c r="S143" t="s">
        <v>116</v>
      </c>
      <c r="T143" t="s">
        <v>198</v>
      </c>
      <c r="U143" t="s">
        <v>108</v>
      </c>
    </row>
    <row r="144" spans="1:21" x14ac:dyDescent="0.3">
      <c r="A144" t="s">
        <v>188</v>
      </c>
      <c r="B144" t="s">
        <v>188</v>
      </c>
      <c r="C144" t="s">
        <v>194</v>
      </c>
      <c r="D144">
        <v>2</v>
      </c>
      <c r="E144" t="s">
        <v>118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248</v>
      </c>
      <c r="L144" t="s">
        <v>249</v>
      </c>
      <c r="M144">
        <v>33</v>
      </c>
      <c r="N144">
        <v>9996</v>
      </c>
      <c r="O144" t="s">
        <v>52</v>
      </c>
      <c r="P144" t="s">
        <v>52</v>
      </c>
      <c r="Q144" t="s">
        <v>197</v>
      </c>
      <c r="R144" t="s">
        <v>53</v>
      </c>
      <c r="S144" t="s">
        <v>116</v>
      </c>
      <c r="T144" t="s">
        <v>198</v>
      </c>
      <c r="U144" t="s">
        <v>108</v>
      </c>
    </row>
    <row r="145" spans="1:21" x14ac:dyDescent="0.3">
      <c r="A145" t="s">
        <v>188</v>
      </c>
      <c r="B145" t="s">
        <v>188</v>
      </c>
      <c r="C145" t="s">
        <v>194</v>
      </c>
      <c r="D145">
        <v>2</v>
      </c>
      <c r="E145" t="s">
        <v>118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250</v>
      </c>
      <c r="L145" t="s">
        <v>249</v>
      </c>
      <c r="M145">
        <v>33</v>
      </c>
      <c r="N145">
        <v>9996</v>
      </c>
      <c r="O145" t="s">
        <v>52</v>
      </c>
      <c r="P145" t="s">
        <v>52</v>
      </c>
      <c r="Q145" t="s">
        <v>197</v>
      </c>
      <c r="R145" t="s">
        <v>53</v>
      </c>
      <c r="S145" t="s">
        <v>116</v>
      </c>
      <c r="T145" t="s">
        <v>198</v>
      </c>
      <c r="U145" t="s">
        <v>108</v>
      </c>
    </row>
    <row r="146" spans="1:21" x14ac:dyDescent="0.3">
      <c r="A146" t="s">
        <v>188</v>
      </c>
      <c r="B146" t="s">
        <v>188</v>
      </c>
      <c r="C146" t="s">
        <v>194</v>
      </c>
      <c r="D146">
        <v>2</v>
      </c>
      <c r="E146" t="s">
        <v>118</v>
      </c>
      <c r="F146">
        <v>1</v>
      </c>
      <c r="G146">
        <v>-2</v>
      </c>
      <c r="H146">
        <v>-2</v>
      </c>
      <c r="I146" t="s">
        <v>117</v>
      </c>
      <c r="J146" t="s">
        <v>51</v>
      </c>
      <c r="K146" t="s">
        <v>251</v>
      </c>
      <c r="L146" t="s">
        <v>247</v>
      </c>
      <c r="M146">
        <v>61</v>
      </c>
      <c r="O146" t="s">
        <v>52</v>
      </c>
      <c r="P146" t="s">
        <v>52</v>
      </c>
      <c r="Q146" t="s">
        <v>197</v>
      </c>
      <c r="R146" t="s">
        <v>53</v>
      </c>
      <c r="S146" t="s">
        <v>116</v>
      </c>
      <c r="T146" t="s">
        <v>198</v>
      </c>
      <c r="U146" t="s">
        <v>108</v>
      </c>
    </row>
    <row r="147" spans="1:21" x14ac:dyDescent="0.3">
      <c r="A147" t="s">
        <v>188</v>
      </c>
      <c r="B147" t="s">
        <v>188</v>
      </c>
      <c r="C147" t="s">
        <v>194</v>
      </c>
      <c r="D147">
        <v>3</v>
      </c>
      <c r="E147" t="s">
        <v>105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250</v>
      </c>
      <c r="L147" t="s">
        <v>249</v>
      </c>
      <c r="M147">
        <v>33</v>
      </c>
      <c r="N147">
        <v>9996</v>
      </c>
      <c r="O147" t="s">
        <v>52</v>
      </c>
      <c r="P147" t="s">
        <v>52</v>
      </c>
      <c r="Q147" t="s">
        <v>197</v>
      </c>
      <c r="R147" t="s">
        <v>53</v>
      </c>
      <c r="S147" t="s">
        <v>116</v>
      </c>
      <c r="T147" t="s">
        <v>198</v>
      </c>
      <c r="U147" t="s">
        <v>108</v>
      </c>
    </row>
    <row r="148" spans="1:21" x14ac:dyDescent="0.3">
      <c r="A148" t="s">
        <v>188</v>
      </c>
      <c r="B148" t="s">
        <v>188</v>
      </c>
      <c r="C148" t="s">
        <v>194</v>
      </c>
      <c r="D148">
        <v>3</v>
      </c>
      <c r="E148" t="s">
        <v>105</v>
      </c>
      <c r="F148">
        <v>1</v>
      </c>
      <c r="G148">
        <v>-80</v>
      </c>
      <c r="H148">
        <v>-80</v>
      </c>
      <c r="I148" t="s">
        <v>117</v>
      </c>
      <c r="J148" t="s">
        <v>51</v>
      </c>
      <c r="K148" t="s">
        <v>251</v>
      </c>
      <c r="L148" t="s">
        <v>247</v>
      </c>
      <c r="M148">
        <v>61</v>
      </c>
      <c r="O148" t="s">
        <v>52</v>
      </c>
      <c r="P148" t="s">
        <v>52</v>
      </c>
      <c r="Q148" t="s">
        <v>197</v>
      </c>
      <c r="R148" t="s">
        <v>53</v>
      </c>
      <c r="S148" t="s">
        <v>116</v>
      </c>
      <c r="T148" t="s">
        <v>198</v>
      </c>
      <c r="U148" t="s">
        <v>108</v>
      </c>
    </row>
    <row r="149" spans="1:21" x14ac:dyDescent="0.3">
      <c r="A149" t="s">
        <v>188</v>
      </c>
      <c r="B149" t="s">
        <v>193</v>
      </c>
      <c r="C149" t="s">
        <v>194</v>
      </c>
      <c r="D149">
        <v>3</v>
      </c>
      <c r="E149" t="s">
        <v>105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253</v>
      </c>
      <c r="L149" t="s">
        <v>249</v>
      </c>
      <c r="M149">
        <v>33</v>
      </c>
      <c r="N149">
        <v>9996</v>
      </c>
      <c r="O149" t="s">
        <v>52</v>
      </c>
      <c r="P149" t="s">
        <v>52</v>
      </c>
      <c r="Q149" t="s">
        <v>197</v>
      </c>
      <c r="R149" t="s">
        <v>53</v>
      </c>
      <c r="S149" t="s">
        <v>116</v>
      </c>
      <c r="T149" t="s">
        <v>198</v>
      </c>
      <c r="U149" t="s">
        <v>108</v>
      </c>
    </row>
    <row r="150" spans="1:21" x14ac:dyDescent="0.3">
      <c r="A150" t="s">
        <v>188</v>
      </c>
      <c r="B150" t="s">
        <v>188</v>
      </c>
      <c r="C150" t="s">
        <v>194</v>
      </c>
      <c r="D150">
        <v>3</v>
      </c>
      <c r="E150" t="s">
        <v>105</v>
      </c>
      <c r="F150">
        <v>1</v>
      </c>
      <c r="G150">
        <v>-1</v>
      </c>
      <c r="H150">
        <v>-1</v>
      </c>
      <c r="I150" t="s">
        <v>119</v>
      </c>
      <c r="J150" t="s">
        <v>58</v>
      </c>
      <c r="K150" t="s">
        <v>246</v>
      </c>
      <c r="L150" t="s">
        <v>247</v>
      </c>
      <c r="M150">
        <v>61</v>
      </c>
      <c r="O150" t="s">
        <v>52</v>
      </c>
      <c r="P150" t="s">
        <v>52</v>
      </c>
      <c r="Q150" t="s">
        <v>197</v>
      </c>
      <c r="R150" t="s">
        <v>53</v>
      </c>
      <c r="S150" t="s">
        <v>116</v>
      </c>
      <c r="T150" t="s">
        <v>198</v>
      </c>
      <c r="U150" t="s">
        <v>108</v>
      </c>
    </row>
    <row r="151" spans="1:21" x14ac:dyDescent="0.3">
      <c r="A151" t="s">
        <v>188</v>
      </c>
      <c r="B151" t="s">
        <v>188</v>
      </c>
      <c r="C151" t="s">
        <v>194</v>
      </c>
      <c r="D151">
        <v>3</v>
      </c>
      <c r="E151" t="s">
        <v>105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248</v>
      </c>
      <c r="L151" t="s">
        <v>249</v>
      </c>
      <c r="M151">
        <v>33</v>
      </c>
      <c r="N151">
        <v>9996</v>
      </c>
      <c r="O151" t="s">
        <v>52</v>
      </c>
      <c r="P151" t="s">
        <v>52</v>
      </c>
      <c r="Q151" t="s">
        <v>197</v>
      </c>
      <c r="R151" t="s">
        <v>53</v>
      </c>
      <c r="S151" t="s">
        <v>116</v>
      </c>
      <c r="T151" t="s">
        <v>198</v>
      </c>
      <c r="U151" t="s">
        <v>108</v>
      </c>
    </row>
    <row r="152" spans="1:21" x14ac:dyDescent="0.3">
      <c r="A152" t="s">
        <v>188</v>
      </c>
      <c r="B152" t="s">
        <v>193</v>
      </c>
      <c r="C152" t="s">
        <v>194</v>
      </c>
      <c r="D152">
        <v>3</v>
      </c>
      <c r="E152" t="s">
        <v>105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252</v>
      </c>
      <c r="L152" t="s">
        <v>249</v>
      </c>
      <c r="M152">
        <v>33</v>
      </c>
      <c r="N152">
        <v>9996</v>
      </c>
      <c r="O152" t="s">
        <v>52</v>
      </c>
      <c r="P152" t="s">
        <v>52</v>
      </c>
      <c r="Q152" t="s">
        <v>197</v>
      </c>
      <c r="R152" t="s">
        <v>53</v>
      </c>
      <c r="S152" t="s">
        <v>116</v>
      </c>
      <c r="T152" t="s">
        <v>198</v>
      </c>
      <c r="U152" t="s">
        <v>108</v>
      </c>
    </row>
    <row r="153" spans="1:21" x14ac:dyDescent="0.3">
      <c r="A153" t="s">
        <v>188</v>
      </c>
      <c r="B153" t="s">
        <v>188</v>
      </c>
      <c r="C153" t="s">
        <v>194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248</v>
      </c>
      <c r="L153" t="s">
        <v>249</v>
      </c>
      <c r="M153">
        <v>33</v>
      </c>
      <c r="N153">
        <v>9996</v>
      </c>
      <c r="O153" t="s">
        <v>52</v>
      </c>
      <c r="P153" t="s">
        <v>52</v>
      </c>
      <c r="Q153" t="s">
        <v>197</v>
      </c>
      <c r="R153" t="s">
        <v>53</v>
      </c>
      <c r="S153" t="s">
        <v>116</v>
      </c>
      <c r="T153" t="s">
        <v>198</v>
      </c>
      <c r="U153" t="s">
        <v>108</v>
      </c>
    </row>
    <row r="154" spans="1:21" x14ac:dyDescent="0.3">
      <c r="A154" t="s">
        <v>188</v>
      </c>
      <c r="B154" t="s">
        <v>188</v>
      </c>
      <c r="C154" t="s">
        <v>194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117</v>
      </c>
      <c r="J154" t="s">
        <v>51</v>
      </c>
      <c r="K154" t="s">
        <v>251</v>
      </c>
      <c r="L154" t="s">
        <v>247</v>
      </c>
      <c r="M154">
        <v>61</v>
      </c>
      <c r="O154" t="s">
        <v>52</v>
      </c>
      <c r="P154" t="s">
        <v>52</v>
      </c>
      <c r="Q154" t="s">
        <v>197</v>
      </c>
      <c r="R154" t="s">
        <v>53</v>
      </c>
      <c r="S154" t="s">
        <v>116</v>
      </c>
      <c r="T154" t="s">
        <v>198</v>
      </c>
      <c r="U154" t="s">
        <v>108</v>
      </c>
    </row>
    <row r="155" spans="1:21" x14ac:dyDescent="0.3">
      <c r="A155" t="s">
        <v>188</v>
      </c>
      <c r="B155" t="s">
        <v>188</v>
      </c>
      <c r="C155" t="s">
        <v>194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250</v>
      </c>
      <c r="L155" t="s">
        <v>249</v>
      </c>
      <c r="M155">
        <v>33</v>
      </c>
      <c r="N155">
        <v>9996</v>
      </c>
      <c r="O155" t="s">
        <v>52</v>
      </c>
      <c r="P155" t="s">
        <v>52</v>
      </c>
      <c r="Q155" t="s">
        <v>197</v>
      </c>
      <c r="R155" t="s">
        <v>53</v>
      </c>
      <c r="S155" t="s">
        <v>116</v>
      </c>
      <c r="T155" t="s">
        <v>198</v>
      </c>
      <c r="U155" t="s">
        <v>108</v>
      </c>
    </row>
    <row r="156" spans="1:21" x14ac:dyDescent="0.3">
      <c r="A156" t="s">
        <v>188</v>
      </c>
      <c r="B156" t="s">
        <v>188</v>
      </c>
      <c r="C156" t="s">
        <v>194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119</v>
      </c>
      <c r="J156" t="s">
        <v>58</v>
      </c>
      <c r="K156" t="s">
        <v>246</v>
      </c>
      <c r="L156" t="s">
        <v>247</v>
      </c>
      <c r="M156">
        <v>61</v>
      </c>
      <c r="O156" t="s">
        <v>52</v>
      </c>
      <c r="P156" t="s">
        <v>52</v>
      </c>
      <c r="Q156" t="s">
        <v>197</v>
      </c>
      <c r="R156" t="s">
        <v>53</v>
      </c>
      <c r="S156" t="s">
        <v>116</v>
      </c>
      <c r="T156" t="s">
        <v>198</v>
      </c>
      <c r="U156" t="s">
        <v>108</v>
      </c>
    </row>
    <row r="157" spans="1:21" x14ac:dyDescent="0.3">
      <c r="A157" t="s">
        <v>188</v>
      </c>
      <c r="B157" t="s">
        <v>193</v>
      </c>
      <c r="C157" t="s">
        <v>194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252</v>
      </c>
      <c r="L157" t="s">
        <v>249</v>
      </c>
      <c r="M157">
        <v>33</v>
      </c>
      <c r="N157">
        <v>9996</v>
      </c>
      <c r="O157" t="s">
        <v>52</v>
      </c>
      <c r="P157" t="s">
        <v>52</v>
      </c>
      <c r="Q157" t="s">
        <v>197</v>
      </c>
      <c r="R157" t="s">
        <v>53</v>
      </c>
      <c r="S157" t="s">
        <v>116</v>
      </c>
      <c r="T157" t="s">
        <v>198</v>
      </c>
      <c r="U157" t="s">
        <v>108</v>
      </c>
    </row>
    <row r="158" spans="1:21" x14ac:dyDescent="0.3">
      <c r="A158" t="s">
        <v>188</v>
      </c>
      <c r="B158" t="s">
        <v>193</v>
      </c>
      <c r="C158" t="s">
        <v>194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253</v>
      </c>
      <c r="L158" t="s">
        <v>249</v>
      </c>
      <c r="M158">
        <v>33</v>
      </c>
      <c r="N158">
        <v>9996</v>
      </c>
      <c r="O158" t="s">
        <v>52</v>
      </c>
      <c r="P158" t="s">
        <v>52</v>
      </c>
      <c r="Q158" t="s">
        <v>197</v>
      </c>
      <c r="R158" t="s">
        <v>53</v>
      </c>
      <c r="S158" t="s">
        <v>116</v>
      </c>
      <c r="T158" t="s">
        <v>198</v>
      </c>
      <c r="U158" t="s">
        <v>108</v>
      </c>
    </row>
    <row r="159" spans="1:21" x14ac:dyDescent="0.3">
      <c r="A159" t="s">
        <v>188</v>
      </c>
      <c r="B159" t="s">
        <v>193</v>
      </c>
      <c r="C159" t="s">
        <v>194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253</v>
      </c>
      <c r="L159" t="s">
        <v>249</v>
      </c>
      <c r="M159">
        <v>33</v>
      </c>
      <c r="N159">
        <v>9996</v>
      </c>
      <c r="O159" t="s">
        <v>52</v>
      </c>
      <c r="P159" t="s">
        <v>52</v>
      </c>
      <c r="Q159" t="s">
        <v>197</v>
      </c>
      <c r="R159" t="s">
        <v>53</v>
      </c>
      <c r="S159" t="s">
        <v>116</v>
      </c>
      <c r="T159" t="s">
        <v>198</v>
      </c>
      <c r="U159" t="s">
        <v>108</v>
      </c>
    </row>
    <row r="160" spans="1:21" x14ac:dyDescent="0.3">
      <c r="A160" t="s">
        <v>188</v>
      </c>
      <c r="B160" t="s">
        <v>188</v>
      </c>
      <c r="C160" t="s">
        <v>194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117</v>
      </c>
      <c r="J160" t="s">
        <v>51</v>
      </c>
      <c r="K160" t="s">
        <v>251</v>
      </c>
      <c r="L160" t="s">
        <v>247</v>
      </c>
      <c r="M160">
        <v>61</v>
      </c>
      <c r="O160" t="s">
        <v>52</v>
      </c>
      <c r="P160" t="s">
        <v>52</v>
      </c>
      <c r="Q160" t="s">
        <v>197</v>
      </c>
      <c r="R160" t="s">
        <v>53</v>
      </c>
      <c r="S160" t="s">
        <v>116</v>
      </c>
      <c r="T160" t="s">
        <v>198</v>
      </c>
      <c r="U160" t="s">
        <v>108</v>
      </c>
    </row>
    <row r="161" spans="1:21" x14ac:dyDescent="0.3">
      <c r="A161" t="s">
        <v>188</v>
      </c>
      <c r="B161" t="s">
        <v>193</v>
      </c>
      <c r="C161" t="s">
        <v>194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252</v>
      </c>
      <c r="L161" t="s">
        <v>249</v>
      </c>
      <c r="M161">
        <v>33</v>
      </c>
      <c r="N161">
        <v>9996</v>
      </c>
      <c r="O161" t="s">
        <v>52</v>
      </c>
      <c r="P161" t="s">
        <v>52</v>
      </c>
      <c r="Q161" t="s">
        <v>197</v>
      </c>
      <c r="R161" t="s">
        <v>53</v>
      </c>
      <c r="S161" t="s">
        <v>116</v>
      </c>
      <c r="T161" t="s">
        <v>198</v>
      </c>
      <c r="U161" t="s">
        <v>108</v>
      </c>
    </row>
    <row r="162" spans="1:21" x14ac:dyDescent="0.3">
      <c r="A162" t="s">
        <v>188</v>
      </c>
      <c r="B162" t="s">
        <v>188</v>
      </c>
      <c r="C162" t="s">
        <v>194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250</v>
      </c>
      <c r="L162" t="s">
        <v>249</v>
      </c>
      <c r="M162">
        <v>33</v>
      </c>
      <c r="N162">
        <v>9996</v>
      </c>
      <c r="O162" t="s">
        <v>52</v>
      </c>
      <c r="P162" t="s">
        <v>52</v>
      </c>
      <c r="Q162" t="s">
        <v>197</v>
      </c>
      <c r="R162" t="s">
        <v>53</v>
      </c>
      <c r="S162" t="s">
        <v>116</v>
      </c>
      <c r="T162" t="s">
        <v>198</v>
      </c>
      <c r="U162" t="s">
        <v>108</v>
      </c>
    </row>
    <row r="163" spans="1:21" x14ac:dyDescent="0.3">
      <c r="A163" t="s">
        <v>188</v>
      </c>
      <c r="B163" t="s">
        <v>188</v>
      </c>
      <c r="C163" t="s">
        <v>194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248</v>
      </c>
      <c r="L163" t="s">
        <v>249</v>
      </c>
      <c r="M163">
        <v>33</v>
      </c>
      <c r="N163">
        <v>9996</v>
      </c>
      <c r="O163" t="s">
        <v>52</v>
      </c>
      <c r="P163" t="s">
        <v>52</v>
      </c>
      <c r="Q163" t="s">
        <v>197</v>
      </c>
      <c r="R163" t="s">
        <v>53</v>
      </c>
      <c r="S163" t="s">
        <v>116</v>
      </c>
      <c r="T163" t="s">
        <v>198</v>
      </c>
      <c r="U163" t="s">
        <v>108</v>
      </c>
    </row>
    <row r="164" spans="1:21" x14ac:dyDescent="0.3">
      <c r="A164" t="s">
        <v>191</v>
      </c>
      <c r="B164" t="s">
        <v>191</v>
      </c>
      <c r="C164" t="s">
        <v>194</v>
      </c>
      <c r="D164">
        <v>1</v>
      </c>
      <c r="E164" t="s">
        <v>107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254</v>
      </c>
      <c r="L164" t="s">
        <v>255</v>
      </c>
      <c r="M164">
        <v>33</v>
      </c>
      <c r="N164">
        <v>10390</v>
      </c>
      <c r="O164" t="s">
        <v>52</v>
      </c>
      <c r="P164" t="s">
        <v>52</v>
      </c>
      <c r="Q164" t="s">
        <v>197</v>
      </c>
      <c r="R164" t="s">
        <v>53</v>
      </c>
      <c r="S164" t="s">
        <v>116</v>
      </c>
      <c r="T164" t="s">
        <v>198</v>
      </c>
      <c r="U164" t="s">
        <v>108</v>
      </c>
    </row>
    <row r="165" spans="1:21" x14ac:dyDescent="0.3">
      <c r="A165" t="s">
        <v>191</v>
      </c>
      <c r="B165" t="s">
        <v>193</v>
      </c>
      <c r="C165" t="s">
        <v>194</v>
      </c>
      <c r="D165">
        <v>1</v>
      </c>
      <c r="E165" t="s">
        <v>107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252</v>
      </c>
      <c r="L165" t="s">
        <v>255</v>
      </c>
      <c r="M165">
        <v>33</v>
      </c>
      <c r="N165">
        <v>10390</v>
      </c>
      <c r="O165" t="s">
        <v>52</v>
      </c>
      <c r="P165" t="s">
        <v>52</v>
      </c>
      <c r="Q165" t="s">
        <v>197</v>
      </c>
      <c r="R165" t="s">
        <v>53</v>
      </c>
      <c r="S165" t="s">
        <v>116</v>
      </c>
      <c r="T165" t="s">
        <v>198</v>
      </c>
      <c r="U165" t="s">
        <v>108</v>
      </c>
    </row>
    <row r="166" spans="1:21" x14ac:dyDescent="0.3">
      <c r="A166" t="s">
        <v>191</v>
      </c>
      <c r="B166" t="s">
        <v>191</v>
      </c>
      <c r="C166" t="s">
        <v>194</v>
      </c>
      <c r="D166">
        <v>1</v>
      </c>
      <c r="E166" t="s">
        <v>107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256</v>
      </c>
      <c r="L166" t="s">
        <v>255</v>
      </c>
      <c r="M166">
        <v>33</v>
      </c>
      <c r="N166">
        <v>10390</v>
      </c>
      <c r="O166" t="s">
        <v>52</v>
      </c>
      <c r="P166" t="s">
        <v>52</v>
      </c>
      <c r="Q166" t="s">
        <v>197</v>
      </c>
      <c r="R166" t="s">
        <v>53</v>
      </c>
      <c r="S166" t="s">
        <v>116</v>
      </c>
      <c r="T166" t="s">
        <v>198</v>
      </c>
      <c r="U166" t="s">
        <v>108</v>
      </c>
    </row>
    <row r="167" spans="1:21" x14ac:dyDescent="0.3">
      <c r="A167" t="s">
        <v>191</v>
      </c>
      <c r="B167" t="s">
        <v>193</v>
      </c>
      <c r="C167" t="s">
        <v>194</v>
      </c>
      <c r="D167">
        <v>1</v>
      </c>
      <c r="E167" t="s">
        <v>107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253</v>
      </c>
      <c r="L167" t="s">
        <v>255</v>
      </c>
      <c r="M167">
        <v>33</v>
      </c>
      <c r="N167">
        <v>10390</v>
      </c>
      <c r="O167" t="s">
        <v>52</v>
      </c>
      <c r="P167" t="s">
        <v>52</v>
      </c>
      <c r="Q167" t="s">
        <v>197</v>
      </c>
      <c r="R167" t="s">
        <v>53</v>
      </c>
      <c r="S167" t="s">
        <v>116</v>
      </c>
      <c r="T167" t="s">
        <v>198</v>
      </c>
      <c r="U167" t="s">
        <v>108</v>
      </c>
    </row>
    <row r="168" spans="1:21" x14ac:dyDescent="0.3">
      <c r="A168" t="s">
        <v>191</v>
      </c>
      <c r="B168" t="s">
        <v>191</v>
      </c>
      <c r="C168" t="s">
        <v>194</v>
      </c>
      <c r="D168">
        <v>2</v>
      </c>
      <c r="E168" t="s">
        <v>118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256</v>
      </c>
      <c r="L168" t="s">
        <v>255</v>
      </c>
      <c r="M168">
        <v>33</v>
      </c>
      <c r="N168">
        <v>10390</v>
      </c>
      <c r="O168" t="s">
        <v>52</v>
      </c>
      <c r="P168" t="s">
        <v>52</v>
      </c>
      <c r="Q168" t="s">
        <v>197</v>
      </c>
      <c r="R168" t="s">
        <v>53</v>
      </c>
      <c r="S168" t="s">
        <v>116</v>
      </c>
      <c r="T168" t="s">
        <v>198</v>
      </c>
      <c r="U168" t="s">
        <v>108</v>
      </c>
    </row>
    <row r="169" spans="1:21" x14ac:dyDescent="0.3">
      <c r="A169" t="s">
        <v>191</v>
      </c>
      <c r="B169" t="s">
        <v>191</v>
      </c>
      <c r="C169" t="s">
        <v>194</v>
      </c>
      <c r="D169">
        <v>2</v>
      </c>
      <c r="E169" t="s">
        <v>118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254</v>
      </c>
      <c r="L169" t="s">
        <v>255</v>
      </c>
      <c r="M169">
        <v>33</v>
      </c>
      <c r="N169">
        <v>10390</v>
      </c>
      <c r="O169" t="s">
        <v>52</v>
      </c>
      <c r="P169" t="s">
        <v>52</v>
      </c>
      <c r="Q169" t="s">
        <v>197</v>
      </c>
      <c r="R169" t="s">
        <v>53</v>
      </c>
      <c r="S169" t="s">
        <v>116</v>
      </c>
      <c r="T169" t="s">
        <v>198</v>
      </c>
      <c r="U169" t="s">
        <v>108</v>
      </c>
    </row>
    <row r="170" spans="1:21" x14ac:dyDescent="0.3">
      <c r="A170" t="s">
        <v>191</v>
      </c>
      <c r="B170" t="s">
        <v>193</v>
      </c>
      <c r="C170" t="s">
        <v>194</v>
      </c>
      <c r="D170">
        <v>2</v>
      </c>
      <c r="E170" t="s">
        <v>118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253</v>
      </c>
      <c r="L170" t="s">
        <v>255</v>
      </c>
      <c r="M170">
        <v>33</v>
      </c>
      <c r="N170">
        <v>10390</v>
      </c>
      <c r="O170" t="s">
        <v>52</v>
      </c>
      <c r="P170" t="s">
        <v>52</v>
      </c>
      <c r="Q170" t="s">
        <v>197</v>
      </c>
      <c r="R170" t="s">
        <v>53</v>
      </c>
      <c r="S170" t="s">
        <v>116</v>
      </c>
      <c r="T170" t="s">
        <v>198</v>
      </c>
      <c r="U170" t="s">
        <v>108</v>
      </c>
    </row>
    <row r="171" spans="1:21" x14ac:dyDescent="0.3">
      <c r="A171" t="s">
        <v>191</v>
      </c>
      <c r="B171" t="s">
        <v>193</v>
      </c>
      <c r="C171" t="s">
        <v>194</v>
      </c>
      <c r="D171">
        <v>2</v>
      </c>
      <c r="E171" t="s">
        <v>118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252</v>
      </c>
      <c r="L171" t="s">
        <v>255</v>
      </c>
      <c r="M171">
        <v>33</v>
      </c>
      <c r="N171">
        <v>10390</v>
      </c>
      <c r="O171" t="s">
        <v>52</v>
      </c>
      <c r="P171" t="s">
        <v>52</v>
      </c>
      <c r="Q171" t="s">
        <v>197</v>
      </c>
      <c r="R171" t="s">
        <v>53</v>
      </c>
      <c r="S171" t="s">
        <v>116</v>
      </c>
      <c r="T171" t="s">
        <v>198</v>
      </c>
      <c r="U171" t="s">
        <v>108</v>
      </c>
    </row>
    <row r="172" spans="1:21" x14ac:dyDescent="0.3">
      <c r="A172" t="s">
        <v>191</v>
      </c>
      <c r="B172" t="s">
        <v>193</v>
      </c>
      <c r="C172" t="s">
        <v>194</v>
      </c>
      <c r="D172">
        <v>3</v>
      </c>
      <c r="E172" t="s">
        <v>105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252</v>
      </c>
      <c r="L172" t="s">
        <v>255</v>
      </c>
      <c r="M172">
        <v>33</v>
      </c>
      <c r="N172">
        <v>10390</v>
      </c>
      <c r="O172" t="s">
        <v>52</v>
      </c>
      <c r="P172" t="s">
        <v>52</v>
      </c>
      <c r="Q172" t="s">
        <v>197</v>
      </c>
      <c r="R172" t="s">
        <v>53</v>
      </c>
      <c r="S172" t="s">
        <v>116</v>
      </c>
      <c r="T172" t="s">
        <v>198</v>
      </c>
      <c r="U172" t="s">
        <v>108</v>
      </c>
    </row>
    <row r="173" spans="1:21" x14ac:dyDescent="0.3">
      <c r="A173" t="s">
        <v>191</v>
      </c>
      <c r="B173" t="s">
        <v>191</v>
      </c>
      <c r="C173" t="s">
        <v>194</v>
      </c>
      <c r="D173">
        <v>3</v>
      </c>
      <c r="E173" t="s">
        <v>105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256</v>
      </c>
      <c r="L173" t="s">
        <v>255</v>
      </c>
      <c r="M173">
        <v>33</v>
      </c>
      <c r="N173">
        <v>10390</v>
      </c>
      <c r="O173" t="s">
        <v>52</v>
      </c>
      <c r="P173" t="s">
        <v>52</v>
      </c>
      <c r="Q173" t="s">
        <v>197</v>
      </c>
      <c r="R173" t="s">
        <v>53</v>
      </c>
      <c r="S173" t="s">
        <v>116</v>
      </c>
      <c r="T173" t="s">
        <v>198</v>
      </c>
      <c r="U173" t="s">
        <v>108</v>
      </c>
    </row>
    <row r="174" spans="1:21" x14ac:dyDescent="0.3">
      <c r="A174" t="s">
        <v>191</v>
      </c>
      <c r="B174" t="s">
        <v>193</v>
      </c>
      <c r="C174" t="s">
        <v>194</v>
      </c>
      <c r="D174">
        <v>3</v>
      </c>
      <c r="E174" t="s">
        <v>105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253</v>
      </c>
      <c r="L174" t="s">
        <v>255</v>
      </c>
      <c r="M174">
        <v>33</v>
      </c>
      <c r="N174">
        <v>10390</v>
      </c>
      <c r="O174" t="s">
        <v>52</v>
      </c>
      <c r="P174" t="s">
        <v>52</v>
      </c>
      <c r="Q174" t="s">
        <v>197</v>
      </c>
      <c r="R174" t="s">
        <v>53</v>
      </c>
      <c r="S174" t="s">
        <v>116</v>
      </c>
      <c r="T174" t="s">
        <v>198</v>
      </c>
      <c r="U174" t="s">
        <v>108</v>
      </c>
    </row>
    <row r="175" spans="1:21" x14ac:dyDescent="0.3">
      <c r="A175" t="s">
        <v>191</v>
      </c>
      <c r="B175" t="s">
        <v>191</v>
      </c>
      <c r="C175" t="s">
        <v>194</v>
      </c>
      <c r="D175">
        <v>3</v>
      </c>
      <c r="E175" t="s">
        <v>105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254</v>
      </c>
      <c r="L175" t="s">
        <v>255</v>
      </c>
      <c r="M175">
        <v>33</v>
      </c>
      <c r="N175">
        <v>10390</v>
      </c>
      <c r="O175" t="s">
        <v>52</v>
      </c>
      <c r="P175" t="s">
        <v>52</v>
      </c>
      <c r="Q175" t="s">
        <v>197</v>
      </c>
      <c r="R175" t="s">
        <v>53</v>
      </c>
      <c r="S175" t="s">
        <v>116</v>
      </c>
      <c r="T175" t="s">
        <v>198</v>
      </c>
      <c r="U175" t="s">
        <v>108</v>
      </c>
    </row>
    <row r="176" spans="1:21" x14ac:dyDescent="0.3">
      <c r="A176" t="s">
        <v>191</v>
      </c>
      <c r="B176" t="s">
        <v>191</v>
      </c>
      <c r="C176" t="s">
        <v>194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256</v>
      </c>
      <c r="L176" t="s">
        <v>255</v>
      </c>
      <c r="M176">
        <v>33</v>
      </c>
      <c r="N176">
        <v>10390</v>
      </c>
      <c r="O176" t="s">
        <v>52</v>
      </c>
      <c r="P176" t="s">
        <v>52</v>
      </c>
      <c r="Q176" t="s">
        <v>197</v>
      </c>
      <c r="R176" t="s">
        <v>53</v>
      </c>
      <c r="S176" t="s">
        <v>116</v>
      </c>
      <c r="T176" t="s">
        <v>198</v>
      </c>
      <c r="U176" t="s">
        <v>108</v>
      </c>
    </row>
    <row r="177" spans="1:21" x14ac:dyDescent="0.3">
      <c r="A177" t="s">
        <v>191</v>
      </c>
      <c r="B177" t="s">
        <v>191</v>
      </c>
      <c r="C177" t="s">
        <v>194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254</v>
      </c>
      <c r="L177" t="s">
        <v>255</v>
      </c>
      <c r="M177">
        <v>33</v>
      </c>
      <c r="N177">
        <v>10390</v>
      </c>
      <c r="O177" t="s">
        <v>52</v>
      </c>
      <c r="P177" t="s">
        <v>52</v>
      </c>
      <c r="Q177" t="s">
        <v>197</v>
      </c>
      <c r="R177" t="s">
        <v>53</v>
      </c>
      <c r="S177" t="s">
        <v>116</v>
      </c>
      <c r="T177" t="s">
        <v>198</v>
      </c>
      <c r="U177" t="s">
        <v>108</v>
      </c>
    </row>
    <row r="178" spans="1:21" x14ac:dyDescent="0.3">
      <c r="A178" t="s">
        <v>191</v>
      </c>
      <c r="B178" t="s">
        <v>193</v>
      </c>
      <c r="C178" t="s">
        <v>194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253</v>
      </c>
      <c r="L178" t="s">
        <v>255</v>
      </c>
      <c r="M178">
        <v>33</v>
      </c>
      <c r="N178">
        <v>10390</v>
      </c>
      <c r="O178" t="s">
        <v>52</v>
      </c>
      <c r="P178" t="s">
        <v>52</v>
      </c>
      <c r="Q178" t="s">
        <v>197</v>
      </c>
      <c r="R178" t="s">
        <v>53</v>
      </c>
      <c r="S178" t="s">
        <v>116</v>
      </c>
      <c r="T178" t="s">
        <v>198</v>
      </c>
      <c r="U178" t="s">
        <v>108</v>
      </c>
    </row>
    <row r="179" spans="1:21" x14ac:dyDescent="0.3">
      <c r="A179" t="s">
        <v>191</v>
      </c>
      <c r="B179" t="s">
        <v>193</v>
      </c>
      <c r="C179" t="s">
        <v>194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252</v>
      </c>
      <c r="L179" t="s">
        <v>255</v>
      </c>
      <c r="M179">
        <v>33</v>
      </c>
      <c r="N179">
        <v>10390</v>
      </c>
      <c r="O179" t="s">
        <v>52</v>
      </c>
      <c r="P179" t="s">
        <v>52</v>
      </c>
      <c r="Q179" t="s">
        <v>197</v>
      </c>
      <c r="R179" t="s">
        <v>53</v>
      </c>
      <c r="S179" t="s">
        <v>116</v>
      </c>
      <c r="T179" t="s">
        <v>198</v>
      </c>
      <c r="U179" t="s">
        <v>108</v>
      </c>
    </row>
    <row r="180" spans="1:21" x14ac:dyDescent="0.3">
      <c r="A180" t="s">
        <v>191</v>
      </c>
      <c r="B180" t="s">
        <v>191</v>
      </c>
      <c r="C180" t="s">
        <v>194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256</v>
      </c>
      <c r="L180" t="s">
        <v>255</v>
      </c>
      <c r="M180">
        <v>33</v>
      </c>
      <c r="N180">
        <v>10390</v>
      </c>
      <c r="O180" t="s">
        <v>52</v>
      </c>
      <c r="P180" t="s">
        <v>52</v>
      </c>
      <c r="Q180" t="s">
        <v>197</v>
      </c>
      <c r="R180" t="s">
        <v>53</v>
      </c>
      <c r="S180" t="s">
        <v>116</v>
      </c>
      <c r="T180" t="s">
        <v>198</v>
      </c>
      <c r="U180" t="s">
        <v>108</v>
      </c>
    </row>
    <row r="181" spans="1:21" x14ac:dyDescent="0.3">
      <c r="A181" t="s">
        <v>191</v>
      </c>
      <c r="B181" t="s">
        <v>191</v>
      </c>
      <c r="C181" t="s">
        <v>194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254</v>
      </c>
      <c r="L181" t="s">
        <v>255</v>
      </c>
      <c r="M181">
        <v>33</v>
      </c>
      <c r="N181">
        <v>10390</v>
      </c>
      <c r="O181" t="s">
        <v>52</v>
      </c>
      <c r="P181" t="s">
        <v>52</v>
      </c>
      <c r="Q181" t="s">
        <v>197</v>
      </c>
      <c r="R181" t="s">
        <v>53</v>
      </c>
      <c r="S181" t="s">
        <v>116</v>
      </c>
      <c r="T181" t="s">
        <v>198</v>
      </c>
      <c r="U181" t="s">
        <v>108</v>
      </c>
    </row>
    <row r="182" spans="1:21" x14ac:dyDescent="0.3">
      <c r="A182" t="s">
        <v>191</v>
      </c>
      <c r="B182" t="s">
        <v>193</v>
      </c>
      <c r="C182" t="s">
        <v>194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253</v>
      </c>
      <c r="L182" t="s">
        <v>255</v>
      </c>
      <c r="M182">
        <v>33</v>
      </c>
      <c r="N182">
        <v>10390</v>
      </c>
      <c r="O182" t="s">
        <v>52</v>
      </c>
      <c r="P182" t="s">
        <v>52</v>
      </c>
      <c r="Q182" t="s">
        <v>197</v>
      </c>
      <c r="R182" t="s">
        <v>53</v>
      </c>
      <c r="S182" t="s">
        <v>116</v>
      </c>
      <c r="T182" t="s">
        <v>198</v>
      </c>
      <c r="U182" t="s">
        <v>108</v>
      </c>
    </row>
    <row r="183" spans="1:21" x14ac:dyDescent="0.3">
      <c r="A183" t="s">
        <v>191</v>
      </c>
      <c r="B183" t="s">
        <v>193</v>
      </c>
      <c r="C183" t="s">
        <v>194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252</v>
      </c>
      <c r="L183" t="s">
        <v>255</v>
      </c>
      <c r="M183">
        <v>33</v>
      </c>
      <c r="N183">
        <v>10390</v>
      </c>
      <c r="O183" t="s">
        <v>52</v>
      </c>
      <c r="P183" t="s">
        <v>52</v>
      </c>
      <c r="Q183" t="s">
        <v>197</v>
      </c>
      <c r="R183" t="s">
        <v>53</v>
      </c>
      <c r="S183" t="s">
        <v>116</v>
      </c>
      <c r="T183" t="s">
        <v>198</v>
      </c>
      <c r="U183" t="s">
        <v>108</v>
      </c>
    </row>
    <row r="184" spans="1:21" x14ac:dyDescent="0.3">
      <c r="A184" t="s">
        <v>193</v>
      </c>
      <c r="B184" t="s">
        <v>193</v>
      </c>
      <c r="C184" t="s">
        <v>194</v>
      </c>
      <c r="D184">
        <v>1</v>
      </c>
      <c r="E184" t="s">
        <v>107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252</v>
      </c>
      <c r="L184" t="s">
        <v>257</v>
      </c>
      <c r="M184">
        <v>33</v>
      </c>
      <c r="N184">
        <v>10809</v>
      </c>
      <c r="O184" t="s">
        <v>52</v>
      </c>
      <c r="P184" t="s">
        <v>52</v>
      </c>
      <c r="Q184" t="s">
        <v>197</v>
      </c>
      <c r="R184" t="s">
        <v>53</v>
      </c>
      <c r="S184" t="s">
        <v>116</v>
      </c>
      <c r="T184" t="s">
        <v>198</v>
      </c>
      <c r="U184" t="s">
        <v>108</v>
      </c>
    </row>
    <row r="185" spans="1:21" x14ac:dyDescent="0.3">
      <c r="A185" t="s">
        <v>193</v>
      </c>
      <c r="B185" t="s">
        <v>191</v>
      </c>
      <c r="C185" t="s">
        <v>194</v>
      </c>
      <c r="D185">
        <v>1</v>
      </c>
      <c r="E185" t="s">
        <v>107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258</v>
      </c>
      <c r="L185" t="s">
        <v>259</v>
      </c>
      <c r="M185">
        <v>61</v>
      </c>
      <c r="O185" t="s">
        <v>52</v>
      </c>
      <c r="P185" t="s">
        <v>52</v>
      </c>
      <c r="Q185" t="s">
        <v>197</v>
      </c>
      <c r="R185" t="s">
        <v>53</v>
      </c>
      <c r="S185" t="s">
        <v>116</v>
      </c>
      <c r="T185" t="s">
        <v>198</v>
      </c>
      <c r="U185" t="s">
        <v>108</v>
      </c>
    </row>
    <row r="186" spans="1:21" x14ac:dyDescent="0.3">
      <c r="A186" t="s">
        <v>193</v>
      </c>
      <c r="B186" t="s">
        <v>191</v>
      </c>
      <c r="C186" t="s">
        <v>194</v>
      </c>
      <c r="D186">
        <v>1</v>
      </c>
      <c r="E186" t="s">
        <v>107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260</v>
      </c>
      <c r="L186" t="s">
        <v>259</v>
      </c>
      <c r="M186">
        <v>61</v>
      </c>
      <c r="O186" t="s">
        <v>52</v>
      </c>
      <c r="P186" t="s">
        <v>52</v>
      </c>
      <c r="Q186" t="s">
        <v>197</v>
      </c>
      <c r="R186" t="s">
        <v>53</v>
      </c>
      <c r="S186" t="s">
        <v>116</v>
      </c>
      <c r="T186" t="s">
        <v>198</v>
      </c>
      <c r="U186" t="s">
        <v>108</v>
      </c>
    </row>
    <row r="187" spans="1:21" x14ac:dyDescent="0.3">
      <c r="A187" t="s">
        <v>193</v>
      </c>
      <c r="B187" t="s">
        <v>191</v>
      </c>
      <c r="C187" t="s">
        <v>194</v>
      </c>
      <c r="D187">
        <v>1</v>
      </c>
      <c r="E187" t="s">
        <v>107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261</v>
      </c>
      <c r="L187" t="s">
        <v>259</v>
      </c>
      <c r="M187">
        <v>61</v>
      </c>
      <c r="O187" t="s">
        <v>52</v>
      </c>
      <c r="P187" t="s">
        <v>52</v>
      </c>
      <c r="Q187" t="s">
        <v>197</v>
      </c>
      <c r="R187" t="s">
        <v>53</v>
      </c>
      <c r="S187" t="s">
        <v>116</v>
      </c>
      <c r="T187" t="s">
        <v>198</v>
      </c>
      <c r="U187" t="s">
        <v>108</v>
      </c>
    </row>
    <row r="188" spans="1:21" x14ac:dyDescent="0.3">
      <c r="A188" t="s">
        <v>193</v>
      </c>
      <c r="B188" t="s">
        <v>193</v>
      </c>
      <c r="C188" t="s">
        <v>194</v>
      </c>
      <c r="D188">
        <v>1</v>
      </c>
      <c r="E188" t="s">
        <v>107</v>
      </c>
      <c r="F188">
        <v>1</v>
      </c>
      <c r="G188">
        <v>-2</v>
      </c>
      <c r="H188">
        <v>-2</v>
      </c>
      <c r="I188" t="s">
        <v>119</v>
      </c>
      <c r="J188" t="s">
        <v>58</v>
      </c>
      <c r="K188" t="s">
        <v>262</v>
      </c>
      <c r="L188" t="s">
        <v>263</v>
      </c>
      <c r="M188">
        <v>61</v>
      </c>
      <c r="O188" t="s">
        <v>52</v>
      </c>
      <c r="P188" t="s">
        <v>52</v>
      </c>
      <c r="Q188" t="s">
        <v>197</v>
      </c>
      <c r="R188" t="s">
        <v>53</v>
      </c>
      <c r="S188" t="s">
        <v>116</v>
      </c>
      <c r="T188" t="s">
        <v>198</v>
      </c>
      <c r="U188" t="s">
        <v>108</v>
      </c>
    </row>
    <row r="189" spans="1:21" x14ac:dyDescent="0.3">
      <c r="A189" t="s">
        <v>193</v>
      </c>
      <c r="B189" t="s">
        <v>191</v>
      </c>
      <c r="C189" t="s">
        <v>194</v>
      </c>
      <c r="D189">
        <v>1</v>
      </c>
      <c r="E189" t="s">
        <v>107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264</v>
      </c>
      <c r="L189" t="s">
        <v>259</v>
      </c>
      <c r="M189">
        <v>61</v>
      </c>
      <c r="O189" t="s">
        <v>52</v>
      </c>
      <c r="P189" t="s">
        <v>52</v>
      </c>
      <c r="Q189" t="s">
        <v>197</v>
      </c>
      <c r="R189" t="s">
        <v>53</v>
      </c>
      <c r="S189" t="s">
        <v>116</v>
      </c>
      <c r="T189" t="s">
        <v>198</v>
      </c>
      <c r="U189" t="s">
        <v>108</v>
      </c>
    </row>
    <row r="190" spans="1:21" x14ac:dyDescent="0.3">
      <c r="A190" t="s">
        <v>193</v>
      </c>
      <c r="B190" t="s">
        <v>191</v>
      </c>
      <c r="C190" t="s">
        <v>194</v>
      </c>
      <c r="D190">
        <v>1</v>
      </c>
      <c r="E190" t="s">
        <v>107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265</v>
      </c>
      <c r="L190" t="s">
        <v>259</v>
      </c>
      <c r="M190">
        <v>61</v>
      </c>
      <c r="O190" t="s">
        <v>52</v>
      </c>
      <c r="P190" t="s">
        <v>52</v>
      </c>
      <c r="Q190" t="s">
        <v>197</v>
      </c>
      <c r="R190" t="s">
        <v>53</v>
      </c>
      <c r="S190" t="s">
        <v>116</v>
      </c>
      <c r="T190" t="s">
        <v>198</v>
      </c>
      <c r="U190" t="s">
        <v>108</v>
      </c>
    </row>
    <row r="191" spans="1:21" x14ac:dyDescent="0.3">
      <c r="A191" t="s">
        <v>193</v>
      </c>
      <c r="B191" t="s">
        <v>193</v>
      </c>
      <c r="C191" t="s">
        <v>194</v>
      </c>
      <c r="D191">
        <v>1</v>
      </c>
      <c r="E191" t="s">
        <v>107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253</v>
      </c>
      <c r="L191" t="s">
        <v>257</v>
      </c>
      <c r="M191">
        <v>33</v>
      </c>
      <c r="N191">
        <v>10809</v>
      </c>
      <c r="O191" t="s">
        <v>52</v>
      </c>
      <c r="P191" t="s">
        <v>52</v>
      </c>
      <c r="Q191" t="s">
        <v>197</v>
      </c>
      <c r="R191" t="s">
        <v>53</v>
      </c>
      <c r="S191" t="s">
        <v>116</v>
      </c>
      <c r="T191" t="s">
        <v>198</v>
      </c>
      <c r="U191" t="s">
        <v>108</v>
      </c>
    </row>
    <row r="192" spans="1:21" x14ac:dyDescent="0.3">
      <c r="A192" t="s">
        <v>193</v>
      </c>
      <c r="B192" t="s">
        <v>193</v>
      </c>
      <c r="C192" t="s">
        <v>194</v>
      </c>
      <c r="D192">
        <v>1</v>
      </c>
      <c r="E192" t="s">
        <v>107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266</v>
      </c>
      <c r="L192" t="s">
        <v>257</v>
      </c>
      <c r="M192">
        <v>33</v>
      </c>
      <c r="N192">
        <v>10809</v>
      </c>
      <c r="O192" t="s">
        <v>52</v>
      </c>
      <c r="P192" t="s">
        <v>52</v>
      </c>
      <c r="Q192" t="s">
        <v>197</v>
      </c>
      <c r="R192" t="s">
        <v>53</v>
      </c>
      <c r="S192" t="s">
        <v>116</v>
      </c>
      <c r="T192" t="s">
        <v>198</v>
      </c>
      <c r="U192" t="s">
        <v>108</v>
      </c>
    </row>
    <row r="193" spans="1:21" x14ac:dyDescent="0.3">
      <c r="A193" t="s">
        <v>193</v>
      </c>
      <c r="B193" t="s">
        <v>193</v>
      </c>
      <c r="C193" t="s">
        <v>194</v>
      </c>
      <c r="D193">
        <v>1</v>
      </c>
      <c r="E193" t="s">
        <v>107</v>
      </c>
      <c r="F193">
        <v>1</v>
      </c>
      <c r="G193">
        <v>-194</v>
      </c>
      <c r="H193">
        <v>-194</v>
      </c>
      <c r="I193" t="s">
        <v>117</v>
      </c>
      <c r="J193" t="s">
        <v>51</v>
      </c>
      <c r="K193" t="s">
        <v>267</v>
      </c>
      <c r="L193" t="s">
        <v>263</v>
      </c>
      <c r="M193">
        <v>61</v>
      </c>
      <c r="O193" t="s">
        <v>52</v>
      </c>
      <c r="P193" t="s">
        <v>52</v>
      </c>
      <c r="Q193" t="s">
        <v>197</v>
      </c>
      <c r="R193" t="s">
        <v>53</v>
      </c>
      <c r="S193" t="s">
        <v>116</v>
      </c>
      <c r="T193" t="s">
        <v>198</v>
      </c>
      <c r="U193" t="s">
        <v>108</v>
      </c>
    </row>
    <row r="194" spans="1:21" x14ac:dyDescent="0.3">
      <c r="A194" t="s">
        <v>193</v>
      </c>
      <c r="B194" t="s">
        <v>191</v>
      </c>
      <c r="C194" t="s">
        <v>194</v>
      </c>
      <c r="D194">
        <v>1</v>
      </c>
      <c r="E194" t="s">
        <v>107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268</v>
      </c>
      <c r="L194" t="s">
        <v>259</v>
      </c>
      <c r="M194">
        <v>61</v>
      </c>
      <c r="O194" t="s">
        <v>52</v>
      </c>
      <c r="P194" t="s">
        <v>52</v>
      </c>
      <c r="Q194" t="s">
        <v>197</v>
      </c>
      <c r="R194" t="s">
        <v>53</v>
      </c>
      <c r="S194" t="s">
        <v>116</v>
      </c>
      <c r="T194" t="s">
        <v>198</v>
      </c>
      <c r="U194" t="s">
        <v>108</v>
      </c>
    </row>
    <row r="195" spans="1:21" x14ac:dyDescent="0.3">
      <c r="A195" t="s">
        <v>193</v>
      </c>
      <c r="B195" t="s">
        <v>191</v>
      </c>
      <c r="C195" t="s">
        <v>194</v>
      </c>
      <c r="D195">
        <v>1</v>
      </c>
      <c r="E195" t="s">
        <v>107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269</v>
      </c>
      <c r="L195" t="s">
        <v>259</v>
      </c>
      <c r="M195">
        <v>61</v>
      </c>
      <c r="O195" t="s">
        <v>52</v>
      </c>
      <c r="P195" t="s">
        <v>52</v>
      </c>
      <c r="Q195" t="s">
        <v>197</v>
      </c>
      <c r="R195" t="s">
        <v>53</v>
      </c>
      <c r="S195" t="s">
        <v>116</v>
      </c>
      <c r="T195" t="s">
        <v>198</v>
      </c>
      <c r="U195" t="s">
        <v>108</v>
      </c>
    </row>
    <row r="196" spans="1:21" x14ac:dyDescent="0.3">
      <c r="A196" t="s">
        <v>193</v>
      </c>
      <c r="B196" t="s">
        <v>193</v>
      </c>
      <c r="C196" t="s">
        <v>194</v>
      </c>
      <c r="D196">
        <v>1</v>
      </c>
      <c r="E196" t="s">
        <v>107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270</v>
      </c>
      <c r="L196" t="s">
        <v>257</v>
      </c>
      <c r="M196">
        <v>33</v>
      </c>
      <c r="N196">
        <v>10809</v>
      </c>
      <c r="O196" t="s">
        <v>52</v>
      </c>
      <c r="P196" t="s">
        <v>52</v>
      </c>
      <c r="Q196" t="s">
        <v>197</v>
      </c>
      <c r="R196" t="s">
        <v>53</v>
      </c>
      <c r="S196" t="s">
        <v>116</v>
      </c>
      <c r="T196" t="s">
        <v>198</v>
      </c>
      <c r="U196" t="s">
        <v>108</v>
      </c>
    </row>
    <row r="197" spans="1:21" x14ac:dyDescent="0.3">
      <c r="A197" t="s">
        <v>193</v>
      </c>
      <c r="B197" t="s">
        <v>191</v>
      </c>
      <c r="C197" t="s">
        <v>194</v>
      </c>
      <c r="D197">
        <v>1</v>
      </c>
      <c r="E197" t="s">
        <v>107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271</v>
      </c>
      <c r="L197" t="s">
        <v>259</v>
      </c>
      <c r="M197">
        <v>61</v>
      </c>
      <c r="O197" t="s">
        <v>52</v>
      </c>
      <c r="P197" t="s">
        <v>52</v>
      </c>
      <c r="Q197" t="s">
        <v>197</v>
      </c>
      <c r="R197" t="s">
        <v>53</v>
      </c>
      <c r="S197" t="s">
        <v>116</v>
      </c>
      <c r="T197" t="s">
        <v>198</v>
      </c>
      <c r="U197" t="s">
        <v>108</v>
      </c>
    </row>
    <row r="198" spans="1:21" x14ac:dyDescent="0.3">
      <c r="A198" t="s">
        <v>193</v>
      </c>
      <c r="B198" t="s">
        <v>191</v>
      </c>
      <c r="C198" t="s">
        <v>194</v>
      </c>
      <c r="D198">
        <v>2</v>
      </c>
      <c r="E198" t="s">
        <v>118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258</v>
      </c>
      <c r="L198" t="s">
        <v>259</v>
      </c>
      <c r="M198">
        <v>61</v>
      </c>
      <c r="O198" t="s">
        <v>52</v>
      </c>
      <c r="P198" t="s">
        <v>52</v>
      </c>
      <c r="Q198" t="s">
        <v>197</v>
      </c>
      <c r="R198" t="s">
        <v>53</v>
      </c>
      <c r="S198" t="s">
        <v>116</v>
      </c>
      <c r="T198" t="s">
        <v>198</v>
      </c>
      <c r="U198" t="s">
        <v>108</v>
      </c>
    </row>
    <row r="199" spans="1:21" x14ac:dyDescent="0.3">
      <c r="A199" t="s">
        <v>193</v>
      </c>
      <c r="B199" t="s">
        <v>191</v>
      </c>
      <c r="C199" t="s">
        <v>194</v>
      </c>
      <c r="D199">
        <v>2</v>
      </c>
      <c r="E199" t="s">
        <v>118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264</v>
      </c>
      <c r="L199" t="s">
        <v>259</v>
      </c>
      <c r="M199">
        <v>61</v>
      </c>
      <c r="O199" t="s">
        <v>52</v>
      </c>
      <c r="P199" t="s">
        <v>52</v>
      </c>
      <c r="Q199" t="s">
        <v>197</v>
      </c>
      <c r="R199" t="s">
        <v>53</v>
      </c>
      <c r="S199" t="s">
        <v>116</v>
      </c>
      <c r="T199" t="s">
        <v>198</v>
      </c>
      <c r="U199" t="s">
        <v>108</v>
      </c>
    </row>
    <row r="200" spans="1:21" x14ac:dyDescent="0.3">
      <c r="A200" t="s">
        <v>193</v>
      </c>
      <c r="B200" t="s">
        <v>191</v>
      </c>
      <c r="C200" t="s">
        <v>194</v>
      </c>
      <c r="D200">
        <v>2</v>
      </c>
      <c r="E200" t="s">
        <v>118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261</v>
      </c>
      <c r="L200" t="s">
        <v>259</v>
      </c>
      <c r="M200">
        <v>61</v>
      </c>
      <c r="O200" t="s">
        <v>52</v>
      </c>
      <c r="P200" t="s">
        <v>52</v>
      </c>
      <c r="Q200" t="s">
        <v>197</v>
      </c>
      <c r="R200" t="s">
        <v>53</v>
      </c>
      <c r="S200" t="s">
        <v>116</v>
      </c>
      <c r="T200" t="s">
        <v>198</v>
      </c>
      <c r="U200" t="s">
        <v>108</v>
      </c>
    </row>
    <row r="201" spans="1:21" x14ac:dyDescent="0.3">
      <c r="A201" t="s">
        <v>193</v>
      </c>
      <c r="B201" t="s">
        <v>191</v>
      </c>
      <c r="C201" t="s">
        <v>194</v>
      </c>
      <c r="D201">
        <v>2</v>
      </c>
      <c r="E201" t="s">
        <v>118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271</v>
      </c>
      <c r="L201" t="s">
        <v>259</v>
      </c>
      <c r="M201">
        <v>61</v>
      </c>
      <c r="O201" t="s">
        <v>52</v>
      </c>
      <c r="P201" t="s">
        <v>52</v>
      </c>
      <c r="Q201" t="s">
        <v>197</v>
      </c>
      <c r="R201" t="s">
        <v>53</v>
      </c>
      <c r="S201" t="s">
        <v>116</v>
      </c>
      <c r="T201" t="s">
        <v>198</v>
      </c>
      <c r="U201" t="s">
        <v>108</v>
      </c>
    </row>
    <row r="202" spans="1:21" x14ac:dyDescent="0.3">
      <c r="A202" t="s">
        <v>193</v>
      </c>
      <c r="B202" t="s">
        <v>193</v>
      </c>
      <c r="C202" t="s">
        <v>194</v>
      </c>
      <c r="D202">
        <v>2</v>
      </c>
      <c r="E202" t="s">
        <v>118</v>
      </c>
      <c r="F202">
        <v>1</v>
      </c>
      <c r="G202">
        <v>-1</v>
      </c>
      <c r="H202">
        <v>-1</v>
      </c>
      <c r="I202" t="s">
        <v>117</v>
      </c>
      <c r="J202" t="s">
        <v>51</v>
      </c>
      <c r="K202" t="s">
        <v>267</v>
      </c>
      <c r="L202" t="s">
        <v>263</v>
      </c>
      <c r="M202">
        <v>61</v>
      </c>
      <c r="O202" t="s">
        <v>52</v>
      </c>
      <c r="P202" t="s">
        <v>52</v>
      </c>
      <c r="Q202" t="s">
        <v>197</v>
      </c>
      <c r="R202" t="s">
        <v>53</v>
      </c>
      <c r="S202" t="s">
        <v>116</v>
      </c>
      <c r="T202" t="s">
        <v>198</v>
      </c>
      <c r="U202" t="s">
        <v>108</v>
      </c>
    </row>
    <row r="203" spans="1:21" x14ac:dyDescent="0.3">
      <c r="A203" t="s">
        <v>193</v>
      </c>
      <c r="B203" t="s">
        <v>191</v>
      </c>
      <c r="C203" t="s">
        <v>194</v>
      </c>
      <c r="D203">
        <v>2</v>
      </c>
      <c r="E203" t="s">
        <v>118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268</v>
      </c>
      <c r="L203" t="s">
        <v>259</v>
      </c>
      <c r="M203">
        <v>61</v>
      </c>
      <c r="O203" t="s">
        <v>52</v>
      </c>
      <c r="P203" t="s">
        <v>52</v>
      </c>
      <c r="Q203" t="s">
        <v>197</v>
      </c>
      <c r="R203" t="s">
        <v>53</v>
      </c>
      <c r="S203" t="s">
        <v>116</v>
      </c>
      <c r="T203" t="s">
        <v>198</v>
      </c>
      <c r="U203" t="s">
        <v>108</v>
      </c>
    </row>
    <row r="204" spans="1:21" x14ac:dyDescent="0.3">
      <c r="A204" t="s">
        <v>193</v>
      </c>
      <c r="B204" t="s">
        <v>191</v>
      </c>
      <c r="C204" t="s">
        <v>194</v>
      </c>
      <c r="D204">
        <v>2</v>
      </c>
      <c r="E204" t="s">
        <v>118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265</v>
      </c>
      <c r="L204" t="s">
        <v>259</v>
      </c>
      <c r="M204">
        <v>61</v>
      </c>
      <c r="O204" t="s">
        <v>52</v>
      </c>
      <c r="P204" t="s">
        <v>52</v>
      </c>
      <c r="Q204" t="s">
        <v>197</v>
      </c>
      <c r="R204" t="s">
        <v>53</v>
      </c>
      <c r="S204" t="s">
        <v>116</v>
      </c>
      <c r="T204" t="s">
        <v>198</v>
      </c>
      <c r="U204" t="s">
        <v>108</v>
      </c>
    </row>
    <row r="205" spans="1:21" x14ac:dyDescent="0.3">
      <c r="A205" t="s">
        <v>193</v>
      </c>
      <c r="B205" t="s">
        <v>193</v>
      </c>
      <c r="C205" t="s">
        <v>194</v>
      </c>
      <c r="D205">
        <v>2</v>
      </c>
      <c r="E205" t="s">
        <v>118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266</v>
      </c>
      <c r="L205" t="s">
        <v>257</v>
      </c>
      <c r="M205">
        <v>33</v>
      </c>
      <c r="N205">
        <v>10809</v>
      </c>
      <c r="O205" t="s">
        <v>52</v>
      </c>
      <c r="P205" t="s">
        <v>52</v>
      </c>
      <c r="Q205" t="s">
        <v>197</v>
      </c>
      <c r="R205" t="s">
        <v>53</v>
      </c>
      <c r="S205" t="s">
        <v>116</v>
      </c>
      <c r="T205" t="s">
        <v>198</v>
      </c>
      <c r="U205" t="s">
        <v>108</v>
      </c>
    </row>
    <row r="206" spans="1:21" x14ac:dyDescent="0.3">
      <c r="A206" t="s">
        <v>193</v>
      </c>
      <c r="B206" t="s">
        <v>191</v>
      </c>
      <c r="C206" t="s">
        <v>194</v>
      </c>
      <c r="D206">
        <v>2</v>
      </c>
      <c r="E206" t="s">
        <v>118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269</v>
      </c>
      <c r="L206" t="s">
        <v>259</v>
      </c>
      <c r="M206">
        <v>61</v>
      </c>
      <c r="O206" t="s">
        <v>52</v>
      </c>
      <c r="P206" t="s">
        <v>52</v>
      </c>
      <c r="Q206" t="s">
        <v>197</v>
      </c>
      <c r="R206" t="s">
        <v>53</v>
      </c>
      <c r="S206" t="s">
        <v>116</v>
      </c>
      <c r="T206" t="s">
        <v>198</v>
      </c>
      <c r="U206" t="s">
        <v>108</v>
      </c>
    </row>
    <row r="207" spans="1:21" x14ac:dyDescent="0.3">
      <c r="A207" t="s">
        <v>193</v>
      </c>
      <c r="B207" t="s">
        <v>191</v>
      </c>
      <c r="C207" t="s">
        <v>194</v>
      </c>
      <c r="D207">
        <v>2</v>
      </c>
      <c r="E207" t="s">
        <v>118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260</v>
      </c>
      <c r="L207" t="s">
        <v>259</v>
      </c>
      <c r="M207">
        <v>61</v>
      </c>
      <c r="O207" t="s">
        <v>52</v>
      </c>
      <c r="P207" t="s">
        <v>52</v>
      </c>
      <c r="Q207" t="s">
        <v>197</v>
      </c>
      <c r="R207" t="s">
        <v>53</v>
      </c>
      <c r="S207" t="s">
        <v>116</v>
      </c>
      <c r="T207" t="s">
        <v>198</v>
      </c>
      <c r="U207" t="s">
        <v>108</v>
      </c>
    </row>
    <row r="208" spans="1:21" x14ac:dyDescent="0.3">
      <c r="A208" t="s">
        <v>193</v>
      </c>
      <c r="B208" t="s">
        <v>193</v>
      </c>
      <c r="C208" t="s">
        <v>194</v>
      </c>
      <c r="D208">
        <v>2</v>
      </c>
      <c r="E208" t="s">
        <v>118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253</v>
      </c>
      <c r="L208" t="s">
        <v>257</v>
      </c>
      <c r="M208">
        <v>33</v>
      </c>
      <c r="N208">
        <v>10809</v>
      </c>
      <c r="O208" t="s">
        <v>52</v>
      </c>
      <c r="P208" t="s">
        <v>52</v>
      </c>
      <c r="Q208" t="s">
        <v>197</v>
      </c>
      <c r="R208" t="s">
        <v>53</v>
      </c>
      <c r="S208" t="s">
        <v>116</v>
      </c>
      <c r="T208" t="s">
        <v>198</v>
      </c>
      <c r="U208" t="s">
        <v>108</v>
      </c>
    </row>
    <row r="209" spans="1:21" x14ac:dyDescent="0.3">
      <c r="A209" t="s">
        <v>193</v>
      </c>
      <c r="B209" t="s">
        <v>193</v>
      </c>
      <c r="C209" t="s">
        <v>194</v>
      </c>
      <c r="D209">
        <v>2</v>
      </c>
      <c r="E209" t="s">
        <v>118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270</v>
      </c>
      <c r="L209" t="s">
        <v>257</v>
      </c>
      <c r="M209">
        <v>33</v>
      </c>
      <c r="N209">
        <v>10809</v>
      </c>
      <c r="O209" t="s">
        <v>52</v>
      </c>
      <c r="P209" t="s">
        <v>52</v>
      </c>
      <c r="Q209" t="s">
        <v>197</v>
      </c>
      <c r="R209" t="s">
        <v>53</v>
      </c>
      <c r="S209" t="s">
        <v>116</v>
      </c>
      <c r="T209" t="s">
        <v>198</v>
      </c>
      <c r="U209" t="s">
        <v>108</v>
      </c>
    </row>
    <row r="210" spans="1:21" x14ac:dyDescent="0.3">
      <c r="A210" t="s">
        <v>193</v>
      </c>
      <c r="B210" t="s">
        <v>193</v>
      </c>
      <c r="C210" t="s">
        <v>194</v>
      </c>
      <c r="D210">
        <v>2</v>
      </c>
      <c r="E210" t="s">
        <v>118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252</v>
      </c>
      <c r="L210" t="s">
        <v>257</v>
      </c>
      <c r="M210">
        <v>33</v>
      </c>
      <c r="N210">
        <v>10809</v>
      </c>
      <c r="O210" t="s">
        <v>52</v>
      </c>
      <c r="P210" t="s">
        <v>52</v>
      </c>
      <c r="Q210" t="s">
        <v>197</v>
      </c>
      <c r="R210" t="s">
        <v>53</v>
      </c>
      <c r="S210" t="s">
        <v>116</v>
      </c>
      <c r="T210" t="s">
        <v>198</v>
      </c>
      <c r="U210" t="s">
        <v>108</v>
      </c>
    </row>
    <row r="211" spans="1:21" x14ac:dyDescent="0.3">
      <c r="A211" t="s">
        <v>193</v>
      </c>
      <c r="B211" t="s">
        <v>191</v>
      </c>
      <c r="C211" t="s">
        <v>194</v>
      </c>
      <c r="D211">
        <v>3</v>
      </c>
      <c r="E211" t="s">
        <v>105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260</v>
      </c>
      <c r="L211" t="s">
        <v>259</v>
      </c>
      <c r="M211">
        <v>61</v>
      </c>
      <c r="O211" t="s">
        <v>52</v>
      </c>
      <c r="P211" t="s">
        <v>52</v>
      </c>
      <c r="Q211" t="s">
        <v>197</v>
      </c>
      <c r="R211" t="s">
        <v>53</v>
      </c>
      <c r="S211" t="s">
        <v>116</v>
      </c>
      <c r="T211" t="s">
        <v>198</v>
      </c>
      <c r="U211" t="s">
        <v>108</v>
      </c>
    </row>
    <row r="212" spans="1:21" x14ac:dyDescent="0.3">
      <c r="A212" t="s">
        <v>193</v>
      </c>
      <c r="B212" t="s">
        <v>191</v>
      </c>
      <c r="C212" t="s">
        <v>194</v>
      </c>
      <c r="D212">
        <v>3</v>
      </c>
      <c r="E212" t="s">
        <v>105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265</v>
      </c>
      <c r="L212" t="s">
        <v>259</v>
      </c>
      <c r="M212">
        <v>61</v>
      </c>
      <c r="O212" t="s">
        <v>52</v>
      </c>
      <c r="P212" t="s">
        <v>52</v>
      </c>
      <c r="Q212" t="s">
        <v>197</v>
      </c>
      <c r="R212" t="s">
        <v>53</v>
      </c>
      <c r="S212" t="s">
        <v>116</v>
      </c>
      <c r="T212" t="s">
        <v>198</v>
      </c>
      <c r="U212" t="s">
        <v>108</v>
      </c>
    </row>
    <row r="213" spans="1:21" x14ac:dyDescent="0.3">
      <c r="A213" t="s">
        <v>193</v>
      </c>
      <c r="B213" t="s">
        <v>191</v>
      </c>
      <c r="C213" t="s">
        <v>194</v>
      </c>
      <c r="D213">
        <v>3</v>
      </c>
      <c r="E213" t="s">
        <v>105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258</v>
      </c>
      <c r="L213" t="s">
        <v>259</v>
      </c>
      <c r="M213">
        <v>61</v>
      </c>
      <c r="O213" t="s">
        <v>52</v>
      </c>
      <c r="P213" t="s">
        <v>52</v>
      </c>
      <c r="Q213" t="s">
        <v>197</v>
      </c>
      <c r="R213" t="s">
        <v>53</v>
      </c>
      <c r="S213" t="s">
        <v>116</v>
      </c>
      <c r="T213" t="s">
        <v>198</v>
      </c>
      <c r="U213" t="s">
        <v>108</v>
      </c>
    </row>
    <row r="214" spans="1:21" x14ac:dyDescent="0.3">
      <c r="A214" t="s">
        <v>193</v>
      </c>
      <c r="B214" t="s">
        <v>191</v>
      </c>
      <c r="C214" t="s">
        <v>194</v>
      </c>
      <c r="D214">
        <v>3</v>
      </c>
      <c r="E214" t="s">
        <v>105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264</v>
      </c>
      <c r="L214" t="s">
        <v>259</v>
      </c>
      <c r="M214">
        <v>61</v>
      </c>
      <c r="O214" t="s">
        <v>52</v>
      </c>
      <c r="P214" t="s">
        <v>52</v>
      </c>
      <c r="Q214" t="s">
        <v>197</v>
      </c>
      <c r="R214" t="s">
        <v>53</v>
      </c>
      <c r="S214" t="s">
        <v>116</v>
      </c>
      <c r="T214" t="s">
        <v>198</v>
      </c>
      <c r="U214" t="s">
        <v>108</v>
      </c>
    </row>
    <row r="215" spans="1:21" x14ac:dyDescent="0.3">
      <c r="A215" t="s">
        <v>193</v>
      </c>
      <c r="B215" t="s">
        <v>193</v>
      </c>
      <c r="C215" t="s">
        <v>194</v>
      </c>
      <c r="D215">
        <v>3</v>
      </c>
      <c r="E215" t="s">
        <v>105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253</v>
      </c>
      <c r="L215" t="s">
        <v>257</v>
      </c>
      <c r="M215">
        <v>33</v>
      </c>
      <c r="N215">
        <v>10809</v>
      </c>
      <c r="O215" t="s">
        <v>52</v>
      </c>
      <c r="P215" t="s">
        <v>52</v>
      </c>
      <c r="Q215" t="s">
        <v>197</v>
      </c>
      <c r="R215" t="s">
        <v>53</v>
      </c>
      <c r="S215" t="s">
        <v>116</v>
      </c>
      <c r="T215" t="s">
        <v>198</v>
      </c>
      <c r="U215" t="s">
        <v>108</v>
      </c>
    </row>
    <row r="216" spans="1:21" x14ac:dyDescent="0.3">
      <c r="A216" t="s">
        <v>193</v>
      </c>
      <c r="B216" t="s">
        <v>191</v>
      </c>
      <c r="C216" t="s">
        <v>194</v>
      </c>
      <c r="D216">
        <v>3</v>
      </c>
      <c r="E216" t="s">
        <v>105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271</v>
      </c>
      <c r="L216" t="s">
        <v>259</v>
      </c>
      <c r="M216">
        <v>61</v>
      </c>
      <c r="O216" t="s">
        <v>52</v>
      </c>
      <c r="P216" t="s">
        <v>52</v>
      </c>
      <c r="Q216" t="s">
        <v>197</v>
      </c>
      <c r="R216" t="s">
        <v>53</v>
      </c>
      <c r="S216" t="s">
        <v>116</v>
      </c>
      <c r="T216" t="s">
        <v>198</v>
      </c>
      <c r="U216" t="s">
        <v>108</v>
      </c>
    </row>
    <row r="217" spans="1:21" x14ac:dyDescent="0.3">
      <c r="A217" t="s">
        <v>193</v>
      </c>
      <c r="B217" t="s">
        <v>191</v>
      </c>
      <c r="C217" t="s">
        <v>194</v>
      </c>
      <c r="D217">
        <v>3</v>
      </c>
      <c r="E217" t="s">
        <v>105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261</v>
      </c>
      <c r="L217" t="s">
        <v>259</v>
      </c>
      <c r="M217">
        <v>61</v>
      </c>
      <c r="O217" t="s">
        <v>52</v>
      </c>
      <c r="P217" t="s">
        <v>52</v>
      </c>
      <c r="Q217" t="s">
        <v>197</v>
      </c>
      <c r="R217" t="s">
        <v>53</v>
      </c>
      <c r="S217" t="s">
        <v>116</v>
      </c>
      <c r="T217" t="s">
        <v>198</v>
      </c>
      <c r="U217" t="s">
        <v>108</v>
      </c>
    </row>
    <row r="218" spans="1:21" x14ac:dyDescent="0.3">
      <c r="A218" t="s">
        <v>193</v>
      </c>
      <c r="B218" t="s">
        <v>191</v>
      </c>
      <c r="C218" t="s">
        <v>194</v>
      </c>
      <c r="D218">
        <v>3</v>
      </c>
      <c r="E218" t="s">
        <v>105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268</v>
      </c>
      <c r="L218" t="s">
        <v>259</v>
      </c>
      <c r="M218">
        <v>61</v>
      </c>
      <c r="O218" t="s">
        <v>52</v>
      </c>
      <c r="P218" t="s">
        <v>52</v>
      </c>
      <c r="Q218" t="s">
        <v>197</v>
      </c>
      <c r="R218" t="s">
        <v>53</v>
      </c>
      <c r="S218" t="s">
        <v>116</v>
      </c>
      <c r="T218" t="s">
        <v>198</v>
      </c>
      <c r="U218" t="s">
        <v>108</v>
      </c>
    </row>
    <row r="219" spans="1:21" x14ac:dyDescent="0.3">
      <c r="A219" t="s">
        <v>193</v>
      </c>
      <c r="B219" t="s">
        <v>193</v>
      </c>
      <c r="C219" t="s">
        <v>194</v>
      </c>
      <c r="D219">
        <v>3</v>
      </c>
      <c r="E219" t="s">
        <v>105</v>
      </c>
      <c r="F219">
        <v>1</v>
      </c>
      <c r="G219">
        <v>-38</v>
      </c>
      <c r="H219">
        <v>-38</v>
      </c>
      <c r="I219" t="s">
        <v>117</v>
      </c>
      <c r="J219" t="s">
        <v>51</v>
      </c>
      <c r="K219" t="s">
        <v>267</v>
      </c>
      <c r="L219" t="s">
        <v>263</v>
      </c>
      <c r="M219">
        <v>61</v>
      </c>
      <c r="O219" t="s">
        <v>52</v>
      </c>
      <c r="P219" t="s">
        <v>52</v>
      </c>
      <c r="Q219" t="s">
        <v>197</v>
      </c>
      <c r="R219" t="s">
        <v>53</v>
      </c>
      <c r="S219" t="s">
        <v>116</v>
      </c>
      <c r="T219" t="s">
        <v>198</v>
      </c>
      <c r="U219" t="s">
        <v>108</v>
      </c>
    </row>
    <row r="220" spans="1:21" x14ac:dyDescent="0.3">
      <c r="A220" t="s">
        <v>193</v>
      </c>
      <c r="B220" t="s">
        <v>193</v>
      </c>
      <c r="C220" t="s">
        <v>194</v>
      </c>
      <c r="D220">
        <v>3</v>
      </c>
      <c r="E220" t="s">
        <v>105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266</v>
      </c>
      <c r="L220" t="s">
        <v>257</v>
      </c>
      <c r="M220">
        <v>33</v>
      </c>
      <c r="N220">
        <v>10809</v>
      </c>
      <c r="O220" t="s">
        <v>52</v>
      </c>
      <c r="P220" t="s">
        <v>52</v>
      </c>
      <c r="Q220" t="s">
        <v>197</v>
      </c>
      <c r="R220" t="s">
        <v>53</v>
      </c>
      <c r="S220" t="s">
        <v>116</v>
      </c>
      <c r="T220" t="s">
        <v>198</v>
      </c>
      <c r="U220" t="s">
        <v>108</v>
      </c>
    </row>
    <row r="221" spans="1:21" x14ac:dyDescent="0.3">
      <c r="A221" t="s">
        <v>193</v>
      </c>
      <c r="B221" t="s">
        <v>193</v>
      </c>
      <c r="C221" t="s">
        <v>194</v>
      </c>
      <c r="D221">
        <v>3</v>
      </c>
      <c r="E221" t="s">
        <v>105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252</v>
      </c>
      <c r="L221" t="s">
        <v>257</v>
      </c>
      <c r="M221">
        <v>33</v>
      </c>
      <c r="N221">
        <v>10809</v>
      </c>
      <c r="O221" t="s">
        <v>52</v>
      </c>
      <c r="P221" t="s">
        <v>52</v>
      </c>
      <c r="Q221" t="s">
        <v>197</v>
      </c>
      <c r="R221" t="s">
        <v>53</v>
      </c>
      <c r="S221" t="s">
        <v>116</v>
      </c>
      <c r="T221" t="s">
        <v>198</v>
      </c>
      <c r="U221" t="s">
        <v>108</v>
      </c>
    </row>
    <row r="222" spans="1:21" x14ac:dyDescent="0.3">
      <c r="A222" t="s">
        <v>193</v>
      </c>
      <c r="B222" t="s">
        <v>193</v>
      </c>
      <c r="C222" t="s">
        <v>194</v>
      </c>
      <c r="D222">
        <v>3</v>
      </c>
      <c r="E222" t="s">
        <v>105</v>
      </c>
      <c r="F222">
        <v>1</v>
      </c>
      <c r="G222">
        <v>-1</v>
      </c>
      <c r="H222">
        <v>-1</v>
      </c>
      <c r="I222" t="s">
        <v>119</v>
      </c>
      <c r="J222" t="s">
        <v>58</v>
      </c>
      <c r="K222" t="s">
        <v>262</v>
      </c>
      <c r="L222" t="s">
        <v>263</v>
      </c>
      <c r="M222">
        <v>61</v>
      </c>
      <c r="O222" t="s">
        <v>52</v>
      </c>
      <c r="P222" t="s">
        <v>52</v>
      </c>
      <c r="Q222" t="s">
        <v>197</v>
      </c>
      <c r="R222" t="s">
        <v>53</v>
      </c>
      <c r="S222" t="s">
        <v>116</v>
      </c>
      <c r="T222" t="s">
        <v>198</v>
      </c>
      <c r="U222" t="s">
        <v>108</v>
      </c>
    </row>
    <row r="223" spans="1:21" x14ac:dyDescent="0.3">
      <c r="A223" t="s">
        <v>193</v>
      </c>
      <c r="B223" t="s">
        <v>191</v>
      </c>
      <c r="C223" t="s">
        <v>194</v>
      </c>
      <c r="D223">
        <v>3</v>
      </c>
      <c r="E223" t="s">
        <v>105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269</v>
      </c>
      <c r="L223" t="s">
        <v>259</v>
      </c>
      <c r="M223">
        <v>61</v>
      </c>
      <c r="O223" t="s">
        <v>52</v>
      </c>
      <c r="P223" t="s">
        <v>52</v>
      </c>
      <c r="Q223" t="s">
        <v>197</v>
      </c>
      <c r="R223" t="s">
        <v>53</v>
      </c>
      <c r="S223" t="s">
        <v>116</v>
      </c>
      <c r="T223" t="s">
        <v>198</v>
      </c>
      <c r="U223" t="s">
        <v>108</v>
      </c>
    </row>
    <row r="224" spans="1:21" x14ac:dyDescent="0.3">
      <c r="A224" t="s">
        <v>193</v>
      </c>
      <c r="B224" t="s">
        <v>193</v>
      </c>
      <c r="C224" t="s">
        <v>194</v>
      </c>
      <c r="D224">
        <v>3</v>
      </c>
      <c r="E224" t="s">
        <v>105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270</v>
      </c>
      <c r="L224" t="s">
        <v>257</v>
      </c>
      <c r="M224">
        <v>33</v>
      </c>
      <c r="N224">
        <v>10809</v>
      </c>
      <c r="O224" t="s">
        <v>52</v>
      </c>
      <c r="P224" t="s">
        <v>52</v>
      </c>
      <c r="Q224" t="s">
        <v>197</v>
      </c>
      <c r="R224" t="s">
        <v>53</v>
      </c>
      <c r="S224" t="s">
        <v>116</v>
      </c>
      <c r="T224" t="s">
        <v>198</v>
      </c>
      <c r="U224" t="s">
        <v>108</v>
      </c>
    </row>
    <row r="225" spans="1:21" x14ac:dyDescent="0.3">
      <c r="A225" t="s">
        <v>193</v>
      </c>
      <c r="B225" t="s">
        <v>191</v>
      </c>
      <c r="C225" t="s">
        <v>194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264</v>
      </c>
      <c r="L225" t="s">
        <v>259</v>
      </c>
      <c r="M225">
        <v>61</v>
      </c>
      <c r="O225" t="s">
        <v>52</v>
      </c>
      <c r="P225" t="s">
        <v>52</v>
      </c>
      <c r="Q225" t="s">
        <v>197</v>
      </c>
      <c r="R225" t="s">
        <v>53</v>
      </c>
      <c r="S225" t="s">
        <v>116</v>
      </c>
      <c r="T225" t="s">
        <v>198</v>
      </c>
      <c r="U225" t="s">
        <v>108</v>
      </c>
    </row>
    <row r="226" spans="1:21" x14ac:dyDescent="0.3">
      <c r="A226" t="s">
        <v>193</v>
      </c>
      <c r="B226" t="s">
        <v>193</v>
      </c>
      <c r="C226" t="s">
        <v>194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119</v>
      </c>
      <c r="J226" t="s">
        <v>58</v>
      </c>
      <c r="K226" t="s">
        <v>262</v>
      </c>
      <c r="L226" t="s">
        <v>263</v>
      </c>
      <c r="M226">
        <v>61</v>
      </c>
      <c r="O226" t="s">
        <v>52</v>
      </c>
      <c r="P226" t="s">
        <v>52</v>
      </c>
      <c r="Q226" t="s">
        <v>197</v>
      </c>
      <c r="R226" t="s">
        <v>53</v>
      </c>
      <c r="S226" t="s">
        <v>116</v>
      </c>
      <c r="T226" t="s">
        <v>198</v>
      </c>
      <c r="U226" t="s">
        <v>108</v>
      </c>
    </row>
    <row r="227" spans="1:21" x14ac:dyDescent="0.3">
      <c r="A227" t="s">
        <v>193</v>
      </c>
      <c r="B227" t="s">
        <v>191</v>
      </c>
      <c r="C227" t="s">
        <v>194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268</v>
      </c>
      <c r="L227" t="s">
        <v>259</v>
      </c>
      <c r="M227">
        <v>61</v>
      </c>
      <c r="O227" t="s">
        <v>52</v>
      </c>
      <c r="P227" t="s">
        <v>52</v>
      </c>
      <c r="Q227" t="s">
        <v>197</v>
      </c>
      <c r="R227" t="s">
        <v>53</v>
      </c>
      <c r="S227" t="s">
        <v>116</v>
      </c>
      <c r="T227" t="s">
        <v>198</v>
      </c>
      <c r="U227" t="s">
        <v>108</v>
      </c>
    </row>
    <row r="228" spans="1:21" x14ac:dyDescent="0.3">
      <c r="A228" t="s">
        <v>193</v>
      </c>
      <c r="B228" t="s">
        <v>191</v>
      </c>
      <c r="C228" t="s">
        <v>194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261</v>
      </c>
      <c r="L228" t="s">
        <v>259</v>
      </c>
      <c r="M228">
        <v>61</v>
      </c>
      <c r="O228" t="s">
        <v>52</v>
      </c>
      <c r="P228" t="s">
        <v>52</v>
      </c>
      <c r="Q228" t="s">
        <v>197</v>
      </c>
      <c r="R228" t="s">
        <v>53</v>
      </c>
      <c r="S228" t="s">
        <v>116</v>
      </c>
      <c r="T228" t="s">
        <v>198</v>
      </c>
      <c r="U228" t="s">
        <v>108</v>
      </c>
    </row>
    <row r="229" spans="1:21" x14ac:dyDescent="0.3">
      <c r="A229" t="s">
        <v>193</v>
      </c>
      <c r="B229" t="s">
        <v>191</v>
      </c>
      <c r="C229" t="s">
        <v>194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260</v>
      </c>
      <c r="L229" t="s">
        <v>259</v>
      </c>
      <c r="M229">
        <v>61</v>
      </c>
      <c r="O229" t="s">
        <v>52</v>
      </c>
      <c r="P229" t="s">
        <v>52</v>
      </c>
      <c r="Q229" t="s">
        <v>197</v>
      </c>
      <c r="R229" t="s">
        <v>53</v>
      </c>
      <c r="S229" t="s">
        <v>116</v>
      </c>
      <c r="T229" t="s">
        <v>198</v>
      </c>
      <c r="U229" t="s">
        <v>108</v>
      </c>
    </row>
    <row r="230" spans="1:21" x14ac:dyDescent="0.3">
      <c r="A230" t="s">
        <v>193</v>
      </c>
      <c r="B230" t="s">
        <v>193</v>
      </c>
      <c r="C230" t="s">
        <v>194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252</v>
      </c>
      <c r="L230" t="s">
        <v>257</v>
      </c>
      <c r="M230">
        <v>33</v>
      </c>
      <c r="N230">
        <v>10809</v>
      </c>
      <c r="O230" t="s">
        <v>52</v>
      </c>
      <c r="P230" t="s">
        <v>52</v>
      </c>
      <c r="Q230" t="s">
        <v>197</v>
      </c>
      <c r="R230" t="s">
        <v>53</v>
      </c>
      <c r="S230" t="s">
        <v>116</v>
      </c>
      <c r="T230" t="s">
        <v>198</v>
      </c>
      <c r="U230" t="s">
        <v>108</v>
      </c>
    </row>
    <row r="231" spans="1:21" x14ac:dyDescent="0.3">
      <c r="A231" t="s">
        <v>193</v>
      </c>
      <c r="B231" t="s">
        <v>191</v>
      </c>
      <c r="C231" t="s">
        <v>194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265</v>
      </c>
      <c r="L231" t="s">
        <v>259</v>
      </c>
      <c r="M231">
        <v>61</v>
      </c>
      <c r="O231" t="s">
        <v>52</v>
      </c>
      <c r="P231" t="s">
        <v>52</v>
      </c>
      <c r="Q231" t="s">
        <v>197</v>
      </c>
      <c r="R231" t="s">
        <v>53</v>
      </c>
      <c r="S231" t="s">
        <v>116</v>
      </c>
      <c r="T231" t="s">
        <v>198</v>
      </c>
      <c r="U231" t="s">
        <v>108</v>
      </c>
    </row>
    <row r="232" spans="1:21" x14ac:dyDescent="0.3">
      <c r="A232" t="s">
        <v>193</v>
      </c>
      <c r="B232" t="s">
        <v>191</v>
      </c>
      <c r="C232" t="s">
        <v>194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258</v>
      </c>
      <c r="L232" t="s">
        <v>259</v>
      </c>
      <c r="M232">
        <v>61</v>
      </c>
      <c r="O232" t="s">
        <v>52</v>
      </c>
      <c r="P232" t="s">
        <v>52</v>
      </c>
      <c r="Q232" t="s">
        <v>197</v>
      </c>
      <c r="R232" t="s">
        <v>53</v>
      </c>
      <c r="S232" t="s">
        <v>116</v>
      </c>
      <c r="T232" t="s">
        <v>198</v>
      </c>
      <c r="U232" t="s">
        <v>108</v>
      </c>
    </row>
    <row r="233" spans="1:21" x14ac:dyDescent="0.3">
      <c r="A233" t="s">
        <v>193</v>
      </c>
      <c r="B233" t="s">
        <v>191</v>
      </c>
      <c r="C233" t="s">
        <v>194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271</v>
      </c>
      <c r="L233" t="s">
        <v>259</v>
      </c>
      <c r="M233">
        <v>61</v>
      </c>
      <c r="O233" t="s">
        <v>52</v>
      </c>
      <c r="P233" t="s">
        <v>52</v>
      </c>
      <c r="Q233" t="s">
        <v>197</v>
      </c>
      <c r="R233" t="s">
        <v>53</v>
      </c>
      <c r="S233" t="s">
        <v>116</v>
      </c>
      <c r="T233" t="s">
        <v>198</v>
      </c>
      <c r="U233" t="s">
        <v>108</v>
      </c>
    </row>
    <row r="234" spans="1:21" x14ac:dyDescent="0.3">
      <c r="A234" t="s">
        <v>193</v>
      </c>
      <c r="B234" t="s">
        <v>193</v>
      </c>
      <c r="C234" t="s">
        <v>194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266</v>
      </c>
      <c r="L234" t="s">
        <v>257</v>
      </c>
      <c r="M234">
        <v>33</v>
      </c>
      <c r="N234">
        <v>10809</v>
      </c>
      <c r="O234" t="s">
        <v>52</v>
      </c>
      <c r="P234" t="s">
        <v>52</v>
      </c>
      <c r="Q234" t="s">
        <v>197</v>
      </c>
      <c r="R234" t="s">
        <v>53</v>
      </c>
      <c r="S234" t="s">
        <v>116</v>
      </c>
      <c r="T234" t="s">
        <v>198</v>
      </c>
      <c r="U234" t="s">
        <v>108</v>
      </c>
    </row>
    <row r="235" spans="1:21" x14ac:dyDescent="0.3">
      <c r="A235" t="s">
        <v>193</v>
      </c>
      <c r="B235" t="s">
        <v>193</v>
      </c>
      <c r="C235" t="s">
        <v>194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117</v>
      </c>
      <c r="J235" t="s">
        <v>51</v>
      </c>
      <c r="K235" t="s">
        <v>267</v>
      </c>
      <c r="L235" t="s">
        <v>263</v>
      </c>
      <c r="M235">
        <v>61</v>
      </c>
      <c r="O235" t="s">
        <v>52</v>
      </c>
      <c r="P235" t="s">
        <v>52</v>
      </c>
      <c r="Q235" t="s">
        <v>197</v>
      </c>
      <c r="R235" t="s">
        <v>53</v>
      </c>
      <c r="S235" t="s">
        <v>116</v>
      </c>
      <c r="T235" t="s">
        <v>198</v>
      </c>
      <c r="U235" t="s">
        <v>108</v>
      </c>
    </row>
    <row r="236" spans="1:21" x14ac:dyDescent="0.3">
      <c r="A236" t="s">
        <v>193</v>
      </c>
      <c r="B236" t="s">
        <v>191</v>
      </c>
      <c r="C236" t="s">
        <v>194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269</v>
      </c>
      <c r="L236" t="s">
        <v>259</v>
      </c>
      <c r="M236">
        <v>61</v>
      </c>
      <c r="O236" t="s">
        <v>52</v>
      </c>
      <c r="P236" t="s">
        <v>52</v>
      </c>
      <c r="Q236" t="s">
        <v>197</v>
      </c>
      <c r="R236" t="s">
        <v>53</v>
      </c>
      <c r="S236" t="s">
        <v>116</v>
      </c>
      <c r="T236" t="s">
        <v>198</v>
      </c>
      <c r="U236" t="s">
        <v>108</v>
      </c>
    </row>
    <row r="237" spans="1:21" x14ac:dyDescent="0.3">
      <c r="A237" t="s">
        <v>193</v>
      </c>
      <c r="B237" t="s">
        <v>193</v>
      </c>
      <c r="C237" t="s">
        <v>194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270</v>
      </c>
      <c r="L237" t="s">
        <v>257</v>
      </c>
      <c r="M237">
        <v>33</v>
      </c>
      <c r="N237">
        <v>10809</v>
      </c>
      <c r="O237" t="s">
        <v>52</v>
      </c>
      <c r="P237" t="s">
        <v>52</v>
      </c>
      <c r="Q237" t="s">
        <v>197</v>
      </c>
      <c r="R237" t="s">
        <v>53</v>
      </c>
      <c r="S237" t="s">
        <v>116</v>
      </c>
      <c r="T237" t="s">
        <v>198</v>
      </c>
      <c r="U237" t="s">
        <v>108</v>
      </c>
    </row>
    <row r="238" spans="1:21" x14ac:dyDescent="0.3">
      <c r="A238" t="s">
        <v>193</v>
      </c>
      <c r="B238" t="s">
        <v>193</v>
      </c>
      <c r="C238" t="s">
        <v>194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253</v>
      </c>
      <c r="L238" t="s">
        <v>257</v>
      </c>
      <c r="M238">
        <v>33</v>
      </c>
      <c r="N238">
        <v>10809</v>
      </c>
      <c r="O238" t="s">
        <v>52</v>
      </c>
      <c r="P238" t="s">
        <v>52</v>
      </c>
      <c r="Q238" t="s">
        <v>197</v>
      </c>
      <c r="R238" t="s">
        <v>53</v>
      </c>
      <c r="S238" t="s">
        <v>116</v>
      </c>
      <c r="T238" t="s">
        <v>198</v>
      </c>
      <c r="U238" t="s">
        <v>108</v>
      </c>
    </row>
    <row r="239" spans="1:21" x14ac:dyDescent="0.3">
      <c r="A239" t="s">
        <v>193</v>
      </c>
      <c r="B239" t="s">
        <v>191</v>
      </c>
      <c r="C239" t="s">
        <v>194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264</v>
      </c>
      <c r="L239" t="s">
        <v>259</v>
      </c>
      <c r="M239">
        <v>61</v>
      </c>
      <c r="O239" t="s">
        <v>52</v>
      </c>
      <c r="P239" t="s">
        <v>52</v>
      </c>
      <c r="Q239" t="s">
        <v>197</v>
      </c>
      <c r="R239" t="s">
        <v>53</v>
      </c>
      <c r="S239" t="s">
        <v>116</v>
      </c>
      <c r="T239" t="s">
        <v>198</v>
      </c>
      <c r="U239" t="s">
        <v>108</v>
      </c>
    </row>
    <row r="240" spans="1:21" x14ac:dyDescent="0.3">
      <c r="A240" t="s">
        <v>193</v>
      </c>
      <c r="B240" t="s">
        <v>191</v>
      </c>
      <c r="C240" t="s">
        <v>194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258</v>
      </c>
      <c r="L240" t="s">
        <v>259</v>
      </c>
      <c r="M240">
        <v>61</v>
      </c>
      <c r="O240" t="s">
        <v>52</v>
      </c>
      <c r="P240" t="s">
        <v>52</v>
      </c>
      <c r="Q240" t="s">
        <v>197</v>
      </c>
      <c r="R240" t="s">
        <v>53</v>
      </c>
      <c r="S240" t="s">
        <v>116</v>
      </c>
      <c r="T240" t="s">
        <v>198</v>
      </c>
      <c r="U240" t="s">
        <v>108</v>
      </c>
    </row>
    <row r="241" spans="1:21" x14ac:dyDescent="0.3">
      <c r="A241" t="s">
        <v>193</v>
      </c>
      <c r="B241" t="s">
        <v>191</v>
      </c>
      <c r="C241" t="s">
        <v>194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269</v>
      </c>
      <c r="L241" t="s">
        <v>259</v>
      </c>
      <c r="M241">
        <v>61</v>
      </c>
      <c r="O241" t="s">
        <v>52</v>
      </c>
      <c r="P241" t="s">
        <v>52</v>
      </c>
      <c r="Q241" t="s">
        <v>197</v>
      </c>
      <c r="R241" t="s">
        <v>53</v>
      </c>
      <c r="S241" t="s">
        <v>116</v>
      </c>
      <c r="T241" t="s">
        <v>198</v>
      </c>
      <c r="U241" t="s">
        <v>108</v>
      </c>
    </row>
    <row r="242" spans="1:21" x14ac:dyDescent="0.3">
      <c r="A242" t="s">
        <v>193</v>
      </c>
      <c r="B242" t="s">
        <v>191</v>
      </c>
      <c r="C242" t="s">
        <v>194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261</v>
      </c>
      <c r="L242" t="s">
        <v>259</v>
      </c>
      <c r="M242">
        <v>61</v>
      </c>
      <c r="O242" t="s">
        <v>52</v>
      </c>
      <c r="P242" t="s">
        <v>52</v>
      </c>
      <c r="Q242" t="s">
        <v>197</v>
      </c>
      <c r="R242" t="s">
        <v>53</v>
      </c>
      <c r="S242" t="s">
        <v>116</v>
      </c>
      <c r="T242" t="s">
        <v>198</v>
      </c>
      <c r="U242" t="s">
        <v>108</v>
      </c>
    </row>
    <row r="243" spans="1:21" x14ac:dyDescent="0.3">
      <c r="A243" t="s">
        <v>193</v>
      </c>
      <c r="B243" t="s">
        <v>193</v>
      </c>
      <c r="C243" t="s">
        <v>194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253</v>
      </c>
      <c r="L243" t="s">
        <v>257</v>
      </c>
      <c r="M243">
        <v>33</v>
      </c>
      <c r="N243">
        <v>10809</v>
      </c>
      <c r="O243" t="s">
        <v>52</v>
      </c>
      <c r="P243" t="s">
        <v>52</v>
      </c>
      <c r="Q243" t="s">
        <v>197</v>
      </c>
      <c r="R243" t="s">
        <v>53</v>
      </c>
      <c r="S243" t="s">
        <v>116</v>
      </c>
      <c r="T243" t="s">
        <v>198</v>
      </c>
      <c r="U243" t="s">
        <v>108</v>
      </c>
    </row>
    <row r="244" spans="1:21" x14ac:dyDescent="0.3">
      <c r="A244" t="s">
        <v>193</v>
      </c>
      <c r="B244" t="s">
        <v>193</v>
      </c>
      <c r="C244" t="s">
        <v>194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252</v>
      </c>
      <c r="L244" t="s">
        <v>257</v>
      </c>
      <c r="M244">
        <v>33</v>
      </c>
      <c r="N244">
        <v>10809</v>
      </c>
      <c r="O244" t="s">
        <v>52</v>
      </c>
      <c r="P244" t="s">
        <v>52</v>
      </c>
      <c r="Q244" t="s">
        <v>197</v>
      </c>
      <c r="R244" t="s">
        <v>53</v>
      </c>
      <c r="S244" t="s">
        <v>116</v>
      </c>
      <c r="T244" t="s">
        <v>198</v>
      </c>
      <c r="U244" t="s">
        <v>108</v>
      </c>
    </row>
    <row r="245" spans="1:21" x14ac:dyDescent="0.3">
      <c r="A245" t="s">
        <v>193</v>
      </c>
      <c r="B245" t="s">
        <v>193</v>
      </c>
      <c r="C245" t="s">
        <v>194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270</v>
      </c>
      <c r="L245" t="s">
        <v>257</v>
      </c>
      <c r="M245">
        <v>33</v>
      </c>
      <c r="N245">
        <v>10809</v>
      </c>
      <c r="O245" t="s">
        <v>52</v>
      </c>
      <c r="P245" t="s">
        <v>52</v>
      </c>
      <c r="Q245" t="s">
        <v>197</v>
      </c>
      <c r="R245" t="s">
        <v>53</v>
      </c>
      <c r="S245" t="s">
        <v>116</v>
      </c>
      <c r="T245" t="s">
        <v>198</v>
      </c>
      <c r="U245" t="s">
        <v>108</v>
      </c>
    </row>
    <row r="246" spans="1:21" x14ac:dyDescent="0.3">
      <c r="A246" t="s">
        <v>193</v>
      </c>
      <c r="B246" t="s">
        <v>191</v>
      </c>
      <c r="C246" t="s">
        <v>194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265</v>
      </c>
      <c r="L246" t="s">
        <v>259</v>
      </c>
      <c r="M246">
        <v>61</v>
      </c>
      <c r="O246" t="s">
        <v>52</v>
      </c>
      <c r="P246" t="s">
        <v>52</v>
      </c>
      <c r="Q246" t="s">
        <v>197</v>
      </c>
      <c r="R246" t="s">
        <v>53</v>
      </c>
      <c r="S246" t="s">
        <v>116</v>
      </c>
      <c r="T246" t="s">
        <v>198</v>
      </c>
      <c r="U246" t="s">
        <v>108</v>
      </c>
    </row>
    <row r="247" spans="1:21" x14ac:dyDescent="0.3">
      <c r="A247" t="s">
        <v>193</v>
      </c>
      <c r="B247" t="s">
        <v>193</v>
      </c>
      <c r="C247" t="s">
        <v>194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117</v>
      </c>
      <c r="J247" t="s">
        <v>51</v>
      </c>
      <c r="K247" t="s">
        <v>267</v>
      </c>
      <c r="L247" t="s">
        <v>263</v>
      </c>
      <c r="M247">
        <v>61</v>
      </c>
      <c r="O247" t="s">
        <v>52</v>
      </c>
      <c r="P247" t="s">
        <v>52</v>
      </c>
      <c r="Q247" t="s">
        <v>197</v>
      </c>
      <c r="R247" t="s">
        <v>53</v>
      </c>
      <c r="S247" t="s">
        <v>116</v>
      </c>
      <c r="T247" t="s">
        <v>198</v>
      </c>
      <c r="U247" t="s">
        <v>108</v>
      </c>
    </row>
    <row r="248" spans="1:21" x14ac:dyDescent="0.3">
      <c r="A248" t="s">
        <v>193</v>
      </c>
      <c r="B248" t="s">
        <v>191</v>
      </c>
      <c r="C248" t="s">
        <v>194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271</v>
      </c>
      <c r="L248" t="s">
        <v>259</v>
      </c>
      <c r="M248">
        <v>61</v>
      </c>
      <c r="O248" t="s">
        <v>52</v>
      </c>
      <c r="P248" t="s">
        <v>52</v>
      </c>
      <c r="Q248" t="s">
        <v>197</v>
      </c>
      <c r="R248" t="s">
        <v>53</v>
      </c>
      <c r="S248" t="s">
        <v>116</v>
      </c>
      <c r="T248" t="s">
        <v>198</v>
      </c>
      <c r="U248" t="s">
        <v>108</v>
      </c>
    </row>
    <row r="249" spans="1:21" x14ac:dyDescent="0.3">
      <c r="A249" t="s">
        <v>193</v>
      </c>
      <c r="B249" t="s">
        <v>191</v>
      </c>
      <c r="C249" t="s">
        <v>194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268</v>
      </c>
      <c r="L249" t="s">
        <v>259</v>
      </c>
      <c r="M249">
        <v>61</v>
      </c>
      <c r="O249" t="s">
        <v>52</v>
      </c>
      <c r="P249" t="s">
        <v>52</v>
      </c>
      <c r="Q249" t="s">
        <v>197</v>
      </c>
      <c r="R249" t="s">
        <v>53</v>
      </c>
      <c r="S249" t="s">
        <v>116</v>
      </c>
      <c r="T249" t="s">
        <v>198</v>
      </c>
      <c r="U249" t="s">
        <v>108</v>
      </c>
    </row>
    <row r="250" spans="1:21" x14ac:dyDescent="0.3">
      <c r="A250" t="s">
        <v>193</v>
      </c>
      <c r="B250" t="s">
        <v>191</v>
      </c>
      <c r="C250" t="s">
        <v>194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260</v>
      </c>
      <c r="L250" t="s">
        <v>259</v>
      </c>
      <c r="M250">
        <v>61</v>
      </c>
      <c r="O250" t="s">
        <v>52</v>
      </c>
      <c r="P250" t="s">
        <v>52</v>
      </c>
      <c r="Q250" t="s">
        <v>197</v>
      </c>
      <c r="R250" t="s">
        <v>53</v>
      </c>
      <c r="S250" t="s">
        <v>116</v>
      </c>
      <c r="T250" t="s">
        <v>198</v>
      </c>
      <c r="U250" t="s">
        <v>108</v>
      </c>
    </row>
    <row r="251" spans="1:21" x14ac:dyDescent="0.3">
      <c r="A251" t="s">
        <v>193</v>
      </c>
      <c r="B251" t="s">
        <v>193</v>
      </c>
      <c r="C251" t="s">
        <v>194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266</v>
      </c>
      <c r="L251" t="s">
        <v>257</v>
      </c>
      <c r="M251">
        <v>33</v>
      </c>
      <c r="N251">
        <v>10809</v>
      </c>
      <c r="O251" t="s">
        <v>52</v>
      </c>
      <c r="P251" t="s">
        <v>52</v>
      </c>
      <c r="Q251" t="s">
        <v>197</v>
      </c>
      <c r="R251" t="s">
        <v>53</v>
      </c>
      <c r="S251" t="s">
        <v>116</v>
      </c>
      <c r="T251" t="s">
        <v>198</v>
      </c>
      <c r="U251" t="s">
        <v>108</v>
      </c>
    </row>
    <row r="252" spans="1:21" x14ac:dyDescent="0.3">
      <c r="A252" t="s">
        <v>192</v>
      </c>
      <c r="B252" t="s">
        <v>192</v>
      </c>
      <c r="C252" t="s">
        <v>194</v>
      </c>
      <c r="D252">
        <v>1</v>
      </c>
      <c r="E252" t="s">
        <v>107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272</v>
      </c>
      <c r="L252" t="s">
        <v>273</v>
      </c>
      <c r="M252">
        <v>33</v>
      </c>
      <c r="N252">
        <v>11167</v>
      </c>
      <c r="O252" t="s">
        <v>52</v>
      </c>
      <c r="P252" t="s">
        <v>52</v>
      </c>
      <c r="Q252" t="s">
        <v>197</v>
      </c>
      <c r="R252" t="s">
        <v>53</v>
      </c>
      <c r="S252" t="s">
        <v>116</v>
      </c>
      <c r="T252" t="s">
        <v>198</v>
      </c>
      <c r="U252" t="s">
        <v>108</v>
      </c>
    </row>
    <row r="253" spans="1:21" x14ac:dyDescent="0.3">
      <c r="A253" t="s">
        <v>192</v>
      </c>
      <c r="B253" t="s">
        <v>192</v>
      </c>
      <c r="C253" t="s">
        <v>194</v>
      </c>
      <c r="D253">
        <v>1</v>
      </c>
      <c r="E253" t="s">
        <v>107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274</v>
      </c>
      <c r="L253" t="s">
        <v>273</v>
      </c>
      <c r="M253">
        <v>33</v>
      </c>
      <c r="N253">
        <v>11167</v>
      </c>
      <c r="O253" t="s">
        <v>52</v>
      </c>
      <c r="P253" t="s">
        <v>52</v>
      </c>
      <c r="Q253" t="s">
        <v>197</v>
      </c>
      <c r="R253" t="s">
        <v>53</v>
      </c>
      <c r="S253" t="s">
        <v>116</v>
      </c>
      <c r="T253" t="s">
        <v>198</v>
      </c>
      <c r="U253" t="s">
        <v>108</v>
      </c>
    </row>
    <row r="254" spans="1:21" x14ac:dyDescent="0.3">
      <c r="A254" t="s">
        <v>192</v>
      </c>
      <c r="B254" t="s">
        <v>192</v>
      </c>
      <c r="C254" t="s">
        <v>194</v>
      </c>
      <c r="D254">
        <v>1</v>
      </c>
      <c r="E254" t="s">
        <v>107</v>
      </c>
      <c r="F254">
        <v>1</v>
      </c>
      <c r="G254">
        <v>-130</v>
      </c>
      <c r="H254">
        <v>-130</v>
      </c>
      <c r="I254" t="s">
        <v>117</v>
      </c>
      <c r="J254" t="s">
        <v>51</v>
      </c>
      <c r="K254" t="s">
        <v>275</v>
      </c>
      <c r="L254" t="s">
        <v>276</v>
      </c>
      <c r="M254">
        <v>61</v>
      </c>
      <c r="O254" t="s">
        <v>52</v>
      </c>
      <c r="P254" t="s">
        <v>52</v>
      </c>
      <c r="Q254" t="s">
        <v>197</v>
      </c>
      <c r="R254" t="s">
        <v>53</v>
      </c>
      <c r="S254" t="s">
        <v>116</v>
      </c>
      <c r="T254" t="s">
        <v>198</v>
      </c>
      <c r="U254" t="s">
        <v>108</v>
      </c>
    </row>
    <row r="255" spans="1:21" x14ac:dyDescent="0.3">
      <c r="A255" t="s">
        <v>192</v>
      </c>
      <c r="B255" t="s">
        <v>192</v>
      </c>
      <c r="C255" t="s">
        <v>194</v>
      </c>
      <c r="D255">
        <v>1</v>
      </c>
      <c r="E255" t="s">
        <v>107</v>
      </c>
      <c r="F255">
        <v>1</v>
      </c>
      <c r="G255">
        <v>-2</v>
      </c>
      <c r="H255">
        <v>-2</v>
      </c>
      <c r="I255" t="s">
        <v>119</v>
      </c>
      <c r="J255" t="s">
        <v>58</v>
      </c>
      <c r="K255" t="s">
        <v>277</v>
      </c>
      <c r="L255" t="s">
        <v>276</v>
      </c>
      <c r="M255">
        <v>61</v>
      </c>
      <c r="O255" t="s">
        <v>52</v>
      </c>
      <c r="P255" t="s">
        <v>52</v>
      </c>
      <c r="Q255" t="s">
        <v>197</v>
      </c>
      <c r="R255" t="s">
        <v>53</v>
      </c>
      <c r="S255" t="s">
        <v>116</v>
      </c>
      <c r="T255" t="s">
        <v>198</v>
      </c>
      <c r="U255" t="s">
        <v>108</v>
      </c>
    </row>
    <row r="256" spans="1:21" x14ac:dyDescent="0.3">
      <c r="A256" t="s">
        <v>192</v>
      </c>
      <c r="B256" t="s">
        <v>192</v>
      </c>
      <c r="C256" t="s">
        <v>194</v>
      </c>
      <c r="D256">
        <v>1</v>
      </c>
      <c r="E256" t="s">
        <v>107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278</v>
      </c>
      <c r="L256" t="s">
        <v>273</v>
      </c>
      <c r="M256">
        <v>33</v>
      </c>
      <c r="N256">
        <v>11167</v>
      </c>
      <c r="O256" t="s">
        <v>52</v>
      </c>
      <c r="P256" t="s">
        <v>52</v>
      </c>
      <c r="Q256" t="s">
        <v>197</v>
      </c>
      <c r="R256" t="s">
        <v>53</v>
      </c>
      <c r="S256" t="s">
        <v>116</v>
      </c>
      <c r="T256" t="s">
        <v>198</v>
      </c>
      <c r="U256" t="s">
        <v>108</v>
      </c>
    </row>
    <row r="257" spans="1:21" x14ac:dyDescent="0.3">
      <c r="A257" t="s">
        <v>192</v>
      </c>
      <c r="B257" t="s">
        <v>192</v>
      </c>
      <c r="C257" t="s">
        <v>194</v>
      </c>
      <c r="D257">
        <v>1</v>
      </c>
      <c r="E257" t="s">
        <v>107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279</v>
      </c>
      <c r="L257" t="s">
        <v>273</v>
      </c>
      <c r="M257">
        <v>33</v>
      </c>
      <c r="N257">
        <v>11167</v>
      </c>
      <c r="O257" t="s">
        <v>52</v>
      </c>
      <c r="P257" t="s">
        <v>52</v>
      </c>
      <c r="Q257" t="s">
        <v>197</v>
      </c>
      <c r="R257" t="s">
        <v>53</v>
      </c>
      <c r="S257" t="s">
        <v>116</v>
      </c>
      <c r="T257" t="s">
        <v>198</v>
      </c>
      <c r="U257" t="s">
        <v>108</v>
      </c>
    </row>
    <row r="258" spans="1:21" x14ac:dyDescent="0.3">
      <c r="A258" t="s">
        <v>192</v>
      </c>
      <c r="B258" t="s">
        <v>192</v>
      </c>
      <c r="C258" t="s">
        <v>194</v>
      </c>
      <c r="D258">
        <v>2</v>
      </c>
      <c r="E258" t="s">
        <v>118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278</v>
      </c>
      <c r="L258" t="s">
        <v>273</v>
      </c>
      <c r="M258">
        <v>33</v>
      </c>
      <c r="N258">
        <v>11167</v>
      </c>
      <c r="O258" t="s">
        <v>52</v>
      </c>
      <c r="P258" t="s">
        <v>52</v>
      </c>
      <c r="Q258" t="s">
        <v>197</v>
      </c>
      <c r="R258" t="s">
        <v>53</v>
      </c>
      <c r="S258" t="s">
        <v>116</v>
      </c>
      <c r="T258" t="s">
        <v>198</v>
      </c>
      <c r="U258" t="s">
        <v>108</v>
      </c>
    </row>
    <row r="259" spans="1:21" x14ac:dyDescent="0.3">
      <c r="A259" t="s">
        <v>192</v>
      </c>
      <c r="B259" t="s">
        <v>192</v>
      </c>
      <c r="C259" t="s">
        <v>194</v>
      </c>
      <c r="D259">
        <v>2</v>
      </c>
      <c r="E259" t="s">
        <v>118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274</v>
      </c>
      <c r="L259" t="s">
        <v>273</v>
      </c>
      <c r="M259">
        <v>33</v>
      </c>
      <c r="N259">
        <v>11167</v>
      </c>
      <c r="O259" t="s">
        <v>52</v>
      </c>
      <c r="P259" t="s">
        <v>52</v>
      </c>
      <c r="Q259" t="s">
        <v>197</v>
      </c>
      <c r="R259" t="s">
        <v>53</v>
      </c>
      <c r="S259" t="s">
        <v>116</v>
      </c>
      <c r="T259" t="s">
        <v>198</v>
      </c>
      <c r="U259" t="s">
        <v>108</v>
      </c>
    </row>
    <row r="260" spans="1:21" x14ac:dyDescent="0.3">
      <c r="A260" t="s">
        <v>192</v>
      </c>
      <c r="B260" t="s">
        <v>192</v>
      </c>
      <c r="C260" t="s">
        <v>194</v>
      </c>
      <c r="D260">
        <v>2</v>
      </c>
      <c r="E260" t="s">
        <v>118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272</v>
      </c>
      <c r="L260" t="s">
        <v>273</v>
      </c>
      <c r="M260">
        <v>33</v>
      </c>
      <c r="N260">
        <v>11167</v>
      </c>
      <c r="O260" t="s">
        <v>52</v>
      </c>
      <c r="P260" t="s">
        <v>52</v>
      </c>
      <c r="Q260" t="s">
        <v>197</v>
      </c>
      <c r="R260" t="s">
        <v>53</v>
      </c>
      <c r="S260" t="s">
        <v>116</v>
      </c>
      <c r="T260" t="s">
        <v>198</v>
      </c>
      <c r="U260" t="s">
        <v>108</v>
      </c>
    </row>
    <row r="261" spans="1:21" x14ac:dyDescent="0.3">
      <c r="A261" t="s">
        <v>192</v>
      </c>
      <c r="B261" t="s">
        <v>192</v>
      </c>
      <c r="C261" t="s">
        <v>194</v>
      </c>
      <c r="D261">
        <v>2</v>
      </c>
      <c r="E261" t="s">
        <v>118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279</v>
      </c>
      <c r="L261" t="s">
        <v>273</v>
      </c>
      <c r="M261">
        <v>33</v>
      </c>
      <c r="N261">
        <v>11167</v>
      </c>
      <c r="O261" t="s">
        <v>52</v>
      </c>
      <c r="P261" t="s">
        <v>52</v>
      </c>
      <c r="Q261" t="s">
        <v>197</v>
      </c>
      <c r="R261" t="s">
        <v>53</v>
      </c>
      <c r="S261" t="s">
        <v>116</v>
      </c>
      <c r="T261" t="s">
        <v>198</v>
      </c>
      <c r="U261" t="s">
        <v>108</v>
      </c>
    </row>
    <row r="262" spans="1:21" x14ac:dyDescent="0.3">
      <c r="A262" t="s">
        <v>192</v>
      </c>
      <c r="B262" t="s">
        <v>192</v>
      </c>
      <c r="C262" t="s">
        <v>194</v>
      </c>
      <c r="D262">
        <v>3</v>
      </c>
      <c r="E262" t="s">
        <v>105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272</v>
      </c>
      <c r="L262" t="s">
        <v>273</v>
      </c>
      <c r="M262">
        <v>33</v>
      </c>
      <c r="N262">
        <v>11167</v>
      </c>
      <c r="O262" t="s">
        <v>52</v>
      </c>
      <c r="P262" t="s">
        <v>52</v>
      </c>
      <c r="Q262" t="s">
        <v>197</v>
      </c>
      <c r="R262" t="s">
        <v>53</v>
      </c>
      <c r="S262" t="s">
        <v>116</v>
      </c>
      <c r="T262" t="s">
        <v>198</v>
      </c>
      <c r="U262" t="s">
        <v>108</v>
      </c>
    </row>
    <row r="263" spans="1:21" x14ac:dyDescent="0.3">
      <c r="A263" t="s">
        <v>192</v>
      </c>
      <c r="B263" t="s">
        <v>192</v>
      </c>
      <c r="C263" t="s">
        <v>194</v>
      </c>
      <c r="D263">
        <v>3</v>
      </c>
      <c r="E263" t="s">
        <v>105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278</v>
      </c>
      <c r="L263" t="s">
        <v>273</v>
      </c>
      <c r="M263">
        <v>33</v>
      </c>
      <c r="N263">
        <v>11167</v>
      </c>
      <c r="O263" t="s">
        <v>52</v>
      </c>
      <c r="P263" t="s">
        <v>52</v>
      </c>
      <c r="Q263" t="s">
        <v>197</v>
      </c>
      <c r="R263" t="s">
        <v>53</v>
      </c>
      <c r="S263" t="s">
        <v>116</v>
      </c>
      <c r="T263" t="s">
        <v>198</v>
      </c>
      <c r="U263" t="s">
        <v>108</v>
      </c>
    </row>
    <row r="264" spans="1:21" x14ac:dyDescent="0.3">
      <c r="A264" t="s">
        <v>192</v>
      </c>
      <c r="B264" t="s">
        <v>192</v>
      </c>
      <c r="C264" t="s">
        <v>194</v>
      </c>
      <c r="D264">
        <v>3</v>
      </c>
      <c r="E264" t="s">
        <v>105</v>
      </c>
      <c r="F264">
        <v>1</v>
      </c>
      <c r="G264">
        <v>-25</v>
      </c>
      <c r="H264">
        <v>-25</v>
      </c>
      <c r="I264" t="s">
        <v>117</v>
      </c>
      <c r="J264" t="s">
        <v>51</v>
      </c>
      <c r="K264" t="s">
        <v>275</v>
      </c>
      <c r="L264" t="s">
        <v>276</v>
      </c>
      <c r="M264">
        <v>61</v>
      </c>
      <c r="O264" t="s">
        <v>52</v>
      </c>
      <c r="P264" t="s">
        <v>52</v>
      </c>
      <c r="Q264" t="s">
        <v>197</v>
      </c>
      <c r="R264" t="s">
        <v>53</v>
      </c>
      <c r="S264" t="s">
        <v>116</v>
      </c>
      <c r="T264" t="s">
        <v>198</v>
      </c>
      <c r="U264" t="s">
        <v>108</v>
      </c>
    </row>
    <row r="265" spans="1:21" x14ac:dyDescent="0.3">
      <c r="A265" t="s">
        <v>192</v>
      </c>
      <c r="B265" t="s">
        <v>192</v>
      </c>
      <c r="C265" t="s">
        <v>194</v>
      </c>
      <c r="D265">
        <v>3</v>
      </c>
      <c r="E265" t="s">
        <v>105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274</v>
      </c>
      <c r="L265" t="s">
        <v>273</v>
      </c>
      <c r="M265">
        <v>33</v>
      </c>
      <c r="N265">
        <v>11167</v>
      </c>
      <c r="O265" t="s">
        <v>52</v>
      </c>
      <c r="P265" t="s">
        <v>52</v>
      </c>
      <c r="Q265" t="s">
        <v>197</v>
      </c>
      <c r="R265" t="s">
        <v>53</v>
      </c>
      <c r="S265" t="s">
        <v>116</v>
      </c>
      <c r="T265" t="s">
        <v>198</v>
      </c>
      <c r="U265" t="s">
        <v>108</v>
      </c>
    </row>
    <row r="266" spans="1:21" x14ac:dyDescent="0.3">
      <c r="A266" t="s">
        <v>192</v>
      </c>
      <c r="B266" t="s">
        <v>192</v>
      </c>
      <c r="C266" t="s">
        <v>194</v>
      </c>
      <c r="D266">
        <v>3</v>
      </c>
      <c r="E266" t="s">
        <v>105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279</v>
      </c>
      <c r="L266" t="s">
        <v>273</v>
      </c>
      <c r="M266">
        <v>33</v>
      </c>
      <c r="N266">
        <v>11167</v>
      </c>
      <c r="O266" t="s">
        <v>52</v>
      </c>
      <c r="P266" t="s">
        <v>52</v>
      </c>
      <c r="Q266" t="s">
        <v>197</v>
      </c>
      <c r="R266" t="s">
        <v>53</v>
      </c>
      <c r="S266" t="s">
        <v>116</v>
      </c>
      <c r="T266" t="s">
        <v>198</v>
      </c>
      <c r="U266" t="s">
        <v>108</v>
      </c>
    </row>
    <row r="267" spans="1:21" x14ac:dyDescent="0.3">
      <c r="A267" t="s">
        <v>192</v>
      </c>
      <c r="B267" t="s">
        <v>192</v>
      </c>
      <c r="C267" t="s">
        <v>194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119</v>
      </c>
      <c r="J267" t="s">
        <v>58</v>
      </c>
      <c r="K267" t="s">
        <v>277</v>
      </c>
      <c r="L267" t="s">
        <v>276</v>
      </c>
      <c r="M267">
        <v>61</v>
      </c>
      <c r="O267" t="s">
        <v>52</v>
      </c>
      <c r="P267" t="s">
        <v>52</v>
      </c>
      <c r="Q267" t="s">
        <v>197</v>
      </c>
      <c r="R267" t="s">
        <v>53</v>
      </c>
      <c r="S267" t="s">
        <v>116</v>
      </c>
      <c r="T267" t="s">
        <v>198</v>
      </c>
      <c r="U267" t="s">
        <v>108</v>
      </c>
    </row>
    <row r="268" spans="1:21" x14ac:dyDescent="0.3">
      <c r="A268" t="s">
        <v>192</v>
      </c>
      <c r="B268" t="s">
        <v>192</v>
      </c>
      <c r="C268" t="s">
        <v>194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117</v>
      </c>
      <c r="J268" t="s">
        <v>51</v>
      </c>
      <c r="K268" t="s">
        <v>275</v>
      </c>
      <c r="L268" t="s">
        <v>276</v>
      </c>
      <c r="M268">
        <v>61</v>
      </c>
      <c r="O268" t="s">
        <v>52</v>
      </c>
      <c r="P268" t="s">
        <v>52</v>
      </c>
      <c r="Q268" t="s">
        <v>197</v>
      </c>
      <c r="R268" t="s">
        <v>53</v>
      </c>
      <c r="S268" t="s">
        <v>116</v>
      </c>
      <c r="T268" t="s">
        <v>198</v>
      </c>
      <c r="U268" t="s">
        <v>108</v>
      </c>
    </row>
    <row r="269" spans="1:21" x14ac:dyDescent="0.3">
      <c r="A269" t="s">
        <v>192</v>
      </c>
      <c r="B269" t="s">
        <v>192</v>
      </c>
      <c r="C269" t="s">
        <v>194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278</v>
      </c>
      <c r="L269" t="s">
        <v>273</v>
      </c>
      <c r="M269">
        <v>33</v>
      </c>
      <c r="N269">
        <v>11167</v>
      </c>
      <c r="O269" t="s">
        <v>52</v>
      </c>
      <c r="P269" t="s">
        <v>52</v>
      </c>
      <c r="Q269" t="s">
        <v>197</v>
      </c>
      <c r="R269" t="s">
        <v>53</v>
      </c>
      <c r="S269" t="s">
        <v>116</v>
      </c>
      <c r="T269" t="s">
        <v>198</v>
      </c>
      <c r="U269" t="s">
        <v>108</v>
      </c>
    </row>
    <row r="270" spans="1:21" x14ac:dyDescent="0.3">
      <c r="A270" t="s">
        <v>192</v>
      </c>
      <c r="B270" t="s">
        <v>192</v>
      </c>
      <c r="C270" t="s">
        <v>194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279</v>
      </c>
      <c r="L270" t="s">
        <v>273</v>
      </c>
      <c r="M270">
        <v>33</v>
      </c>
      <c r="N270">
        <v>11167</v>
      </c>
      <c r="O270" t="s">
        <v>52</v>
      </c>
      <c r="P270" t="s">
        <v>52</v>
      </c>
      <c r="Q270" t="s">
        <v>197</v>
      </c>
      <c r="R270" t="s">
        <v>53</v>
      </c>
      <c r="S270" t="s">
        <v>116</v>
      </c>
      <c r="T270" t="s">
        <v>198</v>
      </c>
      <c r="U270" t="s">
        <v>108</v>
      </c>
    </row>
    <row r="271" spans="1:21" x14ac:dyDescent="0.3">
      <c r="A271" t="s">
        <v>192</v>
      </c>
      <c r="B271" t="s">
        <v>192</v>
      </c>
      <c r="C271" t="s">
        <v>194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272</v>
      </c>
      <c r="L271" t="s">
        <v>273</v>
      </c>
      <c r="M271">
        <v>33</v>
      </c>
      <c r="N271">
        <v>11167</v>
      </c>
      <c r="O271" t="s">
        <v>52</v>
      </c>
      <c r="P271" t="s">
        <v>52</v>
      </c>
      <c r="Q271" t="s">
        <v>197</v>
      </c>
      <c r="R271" t="s">
        <v>53</v>
      </c>
      <c r="S271" t="s">
        <v>116</v>
      </c>
      <c r="T271" t="s">
        <v>198</v>
      </c>
      <c r="U271" t="s">
        <v>108</v>
      </c>
    </row>
    <row r="272" spans="1:21" x14ac:dyDescent="0.3">
      <c r="A272" t="s">
        <v>192</v>
      </c>
      <c r="B272" t="s">
        <v>192</v>
      </c>
      <c r="C272" t="s">
        <v>194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274</v>
      </c>
      <c r="L272" t="s">
        <v>273</v>
      </c>
      <c r="M272">
        <v>33</v>
      </c>
      <c r="N272">
        <v>11167</v>
      </c>
      <c r="O272" t="s">
        <v>52</v>
      </c>
      <c r="P272" t="s">
        <v>52</v>
      </c>
      <c r="Q272" t="s">
        <v>197</v>
      </c>
      <c r="R272" t="s">
        <v>53</v>
      </c>
      <c r="S272" t="s">
        <v>116</v>
      </c>
      <c r="T272" t="s">
        <v>198</v>
      </c>
      <c r="U272" t="s">
        <v>108</v>
      </c>
    </row>
    <row r="273" spans="1:21" x14ac:dyDescent="0.3">
      <c r="A273" t="s">
        <v>192</v>
      </c>
      <c r="B273" t="s">
        <v>192</v>
      </c>
      <c r="C273" t="s">
        <v>194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278</v>
      </c>
      <c r="L273" t="s">
        <v>273</v>
      </c>
      <c r="M273">
        <v>33</v>
      </c>
      <c r="N273">
        <v>11167</v>
      </c>
      <c r="O273" t="s">
        <v>52</v>
      </c>
      <c r="P273" t="s">
        <v>52</v>
      </c>
      <c r="Q273" t="s">
        <v>197</v>
      </c>
      <c r="R273" t="s">
        <v>53</v>
      </c>
      <c r="S273" t="s">
        <v>116</v>
      </c>
      <c r="T273" t="s">
        <v>198</v>
      </c>
      <c r="U273" t="s">
        <v>108</v>
      </c>
    </row>
    <row r="274" spans="1:21" x14ac:dyDescent="0.3">
      <c r="A274" t="s">
        <v>192</v>
      </c>
      <c r="B274" t="s">
        <v>192</v>
      </c>
      <c r="C274" t="s">
        <v>194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117</v>
      </c>
      <c r="J274" t="s">
        <v>51</v>
      </c>
      <c r="K274" t="s">
        <v>275</v>
      </c>
      <c r="L274" t="s">
        <v>276</v>
      </c>
      <c r="M274">
        <v>61</v>
      </c>
      <c r="O274" t="s">
        <v>52</v>
      </c>
      <c r="P274" t="s">
        <v>52</v>
      </c>
      <c r="Q274" t="s">
        <v>197</v>
      </c>
      <c r="R274" t="s">
        <v>53</v>
      </c>
      <c r="S274" t="s">
        <v>116</v>
      </c>
      <c r="T274" t="s">
        <v>198</v>
      </c>
      <c r="U274" t="s">
        <v>108</v>
      </c>
    </row>
    <row r="275" spans="1:21" x14ac:dyDescent="0.3">
      <c r="A275" t="s">
        <v>192</v>
      </c>
      <c r="B275" t="s">
        <v>192</v>
      </c>
      <c r="C275" t="s">
        <v>194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272</v>
      </c>
      <c r="L275" t="s">
        <v>273</v>
      </c>
      <c r="M275">
        <v>33</v>
      </c>
      <c r="N275">
        <v>11167</v>
      </c>
      <c r="O275" t="s">
        <v>52</v>
      </c>
      <c r="P275" t="s">
        <v>52</v>
      </c>
      <c r="Q275" t="s">
        <v>197</v>
      </c>
      <c r="R275" t="s">
        <v>53</v>
      </c>
      <c r="S275" t="s">
        <v>116</v>
      </c>
      <c r="T275" t="s">
        <v>198</v>
      </c>
      <c r="U275" t="s">
        <v>108</v>
      </c>
    </row>
    <row r="276" spans="1:21" x14ac:dyDescent="0.3">
      <c r="A276" t="s">
        <v>192</v>
      </c>
      <c r="B276" t="s">
        <v>192</v>
      </c>
      <c r="C276" t="s">
        <v>194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279</v>
      </c>
      <c r="L276" t="s">
        <v>273</v>
      </c>
      <c r="M276">
        <v>33</v>
      </c>
      <c r="N276">
        <v>11167</v>
      </c>
      <c r="O276" t="s">
        <v>52</v>
      </c>
      <c r="P276" t="s">
        <v>52</v>
      </c>
      <c r="Q276" t="s">
        <v>197</v>
      </c>
      <c r="R276" t="s">
        <v>53</v>
      </c>
      <c r="S276" t="s">
        <v>116</v>
      </c>
      <c r="T276" t="s">
        <v>198</v>
      </c>
      <c r="U276" t="s">
        <v>108</v>
      </c>
    </row>
    <row r="277" spans="1:21" x14ac:dyDescent="0.3">
      <c r="A277" t="s">
        <v>192</v>
      </c>
      <c r="B277" t="s">
        <v>192</v>
      </c>
      <c r="C277" t="s">
        <v>194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274</v>
      </c>
      <c r="L277" t="s">
        <v>273</v>
      </c>
      <c r="M277">
        <v>33</v>
      </c>
      <c r="N277">
        <v>11167</v>
      </c>
      <c r="O277" t="s">
        <v>52</v>
      </c>
      <c r="P277" t="s">
        <v>52</v>
      </c>
      <c r="Q277" t="s">
        <v>197</v>
      </c>
      <c r="R277" t="s">
        <v>53</v>
      </c>
      <c r="S277" t="s">
        <v>116</v>
      </c>
      <c r="T277" t="s">
        <v>198</v>
      </c>
      <c r="U277" t="s">
        <v>108</v>
      </c>
    </row>
    <row r="278" spans="1:21" x14ac:dyDescent="0.3">
      <c r="A278" t="s">
        <v>185</v>
      </c>
      <c r="B278" t="s">
        <v>185</v>
      </c>
      <c r="C278" t="s">
        <v>194</v>
      </c>
      <c r="D278">
        <v>1</v>
      </c>
      <c r="E278" t="s">
        <v>107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280</v>
      </c>
      <c r="L278" t="s">
        <v>276</v>
      </c>
      <c r="M278">
        <v>33</v>
      </c>
      <c r="N278">
        <v>11902</v>
      </c>
      <c r="O278" t="s">
        <v>52</v>
      </c>
      <c r="P278" t="s">
        <v>52</v>
      </c>
      <c r="Q278" t="s">
        <v>197</v>
      </c>
      <c r="R278" t="s">
        <v>53</v>
      </c>
      <c r="S278" t="s">
        <v>116</v>
      </c>
      <c r="T278" t="s">
        <v>198</v>
      </c>
      <c r="U278" t="s">
        <v>108</v>
      </c>
    </row>
    <row r="279" spans="1:21" x14ac:dyDescent="0.3">
      <c r="A279" t="s">
        <v>185</v>
      </c>
      <c r="B279" t="s">
        <v>185</v>
      </c>
      <c r="C279" t="s">
        <v>194</v>
      </c>
      <c r="D279">
        <v>1</v>
      </c>
      <c r="E279" t="s">
        <v>107</v>
      </c>
      <c r="F279">
        <v>1</v>
      </c>
      <c r="G279">
        <v>9</v>
      </c>
      <c r="H279">
        <v>9</v>
      </c>
      <c r="I279" t="s">
        <v>119</v>
      </c>
      <c r="J279" t="s">
        <v>58</v>
      </c>
      <c r="K279" t="s">
        <v>281</v>
      </c>
      <c r="L279" t="s">
        <v>282</v>
      </c>
      <c r="M279">
        <v>33</v>
      </c>
      <c r="O279" t="s">
        <v>52</v>
      </c>
      <c r="P279" t="s">
        <v>52</v>
      </c>
      <c r="Q279" t="s">
        <v>197</v>
      </c>
      <c r="R279" t="s">
        <v>53</v>
      </c>
      <c r="S279" t="s">
        <v>116</v>
      </c>
      <c r="T279" t="s">
        <v>198</v>
      </c>
      <c r="U279" t="s">
        <v>108</v>
      </c>
    </row>
    <row r="280" spans="1:21" x14ac:dyDescent="0.3">
      <c r="A280" t="s">
        <v>185</v>
      </c>
      <c r="B280" t="s">
        <v>185</v>
      </c>
      <c r="C280" t="s">
        <v>194</v>
      </c>
      <c r="D280">
        <v>1</v>
      </c>
      <c r="E280" t="s">
        <v>107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283</v>
      </c>
      <c r="L280" t="s">
        <v>276</v>
      </c>
      <c r="M280">
        <v>33</v>
      </c>
      <c r="N280">
        <v>11902</v>
      </c>
      <c r="O280" t="s">
        <v>52</v>
      </c>
      <c r="P280" t="s">
        <v>52</v>
      </c>
      <c r="Q280" t="s">
        <v>197</v>
      </c>
      <c r="R280" t="s">
        <v>53</v>
      </c>
      <c r="S280" t="s">
        <v>116</v>
      </c>
      <c r="T280" t="s">
        <v>198</v>
      </c>
      <c r="U280" t="s">
        <v>108</v>
      </c>
    </row>
    <row r="281" spans="1:21" x14ac:dyDescent="0.3">
      <c r="A281" t="s">
        <v>185</v>
      </c>
      <c r="B281" t="s">
        <v>185</v>
      </c>
      <c r="C281" t="s">
        <v>194</v>
      </c>
      <c r="D281">
        <v>1</v>
      </c>
      <c r="E281" t="s">
        <v>107</v>
      </c>
      <c r="F281">
        <v>1</v>
      </c>
      <c r="G281">
        <v>598</v>
      </c>
      <c r="H281">
        <v>598</v>
      </c>
      <c r="I281" t="s">
        <v>117</v>
      </c>
      <c r="J281" t="s">
        <v>51</v>
      </c>
      <c r="K281" t="s">
        <v>284</v>
      </c>
      <c r="L281" t="s">
        <v>282</v>
      </c>
      <c r="M281">
        <v>33</v>
      </c>
      <c r="O281" t="s">
        <v>52</v>
      </c>
      <c r="P281" t="s">
        <v>52</v>
      </c>
      <c r="Q281" t="s">
        <v>197</v>
      </c>
      <c r="R281" t="s">
        <v>53</v>
      </c>
      <c r="S281" t="s">
        <v>116</v>
      </c>
      <c r="T281" t="s">
        <v>198</v>
      </c>
      <c r="U281" t="s">
        <v>108</v>
      </c>
    </row>
    <row r="282" spans="1:21" x14ac:dyDescent="0.3">
      <c r="A282" t="s">
        <v>185</v>
      </c>
      <c r="B282" t="s">
        <v>185</v>
      </c>
      <c r="C282" t="s">
        <v>194</v>
      </c>
      <c r="D282">
        <v>1</v>
      </c>
      <c r="E282" t="s">
        <v>107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285</v>
      </c>
      <c r="L282" t="s">
        <v>276</v>
      </c>
      <c r="M282">
        <v>33</v>
      </c>
      <c r="N282">
        <v>11902</v>
      </c>
      <c r="O282" t="s">
        <v>52</v>
      </c>
      <c r="P282" t="s">
        <v>52</v>
      </c>
      <c r="Q282" t="s">
        <v>197</v>
      </c>
      <c r="R282" t="s">
        <v>53</v>
      </c>
      <c r="S282" t="s">
        <v>116</v>
      </c>
      <c r="T282" t="s">
        <v>198</v>
      </c>
      <c r="U282" t="s">
        <v>108</v>
      </c>
    </row>
    <row r="283" spans="1:21" x14ac:dyDescent="0.3">
      <c r="A283" t="s">
        <v>185</v>
      </c>
      <c r="B283" t="s">
        <v>185</v>
      </c>
      <c r="C283" t="s">
        <v>194</v>
      </c>
      <c r="D283">
        <v>1</v>
      </c>
      <c r="E283" t="s">
        <v>107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286</v>
      </c>
      <c r="L283" t="s">
        <v>276</v>
      </c>
      <c r="M283">
        <v>33</v>
      </c>
      <c r="N283">
        <v>11902</v>
      </c>
      <c r="O283" t="s">
        <v>52</v>
      </c>
      <c r="P283" t="s">
        <v>52</v>
      </c>
      <c r="Q283" t="s">
        <v>197</v>
      </c>
      <c r="R283" t="s">
        <v>53</v>
      </c>
      <c r="S283" t="s">
        <v>116</v>
      </c>
      <c r="T283" t="s">
        <v>198</v>
      </c>
      <c r="U283" t="s">
        <v>108</v>
      </c>
    </row>
    <row r="284" spans="1:21" x14ac:dyDescent="0.3">
      <c r="A284" t="s">
        <v>185</v>
      </c>
      <c r="B284" t="s">
        <v>185</v>
      </c>
      <c r="C284" t="s">
        <v>194</v>
      </c>
      <c r="D284">
        <v>2</v>
      </c>
      <c r="E284" t="s">
        <v>118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280</v>
      </c>
      <c r="L284" t="s">
        <v>276</v>
      </c>
      <c r="M284">
        <v>33</v>
      </c>
      <c r="N284">
        <v>11902</v>
      </c>
      <c r="O284" t="s">
        <v>52</v>
      </c>
      <c r="P284" t="s">
        <v>52</v>
      </c>
      <c r="Q284" t="s">
        <v>197</v>
      </c>
      <c r="R284" t="s">
        <v>53</v>
      </c>
      <c r="S284" t="s">
        <v>116</v>
      </c>
      <c r="T284" t="s">
        <v>198</v>
      </c>
      <c r="U284" t="s">
        <v>108</v>
      </c>
    </row>
    <row r="285" spans="1:21" x14ac:dyDescent="0.3">
      <c r="A285" t="s">
        <v>185</v>
      </c>
      <c r="B285" t="s">
        <v>185</v>
      </c>
      <c r="C285" t="s">
        <v>194</v>
      </c>
      <c r="D285">
        <v>2</v>
      </c>
      <c r="E285" t="s">
        <v>118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283</v>
      </c>
      <c r="L285" t="s">
        <v>276</v>
      </c>
      <c r="M285">
        <v>33</v>
      </c>
      <c r="N285">
        <v>11902</v>
      </c>
      <c r="O285" t="s">
        <v>52</v>
      </c>
      <c r="P285" t="s">
        <v>52</v>
      </c>
      <c r="Q285" t="s">
        <v>197</v>
      </c>
      <c r="R285" t="s">
        <v>53</v>
      </c>
      <c r="S285" t="s">
        <v>116</v>
      </c>
      <c r="T285" t="s">
        <v>198</v>
      </c>
      <c r="U285" t="s">
        <v>108</v>
      </c>
    </row>
    <row r="286" spans="1:21" x14ac:dyDescent="0.3">
      <c r="A286" t="s">
        <v>185</v>
      </c>
      <c r="B286" t="s">
        <v>185</v>
      </c>
      <c r="C286" t="s">
        <v>194</v>
      </c>
      <c r="D286">
        <v>2</v>
      </c>
      <c r="E286" t="s">
        <v>118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285</v>
      </c>
      <c r="L286" t="s">
        <v>276</v>
      </c>
      <c r="M286">
        <v>33</v>
      </c>
      <c r="N286">
        <v>11902</v>
      </c>
      <c r="O286" t="s">
        <v>52</v>
      </c>
      <c r="P286" t="s">
        <v>52</v>
      </c>
      <c r="Q286" t="s">
        <v>197</v>
      </c>
      <c r="R286" t="s">
        <v>53</v>
      </c>
      <c r="S286" t="s">
        <v>116</v>
      </c>
      <c r="T286" t="s">
        <v>198</v>
      </c>
      <c r="U286" t="s">
        <v>108</v>
      </c>
    </row>
    <row r="287" spans="1:21" x14ac:dyDescent="0.3">
      <c r="A287" t="s">
        <v>185</v>
      </c>
      <c r="B287" t="s">
        <v>185</v>
      </c>
      <c r="C287" t="s">
        <v>194</v>
      </c>
      <c r="D287">
        <v>2</v>
      </c>
      <c r="E287" t="s">
        <v>118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286</v>
      </c>
      <c r="L287" t="s">
        <v>276</v>
      </c>
      <c r="M287">
        <v>33</v>
      </c>
      <c r="N287">
        <v>11902</v>
      </c>
      <c r="O287" t="s">
        <v>52</v>
      </c>
      <c r="P287" t="s">
        <v>52</v>
      </c>
      <c r="Q287" t="s">
        <v>197</v>
      </c>
      <c r="R287" t="s">
        <v>53</v>
      </c>
      <c r="S287" t="s">
        <v>116</v>
      </c>
      <c r="T287" t="s">
        <v>198</v>
      </c>
      <c r="U287" t="s">
        <v>108</v>
      </c>
    </row>
    <row r="288" spans="1:21" x14ac:dyDescent="0.3">
      <c r="A288" t="s">
        <v>185</v>
      </c>
      <c r="B288" t="s">
        <v>185</v>
      </c>
      <c r="C288" t="s">
        <v>194</v>
      </c>
      <c r="D288">
        <v>2</v>
      </c>
      <c r="E288" t="s">
        <v>118</v>
      </c>
      <c r="F288">
        <v>1</v>
      </c>
      <c r="G288">
        <v>2</v>
      </c>
      <c r="H288">
        <v>2</v>
      </c>
      <c r="I288" t="s">
        <v>117</v>
      </c>
      <c r="J288" t="s">
        <v>51</v>
      </c>
      <c r="K288" t="s">
        <v>284</v>
      </c>
      <c r="L288" t="s">
        <v>282</v>
      </c>
      <c r="M288">
        <v>33</v>
      </c>
      <c r="O288" t="s">
        <v>52</v>
      </c>
      <c r="P288" t="s">
        <v>52</v>
      </c>
      <c r="Q288" t="s">
        <v>197</v>
      </c>
      <c r="R288" t="s">
        <v>53</v>
      </c>
      <c r="S288" t="s">
        <v>116</v>
      </c>
      <c r="T288" t="s">
        <v>198</v>
      </c>
      <c r="U288" t="s">
        <v>108</v>
      </c>
    </row>
    <row r="289" spans="1:21" x14ac:dyDescent="0.3">
      <c r="A289" t="s">
        <v>185</v>
      </c>
      <c r="B289" t="s">
        <v>185</v>
      </c>
      <c r="C289" t="s">
        <v>194</v>
      </c>
      <c r="D289">
        <v>3</v>
      </c>
      <c r="E289" t="s">
        <v>105</v>
      </c>
      <c r="F289">
        <v>1</v>
      </c>
      <c r="G289">
        <v>1</v>
      </c>
      <c r="H289">
        <v>1</v>
      </c>
      <c r="I289" t="s">
        <v>119</v>
      </c>
      <c r="J289" t="s">
        <v>58</v>
      </c>
      <c r="K289" t="s">
        <v>281</v>
      </c>
      <c r="L289" t="s">
        <v>282</v>
      </c>
      <c r="M289">
        <v>33</v>
      </c>
      <c r="O289" t="s">
        <v>52</v>
      </c>
      <c r="P289" t="s">
        <v>52</v>
      </c>
      <c r="Q289" t="s">
        <v>197</v>
      </c>
      <c r="R289" t="s">
        <v>53</v>
      </c>
      <c r="S289" t="s">
        <v>116</v>
      </c>
      <c r="T289" t="s">
        <v>198</v>
      </c>
      <c r="U289" t="s">
        <v>108</v>
      </c>
    </row>
    <row r="290" spans="1:21" x14ac:dyDescent="0.3">
      <c r="A290" t="s">
        <v>185</v>
      </c>
      <c r="B290" t="s">
        <v>185</v>
      </c>
      <c r="C290" t="s">
        <v>194</v>
      </c>
      <c r="D290">
        <v>3</v>
      </c>
      <c r="E290" t="s">
        <v>105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286</v>
      </c>
      <c r="L290" t="s">
        <v>276</v>
      </c>
      <c r="M290">
        <v>33</v>
      </c>
      <c r="N290">
        <v>11902</v>
      </c>
      <c r="O290" t="s">
        <v>52</v>
      </c>
      <c r="P290" t="s">
        <v>52</v>
      </c>
      <c r="Q290" t="s">
        <v>197</v>
      </c>
      <c r="R290" t="s">
        <v>53</v>
      </c>
      <c r="S290" t="s">
        <v>116</v>
      </c>
      <c r="T290" t="s">
        <v>198</v>
      </c>
      <c r="U290" t="s">
        <v>108</v>
      </c>
    </row>
    <row r="291" spans="1:21" x14ac:dyDescent="0.3">
      <c r="A291" t="s">
        <v>185</v>
      </c>
      <c r="B291" t="s">
        <v>185</v>
      </c>
      <c r="C291" t="s">
        <v>194</v>
      </c>
      <c r="D291">
        <v>3</v>
      </c>
      <c r="E291" t="s">
        <v>105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280</v>
      </c>
      <c r="L291" t="s">
        <v>276</v>
      </c>
      <c r="M291">
        <v>33</v>
      </c>
      <c r="N291">
        <v>11902</v>
      </c>
      <c r="O291" t="s">
        <v>52</v>
      </c>
      <c r="P291" t="s">
        <v>52</v>
      </c>
      <c r="Q291" t="s">
        <v>197</v>
      </c>
      <c r="R291" t="s">
        <v>53</v>
      </c>
      <c r="S291" t="s">
        <v>116</v>
      </c>
      <c r="T291" t="s">
        <v>198</v>
      </c>
      <c r="U291" t="s">
        <v>108</v>
      </c>
    </row>
    <row r="292" spans="1:21" x14ac:dyDescent="0.3">
      <c r="A292" t="s">
        <v>185</v>
      </c>
      <c r="B292" t="s">
        <v>185</v>
      </c>
      <c r="C292" t="s">
        <v>194</v>
      </c>
      <c r="D292">
        <v>3</v>
      </c>
      <c r="E292" t="s">
        <v>105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283</v>
      </c>
      <c r="L292" t="s">
        <v>276</v>
      </c>
      <c r="M292">
        <v>33</v>
      </c>
      <c r="N292">
        <v>11902</v>
      </c>
      <c r="O292" t="s">
        <v>52</v>
      </c>
      <c r="P292" t="s">
        <v>52</v>
      </c>
      <c r="Q292" t="s">
        <v>197</v>
      </c>
      <c r="R292" t="s">
        <v>53</v>
      </c>
      <c r="S292" t="s">
        <v>116</v>
      </c>
      <c r="T292" t="s">
        <v>198</v>
      </c>
      <c r="U292" t="s">
        <v>108</v>
      </c>
    </row>
    <row r="293" spans="1:21" x14ac:dyDescent="0.3">
      <c r="A293" t="s">
        <v>185</v>
      </c>
      <c r="B293" t="s">
        <v>185</v>
      </c>
      <c r="C293" t="s">
        <v>194</v>
      </c>
      <c r="D293">
        <v>3</v>
      </c>
      <c r="E293" t="s">
        <v>105</v>
      </c>
      <c r="F293">
        <v>1</v>
      </c>
      <c r="G293">
        <v>111</v>
      </c>
      <c r="H293">
        <v>111</v>
      </c>
      <c r="I293" t="s">
        <v>117</v>
      </c>
      <c r="J293" t="s">
        <v>51</v>
      </c>
      <c r="K293" t="s">
        <v>284</v>
      </c>
      <c r="L293" t="s">
        <v>282</v>
      </c>
      <c r="M293">
        <v>33</v>
      </c>
      <c r="O293" t="s">
        <v>52</v>
      </c>
      <c r="P293" t="s">
        <v>52</v>
      </c>
      <c r="Q293" t="s">
        <v>197</v>
      </c>
      <c r="R293" t="s">
        <v>53</v>
      </c>
      <c r="S293" t="s">
        <v>116</v>
      </c>
      <c r="T293" t="s">
        <v>198</v>
      </c>
      <c r="U293" t="s">
        <v>108</v>
      </c>
    </row>
    <row r="294" spans="1:21" x14ac:dyDescent="0.3">
      <c r="A294" t="s">
        <v>185</v>
      </c>
      <c r="B294" t="s">
        <v>185</v>
      </c>
      <c r="C294" t="s">
        <v>194</v>
      </c>
      <c r="D294">
        <v>3</v>
      </c>
      <c r="E294" t="s">
        <v>105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285</v>
      </c>
      <c r="L294" t="s">
        <v>276</v>
      </c>
      <c r="M294">
        <v>33</v>
      </c>
      <c r="N294">
        <v>11902</v>
      </c>
      <c r="O294" t="s">
        <v>52</v>
      </c>
      <c r="P294" t="s">
        <v>52</v>
      </c>
      <c r="Q294" t="s">
        <v>197</v>
      </c>
      <c r="R294" t="s">
        <v>53</v>
      </c>
      <c r="S294" t="s">
        <v>116</v>
      </c>
      <c r="T294" t="s">
        <v>198</v>
      </c>
      <c r="U294" t="s">
        <v>108</v>
      </c>
    </row>
    <row r="295" spans="1:21" x14ac:dyDescent="0.3">
      <c r="A295" t="s">
        <v>185</v>
      </c>
      <c r="B295" t="s">
        <v>185</v>
      </c>
      <c r="C295" t="s">
        <v>194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117</v>
      </c>
      <c r="J295" t="s">
        <v>51</v>
      </c>
      <c r="K295" t="s">
        <v>284</v>
      </c>
      <c r="L295" t="s">
        <v>282</v>
      </c>
      <c r="M295">
        <v>33</v>
      </c>
      <c r="O295" t="s">
        <v>52</v>
      </c>
      <c r="P295" t="s">
        <v>52</v>
      </c>
      <c r="Q295" t="s">
        <v>197</v>
      </c>
      <c r="R295" t="s">
        <v>53</v>
      </c>
      <c r="S295" t="s">
        <v>116</v>
      </c>
      <c r="T295" t="s">
        <v>198</v>
      </c>
      <c r="U295" t="s">
        <v>108</v>
      </c>
    </row>
    <row r="296" spans="1:21" x14ac:dyDescent="0.3">
      <c r="A296" t="s">
        <v>185</v>
      </c>
      <c r="B296" t="s">
        <v>185</v>
      </c>
      <c r="C296" t="s">
        <v>194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283</v>
      </c>
      <c r="L296" t="s">
        <v>276</v>
      </c>
      <c r="M296">
        <v>33</v>
      </c>
      <c r="N296">
        <v>11902</v>
      </c>
      <c r="O296" t="s">
        <v>52</v>
      </c>
      <c r="P296" t="s">
        <v>52</v>
      </c>
      <c r="Q296" t="s">
        <v>197</v>
      </c>
      <c r="R296" t="s">
        <v>53</v>
      </c>
      <c r="S296" t="s">
        <v>116</v>
      </c>
      <c r="T296" t="s">
        <v>198</v>
      </c>
      <c r="U296" t="s">
        <v>108</v>
      </c>
    </row>
    <row r="297" spans="1:21" x14ac:dyDescent="0.3">
      <c r="A297" t="s">
        <v>185</v>
      </c>
      <c r="B297" t="s">
        <v>185</v>
      </c>
      <c r="C297" t="s">
        <v>194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285</v>
      </c>
      <c r="L297" t="s">
        <v>276</v>
      </c>
      <c r="M297">
        <v>33</v>
      </c>
      <c r="N297">
        <v>11902</v>
      </c>
      <c r="O297" t="s">
        <v>52</v>
      </c>
      <c r="P297" t="s">
        <v>52</v>
      </c>
      <c r="Q297" t="s">
        <v>197</v>
      </c>
      <c r="R297" t="s">
        <v>53</v>
      </c>
      <c r="S297" t="s">
        <v>116</v>
      </c>
      <c r="T297" t="s">
        <v>198</v>
      </c>
      <c r="U297" t="s">
        <v>108</v>
      </c>
    </row>
    <row r="298" spans="1:21" x14ac:dyDescent="0.3">
      <c r="A298" t="s">
        <v>185</v>
      </c>
      <c r="B298" t="s">
        <v>185</v>
      </c>
      <c r="C298" t="s">
        <v>194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119</v>
      </c>
      <c r="J298" t="s">
        <v>58</v>
      </c>
      <c r="K298" t="s">
        <v>281</v>
      </c>
      <c r="L298" t="s">
        <v>282</v>
      </c>
      <c r="M298">
        <v>33</v>
      </c>
      <c r="O298" t="s">
        <v>52</v>
      </c>
      <c r="P298" t="s">
        <v>52</v>
      </c>
      <c r="Q298" t="s">
        <v>197</v>
      </c>
      <c r="R298" t="s">
        <v>53</v>
      </c>
      <c r="S298" t="s">
        <v>116</v>
      </c>
      <c r="T298" t="s">
        <v>198</v>
      </c>
      <c r="U298" t="s">
        <v>108</v>
      </c>
    </row>
    <row r="299" spans="1:21" x14ac:dyDescent="0.3">
      <c r="A299" t="s">
        <v>185</v>
      </c>
      <c r="B299" t="s">
        <v>185</v>
      </c>
      <c r="C299" t="s">
        <v>194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280</v>
      </c>
      <c r="L299" t="s">
        <v>276</v>
      </c>
      <c r="M299">
        <v>33</v>
      </c>
      <c r="N299">
        <v>11902</v>
      </c>
      <c r="O299" t="s">
        <v>52</v>
      </c>
      <c r="P299" t="s">
        <v>52</v>
      </c>
      <c r="Q299" t="s">
        <v>197</v>
      </c>
      <c r="R299" t="s">
        <v>53</v>
      </c>
      <c r="S299" t="s">
        <v>116</v>
      </c>
      <c r="T299" t="s">
        <v>198</v>
      </c>
      <c r="U299" t="s">
        <v>108</v>
      </c>
    </row>
    <row r="300" spans="1:21" x14ac:dyDescent="0.3">
      <c r="A300" t="s">
        <v>185</v>
      </c>
      <c r="B300" t="s">
        <v>185</v>
      </c>
      <c r="C300" t="s">
        <v>194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286</v>
      </c>
      <c r="L300" t="s">
        <v>276</v>
      </c>
      <c r="M300">
        <v>33</v>
      </c>
      <c r="N300">
        <v>11902</v>
      </c>
      <c r="O300" t="s">
        <v>52</v>
      </c>
      <c r="P300" t="s">
        <v>52</v>
      </c>
      <c r="Q300" t="s">
        <v>197</v>
      </c>
      <c r="R300" t="s">
        <v>53</v>
      </c>
      <c r="S300" t="s">
        <v>116</v>
      </c>
      <c r="T300" t="s">
        <v>198</v>
      </c>
      <c r="U300" t="s">
        <v>108</v>
      </c>
    </row>
    <row r="301" spans="1:21" x14ac:dyDescent="0.3">
      <c r="A301" t="s">
        <v>185</v>
      </c>
      <c r="B301" t="s">
        <v>185</v>
      </c>
      <c r="C301" t="s">
        <v>194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286</v>
      </c>
      <c r="L301" t="s">
        <v>276</v>
      </c>
      <c r="M301">
        <v>33</v>
      </c>
      <c r="N301">
        <v>11902</v>
      </c>
      <c r="O301" t="s">
        <v>52</v>
      </c>
      <c r="P301" t="s">
        <v>52</v>
      </c>
      <c r="Q301" t="s">
        <v>197</v>
      </c>
      <c r="R301" t="s">
        <v>53</v>
      </c>
      <c r="S301" t="s">
        <v>116</v>
      </c>
      <c r="T301" t="s">
        <v>198</v>
      </c>
      <c r="U301" t="s">
        <v>108</v>
      </c>
    </row>
    <row r="302" spans="1:21" x14ac:dyDescent="0.3">
      <c r="A302" t="s">
        <v>185</v>
      </c>
      <c r="B302" t="s">
        <v>185</v>
      </c>
      <c r="C302" t="s">
        <v>194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283</v>
      </c>
      <c r="L302" t="s">
        <v>276</v>
      </c>
      <c r="M302">
        <v>33</v>
      </c>
      <c r="N302">
        <v>11902</v>
      </c>
      <c r="O302" t="s">
        <v>52</v>
      </c>
      <c r="P302" t="s">
        <v>52</v>
      </c>
      <c r="Q302" t="s">
        <v>197</v>
      </c>
      <c r="R302" t="s">
        <v>53</v>
      </c>
      <c r="S302" t="s">
        <v>116</v>
      </c>
      <c r="T302" t="s">
        <v>198</v>
      </c>
      <c r="U302" t="s">
        <v>108</v>
      </c>
    </row>
    <row r="303" spans="1:21" x14ac:dyDescent="0.3">
      <c r="A303" t="s">
        <v>185</v>
      </c>
      <c r="B303" t="s">
        <v>185</v>
      </c>
      <c r="C303" t="s">
        <v>194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285</v>
      </c>
      <c r="L303" t="s">
        <v>276</v>
      </c>
      <c r="M303">
        <v>33</v>
      </c>
      <c r="N303">
        <v>11902</v>
      </c>
      <c r="O303" t="s">
        <v>52</v>
      </c>
      <c r="P303" t="s">
        <v>52</v>
      </c>
      <c r="Q303" t="s">
        <v>197</v>
      </c>
      <c r="R303" t="s">
        <v>53</v>
      </c>
      <c r="S303" t="s">
        <v>116</v>
      </c>
      <c r="T303" t="s">
        <v>198</v>
      </c>
      <c r="U303" t="s">
        <v>108</v>
      </c>
    </row>
    <row r="304" spans="1:21" x14ac:dyDescent="0.3">
      <c r="A304" t="s">
        <v>185</v>
      </c>
      <c r="B304" t="s">
        <v>185</v>
      </c>
      <c r="C304" t="s">
        <v>194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280</v>
      </c>
      <c r="L304" t="s">
        <v>276</v>
      </c>
      <c r="M304">
        <v>33</v>
      </c>
      <c r="N304">
        <v>11902</v>
      </c>
      <c r="O304" t="s">
        <v>52</v>
      </c>
      <c r="P304" t="s">
        <v>52</v>
      </c>
      <c r="Q304" t="s">
        <v>197</v>
      </c>
      <c r="R304" t="s">
        <v>53</v>
      </c>
      <c r="S304" t="s">
        <v>116</v>
      </c>
      <c r="T304" t="s">
        <v>198</v>
      </c>
      <c r="U304" t="s">
        <v>108</v>
      </c>
    </row>
    <row r="305" spans="1:21" x14ac:dyDescent="0.3">
      <c r="A305" t="s">
        <v>185</v>
      </c>
      <c r="B305" t="s">
        <v>185</v>
      </c>
      <c r="C305" t="s">
        <v>194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117</v>
      </c>
      <c r="J305" t="s">
        <v>51</v>
      </c>
      <c r="K305" t="s">
        <v>284</v>
      </c>
      <c r="L305" t="s">
        <v>282</v>
      </c>
      <c r="M305">
        <v>33</v>
      </c>
      <c r="O305" t="s">
        <v>52</v>
      </c>
      <c r="P305" t="s">
        <v>52</v>
      </c>
      <c r="Q305" t="s">
        <v>197</v>
      </c>
      <c r="R305" t="s">
        <v>53</v>
      </c>
      <c r="S305" t="s">
        <v>116</v>
      </c>
      <c r="T305" t="s">
        <v>198</v>
      </c>
      <c r="U305" t="s">
        <v>108</v>
      </c>
    </row>
    <row r="306" spans="1:21" x14ac:dyDescent="0.3">
      <c r="A306" t="s">
        <v>287</v>
      </c>
      <c r="B306" t="s">
        <v>287</v>
      </c>
      <c r="C306" t="s">
        <v>194</v>
      </c>
      <c r="D306">
        <v>1</v>
      </c>
      <c r="E306" t="s">
        <v>107</v>
      </c>
      <c r="F306">
        <v>1</v>
      </c>
      <c r="G306">
        <v>29633</v>
      </c>
      <c r="H306">
        <v>29633</v>
      </c>
      <c r="I306" t="s">
        <v>117</v>
      </c>
      <c r="J306" t="s">
        <v>51</v>
      </c>
      <c r="K306" t="s">
        <v>288</v>
      </c>
      <c r="L306" t="s">
        <v>289</v>
      </c>
      <c r="M306">
        <v>33</v>
      </c>
      <c r="N306">
        <v>13702</v>
      </c>
      <c r="O306" t="s">
        <v>52</v>
      </c>
      <c r="P306" t="s">
        <v>52</v>
      </c>
      <c r="Q306" t="s">
        <v>197</v>
      </c>
      <c r="R306" t="s">
        <v>53</v>
      </c>
      <c r="S306" t="s">
        <v>116</v>
      </c>
      <c r="T306" t="s">
        <v>198</v>
      </c>
      <c r="U306" t="s">
        <v>108</v>
      </c>
    </row>
    <row r="307" spans="1:21" x14ac:dyDescent="0.3">
      <c r="A307" t="s">
        <v>287</v>
      </c>
      <c r="B307" t="s">
        <v>287</v>
      </c>
      <c r="C307" t="s">
        <v>194</v>
      </c>
      <c r="D307">
        <v>1</v>
      </c>
      <c r="E307" t="s">
        <v>107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290</v>
      </c>
      <c r="L307" t="s">
        <v>291</v>
      </c>
      <c r="M307">
        <v>33</v>
      </c>
      <c r="N307">
        <v>13159</v>
      </c>
      <c r="O307" t="s">
        <v>52</v>
      </c>
      <c r="P307" t="s">
        <v>52</v>
      </c>
      <c r="Q307" t="s">
        <v>197</v>
      </c>
      <c r="R307" t="s">
        <v>53</v>
      </c>
      <c r="S307" t="s">
        <v>116</v>
      </c>
      <c r="T307" t="s">
        <v>198</v>
      </c>
      <c r="U307" t="s">
        <v>108</v>
      </c>
    </row>
    <row r="308" spans="1:21" x14ac:dyDescent="0.3">
      <c r="A308" t="s">
        <v>287</v>
      </c>
      <c r="B308" t="s">
        <v>287</v>
      </c>
      <c r="C308" t="s">
        <v>194</v>
      </c>
      <c r="D308">
        <v>1</v>
      </c>
      <c r="E308" t="s">
        <v>107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292</v>
      </c>
      <c r="L308" t="s">
        <v>291</v>
      </c>
      <c r="M308">
        <v>33</v>
      </c>
      <c r="N308">
        <v>13159</v>
      </c>
      <c r="O308" t="s">
        <v>52</v>
      </c>
      <c r="P308" t="s">
        <v>52</v>
      </c>
      <c r="Q308" t="s">
        <v>197</v>
      </c>
      <c r="R308" t="s">
        <v>53</v>
      </c>
      <c r="S308" t="s">
        <v>116</v>
      </c>
      <c r="T308" t="s">
        <v>198</v>
      </c>
      <c r="U308" t="s">
        <v>108</v>
      </c>
    </row>
    <row r="309" spans="1:21" x14ac:dyDescent="0.3">
      <c r="A309" t="s">
        <v>287</v>
      </c>
      <c r="B309" t="s">
        <v>287</v>
      </c>
      <c r="C309" t="s">
        <v>194</v>
      </c>
      <c r="D309">
        <v>1</v>
      </c>
      <c r="E309" t="s">
        <v>107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293</v>
      </c>
      <c r="L309" t="s">
        <v>291</v>
      </c>
      <c r="M309">
        <v>33</v>
      </c>
      <c r="N309">
        <v>13159</v>
      </c>
      <c r="O309" t="s">
        <v>52</v>
      </c>
      <c r="P309" t="s">
        <v>52</v>
      </c>
      <c r="Q309" t="s">
        <v>197</v>
      </c>
      <c r="R309" t="s">
        <v>53</v>
      </c>
      <c r="S309" t="s">
        <v>116</v>
      </c>
      <c r="T309" t="s">
        <v>198</v>
      </c>
      <c r="U309" t="s">
        <v>108</v>
      </c>
    </row>
    <row r="310" spans="1:21" x14ac:dyDescent="0.3">
      <c r="A310" t="s">
        <v>287</v>
      </c>
      <c r="B310" t="s">
        <v>287</v>
      </c>
      <c r="C310" t="s">
        <v>194</v>
      </c>
      <c r="D310">
        <v>1</v>
      </c>
      <c r="E310" t="s">
        <v>107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294</v>
      </c>
      <c r="L310" t="s">
        <v>291</v>
      </c>
      <c r="M310">
        <v>33</v>
      </c>
      <c r="N310">
        <v>13159</v>
      </c>
      <c r="O310" t="s">
        <v>52</v>
      </c>
      <c r="P310" t="s">
        <v>52</v>
      </c>
      <c r="Q310" t="s">
        <v>197</v>
      </c>
      <c r="R310" t="s">
        <v>53</v>
      </c>
      <c r="S310" t="s">
        <v>116</v>
      </c>
      <c r="T310" t="s">
        <v>198</v>
      </c>
      <c r="U310" t="s">
        <v>108</v>
      </c>
    </row>
    <row r="311" spans="1:21" x14ac:dyDescent="0.3">
      <c r="A311" t="s">
        <v>287</v>
      </c>
      <c r="B311" t="s">
        <v>287</v>
      </c>
      <c r="C311" t="s">
        <v>194</v>
      </c>
      <c r="D311">
        <v>1</v>
      </c>
      <c r="E311" t="s">
        <v>107</v>
      </c>
      <c r="F311">
        <v>1</v>
      </c>
      <c r="G311">
        <v>1</v>
      </c>
      <c r="H311">
        <v>1</v>
      </c>
      <c r="I311" t="s">
        <v>119</v>
      </c>
      <c r="J311" t="s">
        <v>58</v>
      </c>
      <c r="K311" t="s">
        <v>295</v>
      </c>
      <c r="L311" t="s">
        <v>289</v>
      </c>
      <c r="M311">
        <v>33</v>
      </c>
      <c r="N311">
        <v>13702</v>
      </c>
      <c r="O311" t="s">
        <v>52</v>
      </c>
      <c r="P311" t="s">
        <v>52</v>
      </c>
      <c r="Q311" t="s">
        <v>197</v>
      </c>
      <c r="R311" t="s">
        <v>53</v>
      </c>
      <c r="S311" t="s">
        <v>116</v>
      </c>
      <c r="T311" t="s">
        <v>198</v>
      </c>
      <c r="U311" t="s">
        <v>108</v>
      </c>
    </row>
    <row r="312" spans="1:21" x14ac:dyDescent="0.3">
      <c r="A312" t="s">
        <v>287</v>
      </c>
      <c r="B312" t="s">
        <v>287</v>
      </c>
      <c r="C312" t="s">
        <v>194</v>
      </c>
      <c r="D312">
        <v>2</v>
      </c>
      <c r="E312" t="s">
        <v>118</v>
      </c>
      <c r="F312">
        <v>1</v>
      </c>
      <c r="G312">
        <v>68</v>
      </c>
      <c r="H312">
        <v>68</v>
      </c>
      <c r="I312" t="s">
        <v>117</v>
      </c>
      <c r="J312" t="s">
        <v>51</v>
      </c>
      <c r="K312" t="s">
        <v>288</v>
      </c>
      <c r="L312" t="s">
        <v>289</v>
      </c>
      <c r="M312">
        <v>33</v>
      </c>
      <c r="N312">
        <v>13702</v>
      </c>
      <c r="O312" t="s">
        <v>52</v>
      </c>
      <c r="P312" t="s">
        <v>52</v>
      </c>
      <c r="Q312" t="s">
        <v>197</v>
      </c>
      <c r="R312" t="s">
        <v>53</v>
      </c>
      <c r="S312" t="s">
        <v>116</v>
      </c>
      <c r="T312" t="s">
        <v>198</v>
      </c>
      <c r="U312" t="s">
        <v>108</v>
      </c>
    </row>
    <row r="313" spans="1:21" x14ac:dyDescent="0.3">
      <c r="A313" t="s">
        <v>287</v>
      </c>
      <c r="B313" t="s">
        <v>287</v>
      </c>
      <c r="C313" t="s">
        <v>194</v>
      </c>
      <c r="D313">
        <v>2</v>
      </c>
      <c r="E313" t="s">
        <v>118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292</v>
      </c>
      <c r="L313" t="s">
        <v>291</v>
      </c>
      <c r="M313">
        <v>33</v>
      </c>
      <c r="N313">
        <v>13159</v>
      </c>
      <c r="O313" t="s">
        <v>52</v>
      </c>
      <c r="P313" t="s">
        <v>52</v>
      </c>
      <c r="Q313" t="s">
        <v>197</v>
      </c>
      <c r="R313" t="s">
        <v>53</v>
      </c>
      <c r="S313" t="s">
        <v>116</v>
      </c>
      <c r="T313" t="s">
        <v>198</v>
      </c>
      <c r="U313" t="s">
        <v>108</v>
      </c>
    </row>
    <row r="314" spans="1:21" x14ac:dyDescent="0.3">
      <c r="A314" t="s">
        <v>287</v>
      </c>
      <c r="B314" t="s">
        <v>287</v>
      </c>
      <c r="C314" t="s">
        <v>194</v>
      </c>
      <c r="D314">
        <v>2</v>
      </c>
      <c r="E314" t="s">
        <v>118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294</v>
      </c>
      <c r="L314" t="s">
        <v>291</v>
      </c>
      <c r="M314">
        <v>33</v>
      </c>
      <c r="N314">
        <v>13159</v>
      </c>
      <c r="O314" t="s">
        <v>52</v>
      </c>
      <c r="P314" t="s">
        <v>52</v>
      </c>
      <c r="Q314" t="s">
        <v>197</v>
      </c>
      <c r="R314" t="s">
        <v>53</v>
      </c>
      <c r="S314" t="s">
        <v>116</v>
      </c>
      <c r="T314" t="s">
        <v>198</v>
      </c>
      <c r="U314" t="s">
        <v>108</v>
      </c>
    </row>
    <row r="315" spans="1:21" x14ac:dyDescent="0.3">
      <c r="A315" t="s">
        <v>287</v>
      </c>
      <c r="B315" t="s">
        <v>287</v>
      </c>
      <c r="C315" t="s">
        <v>194</v>
      </c>
      <c r="D315">
        <v>2</v>
      </c>
      <c r="E315" t="s">
        <v>118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293</v>
      </c>
      <c r="L315" t="s">
        <v>291</v>
      </c>
      <c r="M315">
        <v>33</v>
      </c>
      <c r="N315">
        <v>13159</v>
      </c>
      <c r="O315" t="s">
        <v>52</v>
      </c>
      <c r="P315" t="s">
        <v>52</v>
      </c>
      <c r="Q315" t="s">
        <v>197</v>
      </c>
      <c r="R315" t="s">
        <v>53</v>
      </c>
      <c r="S315" t="s">
        <v>116</v>
      </c>
      <c r="T315" t="s">
        <v>198</v>
      </c>
      <c r="U315" t="s">
        <v>108</v>
      </c>
    </row>
    <row r="316" spans="1:21" x14ac:dyDescent="0.3">
      <c r="A316" t="s">
        <v>287</v>
      </c>
      <c r="B316" t="s">
        <v>287</v>
      </c>
      <c r="C316" t="s">
        <v>194</v>
      </c>
      <c r="D316">
        <v>2</v>
      </c>
      <c r="E316" t="s">
        <v>118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290</v>
      </c>
      <c r="L316" t="s">
        <v>291</v>
      </c>
      <c r="M316">
        <v>33</v>
      </c>
      <c r="N316">
        <v>13159</v>
      </c>
      <c r="O316" t="s">
        <v>52</v>
      </c>
      <c r="P316" t="s">
        <v>52</v>
      </c>
      <c r="Q316" t="s">
        <v>197</v>
      </c>
      <c r="R316" t="s">
        <v>53</v>
      </c>
      <c r="S316" t="s">
        <v>116</v>
      </c>
      <c r="T316" t="s">
        <v>198</v>
      </c>
      <c r="U316" t="s">
        <v>108</v>
      </c>
    </row>
    <row r="317" spans="1:21" x14ac:dyDescent="0.3">
      <c r="A317" t="s">
        <v>287</v>
      </c>
      <c r="B317" t="s">
        <v>287</v>
      </c>
      <c r="C317" t="s">
        <v>194</v>
      </c>
      <c r="D317">
        <v>3</v>
      </c>
      <c r="E317" t="s">
        <v>105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293</v>
      </c>
      <c r="L317" t="s">
        <v>291</v>
      </c>
      <c r="M317">
        <v>33</v>
      </c>
      <c r="N317">
        <v>13159</v>
      </c>
      <c r="O317" t="s">
        <v>52</v>
      </c>
      <c r="P317" t="s">
        <v>52</v>
      </c>
      <c r="Q317" t="s">
        <v>197</v>
      </c>
      <c r="R317" t="s">
        <v>53</v>
      </c>
      <c r="S317" t="s">
        <v>116</v>
      </c>
      <c r="T317" t="s">
        <v>198</v>
      </c>
      <c r="U317" t="s">
        <v>108</v>
      </c>
    </row>
    <row r="318" spans="1:21" x14ac:dyDescent="0.3">
      <c r="A318" t="s">
        <v>287</v>
      </c>
      <c r="B318" t="s">
        <v>287</v>
      </c>
      <c r="C318" t="s">
        <v>194</v>
      </c>
      <c r="D318">
        <v>3</v>
      </c>
      <c r="E318" t="s">
        <v>105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292</v>
      </c>
      <c r="L318" t="s">
        <v>291</v>
      </c>
      <c r="M318">
        <v>33</v>
      </c>
      <c r="N318">
        <v>13159</v>
      </c>
      <c r="O318" t="s">
        <v>52</v>
      </c>
      <c r="P318" t="s">
        <v>52</v>
      </c>
      <c r="Q318" t="s">
        <v>197</v>
      </c>
      <c r="R318" t="s">
        <v>53</v>
      </c>
      <c r="S318" t="s">
        <v>116</v>
      </c>
      <c r="T318" t="s">
        <v>198</v>
      </c>
      <c r="U318" t="s">
        <v>108</v>
      </c>
    </row>
    <row r="319" spans="1:21" x14ac:dyDescent="0.3">
      <c r="A319" t="s">
        <v>287</v>
      </c>
      <c r="B319" t="s">
        <v>287</v>
      </c>
      <c r="C319" t="s">
        <v>194</v>
      </c>
      <c r="D319">
        <v>3</v>
      </c>
      <c r="E319" t="s">
        <v>105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290</v>
      </c>
      <c r="L319" t="s">
        <v>291</v>
      </c>
      <c r="M319">
        <v>33</v>
      </c>
      <c r="N319">
        <v>13159</v>
      </c>
      <c r="O319" t="s">
        <v>52</v>
      </c>
      <c r="P319" t="s">
        <v>52</v>
      </c>
      <c r="Q319" t="s">
        <v>197</v>
      </c>
      <c r="R319" t="s">
        <v>53</v>
      </c>
      <c r="S319" t="s">
        <v>116</v>
      </c>
      <c r="T319" t="s">
        <v>198</v>
      </c>
      <c r="U319" t="s">
        <v>108</v>
      </c>
    </row>
    <row r="320" spans="1:21" x14ac:dyDescent="0.3">
      <c r="A320" t="s">
        <v>287</v>
      </c>
      <c r="B320" t="s">
        <v>287</v>
      </c>
      <c r="C320" t="s">
        <v>194</v>
      </c>
      <c r="D320">
        <v>3</v>
      </c>
      <c r="E320" t="s">
        <v>105</v>
      </c>
      <c r="F320">
        <v>1</v>
      </c>
      <c r="G320">
        <v>4168</v>
      </c>
      <c r="H320">
        <v>4168</v>
      </c>
      <c r="I320" t="s">
        <v>117</v>
      </c>
      <c r="J320" t="s">
        <v>51</v>
      </c>
      <c r="K320" t="s">
        <v>288</v>
      </c>
      <c r="L320" t="s">
        <v>289</v>
      </c>
      <c r="M320">
        <v>33</v>
      </c>
      <c r="N320">
        <v>13702</v>
      </c>
      <c r="O320" t="s">
        <v>52</v>
      </c>
      <c r="P320" t="s">
        <v>52</v>
      </c>
      <c r="Q320" t="s">
        <v>197</v>
      </c>
      <c r="R320" t="s">
        <v>53</v>
      </c>
      <c r="S320" t="s">
        <v>116</v>
      </c>
      <c r="T320" t="s">
        <v>198</v>
      </c>
      <c r="U320" t="s">
        <v>108</v>
      </c>
    </row>
    <row r="321" spans="1:21" x14ac:dyDescent="0.3">
      <c r="A321" t="s">
        <v>287</v>
      </c>
      <c r="B321" t="s">
        <v>287</v>
      </c>
      <c r="C321" t="s">
        <v>194</v>
      </c>
      <c r="D321">
        <v>3</v>
      </c>
      <c r="E321" t="s">
        <v>105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294</v>
      </c>
      <c r="L321" t="s">
        <v>291</v>
      </c>
      <c r="M321">
        <v>33</v>
      </c>
      <c r="N321">
        <v>13159</v>
      </c>
      <c r="O321" t="s">
        <v>52</v>
      </c>
      <c r="P321" t="s">
        <v>52</v>
      </c>
      <c r="Q321" t="s">
        <v>197</v>
      </c>
      <c r="R321" t="s">
        <v>53</v>
      </c>
      <c r="S321" t="s">
        <v>116</v>
      </c>
      <c r="T321" t="s">
        <v>198</v>
      </c>
      <c r="U321" t="s">
        <v>108</v>
      </c>
    </row>
    <row r="322" spans="1:21" x14ac:dyDescent="0.3">
      <c r="A322" t="s">
        <v>287</v>
      </c>
      <c r="B322" t="s">
        <v>287</v>
      </c>
      <c r="C322" t="s">
        <v>194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119</v>
      </c>
      <c r="J322" t="s">
        <v>58</v>
      </c>
      <c r="K322" t="s">
        <v>295</v>
      </c>
      <c r="L322" t="s">
        <v>289</v>
      </c>
      <c r="M322">
        <v>33</v>
      </c>
      <c r="N322">
        <v>13702</v>
      </c>
      <c r="O322" t="s">
        <v>52</v>
      </c>
      <c r="P322" t="s">
        <v>52</v>
      </c>
      <c r="Q322" t="s">
        <v>197</v>
      </c>
      <c r="R322" t="s">
        <v>53</v>
      </c>
      <c r="S322" t="s">
        <v>116</v>
      </c>
      <c r="T322" t="s">
        <v>198</v>
      </c>
      <c r="U322" t="s">
        <v>108</v>
      </c>
    </row>
    <row r="323" spans="1:21" x14ac:dyDescent="0.3">
      <c r="A323" t="s">
        <v>287</v>
      </c>
      <c r="B323" t="s">
        <v>287</v>
      </c>
      <c r="C323" t="s">
        <v>194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290</v>
      </c>
      <c r="L323" t="s">
        <v>291</v>
      </c>
      <c r="M323">
        <v>33</v>
      </c>
      <c r="N323">
        <v>13159</v>
      </c>
      <c r="O323" t="s">
        <v>52</v>
      </c>
      <c r="P323" t="s">
        <v>52</v>
      </c>
      <c r="Q323" t="s">
        <v>197</v>
      </c>
      <c r="R323" t="s">
        <v>53</v>
      </c>
      <c r="S323" t="s">
        <v>116</v>
      </c>
      <c r="T323" t="s">
        <v>198</v>
      </c>
      <c r="U323" t="s">
        <v>108</v>
      </c>
    </row>
    <row r="324" spans="1:21" x14ac:dyDescent="0.3">
      <c r="A324" t="s">
        <v>287</v>
      </c>
      <c r="B324" t="s">
        <v>287</v>
      </c>
      <c r="C324" t="s">
        <v>194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117</v>
      </c>
      <c r="J324" t="s">
        <v>51</v>
      </c>
      <c r="K324" t="s">
        <v>288</v>
      </c>
      <c r="L324" t="s">
        <v>289</v>
      </c>
      <c r="M324">
        <v>33</v>
      </c>
      <c r="N324">
        <v>13702</v>
      </c>
      <c r="O324" t="s">
        <v>52</v>
      </c>
      <c r="P324" t="s">
        <v>52</v>
      </c>
      <c r="Q324" t="s">
        <v>197</v>
      </c>
      <c r="R324" t="s">
        <v>53</v>
      </c>
      <c r="S324" t="s">
        <v>116</v>
      </c>
      <c r="T324" t="s">
        <v>198</v>
      </c>
      <c r="U324" t="s">
        <v>108</v>
      </c>
    </row>
    <row r="325" spans="1:21" x14ac:dyDescent="0.3">
      <c r="A325" t="s">
        <v>287</v>
      </c>
      <c r="B325" t="s">
        <v>287</v>
      </c>
      <c r="C325" t="s">
        <v>194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292</v>
      </c>
      <c r="L325" t="s">
        <v>291</v>
      </c>
      <c r="M325">
        <v>33</v>
      </c>
      <c r="N325">
        <v>13159</v>
      </c>
      <c r="O325" t="s">
        <v>52</v>
      </c>
      <c r="P325" t="s">
        <v>52</v>
      </c>
      <c r="Q325" t="s">
        <v>197</v>
      </c>
      <c r="R325" t="s">
        <v>53</v>
      </c>
      <c r="S325" t="s">
        <v>116</v>
      </c>
      <c r="T325" t="s">
        <v>198</v>
      </c>
      <c r="U325" t="s">
        <v>108</v>
      </c>
    </row>
    <row r="326" spans="1:21" x14ac:dyDescent="0.3">
      <c r="A326" t="s">
        <v>287</v>
      </c>
      <c r="B326" t="s">
        <v>287</v>
      </c>
      <c r="C326" t="s">
        <v>194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293</v>
      </c>
      <c r="L326" t="s">
        <v>291</v>
      </c>
      <c r="M326">
        <v>33</v>
      </c>
      <c r="N326">
        <v>13159</v>
      </c>
      <c r="O326" t="s">
        <v>52</v>
      </c>
      <c r="P326" t="s">
        <v>52</v>
      </c>
      <c r="Q326" t="s">
        <v>197</v>
      </c>
      <c r="R326" t="s">
        <v>53</v>
      </c>
      <c r="S326" t="s">
        <v>116</v>
      </c>
      <c r="T326" t="s">
        <v>198</v>
      </c>
      <c r="U326" t="s">
        <v>108</v>
      </c>
    </row>
    <row r="327" spans="1:21" x14ac:dyDescent="0.3">
      <c r="A327" t="s">
        <v>287</v>
      </c>
      <c r="B327" t="s">
        <v>287</v>
      </c>
      <c r="C327" t="s">
        <v>194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294</v>
      </c>
      <c r="L327" t="s">
        <v>291</v>
      </c>
      <c r="M327">
        <v>33</v>
      </c>
      <c r="N327">
        <v>13159</v>
      </c>
      <c r="O327" t="s">
        <v>52</v>
      </c>
      <c r="P327" t="s">
        <v>52</v>
      </c>
      <c r="Q327" t="s">
        <v>197</v>
      </c>
      <c r="R327" t="s">
        <v>53</v>
      </c>
      <c r="S327" t="s">
        <v>116</v>
      </c>
      <c r="T327" t="s">
        <v>198</v>
      </c>
      <c r="U327" t="s">
        <v>108</v>
      </c>
    </row>
    <row r="328" spans="1:21" x14ac:dyDescent="0.3">
      <c r="A328" t="s">
        <v>287</v>
      </c>
      <c r="B328" t="s">
        <v>287</v>
      </c>
      <c r="C328" t="s">
        <v>194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290</v>
      </c>
      <c r="L328" t="s">
        <v>291</v>
      </c>
      <c r="M328">
        <v>33</v>
      </c>
      <c r="N328">
        <v>13159</v>
      </c>
      <c r="O328" t="s">
        <v>52</v>
      </c>
      <c r="P328" t="s">
        <v>52</v>
      </c>
      <c r="Q328" t="s">
        <v>197</v>
      </c>
      <c r="R328" t="s">
        <v>53</v>
      </c>
      <c r="S328" t="s">
        <v>116</v>
      </c>
      <c r="T328" t="s">
        <v>198</v>
      </c>
      <c r="U328" t="s">
        <v>108</v>
      </c>
    </row>
    <row r="329" spans="1:21" x14ac:dyDescent="0.3">
      <c r="A329" t="s">
        <v>287</v>
      </c>
      <c r="B329" t="s">
        <v>287</v>
      </c>
      <c r="C329" t="s">
        <v>194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117</v>
      </c>
      <c r="J329" t="s">
        <v>51</v>
      </c>
      <c r="K329" t="s">
        <v>288</v>
      </c>
      <c r="L329" t="s">
        <v>289</v>
      </c>
      <c r="M329">
        <v>33</v>
      </c>
      <c r="N329">
        <v>13702</v>
      </c>
      <c r="O329" t="s">
        <v>52</v>
      </c>
      <c r="P329" t="s">
        <v>52</v>
      </c>
      <c r="Q329" t="s">
        <v>197</v>
      </c>
      <c r="R329" t="s">
        <v>53</v>
      </c>
      <c r="S329" t="s">
        <v>116</v>
      </c>
      <c r="T329" t="s">
        <v>198</v>
      </c>
      <c r="U329" t="s">
        <v>108</v>
      </c>
    </row>
    <row r="330" spans="1:21" x14ac:dyDescent="0.3">
      <c r="A330" t="s">
        <v>287</v>
      </c>
      <c r="B330" t="s">
        <v>287</v>
      </c>
      <c r="C330" t="s">
        <v>194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292</v>
      </c>
      <c r="L330" t="s">
        <v>291</v>
      </c>
      <c r="M330">
        <v>33</v>
      </c>
      <c r="N330">
        <v>13159</v>
      </c>
      <c r="O330" t="s">
        <v>52</v>
      </c>
      <c r="P330" t="s">
        <v>52</v>
      </c>
      <c r="Q330" t="s">
        <v>197</v>
      </c>
      <c r="R330" t="s">
        <v>53</v>
      </c>
      <c r="S330" t="s">
        <v>116</v>
      </c>
      <c r="T330" t="s">
        <v>198</v>
      </c>
      <c r="U330" t="s">
        <v>108</v>
      </c>
    </row>
    <row r="331" spans="1:21" x14ac:dyDescent="0.3">
      <c r="A331" t="s">
        <v>287</v>
      </c>
      <c r="B331" t="s">
        <v>287</v>
      </c>
      <c r="C331" t="s">
        <v>194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293</v>
      </c>
      <c r="L331" t="s">
        <v>291</v>
      </c>
      <c r="M331">
        <v>33</v>
      </c>
      <c r="N331">
        <v>13159</v>
      </c>
      <c r="O331" t="s">
        <v>52</v>
      </c>
      <c r="P331" t="s">
        <v>52</v>
      </c>
      <c r="Q331" t="s">
        <v>197</v>
      </c>
      <c r="R331" t="s">
        <v>53</v>
      </c>
      <c r="S331" t="s">
        <v>116</v>
      </c>
      <c r="T331" t="s">
        <v>198</v>
      </c>
      <c r="U331" t="s">
        <v>108</v>
      </c>
    </row>
    <row r="332" spans="1:21" x14ac:dyDescent="0.3">
      <c r="A332" t="s">
        <v>287</v>
      </c>
      <c r="B332" t="s">
        <v>287</v>
      </c>
      <c r="C332" t="s">
        <v>194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294</v>
      </c>
      <c r="L332" t="s">
        <v>291</v>
      </c>
      <c r="M332">
        <v>33</v>
      </c>
      <c r="N332">
        <v>13159</v>
      </c>
      <c r="O332" t="s">
        <v>52</v>
      </c>
      <c r="P332" t="s">
        <v>52</v>
      </c>
      <c r="Q332" t="s">
        <v>197</v>
      </c>
      <c r="R332" t="s">
        <v>53</v>
      </c>
      <c r="S332" t="s">
        <v>116</v>
      </c>
      <c r="T332" t="s">
        <v>198</v>
      </c>
      <c r="U332" t="s">
        <v>108</v>
      </c>
    </row>
    <row r="333" spans="1:21" x14ac:dyDescent="0.3">
      <c r="A333" t="s">
        <v>296</v>
      </c>
      <c r="B333" t="s">
        <v>296</v>
      </c>
      <c r="C333" t="s">
        <v>194</v>
      </c>
      <c r="D333">
        <v>1</v>
      </c>
      <c r="E333" t="s">
        <v>107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297</v>
      </c>
      <c r="L333" t="s">
        <v>298</v>
      </c>
      <c r="M333">
        <v>33</v>
      </c>
      <c r="N333">
        <v>13209</v>
      </c>
      <c r="O333" t="s">
        <v>52</v>
      </c>
      <c r="P333" t="s">
        <v>52</v>
      </c>
      <c r="Q333" t="s">
        <v>197</v>
      </c>
      <c r="R333" t="s">
        <v>53</v>
      </c>
      <c r="S333" t="s">
        <v>116</v>
      </c>
      <c r="T333" t="s">
        <v>198</v>
      </c>
      <c r="U333" t="s">
        <v>108</v>
      </c>
    </row>
    <row r="334" spans="1:21" x14ac:dyDescent="0.3">
      <c r="A334" t="s">
        <v>296</v>
      </c>
      <c r="B334" t="s">
        <v>296</v>
      </c>
      <c r="C334" t="s">
        <v>194</v>
      </c>
      <c r="D334">
        <v>1</v>
      </c>
      <c r="E334" t="s">
        <v>107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299</v>
      </c>
      <c r="L334" t="s">
        <v>298</v>
      </c>
      <c r="M334">
        <v>33</v>
      </c>
      <c r="N334">
        <v>13209</v>
      </c>
      <c r="O334" t="s">
        <v>52</v>
      </c>
      <c r="P334" t="s">
        <v>52</v>
      </c>
      <c r="Q334" t="s">
        <v>197</v>
      </c>
      <c r="R334" t="s">
        <v>53</v>
      </c>
      <c r="S334" t="s">
        <v>116</v>
      </c>
      <c r="T334" t="s">
        <v>198</v>
      </c>
      <c r="U334" t="s">
        <v>108</v>
      </c>
    </row>
    <row r="335" spans="1:21" x14ac:dyDescent="0.3">
      <c r="A335" t="s">
        <v>296</v>
      </c>
      <c r="B335" t="s">
        <v>296</v>
      </c>
      <c r="C335" t="s">
        <v>194</v>
      </c>
      <c r="D335">
        <v>1</v>
      </c>
      <c r="E335" t="s">
        <v>107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300</v>
      </c>
      <c r="L335" t="s">
        <v>298</v>
      </c>
      <c r="M335">
        <v>33</v>
      </c>
      <c r="N335">
        <v>13209</v>
      </c>
      <c r="O335" t="s">
        <v>52</v>
      </c>
      <c r="P335" t="s">
        <v>52</v>
      </c>
      <c r="Q335" t="s">
        <v>197</v>
      </c>
      <c r="R335" t="s">
        <v>53</v>
      </c>
      <c r="S335" t="s">
        <v>116</v>
      </c>
      <c r="T335" t="s">
        <v>198</v>
      </c>
      <c r="U335" t="s">
        <v>108</v>
      </c>
    </row>
    <row r="336" spans="1:21" x14ac:dyDescent="0.3">
      <c r="A336" t="s">
        <v>296</v>
      </c>
      <c r="B336" t="s">
        <v>296</v>
      </c>
      <c r="C336" t="s">
        <v>194</v>
      </c>
      <c r="D336">
        <v>1</v>
      </c>
      <c r="E336" t="s">
        <v>107</v>
      </c>
      <c r="F336">
        <v>1</v>
      </c>
      <c r="G336">
        <v>698</v>
      </c>
      <c r="H336">
        <v>698</v>
      </c>
      <c r="I336" t="s">
        <v>117</v>
      </c>
      <c r="J336" t="s">
        <v>51</v>
      </c>
      <c r="K336" t="s">
        <v>301</v>
      </c>
      <c r="L336" t="s">
        <v>302</v>
      </c>
      <c r="M336">
        <v>33</v>
      </c>
      <c r="N336">
        <v>13670</v>
      </c>
      <c r="O336" t="s">
        <v>52</v>
      </c>
      <c r="P336" t="s">
        <v>52</v>
      </c>
      <c r="Q336" t="s">
        <v>197</v>
      </c>
      <c r="R336" t="s">
        <v>53</v>
      </c>
      <c r="S336" t="s">
        <v>116</v>
      </c>
      <c r="T336" t="s">
        <v>198</v>
      </c>
      <c r="U336" t="s">
        <v>108</v>
      </c>
    </row>
    <row r="337" spans="1:21" x14ac:dyDescent="0.3">
      <c r="A337" t="s">
        <v>296</v>
      </c>
      <c r="B337" t="s">
        <v>296</v>
      </c>
      <c r="C337" t="s">
        <v>194</v>
      </c>
      <c r="D337">
        <v>1</v>
      </c>
      <c r="E337" t="s">
        <v>107</v>
      </c>
      <c r="F337">
        <v>1</v>
      </c>
      <c r="G337">
        <v>11</v>
      </c>
      <c r="H337">
        <v>11</v>
      </c>
      <c r="I337" t="s">
        <v>119</v>
      </c>
      <c r="J337" t="s">
        <v>58</v>
      </c>
      <c r="K337" t="s">
        <v>303</v>
      </c>
      <c r="L337" t="s">
        <v>302</v>
      </c>
      <c r="M337">
        <v>33</v>
      </c>
      <c r="N337">
        <v>13670</v>
      </c>
      <c r="O337" t="s">
        <v>52</v>
      </c>
      <c r="P337" t="s">
        <v>52</v>
      </c>
      <c r="Q337" t="s">
        <v>197</v>
      </c>
      <c r="R337" t="s">
        <v>53</v>
      </c>
      <c r="S337" t="s">
        <v>116</v>
      </c>
      <c r="T337" t="s">
        <v>198</v>
      </c>
      <c r="U337" t="s">
        <v>108</v>
      </c>
    </row>
    <row r="338" spans="1:21" x14ac:dyDescent="0.3">
      <c r="A338" t="s">
        <v>296</v>
      </c>
      <c r="B338" t="s">
        <v>296</v>
      </c>
      <c r="C338" t="s">
        <v>194</v>
      </c>
      <c r="D338">
        <v>1</v>
      </c>
      <c r="E338" t="s">
        <v>107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304</v>
      </c>
      <c r="L338" t="s">
        <v>298</v>
      </c>
      <c r="M338">
        <v>33</v>
      </c>
      <c r="N338">
        <v>13209</v>
      </c>
      <c r="O338" t="s">
        <v>52</v>
      </c>
      <c r="P338" t="s">
        <v>52</v>
      </c>
      <c r="Q338" t="s">
        <v>197</v>
      </c>
      <c r="R338" t="s">
        <v>53</v>
      </c>
      <c r="S338" t="s">
        <v>116</v>
      </c>
      <c r="T338" t="s">
        <v>198</v>
      </c>
      <c r="U338" t="s">
        <v>108</v>
      </c>
    </row>
    <row r="339" spans="1:21" x14ac:dyDescent="0.3">
      <c r="A339" t="s">
        <v>296</v>
      </c>
      <c r="B339" t="s">
        <v>296</v>
      </c>
      <c r="C339" t="s">
        <v>194</v>
      </c>
      <c r="D339">
        <v>2</v>
      </c>
      <c r="E339" t="s">
        <v>118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304</v>
      </c>
      <c r="L339" t="s">
        <v>298</v>
      </c>
      <c r="M339">
        <v>33</v>
      </c>
      <c r="N339">
        <v>13209</v>
      </c>
      <c r="O339" t="s">
        <v>52</v>
      </c>
      <c r="P339" t="s">
        <v>52</v>
      </c>
      <c r="Q339" t="s">
        <v>197</v>
      </c>
      <c r="R339" t="s">
        <v>53</v>
      </c>
      <c r="S339" t="s">
        <v>116</v>
      </c>
      <c r="T339" t="s">
        <v>198</v>
      </c>
      <c r="U339" t="s">
        <v>108</v>
      </c>
    </row>
    <row r="340" spans="1:21" x14ac:dyDescent="0.3">
      <c r="A340" t="s">
        <v>296</v>
      </c>
      <c r="B340" t="s">
        <v>296</v>
      </c>
      <c r="C340" t="s">
        <v>194</v>
      </c>
      <c r="D340">
        <v>2</v>
      </c>
      <c r="E340" t="s">
        <v>118</v>
      </c>
      <c r="F340">
        <v>1</v>
      </c>
      <c r="G340">
        <v>2</v>
      </c>
      <c r="H340">
        <v>2</v>
      </c>
      <c r="I340" t="s">
        <v>117</v>
      </c>
      <c r="J340" t="s">
        <v>51</v>
      </c>
      <c r="K340" t="s">
        <v>301</v>
      </c>
      <c r="L340" t="s">
        <v>302</v>
      </c>
      <c r="M340">
        <v>33</v>
      </c>
      <c r="N340">
        <v>13670</v>
      </c>
      <c r="O340" t="s">
        <v>52</v>
      </c>
      <c r="P340" t="s">
        <v>52</v>
      </c>
      <c r="Q340" t="s">
        <v>197</v>
      </c>
      <c r="R340" t="s">
        <v>53</v>
      </c>
      <c r="S340" t="s">
        <v>116</v>
      </c>
      <c r="T340" t="s">
        <v>198</v>
      </c>
      <c r="U340" t="s">
        <v>108</v>
      </c>
    </row>
    <row r="341" spans="1:21" x14ac:dyDescent="0.3">
      <c r="A341" t="s">
        <v>296</v>
      </c>
      <c r="B341" t="s">
        <v>296</v>
      </c>
      <c r="C341" t="s">
        <v>194</v>
      </c>
      <c r="D341">
        <v>2</v>
      </c>
      <c r="E341" t="s">
        <v>118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299</v>
      </c>
      <c r="L341" t="s">
        <v>298</v>
      </c>
      <c r="M341">
        <v>33</v>
      </c>
      <c r="N341">
        <v>13209</v>
      </c>
      <c r="O341" t="s">
        <v>52</v>
      </c>
      <c r="P341" t="s">
        <v>52</v>
      </c>
      <c r="Q341" t="s">
        <v>197</v>
      </c>
      <c r="R341" t="s">
        <v>53</v>
      </c>
      <c r="S341" t="s">
        <v>116</v>
      </c>
      <c r="T341" t="s">
        <v>198</v>
      </c>
      <c r="U341" t="s">
        <v>108</v>
      </c>
    </row>
    <row r="342" spans="1:21" x14ac:dyDescent="0.3">
      <c r="A342" t="s">
        <v>296</v>
      </c>
      <c r="B342" t="s">
        <v>296</v>
      </c>
      <c r="C342" t="s">
        <v>194</v>
      </c>
      <c r="D342">
        <v>2</v>
      </c>
      <c r="E342" t="s">
        <v>118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297</v>
      </c>
      <c r="L342" t="s">
        <v>298</v>
      </c>
      <c r="M342">
        <v>33</v>
      </c>
      <c r="N342">
        <v>13209</v>
      </c>
      <c r="O342" t="s">
        <v>52</v>
      </c>
      <c r="P342" t="s">
        <v>52</v>
      </c>
      <c r="Q342" t="s">
        <v>197</v>
      </c>
      <c r="R342" t="s">
        <v>53</v>
      </c>
      <c r="S342" t="s">
        <v>116</v>
      </c>
      <c r="T342" t="s">
        <v>198</v>
      </c>
      <c r="U342" t="s">
        <v>108</v>
      </c>
    </row>
    <row r="343" spans="1:21" x14ac:dyDescent="0.3">
      <c r="A343" t="s">
        <v>296</v>
      </c>
      <c r="B343" t="s">
        <v>296</v>
      </c>
      <c r="C343" t="s">
        <v>194</v>
      </c>
      <c r="D343">
        <v>2</v>
      </c>
      <c r="E343" t="s">
        <v>118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300</v>
      </c>
      <c r="L343" t="s">
        <v>298</v>
      </c>
      <c r="M343">
        <v>33</v>
      </c>
      <c r="N343">
        <v>13209</v>
      </c>
      <c r="O343" t="s">
        <v>52</v>
      </c>
      <c r="P343" t="s">
        <v>52</v>
      </c>
      <c r="Q343" t="s">
        <v>197</v>
      </c>
      <c r="R343" t="s">
        <v>53</v>
      </c>
      <c r="S343" t="s">
        <v>116</v>
      </c>
      <c r="T343" t="s">
        <v>198</v>
      </c>
      <c r="U343" t="s">
        <v>108</v>
      </c>
    </row>
    <row r="344" spans="1:21" x14ac:dyDescent="0.3">
      <c r="A344" t="s">
        <v>296</v>
      </c>
      <c r="B344" t="s">
        <v>296</v>
      </c>
      <c r="C344" t="s">
        <v>194</v>
      </c>
      <c r="D344">
        <v>3</v>
      </c>
      <c r="E344" t="s">
        <v>105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304</v>
      </c>
      <c r="L344" t="s">
        <v>298</v>
      </c>
      <c r="M344">
        <v>33</v>
      </c>
      <c r="N344">
        <v>13209</v>
      </c>
      <c r="O344" t="s">
        <v>52</v>
      </c>
      <c r="P344" t="s">
        <v>52</v>
      </c>
      <c r="Q344" t="s">
        <v>197</v>
      </c>
      <c r="R344" t="s">
        <v>53</v>
      </c>
      <c r="S344" t="s">
        <v>116</v>
      </c>
      <c r="T344" t="s">
        <v>198</v>
      </c>
      <c r="U344" t="s">
        <v>108</v>
      </c>
    </row>
    <row r="345" spans="1:21" x14ac:dyDescent="0.3">
      <c r="A345" t="s">
        <v>296</v>
      </c>
      <c r="B345" t="s">
        <v>296</v>
      </c>
      <c r="C345" t="s">
        <v>194</v>
      </c>
      <c r="D345">
        <v>3</v>
      </c>
      <c r="E345" t="s">
        <v>105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300</v>
      </c>
      <c r="L345" t="s">
        <v>298</v>
      </c>
      <c r="M345">
        <v>33</v>
      </c>
      <c r="N345">
        <v>13209</v>
      </c>
      <c r="O345" t="s">
        <v>52</v>
      </c>
      <c r="P345" t="s">
        <v>52</v>
      </c>
      <c r="Q345" t="s">
        <v>197</v>
      </c>
      <c r="R345" t="s">
        <v>53</v>
      </c>
      <c r="S345" t="s">
        <v>116</v>
      </c>
      <c r="T345" t="s">
        <v>198</v>
      </c>
      <c r="U345" t="s">
        <v>108</v>
      </c>
    </row>
    <row r="346" spans="1:21" x14ac:dyDescent="0.3">
      <c r="A346" t="s">
        <v>296</v>
      </c>
      <c r="B346" t="s">
        <v>296</v>
      </c>
      <c r="C346" t="s">
        <v>194</v>
      </c>
      <c r="D346">
        <v>3</v>
      </c>
      <c r="E346" t="s">
        <v>105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297</v>
      </c>
      <c r="L346" t="s">
        <v>298</v>
      </c>
      <c r="M346">
        <v>33</v>
      </c>
      <c r="N346">
        <v>13209</v>
      </c>
      <c r="O346" t="s">
        <v>52</v>
      </c>
      <c r="P346" t="s">
        <v>52</v>
      </c>
      <c r="Q346" t="s">
        <v>197</v>
      </c>
      <c r="R346" t="s">
        <v>53</v>
      </c>
      <c r="S346" t="s">
        <v>116</v>
      </c>
      <c r="T346" t="s">
        <v>198</v>
      </c>
      <c r="U346" t="s">
        <v>108</v>
      </c>
    </row>
    <row r="347" spans="1:21" x14ac:dyDescent="0.3">
      <c r="A347" t="s">
        <v>296</v>
      </c>
      <c r="B347" t="s">
        <v>296</v>
      </c>
      <c r="C347" t="s">
        <v>194</v>
      </c>
      <c r="D347">
        <v>3</v>
      </c>
      <c r="E347" t="s">
        <v>105</v>
      </c>
      <c r="F347">
        <v>1</v>
      </c>
      <c r="G347">
        <v>94</v>
      </c>
      <c r="H347">
        <v>94</v>
      </c>
      <c r="I347" t="s">
        <v>117</v>
      </c>
      <c r="J347" t="s">
        <v>51</v>
      </c>
      <c r="K347" t="s">
        <v>301</v>
      </c>
      <c r="L347" t="s">
        <v>302</v>
      </c>
      <c r="M347">
        <v>33</v>
      </c>
      <c r="N347">
        <v>13670</v>
      </c>
      <c r="O347" t="s">
        <v>52</v>
      </c>
      <c r="P347" t="s">
        <v>52</v>
      </c>
      <c r="Q347" t="s">
        <v>197</v>
      </c>
      <c r="R347" t="s">
        <v>53</v>
      </c>
      <c r="S347" t="s">
        <v>116</v>
      </c>
      <c r="T347" t="s">
        <v>198</v>
      </c>
      <c r="U347" t="s">
        <v>108</v>
      </c>
    </row>
    <row r="348" spans="1:21" x14ac:dyDescent="0.3">
      <c r="A348" t="s">
        <v>296</v>
      </c>
      <c r="B348" t="s">
        <v>296</v>
      </c>
      <c r="C348" t="s">
        <v>194</v>
      </c>
      <c r="D348">
        <v>3</v>
      </c>
      <c r="E348" t="s">
        <v>105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299</v>
      </c>
      <c r="L348" t="s">
        <v>298</v>
      </c>
      <c r="M348">
        <v>33</v>
      </c>
      <c r="N348">
        <v>13209</v>
      </c>
      <c r="O348" t="s">
        <v>52</v>
      </c>
      <c r="P348" t="s">
        <v>52</v>
      </c>
      <c r="Q348" t="s">
        <v>197</v>
      </c>
      <c r="R348" t="s">
        <v>53</v>
      </c>
      <c r="S348" t="s">
        <v>116</v>
      </c>
      <c r="T348" t="s">
        <v>198</v>
      </c>
      <c r="U348" t="s">
        <v>108</v>
      </c>
    </row>
    <row r="349" spans="1:21" x14ac:dyDescent="0.3">
      <c r="A349" t="s">
        <v>296</v>
      </c>
      <c r="B349" t="s">
        <v>296</v>
      </c>
      <c r="C349" t="s">
        <v>194</v>
      </c>
      <c r="D349">
        <v>3</v>
      </c>
      <c r="E349" t="s">
        <v>105</v>
      </c>
      <c r="F349">
        <v>1</v>
      </c>
      <c r="G349">
        <v>2</v>
      </c>
      <c r="H349">
        <v>2</v>
      </c>
      <c r="I349" t="s">
        <v>119</v>
      </c>
      <c r="J349" t="s">
        <v>58</v>
      </c>
      <c r="K349" t="s">
        <v>303</v>
      </c>
      <c r="L349" t="s">
        <v>302</v>
      </c>
      <c r="M349">
        <v>33</v>
      </c>
      <c r="N349">
        <v>13670</v>
      </c>
      <c r="O349" t="s">
        <v>52</v>
      </c>
      <c r="P349" t="s">
        <v>52</v>
      </c>
      <c r="Q349" t="s">
        <v>197</v>
      </c>
      <c r="R349" t="s">
        <v>53</v>
      </c>
      <c r="S349" t="s">
        <v>116</v>
      </c>
      <c r="T349" t="s">
        <v>198</v>
      </c>
      <c r="U349" t="s">
        <v>108</v>
      </c>
    </row>
    <row r="350" spans="1:21" x14ac:dyDescent="0.3">
      <c r="A350" t="s">
        <v>296</v>
      </c>
      <c r="B350" t="s">
        <v>296</v>
      </c>
      <c r="C350" t="s">
        <v>194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300</v>
      </c>
      <c r="L350" t="s">
        <v>298</v>
      </c>
      <c r="M350">
        <v>33</v>
      </c>
      <c r="N350">
        <v>13209</v>
      </c>
      <c r="O350" t="s">
        <v>52</v>
      </c>
      <c r="P350" t="s">
        <v>52</v>
      </c>
      <c r="Q350" t="s">
        <v>197</v>
      </c>
      <c r="R350" t="s">
        <v>53</v>
      </c>
      <c r="S350" t="s">
        <v>116</v>
      </c>
      <c r="T350" t="s">
        <v>198</v>
      </c>
      <c r="U350" t="s">
        <v>108</v>
      </c>
    </row>
    <row r="351" spans="1:21" x14ac:dyDescent="0.3">
      <c r="A351" t="s">
        <v>296</v>
      </c>
      <c r="B351" t="s">
        <v>296</v>
      </c>
      <c r="C351" t="s">
        <v>194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119</v>
      </c>
      <c r="J351" t="s">
        <v>58</v>
      </c>
      <c r="K351" t="s">
        <v>303</v>
      </c>
      <c r="L351" t="s">
        <v>302</v>
      </c>
      <c r="M351">
        <v>33</v>
      </c>
      <c r="N351">
        <v>13670</v>
      </c>
      <c r="O351" t="s">
        <v>52</v>
      </c>
      <c r="P351" t="s">
        <v>52</v>
      </c>
      <c r="Q351" t="s">
        <v>197</v>
      </c>
      <c r="R351" t="s">
        <v>53</v>
      </c>
      <c r="S351" t="s">
        <v>116</v>
      </c>
      <c r="T351" t="s">
        <v>198</v>
      </c>
      <c r="U351" t="s">
        <v>108</v>
      </c>
    </row>
    <row r="352" spans="1:21" x14ac:dyDescent="0.3">
      <c r="A352" t="s">
        <v>296</v>
      </c>
      <c r="B352" t="s">
        <v>296</v>
      </c>
      <c r="C352" t="s">
        <v>194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297</v>
      </c>
      <c r="L352" t="s">
        <v>298</v>
      </c>
      <c r="M352">
        <v>33</v>
      </c>
      <c r="N352">
        <v>13209</v>
      </c>
      <c r="O352" t="s">
        <v>52</v>
      </c>
      <c r="P352" t="s">
        <v>52</v>
      </c>
      <c r="Q352" t="s">
        <v>197</v>
      </c>
      <c r="R352" t="s">
        <v>53</v>
      </c>
      <c r="S352" t="s">
        <v>116</v>
      </c>
      <c r="T352" t="s">
        <v>198</v>
      </c>
      <c r="U352" t="s">
        <v>108</v>
      </c>
    </row>
    <row r="353" spans="1:21" x14ac:dyDescent="0.3">
      <c r="A353" t="s">
        <v>296</v>
      </c>
      <c r="B353" t="s">
        <v>296</v>
      </c>
      <c r="C353" t="s">
        <v>194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117</v>
      </c>
      <c r="J353" t="s">
        <v>51</v>
      </c>
      <c r="K353" t="s">
        <v>301</v>
      </c>
      <c r="L353" t="s">
        <v>302</v>
      </c>
      <c r="M353">
        <v>33</v>
      </c>
      <c r="N353">
        <v>13670</v>
      </c>
      <c r="O353" t="s">
        <v>52</v>
      </c>
      <c r="P353" t="s">
        <v>52</v>
      </c>
      <c r="Q353" t="s">
        <v>197</v>
      </c>
      <c r="R353" t="s">
        <v>53</v>
      </c>
      <c r="S353" t="s">
        <v>116</v>
      </c>
      <c r="T353" t="s">
        <v>198</v>
      </c>
      <c r="U353" t="s">
        <v>108</v>
      </c>
    </row>
    <row r="354" spans="1:21" x14ac:dyDescent="0.3">
      <c r="A354" t="s">
        <v>296</v>
      </c>
      <c r="B354" t="s">
        <v>296</v>
      </c>
      <c r="C354" t="s">
        <v>194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299</v>
      </c>
      <c r="L354" t="s">
        <v>298</v>
      </c>
      <c r="M354">
        <v>33</v>
      </c>
      <c r="N354">
        <v>13209</v>
      </c>
      <c r="O354" t="s">
        <v>52</v>
      </c>
      <c r="P354" t="s">
        <v>52</v>
      </c>
      <c r="Q354" t="s">
        <v>197</v>
      </c>
      <c r="R354" t="s">
        <v>53</v>
      </c>
      <c r="S354" t="s">
        <v>116</v>
      </c>
      <c r="T354" t="s">
        <v>198</v>
      </c>
      <c r="U354" t="s">
        <v>108</v>
      </c>
    </row>
    <row r="355" spans="1:21" x14ac:dyDescent="0.3">
      <c r="A355" t="s">
        <v>296</v>
      </c>
      <c r="B355" t="s">
        <v>296</v>
      </c>
      <c r="C355" t="s">
        <v>194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304</v>
      </c>
      <c r="L355" t="s">
        <v>298</v>
      </c>
      <c r="M355">
        <v>33</v>
      </c>
      <c r="N355">
        <v>13209</v>
      </c>
      <c r="O355" t="s">
        <v>52</v>
      </c>
      <c r="P355" t="s">
        <v>52</v>
      </c>
      <c r="Q355" t="s">
        <v>197</v>
      </c>
      <c r="R355" t="s">
        <v>53</v>
      </c>
      <c r="S355" t="s">
        <v>116</v>
      </c>
      <c r="T355" t="s">
        <v>198</v>
      </c>
      <c r="U355" t="s">
        <v>108</v>
      </c>
    </row>
    <row r="356" spans="1:21" x14ac:dyDescent="0.3">
      <c r="A356" t="s">
        <v>296</v>
      </c>
      <c r="B356" t="s">
        <v>296</v>
      </c>
      <c r="C356" t="s">
        <v>194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117</v>
      </c>
      <c r="J356" t="s">
        <v>51</v>
      </c>
      <c r="K356" t="s">
        <v>301</v>
      </c>
      <c r="L356" t="s">
        <v>302</v>
      </c>
      <c r="M356">
        <v>33</v>
      </c>
      <c r="N356">
        <v>13670</v>
      </c>
      <c r="O356" t="s">
        <v>52</v>
      </c>
      <c r="P356" t="s">
        <v>52</v>
      </c>
      <c r="Q356" t="s">
        <v>197</v>
      </c>
      <c r="R356" t="s">
        <v>53</v>
      </c>
      <c r="S356" t="s">
        <v>116</v>
      </c>
      <c r="T356" t="s">
        <v>198</v>
      </c>
      <c r="U356" t="s">
        <v>108</v>
      </c>
    </row>
    <row r="357" spans="1:21" x14ac:dyDescent="0.3">
      <c r="A357" t="s">
        <v>296</v>
      </c>
      <c r="B357" t="s">
        <v>296</v>
      </c>
      <c r="C357" t="s">
        <v>194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299</v>
      </c>
      <c r="L357" t="s">
        <v>298</v>
      </c>
      <c r="M357">
        <v>33</v>
      </c>
      <c r="N357">
        <v>13209</v>
      </c>
      <c r="O357" t="s">
        <v>52</v>
      </c>
      <c r="P357" t="s">
        <v>52</v>
      </c>
      <c r="Q357" t="s">
        <v>197</v>
      </c>
      <c r="R357" t="s">
        <v>53</v>
      </c>
      <c r="S357" t="s">
        <v>116</v>
      </c>
      <c r="T357" t="s">
        <v>198</v>
      </c>
      <c r="U357" t="s">
        <v>108</v>
      </c>
    </row>
    <row r="358" spans="1:21" x14ac:dyDescent="0.3">
      <c r="A358" t="s">
        <v>296</v>
      </c>
      <c r="B358" t="s">
        <v>296</v>
      </c>
      <c r="C358" t="s">
        <v>194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300</v>
      </c>
      <c r="L358" t="s">
        <v>298</v>
      </c>
      <c r="M358">
        <v>33</v>
      </c>
      <c r="N358">
        <v>13209</v>
      </c>
      <c r="O358" t="s">
        <v>52</v>
      </c>
      <c r="P358" t="s">
        <v>52</v>
      </c>
      <c r="Q358" t="s">
        <v>197</v>
      </c>
      <c r="R358" t="s">
        <v>53</v>
      </c>
      <c r="S358" t="s">
        <v>116</v>
      </c>
      <c r="T358" t="s">
        <v>198</v>
      </c>
      <c r="U358" t="s">
        <v>108</v>
      </c>
    </row>
    <row r="359" spans="1:21" x14ac:dyDescent="0.3">
      <c r="A359" t="s">
        <v>296</v>
      </c>
      <c r="B359" t="s">
        <v>296</v>
      </c>
      <c r="C359" t="s">
        <v>194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297</v>
      </c>
      <c r="L359" t="s">
        <v>298</v>
      </c>
      <c r="M359">
        <v>33</v>
      </c>
      <c r="N359">
        <v>13209</v>
      </c>
      <c r="O359" t="s">
        <v>52</v>
      </c>
      <c r="P359" t="s">
        <v>52</v>
      </c>
      <c r="Q359" t="s">
        <v>197</v>
      </c>
      <c r="R359" t="s">
        <v>53</v>
      </c>
      <c r="S359" t="s">
        <v>116</v>
      </c>
      <c r="T359" t="s">
        <v>198</v>
      </c>
      <c r="U359" t="s">
        <v>108</v>
      </c>
    </row>
    <row r="360" spans="1:21" x14ac:dyDescent="0.3">
      <c r="A360" t="s">
        <v>296</v>
      </c>
      <c r="B360" t="s">
        <v>296</v>
      </c>
      <c r="C360" t="s">
        <v>194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304</v>
      </c>
      <c r="L360" t="s">
        <v>298</v>
      </c>
      <c r="M360">
        <v>33</v>
      </c>
      <c r="N360">
        <v>13209</v>
      </c>
      <c r="O360" t="s">
        <v>52</v>
      </c>
      <c r="P360" t="s">
        <v>52</v>
      </c>
      <c r="Q360" t="s">
        <v>197</v>
      </c>
      <c r="R360" t="s">
        <v>53</v>
      </c>
      <c r="S360" t="s">
        <v>116</v>
      </c>
      <c r="T360" t="s">
        <v>198</v>
      </c>
      <c r="U360" t="s">
        <v>108</v>
      </c>
    </row>
    <row r="361" spans="1:21" x14ac:dyDescent="0.3">
      <c r="A361" t="s">
        <v>305</v>
      </c>
      <c r="B361" t="s">
        <v>305</v>
      </c>
      <c r="C361" t="s">
        <v>194</v>
      </c>
      <c r="D361">
        <v>1</v>
      </c>
      <c r="E361" t="s">
        <v>107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306</v>
      </c>
      <c r="L361" t="s">
        <v>307</v>
      </c>
      <c r="M361">
        <v>33</v>
      </c>
      <c r="N361">
        <v>13219</v>
      </c>
      <c r="O361" t="s">
        <v>52</v>
      </c>
      <c r="P361" t="s">
        <v>52</v>
      </c>
      <c r="Q361" t="s">
        <v>197</v>
      </c>
      <c r="R361" t="s">
        <v>53</v>
      </c>
      <c r="S361" t="s">
        <v>116</v>
      </c>
      <c r="T361" t="s">
        <v>198</v>
      </c>
      <c r="U361" t="s">
        <v>108</v>
      </c>
    </row>
    <row r="362" spans="1:21" x14ac:dyDescent="0.3">
      <c r="A362" t="s">
        <v>305</v>
      </c>
      <c r="B362" t="s">
        <v>305</v>
      </c>
      <c r="C362" t="s">
        <v>194</v>
      </c>
      <c r="D362">
        <v>1</v>
      </c>
      <c r="E362" t="s">
        <v>107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308</v>
      </c>
      <c r="L362" t="s">
        <v>307</v>
      </c>
      <c r="M362">
        <v>33</v>
      </c>
      <c r="N362">
        <v>13219</v>
      </c>
      <c r="O362" t="s">
        <v>52</v>
      </c>
      <c r="P362" t="s">
        <v>52</v>
      </c>
      <c r="Q362" t="s">
        <v>197</v>
      </c>
      <c r="R362" t="s">
        <v>53</v>
      </c>
      <c r="S362" t="s">
        <v>116</v>
      </c>
      <c r="T362" t="s">
        <v>198</v>
      </c>
      <c r="U362" t="s">
        <v>108</v>
      </c>
    </row>
    <row r="363" spans="1:21" x14ac:dyDescent="0.3">
      <c r="A363" t="s">
        <v>305</v>
      </c>
      <c r="B363" t="s">
        <v>305</v>
      </c>
      <c r="C363" t="s">
        <v>194</v>
      </c>
      <c r="D363">
        <v>1</v>
      </c>
      <c r="E363" t="s">
        <v>107</v>
      </c>
      <c r="F363">
        <v>1</v>
      </c>
      <c r="G363">
        <v>3</v>
      </c>
      <c r="H363">
        <v>3</v>
      </c>
      <c r="I363" t="s">
        <v>119</v>
      </c>
      <c r="J363" t="s">
        <v>58</v>
      </c>
      <c r="K363" t="s">
        <v>309</v>
      </c>
      <c r="L363" t="s">
        <v>310</v>
      </c>
      <c r="M363">
        <v>33</v>
      </c>
      <c r="O363" t="s">
        <v>52</v>
      </c>
      <c r="P363" t="s">
        <v>52</v>
      </c>
      <c r="Q363" t="s">
        <v>197</v>
      </c>
      <c r="R363" t="s">
        <v>53</v>
      </c>
      <c r="S363" t="s">
        <v>116</v>
      </c>
      <c r="T363" t="s">
        <v>198</v>
      </c>
      <c r="U363" t="s">
        <v>108</v>
      </c>
    </row>
    <row r="364" spans="1:21" x14ac:dyDescent="0.3">
      <c r="A364" t="s">
        <v>305</v>
      </c>
      <c r="B364" t="s">
        <v>305</v>
      </c>
      <c r="C364" t="s">
        <v>194</v>
      </c>
      <c r="D364">
        <v>1</v>
      </c>
      <c r="E364" t="s">
        <v>107</v>
      </c>
      <c r="F364">
        <v>1</v>
      </c>
      <c r="G364">
        <v>7163</v>
      </c>
      <c r="H364">
        <v>7163</v>
      </c>
      <c r="I364" t="s">
        <v>117</v>
      </c>
      <c r="J364" t="s">
        <v>51</v>
      </c>
      <c r="K364" t="s">
        <v>311</v>
      </c>
      <c r="L364" t="s">
        <v>310</v>
      </c>
      <c r="M364">
        <v>33</v>
      </c>
      <c r="O364" t="s">
        <v>52</v>
      </c>
      <c r="P364" t="s">
        <v>52</v>
      </c>
      <c r="Q364" t="s">
        <v>197</v>
      </c>
      <c r="R364" t="s">
        <v>53</v>
      </c>
      <c r="S364" t="s">
        <v>116</v>
      </c>
      <c r="T364" t="s">
        <v>198</v>
      </c>
      <c r="U364" t="s">
        <v>108</v>
      </c>
    </row>
    <row r="365" spans="1:21" x14ac:dyDescent="0.3">
      <c r="A365" t="s">
        <v>305</v>
      </c>
      <c r="B365" t="s">
        <v>305</v>
      </c>
      <c r="C365" t="s">
        <v>194</v>
      </c>
      <c r="D365">
        <v>1</v>
      </c>
      <c r="E365" t="s">
        <v>107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312</v>
      </c>
      <c r="L365" t="s">
        <v>307</v>
      </c>
      <c r="M365">
        <v>33</v>
      </c>
      <c r="N365">
        <v>13219</v>
      </c>
      <c r="O365" t="s">
        <v>52</v>
      </c>
      <c r="P365" t="s">
        <v>52</v>
      </c>
      <c r="Q365" t="s">
        <v>197</v>
      </c>
      <c r="R365" t="s">
        <v>53</v>
      </c>
      <c r="S365" t="s">
        <v>116</v>
      </c>
      <c r="T365" t="s">
        <v>198</v>
      </c>
      <c r="U365" t="s">
        <v>108</v>
      </c>
    </row>
    <row r="366" spans="1:21" x14ac:dyDescent="0.3">
      <c r="A366" t="s">
        <v>305</v>
      </c>
      <c r="B366" t="s">
        <v>305</v>
      </c>
      <c r="C366" t="s">
        <v>194</v>
      </c>
      <c r="D366">
        <v>1</v>
      </c>
      <c r="E366" t="s">
        <v>107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313</v>
      </c>
      <c r="L366" t="s">
        <v>307</v>
      </c>
      <c r="M366">
        <v>33</v>
      </c>
      <c r="N366">
        <v>13219</v>
      </c>
      <c r="O366" t="s">
        <v>52</v>
      </c>
      <c r="P366" t="s">
        <v>52</v>
      </c>
      <c r="Q366" t="s">
        <v>197</v>
      </c>
      <c r="R366" t="s">
        <v>53</v>
      </c>
      <c r="S366" t="s">
        <v>116</v>
      </c>
      <c r="T366" t="s">
        <v>198</v>
      </c>
      <c r="U366" t="s">
        <v>108</v>
      </c>
    </row>
    <row r="367" spans="1:21" x14ac:dyDescent="0.3">
      <c r="A367" t="s">
        <v>305</v>
      </c>
      <c r="B367" t="s">
        <v>305</v>
      </c>
      <c r="C367" t="s">
        <v>194</v>
      </c>
      <c r="D367">
        <v>2</v>
      </c>
      <c r="E367" t="s">
        <v>118</v>
      </c>
      <c r="F367">
        <v>1</v>
      </c>
      <c r="G367">
        <v>14</v>
      </c>
      <c r="H367">
        <v>14</v>
      </c>
      <c r="I367" t="s">
        <v>117</v>
      </c>
      <c r="J367" t="s">
        <v>51</v>
      </c>
      <c r="K367" t="s">
        <v>311</v>
      </c>
      <c r="L367" t="s">
        <v>310</v>
      </c>
      <c r="M367">
        <v>33</v>
      </c>
      <c r="O367" t="s">
        <v>52</v>
      </c>
      <c r="P367" t="s">
        <v>52</v>
      </c>
      <c r="Q367" t="s">
        <v>197</v>
      </c>
      <c r="R367" t="s">
        <v>53</v>
      </c>
      <c r="S367" t="s">
        <v>116</v>
      </c>
      <c r="T367" t="s">
        <v>198</v>
      </c>
      <c r="U367" t="s">
        <v>108</v>
      </c>
    </row>
    <row r="368" spans="1:21" x14ac:dyDescent="0.3">
      <c r="A368" t="s">
        <v>305</v>
      </c>
      <c r="B368" t="s">
        <v>305</v>
      </c>
      <c r="C368" t="s">
        <v>194</v>
      </c>
      <c r="D368">
        <v>2</v>
      </c>
      <c r="E368" t="s">
        <v>118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312</v>
      </c>
      <c r="L368" t="s">
        <v>307</v>
      </c>
      <c r="M368">
        <v>33</v>
      </c>
      <c r="N368">
        <v>13219</v>
      </c>
      <c r="O368" t="s">
        <v>52</v>
      </c>
      <c r="P368" t="s">
        <v>52</v>
      </c>
      <c r="Q368" t="s">
        <v>197</v>
      </c>
      <c r="R368" t="s">
        <v>53</v>
      </c>
      <c r="S368" t="s">
        <v>116</v>
      </c>
      <c r="T368" t="s">
        <v>198</v>
      </c>
      <c r="U368" t="s">
        <v>108</v>
      </c>
    </row>
    <row r="369" spans="1:21" x14ac:dyDescent="0.3">
      <c r="A369" t="s">
        <v>305</v>
      </c>
      <c r="B369" t="s">
        <v>305</v>
      </c>
      <c r="C369" t="s">
        <v>194</v>
      </c>
      <c r="D369">
        <v>2</v>
      </c>
      <c r="E369" t="s">
        <v>118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308</v>
      </c>
      <c r="L369" t="s">
        <v>307</v>
      </c>
      <c r="M369">
        <v>33</v>
      </c>
      <c r="N369">
        <v>13219</v>
      </c>
      <c r="O369" t="s">
        <v>52</v>
      </c>
      <c r="P369" t="s">
        <v>52</v>
      </c>
      <c r="Q369" t="s">
        <v>197</v>
      </c>
      <c r="R369" t="s">
        <v>53</v>
      </c>
      <c r="S369" t="s">
        <v>116</v>
      </c>
      <c r="T369" t="s">
        <v>198</v>
      </c>
      <c r="U369" t="s">
        <v>108</v>
      </c>
    </row>
    <row r="370" spans="1:21" x14ac:dyDescent="0.3">
      <c r="A370" t="s">
        <v>305</v>
      </c>
      <c r="B370" t="s">
        <v>305</v>
      </c>
      <c r="C370" t="s">
        <v>194</v>
      </c>
      <c r="D370">
        <v>2</v>
      </c>
      <c r="E370" t="s">
        <v>118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313</v>
      </c>
      <c r="L370" t="s">
        <v>307</v>
      </c>
      <c r="M370">
        <v>33</v>
      </c>
      <c r="N370">
        <v>13219</v>
      </c>
      <c r="O370" t="s">
        <v>52</v>
      </c>
      <c r="P370" t="s">
        <v>52</v>
      </c>
      <c r="Q370" t="s">
        <v>197</v>
      </c>
      <c r="R370" t="s">
        <v>53</v>
      </c>
      <c r="S370" t="s">
        <v>116</v>
      </c>
      <c r="T370" t="s">
        <v>198</v>
      </c>
      <c r="U370" t="s">
        <v>108</v>
      </c>
    </row>
    <row r="371" spans="1:21" x14ac:dyDescent="0.3">
      <c r="A371" t="s">
        <v>305</v>
      </c>
      <c r="B371" t="s">
        <v>305</v>
      </c>
      <c r="C371" t="s">
        <v>194</v>
      </c>
      <c r="D371">
        <v>2</v>
      </c>
      <c r="E371" t="s">
        <v>118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306</v>
      </c>
      <c r="L371" t="s">
        <v>307</v>
      </c>
      <c r="M371">
        <v>33</v>
      </c>
      <c r="N371">
        <v>13219</v>
      </c>
      <c r="O371" t="s">
        <v>52</v>
      </c>
      <c r="P371" t="s">
        <v>52</v>
      </c>
      <c r="Q371" t="s">
        <v>197</v>
      </c>
      <c r="R371" t="s">
        <v>53</v>
      </c>
      <c r="S371" t="s">
        <v>116</v>
      </c>
      <c r="T371" t="s">
        <v>198</v>
      </c>
      <c r="U371" t="s">
        <v>108</v>
      </c>
    </row>
    <row r="372" spans="1:21" x14ac:dyDescent="0.3">
      <c r="A372" t="s">
        <v>305</v>
      </c>
      <c r="B372" t="s">
        <v>305</v>
      </c>
      <c r="C372" t="s">
        <v>194</v>
      </c>
      <c r="D372">
        <v>3</v>
      </c>
      <c r="E372" t="s">
        <v>105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313</v>
      </c>
      <c r="L372" t="s">
        <v>307</v>
      </c>
      <c r="M372">
        <v>33</v>
      </c>
      <c r="N372">
        <v>13219</v>
      </c>
      <c r="O372" t="s">
        <v>52</v>
      </c>
      <c r="P372" t="s">
        <v>52</v>
      </c>
      <c r="Q372" t="s">
        <v>197</v>
      </c>
      <c r="R372" t="s">
        <v>53</v>
      </c>
      <c r="S372" t="s">
        <v>116</v>
      </c>
      <c r="T372" t="s">
        <v>198</v>
      </c>
      <c r="U372" t="s">
        <v>108</v>
      </c>
    </row>
    <row r="373" spans="1:21" x14ac:dyDescent="0.3">
      <c r="A373" t="s">
        <v>305</v>
      </c>
      <c r="B373" t="s">
        <v>305</v>
      </c>
      <c r="C373" t="s">
        <v>194</v>
      </c>
      <c r="D373">
        <v>3</v>
      </c>
      <c r="E373" t="s">
        <v>105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312</v>
      </c>
      <c r="L373" t="s">
        <v>307</v>
      </c>
      <c r="M373">
        <v>33</v>
      </c>
      <c r="N373">
        <v>13219</v>
      </c>
      <c r="O373" t="s">
        <v>52</v>
      </c>
      <c r="P373" t="s">
        <v>52</v>
      </c>
      <c r="Q373" t="s">
        <v>197</v>
      </c>
      <c r="R373" t="s">
        <v>53</v>
      </c>
      <c r="S373" t="s">
        <v>116</v>
      </c>
      <c r="T373" t="s">
        <v>198</v>
      </c>
      <c r="U373" t="s">
        <v>108</v>
      </c>
    </row>
    <row r="374" spans="1:21" x14ac:dyDescent="0.3">
      <c r="A374" t="s">
        <v>305</v>
      </c>
      <c r="B374" t="s">
        <v>305</v>
      </c>
      <c r="C374" t="s">
        <v>194</v>
      </c>
      <c r="D374">
        <v>3</v>
      </c>
      <c r="E374" t="s">
        <v>105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306</v>
      </c>
      <c r="L374" t="s">
        <v>307</v>
      </c>
      <c r="M374">
        <v>33</v>
      </c>
      <c r="N374">
        <v>13219</v>
      </c>
      <c r="O374" t="s">
        <v>52</v>
      </c>
      <c r="P374" t="s">
        <v>52</v>
      </c>
      <c r="Q374" t="s">
        <v>197</v>
      </c>
      <c r="R374" t="s">
        <v>53</v>
      </c>
      <c r="S374" t="s">
        <v>116</v>
      </c>
      <c r="T374" t="s">
        <v>198</v>
      </c>
      <c r="U374" t="s">
        <v>108</v>
      </c>
    </row>
    <row r="375" spans="1:21" x14ac:dyDescent="0.3">
      <c r="A375" t="s">
        <v>305</v>
      </c>
      <c r="B375" t="s">
        <v>305</v>
      </c>
      <c r="C375" t="s">
        <v>194</v>
      </c>
      <c r="D375">
        <v>3</v>
      </c>
      <c r="E375" t="s">
        <v>105</v>
      </c>
      <c r="F375">
        <v>1</v>
      </c>
      <c r="G375">
        <v>965</v>
      </c>
      <c r="H375">
        <v>965</v>
      </c>
      <c r="I375" t="s">
        <v>117</v>
      </c>
      <c r="J375" t="s">
        <v>51</v>
      </c>
      <c r="K375" t="s">
        <v>311</v>
      </c>
      <c r="L375" t="s">
        <v>310</v>
      </c>
      <c r="M375">
        <v>33</v>
      </c>
      <c r="O375" t="s">
        <v>52</v>
      </c>
      <c r="P375" t="s">
        <v>52</v>
      </c>
      <c r="Q375" t="s">
        <v>197</v>
      </c>
      <c r="R375" t="s">
        <v>53</v>
      </c>
      <c r="S375" t="s">
        <v>116</v>
      </c>
      <c r="T375" t="s">
        <v>198</v>
      </c>
      <c r="U375" t="s">
        <v>108</v>
      </c>
    </row>
    <row r="376" spans="1:21" x14ac:dyDescent="0.3">
      <c r="A376" t="s">
        <v>305</v>
      </c>
      <c r="B376" t="s">
        <v>305</v>
      </c>
      <c r="C376" t="s">
        <v>194</v>
      </c>
      <c r="D376">
        <v>3</v>
      </c>
      <c r="E376" t="s">
        <v>105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308</v>
      </c>
      <c r="L376" t="s">
        <v>307</v>
      </c>
      <c r="M376">
        <v>33</v>
      </c>
      <c r="N376">
        <v>13219</v>
      </c>
      <c r="O376" t="s">
        <v>52</v>
      </c>
      <c r="P376" t="s">
        <v>52</v>
      </c>
      <c r="Q376" t="s">
        <v>197</v>
      </c>
      <c r="R376" t="s">
        <v>53</v>
      </c>
      <c r="S376" t="s">
        <v>116</v>
      </c>
      <c r="T376" t="s">
        <v>198</v>
      </c>
      <c r="U376" t="s">
        <v>108</v>
      </c>
    </row>
    <row r="377" spans="1:21" x14ac:dyDescent="0.3">
      <c r="A377" t="s">
        <v>305</v>
      </c>
      <c r="B377" t="s">
        <v>305</v>
      </c>
      <c r="C377" t="s">
        <v>194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117</v>
      </c>
      <c r="J377" t="s">
        <v>51</v>
      </c>
      <c r="K377" t="s">
        <v>311</v>
      </c>
      <c r="L377" t="s">
        <v>310</v>
      </c>
      <c r="M377">
        <v>33</v>
      </c>
      <c r="O377" t="s">
        <v>52</v>
      </c>
      <c r="P377" t="s">
        <v>52</v>
      </c>
      <c r="Q377" t="s">
        <v>197</v>
      </c>
      <c r="R377" t="s">
        <v>53</v>
      </c>
      <c r="S377" t="s">
        <v>116</v>
      </c>
      <c r="T377" t="s">
        <v>198</v>
      </c>
      <c r="U377" t="s">
        <v>108</v>
      </c>
    </row>
    <row r="378" spans="1:21" x14ac:dyDescent="0.3">
      <c r="A378" t="s">
        <v>305</v>
      </c>
      <c r="B378" t="s">
        <v>305</v>
      </c>
      <c r="C378" t="s">
        <v>194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313</v>
      </c>
      <c r="L378" t="s">
        <v>307</v>
      </c>
      <c r="M378">
        <v>33</v>
      </c>
      <c r="N378">
        <v>13219</v>
      </c>
      <c r="O378" t="s">
        <v>52</v>
      </c>
      <c r="P378" t="s">
        <v>52</v>
      </c>
      <c r="Q378" t="s">
        <v>197</v>
      </c>
      <c r="R378" t="s">
        <v>53</v>
      </c>
      <c r="S378" t="s">
        <v>116</v>
      </c>
      <c r="T378" t="s">
        <v>198</v>
      </c>
      <c r="U378" t="s">
        <v>108</v>
      </c>
    </row>
    <row r="379" spans="1:21" x14ac:dyDescent="0.3">
      <c r="A379" t="s">
        <v>305</v>
      </c>
      <c r="B379" t="s">
        <v>305</v>
      </c>
      <c r="C379" t="s">
        <v>194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312</v>
      </c>
      <c r="L379" t="s">
        <v>307</v>
      </c>
      <c r="M379">
        <v>33</v>
      </c>
      <c r="N379">
        <v>13219</v>
      </c>
      <c r="O379" t="s">
        <v>52</v>
      </c>
      <c r="P379" t="s">
        <v>52</v>
      </c>
      <c r="Q379" t="s">
        <v>197</v>
      </c>
      <c r="R379" t="s">
        <v>53</v>
      </c>
      <c r="S379" t="s">
        <v>116</v>
      </c>
      <c r="T379" t="s">
        <v>198</v>
      </c>
      <c r="U379" t="s">
        <v>108</v>
      </c>
    </row>
    <row r="380" spans="1:21" x14ac:dyDescent="0.3">
      <c r="A380" t="s">
        <v>305</v>
      </c>
      <c r="B380" t="s">
        <v>305</v>
      </c>
      <c r="C380" t="s">
        <v>194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308</v>
      </c>
      <c r="L380" t="s">
        <v>307</v>
      </c>
      <c r="M380">
        <v>33</v>
      </c>
      <c r="N380">
        <v>13219</v>
      </c>
      <c r="O380" t="s">
        <v>52</v>
      </c>
      <c r="P380" t="s">
        <v>52</v>
      </c>
      <c r="Q380" t="s">
        <v>197</v>
      </c>
      <c r="R380" t="s">
        <v>53</v>
      </c>
      <c r="S380" t="s">
        <v>116</v>
      </c>
      <c r="T380" t="s">
        <v>198</v>
      </c>
      <c r="U380" t="s">
        <v>108</v>
      </c>
    </row>
    <row r="381" spans="1:21" x14ac:dyDescent="0.3">
      <c r="A381" t="s">
        <v>305</v>
      </c>
      <c r="B381" t="s">
        <v>305</v>
      </c>
      <c r="C381" t="s">
        <v>194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119</v>
      </c>
      <c r="J381" t="s">
        <v>58</v>
      </c>
      <c r="K381" t="s">
        <v>309</v>
      </c>
      <c r="L381" t="s">
        <v>310</v>
      </c>
      <c r="M381">
        <v>33</v>
      </c>
      <c r="O381" t="s">
        <v>52</v>
      </c>
      <c r="P381" t="s">
        <v>52</v>
      </c>
      <c r="Q381" t="s">
        <v>197</v>
      </c>
      <c r="R381" t="s">
        <v>53</v>
      </c>
      <c r="S381" t="s">
        <v>116</v>
      </c>
      <c r="T381" t="s">
        <v>198</v>
      </c>
      <c r="U381" t="s">
        <v>108</v>
      </c>
    </row>
    <row r="382" spans="1:21" x14ac:dyDescent="0.3">
      <c r="A382" t="s">
        <v>305</v>
      </c>
      <c r="B382" t="s">
        <v>305</v>
      </c>
      <c r="C382" t="s">
        <v>194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306</v>
      </c>
      <c r="L382" t="s">
        <v>307</v>
      </c>
      <c r="M382">
        <v>33</v>
      </c>
      <c r="N382">
        <v>13219</v>
      </c>
      <c r="O382" t="s">
        <v>52</v>
      </c>
      <c r="P382" t="s">
        <v>52</v>
      </c>
      <c r="Q382" t="s">
        <v>197</v>
      </c>
      <c r="R382" t="s">
        <v>53</v>
      </c>
      <c r="S382" t="s">
        <v>116</v>
      </c>
      <c r="T382" t="s">
        <v>198</v>
      </c>
      <c r="U382" t="s">
        <v>108</v>
      </c>
    </row>
    <row r="383" spans="1:21" x14ac:dyDescent="0.3">
      <c r="A383" t="s">
        <v>305</v>
      </c>
      <c r="B383" t="s">
        <v>305</v>
      </c>
      <c r="C383" t="s">
        <v>194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308</v>
      </c>
      <c r="L383" t="s">
        <v>307</v>
      </c>
      <c r="M383">
        <v>33</v>
      </c>
      <c r="N383">
        <v>13219</v>
      </c>
      <c r="O383" t="s">
        <v>52</v>
      </c>
      <c r="P383" t="s">
        <v>52</v>
      </c>
      <c r="Q383" t="s">
        <v>197</v>
      </c>
      <c r="R383" t="s">
        <v>53</v>
      </c>
      <c r="S383" t="s">
        <v>116</v>
      </c>
      <c r="T383" t="s">
        <v>198</v>
      </c>
      <c r="U383" t="s">
        <v>108</v>
      </c>
    </row>
    <row r="384" spans="1:21" x14ac:dyDescent="0.3">
      <c r="A384" t="s">
        <v>305</v>
      </c>
      <c r="B384" t="s">
        <v>305</v>
      </c>
      <c r="C384" t="s">
        <v>194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306</v>
      </c>
      <c r="L384" t="s">
        <v>307</v>
      </c>
      <c r="M384">
        <v>33</v>
      </c>
      <c r="N384">
        <v>13219</v>
      </c>
      <c r="O384" t="s">
        <v>52</v>
      </c>
      <c r="P384" t="s">
        <v>52</v>
      </c>
      <c r="Q384" t="s">
        <v>197</v>
      </c>
      <c r="R384" t="s">
        <v>53</v>
      </c>
      <c r="S384" t="s">
        <v>116</v>
      </c>
      <c r="T384" t="s">
        <v>198</v>
      </c>
      <c r="U384" t="s">
        <v>108</v>
      </c>
    </row>
    <row r="385" spans="1:21" x14ac:dyDescent="0.3">
      <c r="A385" t="s">
        <v>305</v>
      </c>
      <c r="B385" t="s">
        <v>305</v>
      </c>
      <c r="C385" t="s">
        <v>194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312</v>
      </c>
      <c r="L385" t="s">
        <v>307</v>
      </c>
      <c r="M385">
        <v>33</v>
      </c>
      <c r="N385">
        <v>13219</v>
      </c>
      <c r="O385" t="s">
        <v>52</v>
      </c>
      <c r="P385" t="s">
        <v>52</v>
      </c>
      <c r="Q385" t="s">
        <v>197</v>
      </c>
      <c r="R385" t="s">
        <v>53</v>
      </c>
      <c r="S385" t="s">
        <v>116</v>
      </c>
      <c r="T385" t="s">
        <v>198</v>
      </c>
      <c r="U385" t="s">
        <v>108</v>
      </c>
    </row>
    <row r="386" spans="1:21" x14ac:dyDescent="0.3">
      <c r="A386" t="s">
        <v>305</v>
      </c>
      <c r="B386" t="s">
        <v>305</v>
      </c>
      <c r="C386" t="s">
        <v>194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313</v>
      </c>
      <c r="L386" t="s">
        <v>307</v>
      </c>
      <c r="M386">
        <v>33</v>
      </c>
      <c r="N386">
        <v>13219</v>
      </c>
      <c r="O386" t="s">
        <v>52</v>
      </c>
      <c r="P386" t="s">
        <v>52</v>
      </c>
      <c r="Q386" t="s">
        <v>197</v>
      </c>
      <c r="R386" t="s">
        <v>53</v>
      </c>
      <c r="S386" t="s">
        <v>116</v>
      </c>
      <c r="T386" t="s">
        <v>198</v>
      </c>
      <c r="U386" t="s">
        <v>108</v>
      </c>
    </row>
    <row r="387" spans="1:21" x14ac:dyDescent="0.3">
      <c r="A387" t="s">
        <v>305</v>
      </c>
      <c r="B387" t="s">
        <v>305</v>
      </c>
      <c r="C387" t="s">
        <v>194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117</v>
      </c>
      <c r="J387" t="s">
        <v>51</v>
      </c>
      <c r="K387" t="s">
        <v>311</v>
      </c>
      <c r="L387" t="s">
        <v>310</v>
      </c>
      <c r="M387">
        <v>33</v>
      </c>
      <c r="O387" t="s">
        <v>52</v>
      </c>
      <c r="P387" t="s">
        <v>52</v>
      </c>
      <c r="Q387" t="s">
        <v>197</v>
      </c>
      <c r="R387" t="s">
        <v>53</v>
      </c>
      <c r="S387" t="s">
        <v>116</v>
      </c>
      <c r="T387" t="s">
        <v>198</v>
      </c>
      <c r="U387" t="s">
        <v>108</v>
      </c>
    </row>
    <row r="388" spans="1:21" x14ac:dyDescent="0.3">
      <c r="A388" t="s">
        <v>314</v>
      </c>
      <c r="B388" t="s">
        <v>314</v>
      </c>
      <c r="C388" t="s">
        <v>194</v>
      </c>
      <c r="D388">
        <v>1</v>
      </c>
      <c r="E388" t="s">
        <v>107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315</v>
      </c>
      <c r="L388" t="s">
        <v>316</v>
      </c>
      <c r="M388">
        <v>33</v>
      </c>
      <c r="N388">
        <v>13722</v>
      </c>
      <c r="O388" t="s">
        <v>52</v>
      </c>
      <c r="P388" t="s">
        <v>52</v>
      </c>
      <c r="Q388" t="s">
        <v>197</v>
      </c>
      <c r="R388" t="s">
        <v>53</v>
      </c>
      <c r="S388" t="s">
        <v>116</v>
      </c>
      <c r="T388" t="s">
        <v>198</v>
      </c>
      <c r="U388" t="s">
        <v>108</v>
      </c>
    </row>
    <row r="389" spans="1:21" x14ac:dyDescent="0.3">
      <c r="A389" t="s">
        <v>314</v>
      </c>
      <c r="B389" t="s">
        <v>314</v>
      </c>
      <c r="C389" t="s">
        <v>194</v>
      </c>
      <c r="D389">
        <v>1</v>
      </c>
      <c r="E389" t="s">
        <v>107</v>
      </c>
      <c r="F389">
        <v>1</v>
      </c>
      <c r="G389">
        <v>3814</v>
      </c>
      <c r="H389">
        <v>3814</v>
      </c>
      <c r="I389" t="s">
        <v>117</v>
      </c>
      <c r="J389" t="s">
        <v>51</v>
      </c>
      <c r="K389" t="s">
        <v>317</v>
      </c>
      <c r="L389" t="s">
        <v>318</v>
      </c>
      <c r="M389">
        <v>33</v>
      </c>
      <c r="O389" t="s">
        <v>52</v>
      </c>
      <c r="P389" t="s">
        <v>52</v>
      </c>
      <c r="Q389" t="s">
        <v>197</v>
      </c>
      <c r="R389" t="s">
        <v>53</v>
      </c>
      <c r="S389" t="s">
        <v>116</v>
      </c>
      <c r="T389" t="s">
        <v>198</v>
      </c>
      <c r="U389" t="s">
        <v>108</v>
      </c>
    </row>
    <row r="390" spans="1:21" x14ac:dyDescent="0.3">
      <c r="A390" t="s">
        <v>314</v>
      </c>
      <c r="B390" t="s">
        <v>314</v>
      </c>
      <c r="C390" t="s">
        <v>194</v>
      </c>
      <c r="D390">
        <v>1</v>
      </c>
      <c r="E390" t="s">
        <v>107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319</v>
      </c>
      <c r="L390" t="s">
        <v>316</v>
      </c>
      <c r="M390">
        <v>33</v>
      </c>
      <c r="N390">
        <v>13722</v>
      </c>
      <c r="O390" t="s">
        <v>52</v>
      </c>
      <c r="P390" t="s">
        <v>52</v>
      </c>
      <c r="Q390" t="s">
        <v>197</v>
      </c>
      <c r="R390" t="s">
        <v>53</v>
      </c>
      <c r="S390" t="s">
        <v>116</v>
      </c>
      <c r="T390" t="s">
        <v>198</v>
      </c>
      <c r="U390" t="s">
        <v>108</v>
      </c>
    </row>
    <row r="391" spans="1:21" x14ac:dyDescent="0.3">
      <c r="A391" t="s">
        <v>314</v>
      </c>
      <c r="B391" t="s">
        <v>314</v>
      </c>
      <c r="C391" t="s">
        <v>194</v>
      </c>
      <c r="D391">
        <v>1</v>
      </c>
      <c r="E391" t="s">
        <v>107</v>
      </c>
      <c r="F391">
        <v>1</v>
      </c>
      <c r="G391">
        <v>57</v>
      </c>
      <c r="H391">
        <v>57</v>
      </c>
      <c r="I391" t="s">
        <v>119</v>
      </c>
      <c r="J391" t="s">
        <v>58</v>
      </c>
      <c r="K391" t="s">
        <v>320</v>
      </c>
      <c r="L391" t="s">
        <v>318</v>
      </c>
      <c r="M391">
        <v>33</v>
      </c>
      <c r="O391" t="s">
        <v>52</v>
      </c>
      <c r="P391" t="s">
        <v>52</v>
      </c>
      <c r="Q391" t="s">
        <v>197</v>
      </c>
      <c r="R391" t="s">
        <v>53</v>
      </c>
      <c r="S391" t="s">
        <v>116</v>
      </c>
      <c r="T391" t="s">
        <v>198</v>
      </c>
      <c r="U391" t="s">
        <v>108</v>
      </c>
    </row>
    <row r="392" spans="1:21" x14ac:dyDescent="0.3">
      <c r="A392" t="s">
        <v>314</v>
      </c>
      <c r="B392" t="s">
        <v>314</v>
      </c>
      <c r="C392" t="s">
        <v>194</v>
      </c>
      <c r="D392">
        <v>1</v>
      </c>
      <c r="E392" t="s">
        <v>107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321</v>
      </c>
      <c r="L392" t="s">
        <v>316</v>
      </c>
      <c r="M392">
        <v>33</v>
      </c>
      <c r="N392">
        <v>13722</v>
      </c>
      <c r="O392" t="s">
        <v>52</v>
      </c>
      <c r="P392" t="s">
        <v>52</v>
      </c>
      <c r="Q392" t="s">
        <v>197</v>
      </c>
      <c r="R392" t="s">
        <v>53</v>
      </c>
      <c r="S392" t="s">
        <v>116</v>
      </c>
      <c r="T392" t="s">
        <v>198</v>
      </c>
      <c r="U392" t="s">
        <v>108</v>
      </c>
    </row>
    <row r="393" spans="1:21" x14ac:dyDescent="0.3">
      <c r="A393" t="s">
        <v>314</v>
      </c>
      <c r="B393" t="s">
        <v>314</v>
      </c>
      <c r="C393" t="s">
        <v>194</v>
      </c>
      <c r="D393">
        <v>1</v>
      </c>
      <c r="E393" t="s">
        <v>107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322</v>
      </c>
      <c r="L393" t="s">
        <v>316</v>
      </c>
      <c r="M393">
        <v>33</v>
      </c>
      <c r="N393">
        <v>13722</v>
      </c>
      <c r="O393" t="s">
        <v>52</v>
      </c>
      <c r="P393" t="s">
        <v>52</v>
      </c>
      <c r="Q393" t="s">
        <v>197</v>
      </c>
      <c r="R393" t="s">
        <v>53</v>
      </c>
      <c r="S393" t="s">
        <v>116</v>
      </c>
      <c r="T393" t="s">
        <v>198</v>
      </c>
      <c r="U393" t="s">
        <v>108</v>
      </c>
    </row>
    <row r="394" spans="1:21" x14ac:dyDescent="0.3">
      <c r="A394" t="s">
        <v>314</v>
      </c>
      <c r="B394" t="s">
        <v>314</v>
      </c>
      <c r="C394" t="s">
        <v>194</v>
      </c>
      <c r="D394">
        <v>2</v>
      </c>
      <c r="E394" t="s">
        <v>118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321</v>
      </c>
      <c r="L394" t="s">
        <v>316</v>
      </c>
      <c r="M394">
        <v>33</v>
      </c>
      <c r="N394">
        <v>13722</v>
      </c>
      <c r="O394" t="s">
        <v>52</v>
      </c>
      <c r="P394" t="s">
        <v>52</v>
      </c>
      <c r="Q394" t="s">
        <v>197</v>
      </c>
      <c r="R394" t="s">
        <v>53</v>
      </c>
      <c r="S394" t="s">
        <v>116</v>
      </c>
      <c r="T394" t="s">
        <v>198</v>
      </c>
      <c r="U394" t="s">
        <v>108</v>
      </c>
    </row>
    <row r="395" spans="1:21" x14ac:dyDescent="0.3">
      <c r="A395" t="s">
        <v>314</v>
      </c>
      <c r="B395" t="s">
        <v>314</v>
      </c>
      <c r="C395" t="s">
        <v>194</v>
      </c>
      <c r="D395">
        <v>2</v>
      </c>
      <c r="E395" t="s">
        <v>118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322</v>
      </c>
      <c r="L395" t="s">
        <v>316</v>
      </c>
      <c r="M395">
        <v>33</v>
      </c>
      <c r="N395">
        <v>13722</v>
      </c>
      <c r="O395" t="s">
        <v>52</v>
      </c>
      <c r="P395" t="s">
        <v>52</v>
      </c>
      <c r="Q395" t="s">
        <v>197</v>
      </c>
      <c r="R395" t="s">
        <v>53</v>
      </c>
      <c r="S395" t="s">
        <v>116</v>
      </c>
      <c r="T395" t="s">
        <v>198</v>
      </c>
      <c r="U395" t="s">
        <v>108</v>
      </c>
    </row>
    <row r="396" spans="1:21" x14ac:dyDescent="0.3">
      <c r="A396" t="s">
        <v>314</v>
      </c>
      <c r="B396" t="s">
        <v>314</v>
      </c>
      <c r="C396" t="s">
        <v>194</v>
      </c>
      <c r="D396">
        <v>2</v>
      </c>
      <c r="E396" t="s">
        <v>118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315</v>
      </c>
      <c r="L396" t="s">
        <v>316</v>
      </c>
      <c r="M396">
        <v>33</v>
      </c>
      <c r="N396">
        <v>13722</v>
      </c>
      <c r="O396" t="s">
        <v>52</v>
      </c>
      <c r="P396" t="s">
        <v>52</v>
      </c>
      <c r="Q396" t="s">
        <v>197</v>
      </c>
      <c r="R396" t="s">
        <v>53</v>
      </c>
      <c r="S396" t="s">
        <v>116</v>
      </c>
      <c r="T396" t="s">
        <v>198</v>
      </c>
      <c r="U396" t="s">
        <v>108</v>
      </c>
    </row>
    <row r="397" spans="1:21" x14ac:dyDescent="0.3">
      <c r="A397" t="s">
        <v>314</v>
      </c>
      <c r="B397" t="s">
        <v>314</v>
      </c>
      <c r="C397" t="s">
        <v>194</v>
      </c>
      <c r="D397">
        <v>2</v>
      </c>
      <c r="E397" t="s">
        <v>118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319</v>
      </c>
      <c r="L397" t="s">
        <v>316</v>
      </c>
      <c r="M397">
        <v>33</v>
      </c>
      <c r="N397">
        <v>13722</v>
      </c>
      <c r="O397" t="s">
        <v>52</v>
      </c>
      <c r="P397" t="s">
        <v>52</v>
      </c>
      <c r="Q397" t="s">
        <v>197</v>
      </c>
      <c r="R397" t="s">
        <v>53</v>
      </c>
      <c r="S397" t="s">
        <v>116</v>
      </c>
      <c r="T397" t="s">
        <v>198</v>
      </c>
      <c r="U397" t="s">
        <v>108</v>
      </c>
    </row>
    <row r="398" spans="1:21" x14ac:dyDescent="0.3">
      <c r="A398" t="s">
        <v>314</v>
      </c>
      <c r="B398" t="s">
        <v>314</v>
      </c>
      <c r="C398" t="s">
        <v>194</v>
      </c>
      <c r="D398">
        <v>2</v>
      </c>
      <c r="E398" t="s">
        <v>118</v>
      </c>
      <c r="F398">
        <v>1</v>
      </c>
      <c r="G398">
        <v>8</v>
      </c>
      <c r="H398">
        <v>8</v>
      </c>
      <c r="I398" t="s">
        <v>117</v>
      </c>
      <c r="J398" t="s">
        <v>51</v>
      </c>
      <c r="K398" t="s">
        <v>317</v>
      </c>
      <c r="L398" t="s">
        <v>318</v>
      </c>
      <c r="M398">
        <v>33</v>
      </c>
      <c r="O398" t="s">
        <v>52</v>
      </c>
      <c r="P398" t="s">
        <v>52</v>
      </c>
      <c r="Q398" t="s">
        <v>197</v>
      </c>
      <c r="R398" t="s">
        <v>53</v>
      </c>
      <c r="S398" t="s">
        <v>116</v>
      </c>
      <c r="T398" t="s">
        <v>198</v>
      </c>
      <c r="U398" t="s">
        <v>108</v>
      </c>
    </row>
    <row r="399" spans="1:21" x14ac:dyDescent="0.3">
      <c r="A399" t="s">
        <v>314</v>
      </c>
      <c r="B399" t="s">
        <v>314</v>
      </c>
      <c r="C399" t="s">
        <v>194</v>
      </c>
      <c r="D399">
        <v>3</v>
      </c>
      <c r="E399" t="s">
        <v>105</v>
      </c>
      <c r="F399">
        <v>1</v>
      </c>
      <c r="G399">
        <v>531</v>
      </c>
      <c r="H399">
        <v>531</v>
      </c>
      <c r="I399" t="s">
        <v>117</v>
      </c>
      <c r="J399" t="s">
        <v>51</v>
      </c>
      <c r="K399" t="s">
        <v>317</v>
      </c>
      <c r="L399" t="s">
        <v>318</v>
      </c>
      <c r="M399">
        <v>33</v>
      </c>
      <c r="O399" t="s">
        <v>52</v>
      </c>
      <c r="P399" t="s">
        <v>52</v>
      </c>
      <c r="Q399" t="s">
        <v>197</v>
      </c>
      <c r="R399" t="s">
        <v>53</v>
      </c>
      <c r="S399" t="s">
        <v>116</v>
      </c>
      <c r="T399" t="s">
        <v>198</v>
      </c>
      <c r="U399" t="s">
        <v>108</v>
      </c>
    </row>
    <row r="400" spans="1:21" x14ac:dyDescent="0.3">
      <c r="A400" t="s">
        <v>314</v>
      </c>
      <c r="B400" t="s">
        <v>314</v>
      </c>
      <c r="C400" t="s">
        <v>194</v>
      </c>
      <c r="D400">
        <v>3</v>
      </c>
      <c r="E400" t="s">
        <v>105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321</v>
      </c>
      <c r="L400" t="s">
        <v>316</v>
      </c>
      <c r="M400">
        <v>33</v>
      </c>
      <c r="N400">
        <v>13722</v>
      </c>
      <c r="O400" t="s">
        <v>52</v>
      </c>
      <c r="P400" t="s">
        <v>52</v>
      </c>
      <c r="Q400" t="s">
        <v>197</v>
      </c>
      <c r="R400" t="s">
        <v>53</v>
      </c>
      <c r="S400" t="s">
        <v>116</v>
      </c>
      <c r="T400" t="s">
        <v>198</v>
      </c>
      <c r="U400" t="s">
        <v>108</v>
      </c>
    </row>
    <row r="401" spans="1:21" x14ac:dyDescent="0.3">
      <c r="A401" t="s">
        <v>314</v>
      </c>
      <c r="B401" t="s">
        <v>314</v>
      </c>
      <c r="C401" t="s">
        <v>194</v>
      </c>
      <c r="D401">
        <v>3</v>
      </c>
      <c r="E401" t="s">
        <v>105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315</v>
      </c>
      <c r="L401" t="s">
        <v>316</v>
      </c>
      <c r="M401">
        <v>33</v>
      </c>
      <c r="N401">
        <v>13722</v>
      </c>
      <c r="O401" t="s">
        <v>52</v>
      </c>
      <c r="P401" t="s">
        <v>52</v>
      </c>
      <c r="Q401" t="s">
        <v>197</v>
      </c>
      <c r="R401" t="s">
        <v>53</v>
      </c>
      <c r="S401" t="s">
        <v>116</v>
      </c>
      <c r="T401" t="s">
        <v>198</v>
      </c>
      <c r="U401" t="s">
        <v>108</v>
      </c>
    </row>
    <row r="402" spans="1:21" x14ac:dyDescent="0.3">
      <c r="A402" t="s">
        <v>314</v>
      </c>
      <c r="B402" t="s">
        <v>314</v>
      </c>
      <c r="C402" t="s">
        <v>194</v>
      </c>
      <c r="D402">
        <v>3</v>
      </c>
      <c r="E402" t="s">
        <v>105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319</v>
      </c>
      <c r="L402" t="s">
        <v>316</v>
      </c>
      <c r="M402">
        <v>33</v>
      </c>
      <c r="N402">
        <v>13722</v>
      </c>
      <c r="O402" t="s">
        <v>52</v>
      </c>
      <c r="P402" t="s">
        <v>52</v>
      </c>
      <c r="Q402" t="s">
        <v>197</v>
      </c>
      <c r="R402" t="s">
        <v>53</v>
      </c>
      <c r="S402" t="s">
        <v>116</v>
      </c>
      <c r="T402" t="s">
        <v>198</v>
      </c>
      <c r="U402" t="s">
        <v>108</v>
      </c>
    </row>
    <row r="403" spans="1:21" x14ac:dyDescent="0.3">
      <c r="A403" t="s">
        <v>314</v>
      </c>
      <c r="B403" t="s">
        <v>314</v>
      </c>
      <c r="C403" t="s">
        <v>194</v>
      </c>
      <c r="D403">
        <v>3</v>
      </c>
      <c r="E403" t="s">
        <v>105</v>
      </c>
      <c r="F403">
        <v>1</v>
      </c>
      <c r="G403">
        <v>8</v>
      </c>
      <c r="H403">
        <v>8</v>
      </c>
      <c r="I403" t="s">
        <v>119</v>
      </c>
      <c r="J403" t="s">
        <v>58</v>
      </c>
      <c r="K403" t="s">
        <v>320</v>
      </c>
      <c r="L403" t="s">
        <v>318</v>
      </c>
      <c r="M403">
        <v>33</v>
      </c>
      <c r="O403" t="s">
        <v>52</v>
      </c>
      <c r="P403" t="s">
        <v>52</v>
      </c>
      <c r="Q403" t="s">
        <v>197</v>
      </c>
      <c r="R403" t="s">
        <v>53</v>
      </c>
      <c r="S403" t="s">
        <v>116</v>
      </c>
      <c r="T403" t="s">
        <v>198</v>
      </c>
      <c r="U403" t="s">
        <v>108</v>
      </c>
    </row>
    <row r="404" spans="1:21" x14ac:dyDescent="0.3">
      <c r="A404" t="s">
        <v>314</v>
      </c>
      <c r="B404" t="s">
        <v>314</v>
      </c>
      <c r="C404" t="s">
        <v>194</v>
      </c>
      <c r="D404">
        <v>3</v>
      </c>
      <c r="E404" t="s">
        <v>105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322</v>
      </c>
      <c r="L404" t="s">
        <v>316</v>
      </c>
      <c r="M404">
        <v>33</v>
      </c>
      <c r="N404">
        <v>13722</v>
      </c>
      <c r="O404" t="s">
        <v>52</v>
      </c>
      <c r="P404" t="s">
        <v>52</v>
      </c>
      <c r="Q404" t="s">
        <v>197</v>
      </c>
      <c r="R404" t="s">
        <v>53</v>
      </c>
      <c r="S404" t="s">
        <v>116</v>
      </c>
      <c r="T404" t="s">
        <v>198</v>
      </c>
      <c r="U404" t="s">
        <v>108</v>
      </c>
    </row>
    <row r="405" spans="1:21" x14ac:dyDescent="0.3">
      <c r="A405" t="s">
        <v>314</v>
      </c>
      <c r="B405" t="s">
        <v>314</v>
      </c>
      <c r="C405" t="s">
        <v>194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321</v>
      </c>
      <c r="L405" t="s">
        <v>316</v>
      </c>
      <c r="M405">
        <v>33</v>
      </c>
      <c r="N405">
        <v>13722</v>
      </c>
      <c r="O405" t="s">
        <v>52</v>
      </c>
      <c r="P405" t="s">
        <v>52</v>
      </c>
      <c r="Q405" t="s">
        <v>197</v>
      </c>
      <c r="R405" t="s">
        <v>53</v>
      </c>
      <c r="S405" t="s">
        <v>116</v>
      </c>
      <c r="T405" t="s">
        <v>198</v>
      </c>
      <c r="U405" t="s">
        <v>108</v>
      </c>
    </row>
    <row r="406" spans="1:21" x14ac:dyDescent="0.3">
      <c r="A406" t="s">
        <v>314</v>
      </c>
      <c r="B406" t="s">
        <v>314</v>
      </c>
      <c r="C406" t="s">
        <v>194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315</v>
      </c>
      <c r="L406" t="s">
        <v>316</v>
      </c>
      <c r="M406">
        <v>33</v>
      </c>
      <c r="N406">
        <v>13722</v>
      </c>
      <c r="O406" t="s">
        <v>52</v>
      </c>
      <c r="P406" t="s">
        <v>52</v>
      </c>
      <c r="Q406" t="s">
        <v>197</v>
      </c>
      <c r="R406" t="s">
        <v>53</v>
      </c>
      <c r="S406" t="s">
        <v>116</v>
      </c>
      <c r="T406" t="s">
        <v>198</v>
      </c>
      <c r="U406" t="s">
        <v>108</v>
      </c>
    </row>
    <row r="407" spans="1:21" x14ac:dyDescent="0.3">
      <c r="A407" t="s">
        <v>314</v>
      </c>
      <c r="B407" t="s">
        <v>314</v>
      </c>
      <c r="C407" t="s">
        <v>194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117</v>
      </c>
      <c r="J407" t="s">
        <v>51</v>
      </c>
      <c r="K407" t="s">
        <v>317</v>
      </c>
      <c r="L407" t="s">
        <v>318</v>
      </c>
      <c r="M407">
        <v>33</v>
      </c>
      <c r="O407" t="s">
        <v>52</v>
      </c>
      <c r="P407" t="s">
        <v>52</v>
      </c>
      <c r="Q407" t="s">
        <v>197</v>
      </c>
      <c r="R407" t="s">
        <v>53</v>
      </c>
      <c r="S407" t="s">
        <v>116</v>
      </c>
      <c r="T407" t="s">
        <v>198</v>
      </c>
      <c r="U407" t="s">
        <v>108</v>
      </c>
    </row>
    <row r="408" spans="1:21" x14ac:dyDescent="0.3">
      <c r="A408" t="s">
        <v>314</v>
      </c>
      <c r="B408" t="s">
        <v>314</v>
      </c>
      <c r="C408" t="s">
        <v>194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319</v>
      </c>
      <c r="L408" t="s">
        <v>316</v>
      </c>
      <c r="M408">
        <v>33</v>
      </c>
      <c r="N408">
        <v>13722</v>
      </c>
      <c r="O408" t="s">
        <v>52</v>
      </c>
      <c r="P408" t="s">
        <v>52</v>
      </c>
      <c r="Q408" t="s">
        <v>197</v>
      </c>
      <c r="R408" t="s">
        <v>53</v>
      </c>
      <c r="S408" t="s">
        <v>116</v>
      </c>
      <c r="T408" t="s">
        <v>198</v>
      </c>
      <c r="U408" t="s">
        <v>108</v>
      </c>
    </row>
    <row r="409" spans="1:21" x14ac:dyDescent="0.3">
      <c r="A409" t="s">
        <v>314</v>
      </c>
      <c r="B409" t="s">
        <v>314</v>
      </c>
      <c r="C409" t="s">
        <v>194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119</v>
      </c>
      <c r="J409" t="s">
        <v>58</v>
      </c>
      <c r="K409" t="s">
        <v>320</v>
      </c>
      <c r="L409" t="s">
        <v>318</v>
      </c>
      <c r="M409">
        <v>33</v>
      </c>
      <c r="O409" t="s">
        <v>52</v>
      </c>
      <c r="P409" t="s">
        <v>52</v>
      </c>
      <c r="Q409" t="s">
        <v>197</v>
      </c>
      <c r="R409" t="s">
        <v>53</v>
      </c>
      <c r="S409" t="s">
        <v>116</v>
      </c>
      <c r="T409" t="s">
        <v>198</v>
      </c>
      <c r="U409" t="s">
        <v>108</v>
      </c>
    </row>
    <row r="410" spans="1:21" x14ac:dyDescent="0.3">
      <c r="A410" t="s">
        <v>314</v>
      </c>
      <c r="B410" t="s">
        <v>314</v>
      </c>
      <c r="C410" t="s">
        <v>194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322</v>
      </c>
      <c r="L410" t="s">
        <v>316</v>
      </c>
      <c r="M410">
        <v>33</v>
      </c>
      <c r="N410">
        <v>13722</v>
      </c>
      <c r="O410" t="s">
        <v>52</v>
      </c>
      <c r="P410" t="s">
        <v>52</v>
      </c>
      <c r="Q410" t="s">
        <v>197</v>
      </c>
      <c r="R410" t="s">
        <v>53</v>
      </c>
      <c r="S410" t="s">
        <v>116</v>
      </c>
      <c r="T410" t="s">
        <v>198</v>
      </c>
      <c r="U410" t="s">
        <v>108</v>
      </c>
    </row>
    <row r="411" spans="1:21" x14ac:dyDescent="0.3">
      <c r="A411" t="s">
        <v>314</v>
      </c>
      <c r="B411" t="s">
        <v>314</v>
      </c>
      <c r="C411" t="s">
        <v>194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319</v>
      </c>
      <c r="L411" t="s">
        <v>316</v>
      </c>
      <c r="M411">
        <v>33</v>
      </c>
      <c r="N411">
        <v>13722</v>
      </c>
      <c r="O411" t="s">
        <v>52</v>
      </c>
      <c r="P411" t="s">
        <v>52</v>
      </c>
      <c r="Q411" t="s">
        <v>197</v>
      </c>
      <c r="R411" t="s">
        <v>53</v>
      </c>
      <c r="S411" t="s">
        <v>116</v>
      </c>
      <c r="T411" t="s">
        <v>198</v>
      </c>
      <c r="U411" t="s">
        <v>108</v>
      </c>
    </row>
    <row r="412" spans="1:21" x14ac:dyDescent="0.3">
      <c r="A412" t="s">
        <v>314</v>
      </c>
      <c r="B412" t="s">
        <v>314</v>
      </c>
      <c r="C412" t="s">
        <v>194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322</v>
      </c>
      <c r="L412" t="s">
        <v>316</v>
      </c>
      <c r="M412">
        <v>33</v>
      </c>
      <c r="N412">
        <v>13722</v>
      </c>
      <c r="O412" t="s">
        <v>52</v>
      </c>
      <c r="P412" t="s">
        <v>52</v>
      </c>
      <c r="Q412" t="s">
        <v>197</v>
      </c>
      <c r="R412" t="s">
        <v>53</v>
      </c>
      <c r="S412" t="s">
        <v>116</v>
      </c>
      <c r="T412" t="s">
        <v>198</v>
      </c>
      <c r="U412" t="s">
        <v>108</v>
      </c>
    </row>
    <row r="413" spans="1:21" x14ac:dyDescent="0.3">
      <c r="A413" t="s">
        <v>314</v>
      </c>
      <c r="B413" t="s">
        <v>314</v>
      </c>
      <c r="C413" t="s">
        <v>194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315</v>
      </c>
      <c r="L413" t="s">
        <v>316</v>
      </c>
      <c r="M413">
        <v>33</v>
      </c>
      <c r="N413">
        <v>13722</v>
      </c>
      <c r="O413" t="s">
        <v>52</v>
      </c>
      <c r="P413" t="s">
        <v>52</v>
      </c>
      <c r="Q413" t="s">
        <v>197</v>
      </c>
      <c r="R413" t="s">
        <v>53</v>
      </c>
      <c r="S413" t="s">
        <v>116</v>
      </c>
      <c r="T413" t="s">
        <v>198</v>
      </c>
      <c r="U413" t="s">
        <v>108</v>
      </c>
    </row>
    <row r="414" spans="1:21" x14ac:dyDescent="0.3">
      <c r="A414" t="s">
        <v>314</v>
      </c>
      <c r="B414" t="s">
        <v>314</v>
      </c>
      <c r="C414" t="s">
        <v>194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119</v>
      </c>
      <c r="J414" t="s">
        <v>58</v>
      </c>
      <c r="K414" t="s">
        <v>320</v>
      </c>
      <c r="L414" t="s">
        <v>318</v>
      </c>
      <c r="M414">
        <v>33</v>
      </c>
      <c r="O414" t="s">
        <v>52</v>
      </c>
      <c r="P414" t="s">
        <v>52</v>
      </c>
      <c r="Q414" t="s">
        <v>197</v>
      </c>
      <c r="R414" t="s">
        <v>53</v>
      </c>
      <c r="S414" t="s">
        <v>116</v>
      </c>
      <c r="T414" t="s">
        <v>198</v>
      </c>
      <c r="U414" t="s">
        <v>108</v>
      </c>
    </row>
    <row r="415" spans="1:21" x14ac:dyDescent="0.3">
      <c r="A415" t="s">
        <v>314</v>
      </c>
      <c r="B415" t="s">
        <v>314</v>
      </c>
      <c r="C415" t="s">
        <v>194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117</v>
      </c>
      <c r="J415" t="s">
        <v>51</v>
      </c>
      <c r="K415" t="s">
        <v>317</v>
      </c>
      <c r="L415" t="s">
        <v>318</v>
      </c>
      <c r="M415">
        <v>33</v>
      </c>
      <c r="O415" t="s">
        <v>52</v>
      </c>
      <c r="P415" t="s">
        <v>52</v>
      </c>
      <c r="Q415" t="s">
        <v>197</v>
      </c>
      <c r="R415" t="s">
        <v>53</v>
      </c>
      <c r="S415" t="s">
        <v>116</v>
      </c>
      <c r="T415" t="s">
        <v>198</v>
      </c>
      <c r="U415" t="s">
        <v>108</v>
      </c>
    </row>
    <row r="416" spans="1:21" x14ac:dyDescent="0.3">
      <c r="A416" t="s">
        <v>314</v>
      </c>
      <c r="B416" t="s">
        <v>314</v>
      </c>
      <c r="C416" t="s">
        <v>194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321</v>
      </c>
      <c r="L416" t="s">
        <v>316</v>
      </c>
      <c r="M416">
        <v>33</v>
      </c>
      <c r="N416">
        <v>13722</v>
      </c>
      <c r="O416" t="s">
        <v>52</v>
      </c>
      <c r="P416" t="s">
        <v>52</v>
      </c>
      <c r="Q416" t="s">
        <v>197</v>
      </c>
      <c r="R416" t="s">
        <v>53</v>
      </c>
      <c r="S416" t="s">
        <v>116</v>
      </c>
      <c r="T416" t="s">
        <v>198</v>
      </c>
      <c r="U416" t="s">
        <v>108</v>
      </c>
    </row>
    <row r="417" spans="1:21" x14ac:dyDescent="0.3">
      <c r="A417" t="s">
        <v>323</v>
      </c>
      <c r="B417" t="s">
        <v>323</v>
      </c>
      <c r="C417" t="s">
        <v>194</v>
      </c>
      <c r="D417">
        <v>1</v>
      </c>
      <c r="E417" t="s">
        <v>107</v>
      </c>
      <c r="F417">
        <v>1</v>
      </c>
      <c r="G417">
        <v>269</v>
      </c>
      <c r="H417">
        <v>269</v>
      </c>
      <c r="I417" t="s">
        <v>117</v>
      </c>
      <c r="J417" t="s">
        <v>51</v>
      </c>
      <c r="K417" t="s">
        <v>324</v>
      </c>
      <c r="L417" t="s">
        <v>325</v>
      </c>
      <c r="M417">
        <v>33</v>
      </c>
      <c r="N417">
        <v>14695</v>
      </c>
      <c r="O417" t="s">
        <v>52</v>
      </c>
      <c r="P417" t="s">
        <v>52</v>
      </c>
      <c r="Q417" t="s">
        <v>197</v>
      </c>
      <c r="R417" t="s">
        <v>53</v>
      </c>
      <c r="S417" t="s">
        <v>116</v>
      </c>
      <c r="T417" t="s">
        <v>198</v>
      </c>
      <c r="U417" t="s">
        <v>108</v>
      </c>
    </row>
    <row r="418" spans="1:21" x14ac:dyDescent="0.3">
      <c r="A418" t="s">
        <v>323</v>
      </c>
      <c r="B418" t="s">
        <v>323</v>
      </c>
      <c r="C418" t="s">
        <v>194</v>
      </c>
      <c r="D418">
        <v>1</v>
      </c>
      <c r="E418" t="s">
        <v>107</v>
      </c>
      <c r="F418">
        <v>1</v>
      </c>
      <c r="G418">
        <v>4</v>
      </c>
      <c r="H418">
        <v>4</v>
      </c>
      <c r="I418" t="s">
        <v>119</v>
      </c>
      <c r="J418" t="s">
        <v>58</v>
      </c>
      <c r="K418" t="s">
        <v>326</v>
      </c>
      <c r="L418" t="s">
        <v>325</v>
      </c>
      <c r="M418">
        <v>33</v>
      </c>
      <c r="N418">
        <v>14695</v>
      </c>
      <c r="O418" t="s">
        <v>52</v>
      </c>
      <c r="P418" t="s">
        <v>52</v>
      </c>
      <c r="Q418" t="s">
        <v>197</v>
      </c>
      <c r="R418" t="s">
        <v>53</v>
      </c>
      <c r="S418" t="s">
        <v>116</v>
      </c>
      <c r="T418" t="s">
        <v>198</v>
      </c>
      <c r="U418" t="s">
        <v>108</v>
      </c>
    </row>
    <row r="419" spans="1:21" x14ac:dyDescent="0.3">
      <c r="A419" t="s">
        <v>323</v>
      </c>
      <c r="B419" t="s">
        <v>323</v>
      </c>
      <c r="C419" t="s">
        <v>194</v>
      </c>
      <c r="D419">
        <v>1</v>
      </c>
      <c r="E419" t="s">
        <v>107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327</v>
      </c>
      <c r="L419" t="s">
        <v>328</v>
      </c>
      <c r="M419">
        <v>33</v>
      </c>
      <c r="N419">
        <v>14013</v>
      </c>
      <c r="O419" t="s">
        <v>52</v>
      </c>
      <c r="P419" t="s">
        <v>52</v>
      </c>
      <c r="Q419" t="s">
        <v>197</v>
      </c>
      <c r="R419" t="s">
        <v>53</v>
      </c>
      <c r="S419" t="s">
        <v>116</v>
      </c>
      <c r="T419" t="s">
        <v>198</v>
      </c>
      <c r="U419" t="s">
        <v>108</v>
      </c>
    </row>
    <row r="420" spans="1:21" x14ac:dyDescent="0.3">
      <c r="A420" t="s">
        <v>323</v>
      </c>
      <c r="B420" t="s">
        <v>323</v>
      </c>
      <c r="C420" t="s">
        <v>194</v>
      </c>
      <c r="D420">
        <v>1</v>
      </c>
      <c r="E420" t="s">
        <v>107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329</v>
      </c>
      <c r="L420" t="s">
        <v>328</v>
      </c>
      <c r="M420">
        <v>33</v>
      </c>
      <c r="N420">
        <v>14013</v>
      </c>
      <c r="O420" t="s">
        <v>52</v>
      </c>
      <c r="P420" t="s">
        <v>52</v>
      </c>
      <c r="Q420" t="s">
        <v>197</v>
      </c>
      <c r="R420" t="s">
        <v>53</v>
      </c>
      <c r="S420" t="s">
        <v>116</v>
      </c>
      <c r="T420" t="s">
        <v>198</v>
      </c>
      <c r="U420" t="s">
        <v>108</v>
      </c>
    </row>
    <row r="421" spans="1:21" x14ac:dyDescent="0.3">
      <c r="A421" t="s">
        <v>323</v>
      </c>
      <c r="B421" t="s">
        <v>323</v>
      </c>
      <c r="C421" t="s">
        <v>194</v>
      </c>
      <c r="D421">
        <v>1</v>
      </c>
      <c r="E421" t="s">
        <v>107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330</v>
      </c>
      <c r="L421" t="s">
        <v>328</v>
      </c>
      <c r="M421">
        <v>33</v>
      </c>
      <c r="N421">
        <v>14013</v>
      </c>
      <c r="O421" t="s">
        <v>52</v>
      </c>
      <c r="P421" t="s">
        <v>52</v>
      </c>
      <c r="Q421" t="s">
        <v>197</v>
      </c>
      <c r="R421" t="s">
        <v>53</v>
      </c>
      <c r="S421" t="s">
        <v>116</v>
      </c>
      <c r="T421" t="s">
        <v>198</v>
      </c>
      <c r="U421" t="s">
        <v>108</v>
      </c>
    </row>
    <row r="422" spans="1:21" x14ac:dyDescent="0.3">
      <c r="A422" t="s">
        <v>323</v>
      </c>
      <c r="B422" t="s">
        <v>323</v>
      </c>
      <c r="C422" t="s">
        <v>194</v>
      </c>
      <c r="D422">
        <v>1</v>
      </c>
      <c r="E422" t="s">
        <v>107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331</v>
      </c>
      <c r="L422" t="s">
        <v>328</v>
      </c>
      <c r="M422">
        <v>33</v>
      </c>
      <c r="N422">
        <v>14013</v>
      </c>
      <c r="O422" t="s">
        <v>52</v>
      </c>
      <c r="P422" t="s">
        <v>52</v>
      </c>
      <c r="Q422" t="s">
        <v>197</v>
      </c>
      <c r="R422" t="s">
        <v>53</v>
      </c>
      <c r="S422" t="s">
        <v>116</v>
      </c>
      <c r="T422" t="s">
        <v>198</v>
      </c>
      <c r="U422" t="s">
        <v>108</v>
      </c>
    </row>
    <row r="423" spans="1:21" x14ac:dyDescent="0.3">
      <c r="A423" t="s">
        <v>323</v>
      </c>
      <c r="B423" t="s">
        <v>323</v>
      </c>
      <c r="C423" t="s">
        <v>194</v>
      </c>
      <c r="D423">
        <v>2</v>
      </c>
      <c r="E423" t="s">
        <v>118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329</v>
      </c>
      <c r="L423" t="s">
        <v>328</v>
      </c>
      <c r="M423">
        <v>33</v>
      </c>
      <c r="N423">
        <v>14013</v>
      </c>
      <c r="O423" t="s">
        <v>52</v>
      </c>
      <c r="P423" t="s">
        <v>52</v>
      </c>
      <c r="Q423" t="s">
        <v>197</v>
      </c>
      <c r="R423" t="s">
        <v>53</v>
      </c>
      <c r="S423" t="s">
        <v>116</v>
      </c>
      <c r="T423" t="s">
        <v>198</v>
      </c>
      <c r="U423" t="s">
        <v>108</v>
      </c>
    </row>
    <row r="424" spans="1:21" x14ac:dyDescent="0.3">
      <c r="A424" t="s">
        <v>323</v>
      </c>
      <c r="B424" t="s">
        <v>323</v>
      </c>
      <c r="C424" t="s">
        <v>194</v>
      </c>
      <c r="D424">
        <v>2</v>
      </c>
      <c r="E424" t="s">
        <v>118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327</v>
      </c>
      <c r="L424" t="s">
        <v>328</v>
      </c>
      <c r="M424">
        <v>33</v>
      </c>
      <c r="N424">
        <v>14013</v>
      </c>
      <c r="O424" t="s">
        <v>52</v>
      </c>
      <c r="P424" t="s">
        <v>52</v>
      </c>
      <c r="Q424" t="s">
        <v>197</v>
      </c>
      <c r="R424" t="s">
        <v>53</v>
      </c>
      <c r="S424" t="s">
        <v>116</v>
      </c>
      <c r="T424" t="s">
        <v>198</v>
      </c>
      <c r="U424" t="s">
        <v>108</v>
      </c>
    </row>
    <row r="425" spans="1:21" x14ac:dyDescent="0.3">
      <c r="A425" t="s">
        <v>323</v>
      </c>
      <c r="B425" t="s">
        <v>323</v>
      </c>
      <c r="C425" t="s">
        <v>194</v>
      </c>
      <c r="D425">
        <v>2</v>
      </c>
      <c r="E425" t="s">
        <v>118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330</v>
      </c>
      <c r="L425" t="s">
        <v>328</v>
      </c>
      <c r="M425">
        <v>33</v>
      </c>
      <c r="N425">
        <v>14013</v>
      </c>
      <c r="O425" t="s">
        <v>52</v>
      </c>
      <c r="P425" t="s">
        <v>52</v>
      </c>
      <c r="Q425" t="s">
        <v>197</v>
      </c>
      <c r="R425" t="s">
        <v>53</v>
      </c>
      <c r="S425" t="s">
        <v>116</v>
      </c>
      <c r="T425" t="s">
        <v>198</v>
      </c>
      <c r="U425" t="s">
        <v>108</v>
      </c>
    </row>
    <row r="426" spans="1:21" x14ac:dyDescent="0.3">
      <c r="A426" t="s">
        <v>323</v>
      </c>
      <c r="B426" t="s">
        <v>323</v>
      </c>
      <c r="C426" t="s">
        <v>194</v>
      </c>
      <c r="D426">
        <v>2</v>
      </c>
      <c r="E426" t="s">
        <v>118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331</v>
      </c>
      <c r="L426" t="s">
        <v>328</v>
      </c>
      <c r="M426">
        <v>33</v>
      </c>
      <c r="N426">
        <v>14013</v>
      </c>
      <c r="O426" t="s">
        <v>52</v>
      </c>
      <c r="P426" t="s">
        <v>52</v>
      </c>
      <c r="Q426" t="s">
        <v>197</v>
      </c>
      <c r="R426" t="s">
        <v>53</v>
      </c>
      <c r="S426" t="s">
        <v>116</v>
      </c>
      <c r="T426" t="s">
        <v>198</v>
      </c>
      <c r="U426" t="s">
        <v>108</v>
      </c>
    </row>
    <row r="427" spans="1:21" x14ac:dyDescent="0.3">
      <c r="A427" t="s">
        <v>323</v>
      </c>
      <c r="B427" t="s">
        <v>323</v>
      </c>
      <c r="C427" t="s">
        <v>194</v>
      </c>
      <c r="D427">
        <v>3</v>
      </c>
      <c r="E427" t="s">
        <v>105</v>
      </c>
      <c r="F427">
        <v>1</v>
      </c>
      <c r="G427">
        <v>1</v>
      </c>
      <c r="H427">
        <v>1</v>
      </c>
      <c r="I427" t="s">
        <v>119</v>
      </c>
      <c r="J427" t="s">
        <v>58</v>
      </c>
      <c r="K427" t="s">
        <v>326</v>
      </c>
      <c r="L427" t="s">
        <v>325</v>
      </c>
      <c r="M427">
        <v>33</v>
      </c>
      <c r="N427">
        <v>14695</v>
      </c>
      <c r="O427" t="s">
        <v>52</v>
      </c>
      <c r="P427" t="s">
        <v>52</v>
      </c>
      <c r="Q427" t="s">
        <v>197</v>
      </c>
      <c r="R427" t="s">
        <v>53</v>
      </c>
      <c r="S427" t="s">
        <v>116</v>
      </c>
      <c r="T427" t="s">
        <v>198</v>
      </c>
      <c r="U427" t="s">
        <v>108</v>
      </c>
    </row>
    <row r="428" spans="1:21" x14ac:dyDescent="0.3">
      <c r="A428" t="s">
        <v>323</v>
      </c>
      <c r="B428" t="s">
        <v>323</v>
      </c>
      <c r="C428" t="s">
        <v>194</v>
      </c>
      <c r="D428">
        <v>3</v>
      </c>
      <c r="E428" t="s">
        <v>105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327</v>
      </c>
      <c r="L428" t="s">
        <v>328</v>
      </c>
      <c r="M428">
        <v>33</v>
      </c>
      <c r="N428">
        <v>14013</v>
      </c>
      <c r="O428" t="s">
        <v>52</v>
      </c>
      <c r="P428" t="s">
        <v>52</v>
      </c>
      <c r="Q428" t="s">
        <v>197</v>
      </c>
      <c r="R428" t="s">
        <v>53</v>
      </c>
      <c r="S428" t="s">
        <v>116</v>
      </c>
      <c r="T428" t="s">
        <v>198</v>
      </c>
      <c r="U428" t="s">
        <v>108</v>
      </c>
    </row>
    <row r="429" spans="1:21" x14ac:dyDescent="0.3">
      <c r="A429" t="s">
        <v>323</v>
      </c>
      <c r="B429" t="s">
        <v>323</v>
      </c>
      <c r="C429" t="s">
        <v>194</v>
      </c>
      <c r="D429">
        <v>3</v>
      </c>
      <c r="E429" t="s">
        <v>105</v>
      </c>
      <c r="F429">
        <v>1</v>
      </c>
      <c r="G429">
        <v>38</v>
      </c>
      <c r="H429">
        <v>38</v>
      </c>
      <c r="I429" t="s">
        <v>117</v>
      </c>
      <c r="J429" t="s">
        <v>51</v>
      </c>
      <c r="K429" t="s">
        <v>324</v>
      </c>
      <c r="L429" t="s">
        <v>325</v>
      </c>
      <c r="M429">
        <v>33</v>
      </c>
      <c r="N429">
        <v>14695</v>
      </c>
      <c r="O429" t="s">
        <v>52</v>
      </c>
      <c r="P429" t="s">
        <v>52</v>
      </c>
      <c r="Q429" t="s">
        <v>197</v>
      </c>
      <c r="R429" t="s">
        <v>53</v>
      </c>
      <c r="S429" t="s">
        <v>116</v>
      </c>
      <c r="T429" t="s">
        <v>198</v>
      </c>
      <c r="U429" t="s">
        <v>108</v>
      </c>
    </row>
    <row r="430" spans="1:21" x14ac:dyDescent="0.3">
      <c r="A430" t="s">
        <v>323</v>
      </c>
      <c r="B430" t="s">
        <v>323</v>
      </c>
      <c r="C430" t="s">
        <v>194</v>
      </c>
      <c r="D430">
        <v>3</v>
      </c>
      <c r="E430" t="s">
        <v>105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330</v>
      </c>
      <c r="L430" t="s">
        <v>328</v>
      </c>
      <c r="M430">
        <v>33</v>
      </c>
      <c r="N430">
        <v>14013</v>
      </c>
      <c r="O430" t="s">
        <v>52</v>
      </c>
      <c r="P430" t="s">
        <v>52</v>
      </c>
      <c r="Q430" t="s">
        <v>197</v>
      </c>
      <c r="R430" t="s">
        <v>53</v>
      </c>
      <c r="S430" t="s">
        <v>116</v>
      </c>
      <c r="T430" t="s">
        <v>198</v>
      </c>
      <c r="U430" t="s">
        <v>108</v>
      </c>
    </row>
    <row r="431" spans="1:21" x14ac:dyDescent="0.3">
      <c r="A431" t="s">
        <v>323</v>
      </c>
      <c r="B431" t="s">
        <v>323</v>
      </c>
      <c r="C431" t="s">
        <v>194</v>
      </c>
      <c r="D431">
        <v>3</v>
      </c>
      <c r="E431" t="s">
        <v>105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331</v>
      </c>
      <c r="L431" t="s">
        <v>328</v>
      </c>
      <c r="M431">
        <v>33</v>
      </c>
      <c r="N431">
        <v>14013</v>
      </c>
      <c r="O431" t="s">
        <v>52</v>
      </c>
      <c r="P431" t="s">
        <v>52</v>
      </c>
      <c r="Q431" t="s">
        <v>197</v>
      </c>
      <c r="R431" t="s">
        <v>53</v>
      </c>
      <c r="S431" t="s">
        <v>116</v>
      </c>
      <c r="T431" t="s">
        <v>198</v>
      </c>
      <c r="U431" t="s">
        <v>108</v>
      </c>
    </row>
    <row r="432" spans="1:21" x14ac:dyDescent="0.3">
      <c r="A432" t="s">
        <v>323</v>
      </c>
      <c r="B432" t="s">
        <v>323</v>
      </c>
      <c r="C432" t="s">
        <v>194</v>
      </c>
      <c r="D432">
        <v>3</v>
      </c>
      <c r="E432" t="s">
        <v>105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329</v>
      </c>
      <c r="L432" t="s">
        <v>328</v>
      </c>
      <c r="M432">
        <v>33</v>
      </c>
      <c r="N432">
        <v>14013</v>
      </c>
      <c r="O432" t="s">
        <v>52</v>
      </c>
      <c r="P432" t="s">
        <v>52</v>
      </c>
      <c r="Q432" t="s">
        <v>197</v>
      </c>
      <c r="R432" t="s">
        <v>53</v>
      </c>
      <c r="S432" t="s">
        <v>116</v>
      </c>
      <c r="T432" t="s">
        <v>198</v>
      </c>
      <c r="U432" t="s">
        <v>108</v>
      </c>
    </row>
    <row r="433" spans="1:21" x14ac:dyDescent="0.3">
      <c r="A433" t="s">
        <v>323</v>
      </c>
      <c r="B433" t="s">
        <v>323</v>
      </c>
      <c r="C433" t="s">
        <v>194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331</v>
      </c>
      <c r="L433" t="s">
        <v>328</v>
      </c>
      <c r="M433">
        <v>33</v>
      </c>
      <c r="N433">
        <v>14013</v>
      </c>
      <c r="O433" t="s">
        <v>52</v>
      </c>
      <c r="P433" t="s">
        <v>52</v>
      </c>
      <c r="Q433" t="s">
        <v>197</v>
      </c>
      <c r="R433" t="s">
        <v>53</v>
      </c>
      <c r="S433" t="s">
        <v>116</v>
      </c>
      <c r="T433" t="s">
        <v>198</v>
      </c>
      <c r="U433" t="s">
        <v>108</v>
      </c>
    </row>
    <row r="434" spans="1:21" x14ac:dyDescent="0.3">
      <c r="A434" t="s">
        <v>323</v>
      </c>
      <c r="B434" t="s">
        <v>323</v>
      </c>
      <c r="C434" t="s">
        <v>194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327</v>
      </c>
      <c r="L434" t="s">
        <v>328</v>
      </c>
      <c r="M434">
        <v>33</v>
      </c>
      <c r="N434">
        <v>14013</v>
      </c>
      <c r="O434" t="s">
        <v>52</v>
      </c>
      <c r="P434" t="s">
        <v>52</v>
      </c>
      <c r="Q434" t="s">
        <v>197</v>
      </c>
      <c r="R434" t="s">
        <v>53</v>
      </c>
      <c r="S434" t="s">
        <v>116</v>
      </c>
      <c r="T434" t="s">
        <v>198</v>
      </c>
      <c r="U434" t="s">
        <v>108</v>
      </c>
    </row>
    <row r="435" spans="1:21" x14ac:dyDescent="0.3">
      <c r="A435" t="s">
        <v>323</v>
      </c>
      <c r="B435" t="s">
        <v>323</v>
      </c>
      <c r="C435" t="s">
        <v>194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119</v>
      </c>
      <c r="J435" t="s">
        <v>58</v>
      </c>
      <c r="K435" t="s">
        <v>326</v>
      </c>
      <c r="L435" t="s">
        <v>325</v>
      </c>
      <c r="M435">
        <v>33</v>
      </c>
      <c r="N435">
        <v>14695</v>
      </c>
      <c r="O435" t="s">
        <v>52</v>
      </c>
      <c r="P435" t="s">
        <v>52</v>
      </c>
      <c r="Q435" t="s">
        <v>197</v>
      </c>
      <c r="R435" t="s">
        <v>53</v>
      </c>
      <c r="S435" t="s">
        <v>116</v>
      </c>
      <c r="T435" t="s">
        <v>198</v>
      </c>
      <c r="U435" t="s">
        <v>108</v>
      </c>
    </row>
    <row r="436" spans="1:21" x14ac:dyDescent="0.3">
      <c r="A436" t="s">
        <v>323</v>
      </c>
      <c r="B436" t="s">
        <v>323</v>
      </c>
      <c r="C436" t="s">
        <v>194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117</v>
      </c>
      <c r="J436" t="s">
        <v>51</v>
      </c>
      <c r="K436" t="s">
        <v>324</v>
      </c>
      <c r="L436" t="s">
        <v>325</v>
      </c>
      <c r="M436">
        <v>33</v>
      </c>
      <c r="N436">
        <v>14695</v>
      </c>
      <c r="O436" t="s">
        <v>52</v>
      </c>
      <c r="P436" t="s">
        <v>52</v>
      </c>
      <c r="Q436" t="s">
        <v>197</v>
      </c>
      <c r="R436" t="s">
        <v>53</v>
      </c>
      <c r="S436" t="s">
        <v>116</v>
      </c>
      <c r="T436" t="s">
        <v>198</v>
      </c>
      <c r="U436" t="s">
        <v>108</v>
      </c>
    </row>
    <row r="437" spans="1:21" x14ac:dyDescent="0.3">
      <c r="A437" t="s">
        <v>323</v>
      </c>
      <c r="B437" t="s">
        <v>323</v>
      </c>
      <c r="C437" t="s">
        <v>194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329</v>
      </c>
      <c r="L437" t="s">
        <v>328</v>
      </c>
      <c r="M437">
        <v>33</v>
      </c>
      <c r="N437">
        <v>14013</v>
      </c>
      <c r="O437" t="s">
        <v>52</v>
      </c>
      <c r="P437" t="s">
        <v>52</v>
      </c>
      <c r="Q437" t="s">
        <v>197</v>
      </c>
      <c r="R437" t="s">
        <v>53</v>
      </c>
      <c r="S437" t="s">
        <v>116</v>
      </c>
      <c r="T437" t="s">
        <v>198</v>
      </c>
      <c r="U437" t="s">
        <v>108</v>
      </c>
    </row>
    <row r="438" spans="1:21" x14ac:dyDescent="0.3">
      <c r="A438" t="s">
        <v>323</v>
      </c>
      <c r="B438" t="s">
        <v>323</v>
      </c>
      <c r="C438" t="s">
        <v>194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330</v>
      </c>
      <c r="L438" t="s">
        <v>328</v>
      </c>
      <c r="M438">
        <v>33</v>
      </c>
      <c r="N438">
        <v>14013</v>
      </c>
      <c r="O438" t="s">
        <v>52</v>
      </c>
      <c r="P438" t="s">
        <v>52</v>
      </c>
      <c r="Q438" t="s">
        <v>197</v>
      </c>
      <c r="R438" t="s">
        <v>53</v>
      </c>
      <c r="S438" t="s">
        <v>116</v>
      </c>
      <c r="T438" t="s">
        <v>198</v>
      </c>
      <c r="U438" t="s">
        <v>108</v>
      </c>
    </row>
    <row r="439" spans="1:21" x14ac:dyDescent="0.3">
      <c r="A439" t="s">
        <v>323</v>
      </c>
      <c r="B439" t="s">
        <v>323</v>
      </c>
      <c r="C439" t="s">
        <v>194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331</v>
      </c>
      <c r="L439" t="s">
        <v>328</v>
      </c>
      <c r="M439">
        <v>33</v>
      </c>
      <c r="N439">
        <v>14013</v>
      </c>
      <c r="O439" t="s">
        <v>52</v>
      </c>
      <c r="P439" t="s">
        <v>52</v>
      </c>
      <c r="Q439" t="s">
        <v>197</v>
      </c>
      <c r="R439" t="s">
        <v>53</v>
      </c>
      <c r="S439" t="s">
        <v>116</v>
      </c>
      <c r="T439" t="s">
        <v>198</v>
      </c>
      <c r="U439" t="s">
        <v>108</v>
      </c>
    </row>
    <row r="440" spans="1:21" x14ac:dyDescent="0.3">
      <c r="A440" t="s">
        <v>323</v>
      </c>
      <c r="B440" t="s">
        <v>323</v>
      </c>
      <c r="C440" t="s">
        <v>194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330</v>
      </c>
      <c r="L440" t="s">
        <v>328</v>
      </c>
      <c r="M440">
        <v>33</v>
      </c>
      <c r="N440">
        <v>14013</v>
      </c>
      <c r="O440" t="s">
        <v>52</v>
      </c>
      <c r="P440" t="s">
        <v>52</v>
      </c>
      <c r="Q440" t="s">
        <v>197</v>
      </c>
      <c r="R440" t="s">
        <v>53</v>
      </c>
      <c r="S440" t="s">
        <v>116</v>
      </c>
      <c r="T440" t="s">
        <v>198</v>
      </c>
      <c r="U440" t="s">
        <v>108</v>
      </c>
    </row>
    <row r="441" spans="1:21" x14ac:dyDescent="0.3">
      <c r="A441" t="s">
        <v>323</v>
      </c>
      <c r="B441" t="s">
        <v>323</v>
      </c>
      <c r="C441" t="s">
        <v>194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327</v>
      </c>
      <c r="L441" t="s">
        <v>328</v>
      </c>
      <c r="M441">
        <v>33</v>
      </c>
      <c r="N441">
        <v>14013</v>
      </c>
      <c r="O441" t="s">
        <v>52</v>
      </c>
      <c r="P441" t="s">
        <v>52</v>
      </c>
      <c r="Q441" t="s">
        <v>197</v>
      </c>
      <c r="R441" t="s">
        <v>53</v>
      </c>
      <c r="S441" t="s">
        <v>116</v>
      </c>
      <c r="T441" t="s">
        <v>198</v>
      </c>
      <c r="U441" t="s">
        <v>108</v>
      </c>
    </row>
    <row r="442" spans="1:21" x14ac:dyDescent="0.3">
      <c r="A442" t="s">
        <v>323</v>
      </c>
      <c r="B442" t="s">
        <v>323</v>
      </c>
      <c r="C442" t="s">
        <v>194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117</v>
      </c>
      <c r="J442" t="s">
        <v>51</v>
      </c>
      <c r="K442" t="s">
        <v>324</v>
      </c>
      <c r="L442" t="s">
        <v>325</v>
      </c>
      <c r="M442">
        <v>33</v>
      </c>
      <c r="N442">
        <v>14695</v>
      </c>
      <c r="O442" t="s">
        <v>52</v>
      </c>
      <c r="P442" t="s">
        <v>52</v>
      </c>
      <c r="Q442" t="s">
        <v>197</v>
      </c>
      <c r="R442" t="s">
        <v>53</v>
      </c>
      <c r="S442" t="s">
        <v>116</v>
      </c>
      <c r="T442" t="s">
        <v>198</v>
      </c>
      <c r="U442" t="s">
        <v>108</v>
      </c>
    </row>
    <row r="443" spans="1:21" x14ac:dyDescent="0.3">
      <c r="A443" t="s">
        <v>323</v>
      </c>
      <c r="B443" t="s">
        <v>323</v>
      </c>
      <c r="C443" t="s">
        <v>194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329</v>
      </c>
      <c r="L443" t="s">
        <v>328</v>
      </c>
      <c r="M443">
        <v>33</v>
      </c>
      <c r="N443">
        <v>14013</v>
      </c>
      <c r="O443" t="s">
        <v>52</v>
      </c>
      <c r="P443" t="s">
        <v>52</v>
      </c>
      <c r="Q443" t="s">
        <v>197</v>
      </c>
      <c r="R443" t="s">
        <v>53</v>
      </c>
      <c r="S443" t="s">
        <v>116</v>
      </c>
      <c r="T443" t="s">
        <v>198</v>
      </c>
      <c r="U443" t="s">
        <v>108</v>
      </c>
    </row>
    <row r="444" spans="1:21" x14ac:dyDescent="0.3">
      <c r="A444" t="s">
        <v>332</v>
      </c>
      <c r="B444" t="s">
        <v>332</v>
      </c>
      <c r="C444" t="s">
        <v>194</v>
      </c>
      <c r="D444">
        <v>1</v>
      </c>
      <c r="E444" t="s">
        <v>107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333</v>
      </c>
      <c r="L444" t="s">
        <v>334</v>
      </c>
      <c r="M444">
        <v>33</v>
      </c>
      <c r="N444">
        <v>14392</v>
      </c>
      <c r="O444" t="s">
        <v>52</v>
      </c>
      <c r="P444" t="s">
        <v>52</v>
      </c>
      <c r="Q444" t="s">
        <v>197</v>
      </c>
      <c r="R444" t="s">
        <v>53</v>
      </c>
      <c r="S444" t="s">
        <v>116</v>
      </c>
      <c r="T444" t="s">
        <v>198</v>
      </c>
      <c r="U444" t="s">
        <v>108</v>
      </c>
    </row>
    <row r="445" spans="1:21" x14ac:dyDescent="0.3">
      <c r="A445" t="s">
        <v>332</v>
      </c>
      <c r="B445" t="s">
        <v>332</v>
      </c>
      <c r="C445" t="s">
        <v>194</v>
      </c>
      <c r="D445">
        <v>1</v>
      </c>
      <c r="E445" t="s">
        <v>107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335</v>
      </c>
      <c r="L445" t="s">
        <v>334</v>
      </c>
      <c r="M445">
        <v>33</v>
      </c>
      <c r="N445">
        <v>14392</v>
      </c>
      <c r="O445" t="s">
        <v>52</v>
      </c>
      <c r="P445" t="s">
        <v>52</v>
      </c>
      <c r="Q445" t="s">
        <v>197</v>
      </c>
      <c r="R445" t="s">
        <v>53</v>
      </c>
      <c r="S445" t="s">
        <v>116</v>
      </c>
      <c r="T445" t="s">
        <v>198</v>
      </c>
      <c r="U445" t="s">
        <v>108</v>
      </c>
    </row>
    <row r="446" spans="1:21" x14ac:dyDescent="0.3">
      <c r="A446" t="s">
        <v>332</v>
      </c>
      <c r="B446" t="s">
        <v>332</v>
      </c>
      <c r="C446" t="s">
        <v>194</v>
      </c>
      <c r="D446">
        <v>1</v>
      </c>
      <c r="E446" t="s">
        <v>107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336</v>
      </c>
      <c r="L446" t="s">
        <v>334</v>
      </c>
      <c r="M446">
        <v>33</v>
      </c>
      <c r="N446">
        <v>14392</v>
      </c>
      <c r="O446" t="s">
        <v>52</v>
      </c>
      <c r="P446" t="s">
        <v>52</v>
      </c>
      <c r="Q446" t="s">
        <v>197</v>
      </c>
      <c r="R446" t="s">
        <v>53</v>
      </c>
      <c r="S446" t="s">
        <v>116</v>
      </c>
      <c r="T446" t="s">
        <v>198</v>
      </c>
      <c r="U446" t="s">
        <v>108</v>
      </c>
    </row>
    <row r="447" spans="1:21" x14ac:dyDescent="0.3">
      <c r="A447" t="s">
        <v>332</v>
      </c>
      <c r="B447" t="s">
        <v>332</v>
      </c>
      <c r="C447" t="s">
        <v>194</v>
      </c>
      <c r="D447">
        <v>1</v>
      </c>
      <c r="E447" t="s">
        <v>107</v>
      </c>
      <c r="F447">
        <v>1</v>
      </c>
      <c r="G447">
        <v>-21</v>
      </c>
      <c r="H447">
        <v>-21</v>
      </c>
      <c r="I447" t="s">
        <v>119</v>
      </c>
      <c r="J447" t="s">
        <v>58</v>
      </c>
      <c r="K447" t="s">
        <v>337</v>
      </c>
      <c r="L447" t="s">
        <v>338</v>
      </c>
      <c r="M447">
        <v>61</v>
      </c>
      <c r="O447" t="s">
        <v>52</v>
      </c>
      <c r="P447" t="s">
        <v>52</v>
      </c>
      <c r="Q447" t="s">
        <v>197</v>
      </c>
      <c r="R447" t="s">
        <v>53</v>
      </c>
      <c r="S447" t="s">
        <v>116</v>
      </c>
      <c r="T447" t="s">
        <v>198</v>
      </c>
      <c r="U447" t="s">
        <v>108</v>
      </c>
    </row>
    <row r="448" spans="1:21" x14ac:dyDescent="0.3">
      <c r="A448" t="s">
        <v>332</v>
      </c>
      <c r="B448" t="s">
        <v>332</v>
      </c>
      <c r="C448" t="s">
        <v>194</v>
      </c>
      <c r="D448">
        <v>1</v>
      </c>
      <c r="E448" t="s">
        <v>107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339</v>
      </c>
      <c r="L448" t="s">
        <v>334</v>
      </c>
      <c r="M448">
        <v>33</v>
      </c>
      <c r="N448">
        <v>14392</v>
      </c>
      <c r="O448" t="s">
        <v>52</v>
      </c>
      <c r="P448" t="s">
        <v>52</v>
      </c>
      <c r="Q448" t="s">
        <v>197</v>
      </c>
      <c r="R448" t="s">
        <v>53</v>
      </c>
      <c r="S448" t="s">
        <v>116</v>
      </c>
      <c r="T448" t="s">
        <v>198</v>
      </c>
      <c r="U448" t="s">
        <v>108</v>
      </c>
    </row>
    <row r="449" spans="1:21" x14ac:dyDescent="0.3">
      <c r="A449" t="s">
        <v>332</v>
      </c>
      <c r="B449" t="s">
        <v>332</v>
      </c>
      <c r="C449" t="s">
        <v>194</v>
      </c>
      <c r="D449">
        <v>1</v>
      </c>
      <c r="E449" t="s">
        <v>107</v>
      </c>
      <c r="F449">
        <v>1</v>
      </c>
      <c r="G449">
        <v>-1449</v>
      </c>
      <c r="H449">
        <v>-1449</v>
      </c>
      <c r="I449" t="s">
        <v>117</v>
      </c>
      <c r="J449" t="s">
        <v>51</v>
      </c>
      <c r="K449" t="s">
        <v>340</v>
      </c>
      <c r="L449" t="s">
        <v>338</v>
      </c>
      <c r="M449">
        <v>61</v>
      </c>
      <c r="O449" t="s">
        <v>52</v>
      </c>
      <c r="P449" t="s">
        <v>52</v>
      </c>
      <c r="Q449" t="s">
        <v>197</v>
      </c>
      <c r="R449" t="s">
        <v>53</v>
      </c>
      <c r="S449" t="s">
        <v>116</v>
      </c>
      <c r="T449" t="s">
        <v>198</v>
      </c>
      <c r="U449" t="s">
        <v>108</v>
      </c>
    </row>
    <row r="450" spans="1:21" x14ac:dyDescent="0.3">
      <c r="A450" t="s">
        <v>332</v>
      </c>
      <c r="B450" t="s">
        <v>332</v>
      </c>
      <c r="C450" t="s">
        <v>194</v>
      </c>
      <c r="D450">
        <v>2</v>
      </c>
      <c r="E450" t="s">
        <v>118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339</v>
      </c>
      <c r="L450" t="s">
        <v>334</v>
      </c>
      <c r="M450">
        <v>33</v>
      </c>
      <c r="N450">
        <v>14392</v>
      </c>
      <c r="O450" t="s">
        <v>52</v>
      </c>
      <c r="P450" t="s">
        <v>52</v>
      </c>
      <c r="Q450" t="s">
        <v>197</v>
      </c>
      <c r="R450" t="s">
        <v>53</v>
      </c>
      <c r="S450" t="s">
        <v>116</v>
      </c>
      <c r="T450" t="s">
        <v>198</v>
      </c>
      <c r="U450" t="s">
        <v>108</v>
      </c>
    </row>
    <row r="451" spans="1:21" x14ac:dyDescent="0.3">
      <c r="A451" t="s">
        <v>332</v>
      </c>
      <c r="B451" t="s">
        <v>332</v>
      </c>
      <c r="C451" t="s">
        <v>194</v>
      </c>
      <c r="D451">
        <v>2</v>
      </c>
      <c r="E451" t="s">
        <v>118</v>
      </c>
      <c r="F451">
        <v>1</v>
      </c>
      <c r="G451">
        <v>-3</v>
      </c>
      <c r="H451">
        <v>-3</v>
      </c>
      <c r="I451" t="s">
        <v>117</v>
      </c>
      <c r="J451" t="s">
        <v>51</v>
      </c>
      <c r="K451" t="s">
        <v>340</v>
      </c>
      <c r="L451" t="s">
        <v>338</v>
      </c>
      <c r="M451">
        <v>61</v>
      </c>
      <c r="O451" t="s">
        <v>52</v>
      </c>
      <c r="P451" t="s">
        <v>52</v>
      </c>
      <c r="Q451" t="s">
        <v>197</v>
      </c>
      <c r="R451" t="s">
        <v>53</v>
      </c>
      <c r="S451" t="s">
        <v>116</v>
      </c>
      <c r="T451" t="s">
        <v>198</v>
      </c>
      <c r="U451" t="s">
        <v>108</v>
      </c>
    </row>
    <row r="452" spans="1:21" x14ac:dyDescent="0.3">
      <c r="A452" t="s">
        <v>332</v>
      </c>
      <c r="B452" t="s">
        <v>332</v>
      </c>
      <c r="C452" t="s">
        <v>194</v>
      </c>
      <c r="D452">
        <v>2</v>
      </c>
      <c r="E452" t="s">
        <v>118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333</v>
      </c>
      <c r="L452" t="s">
        <v>334</v>
      </c>
      <c r="M452">
        <v>33</v>
      </c>
      <c r="N452">
        <v>14392</v>
      </c>
      <c r="O452" t="s">
        <v>52</v>
      </c>
      <c r="P452" t="s">
        <v>52</v>
      </c>
      <c r="Q452" t="s">
        <v>197</v>
      </c>
      <c r="R452" t="s">
        <v>53</v>
      </c>
      <c r="S452" t="s">
        <v>116</v>
      </c>
      <c r="T452" t="s">
        <v>198</v>
      </c>
      <c r="U452" t="s">
        <v>108</v>
      </c>
    </row>
    <row r="453" spans="1:21" x14ac:dyDescent="0.3">
      <c r="A453" t="s">
        <v>332</v>
      </c>
      <c r="B453" t="s">
        <v>332</v>
      </c>
      <c r="C453" t="s">
        <v>194</v>
      </c>
      <c r="D453">
        <v>2</v>
      </c>
      <c r="E453" t="s">
        <v>118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336</v>
      </c>
      <c r="L453" t="s">
        <v>334</v>
      </c>
      <c r="M453">
        <v>33</v>
      </c>
      <c r="N453">
        <v>14392</v>
      </c>
      <c r="O453" t="s">
        <v>52</v>
      </c>
      <c r="P453" t="s">
        <v>52</v>
      </c>
      <c r="Q453" t="s">
        <v>197</v>
      </c>
      <c r="R453" t="s">
        <v>53</v>
      </c>
      <c r="S453" t="s">
        <v>116</v>
      </c>
      <c r="T453" t="s">
        <v>198</v>
      </c>
      <c r="U453" t="s">
        <v>108</v>
      </c>
    </row>
    <row r="454" spans="1:21" x14ac:dyDescent="0.3">
      <c r="A454" t="s">
        <v>332</v>
      </c>
      <c r="B454" t="s">
        <v>332</v>
      </c>
      <c r="C454" t="s">
        <v>194</v>
      </c>
      <c r="D454">
        <v>2</v>
      </c>
      <c r="E454" t="s">
        <v>118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335</v>
      </c>
      <c r="L454" t="s">
        <v>334</v>
      </c>
      <c r="M454">
        <v>33</v>
      </c>
      <c r="N454">
        <v>14392</v>
      </c>
      <c r="O454" t="s">
        <v>52</v>
      </c>
      <c r="P454" t="s">
        <v>52</v>
      </c>
      <c r="Q454" t="s">
        <v>197</v>
      </c>
      <c r="R454" t="s">
        <v>53</v>
      </c>
      <c r="S454" t="s">
        <v>116</v>
      </c>
      <c r="T454" t="s">
        <v>198</v>
      </c>
      <c r="U454" t="s">
        <v>108</v>
      </c>
    </row>
    <row r="455" spans="1:21" x14ac:dyDescent="0.3">
      <c r="A455" t="s">
        <v>332</v>
      </c>
      <c r="B455" t="s">
        <v>332</v>
      </c>
      <c r="C455" t="s">
        <v>194</v>
      </c>
      <c r="D455">
        <v>3</v>
      </c>
      <c r="E455" t="s">
        <v>105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335</v>
      </c>
      <c r="L455" t="s">
        <v>334</v>
      </c>
      <c r="M455">
        <v>33</v>
      </c>
      <c r="N455">
        <v>14392</v>
      </c>
      <c r="O455" t="s">
        <v>52</v>
      </c>
      <c r="P455" t="s">
        <v>52</v>
      </c>
      <c r="Q455" t="s">
        <v>197</v>
      </c>
      <c r="R455" t="s">
        <v>53</v>
      </c>
      <c r="S455" t="s">
        <v>116</v>
      </c>
      <c r="T455" t="s">
        <v>198</v>
      </c>
      <c r="U455" t="s">
        <v>108</v>
      </c>
    </row>
    <row r="456" spans="1:21" x14ac:dyDescent="0.3">
      <c r="A456" t="s">
        <v>332</v>
      </c>
      <c r="B456" t="s">
        <v>332</v>
      </c>
      <c r="C456" t="s">
        <v>194</v>
      </c>
      <c r="D456">
        <v>3</v>
      </c>
      <c r="E456" t="s">
        <v>105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333</v>
      </c>
      <c r="L456" t="s">
        <v>334</v>
      </c>
      <c r="M456">
        <v>33</v>
      </c>
      <c r="N456">
        <v>14392</v>
      </c>
      <c r="O456" t="s">
        <v>52</v>
      </c>
      <c r="P456" t="s">
        <v>52</v>
      </c>
      <c r="Q456" t="s">
        <v>197</v>
      </c>
      <c r="R456" t="s">
        <v>53</v>
      </c>
      <c r="S456" t="s">
        <v>116</v>
      </c>
      <c r="T456" t="s">
        <v>198</v>
      </c>
      <c r="U456" t="s">
        <v>108</v>
      </c>
    </row>
    <row r="457" spans="1:21" x14ac:dyDescent="0.3">
      <c r="A457" t="s">
        <v>332</v>
      </c>
      <c r="B457" t="s">
        <v>332</v>
      </c>
      <c r="C457" t="s">
        <v>194</v>
      </c>
      <c r="D457">
        <v>3</v>
      </c>
      <c r="E457" t="s">
        <v>105</v>
      </c>
      <c r="F457">
        <v>1</v>
      </c>
      <c r="G457">
        <v>-200</v>
      </c>
      <c r="H457">
        <v>-200</v>
      </c>
      <c r="I457" t="s">
        <v>117</v>
      </c>
      <c r="J457" t="s">
        <v>51</v>
      </c>
      <c r="K457" t="s">
        <v>340</v>
      </c>
      <c r="L457" t="s">
        <v>338</v>
      </c>
      <c r="M457">
        <v>61</v>
      </c>
      <c r="O457" t="s">
        <v>52</v>
      </c>
      <c r="P457" t="s">
        <v>52</v>
      </c>
      <c r="Q457" t="s">
        <v>197</v>
      </c>
      <c r="R457" t="s">
        <v>53</v>
      </c>
      <c r="S457" t="s">
        <v>116</v>
      </c>
      <c r="T457" t="s">
        <v>198</v>
      </c>
      <c r="U457" t="s">
        <v>108</v>
      </c>
    </row>
    <row r="458" spans="1:21" x14ac:dyDescent="0.3">
      <c r="A458" t="s">
        <v>332</v>
      </c>
      <c r="B458" t="s">
        <v>332</v>
      </c>
      <c r="C458" t="s">
        <v>194</v>
      </c>
      <c r="D458">
        <v>3</v>
      </c>
      <c r="E458" t="s">
        <v>105</v>
      </c>
      <c r="F458">
        <v>1</v>
      </c>
      <c r="G458">
        <v>-3</v>
      </c>
      <c r="H458">
        <v>-3</v>
      </c>
      <c r="I458" t="s">
        <v>119</v>
      </c>
      <c r="J458" t="s">
        <v>58</v>
      </c>
      <c r="K458" t="s">
        <v>337</v>
      </c>
      <c r="L458" t="s">
        <v>338</v>
      </c>
      <c r="M458">
        <v>61</v>
      </c>
      <c r="O458" t="s">
        <v>52</v>
      </c>
      <c r="P458" t="s">
        <v>52</v>
      </c>
      <c r="Q458" t="s">
        <v>197</v>
      </c>
      <c r="R458" t="s">
        <v>53</v>
      </c>
      <c r="S458" t="s">
        <v>116</v>
      </c>
      <c r="T458" t="s">
        <v>198</v>
      </c>
      <c r="U458" t="s">
        <v>108</v>
      </c>
    </row>
    <row r="459" spans="1:21" x14ac:dyDescent="0.3">
      <c r="A459" t="s">
        <v>332</v>
      </c>
      <c r="B459" t="s">
        <v>332</v>
      </c>
      <c r="C459" t="s">
        <v>194</v>
      </c>
      <c r="D459">
        <v>3</v>
      </c>
      <c r="E459" t="s">
        <v>105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336</v>
      </c>
      <c r="L459" t="s">
        <v>334</v>
      </c>
      <c r="M459">
        <v>33</v>
      </c>
      <c r="N459">
        <v>14392</v>
      </c>
      <c r="O459" t="s">
        <v>52</v>
      </c>
      <c r="P459" t="s">
        <v>52</v>
      </c>
      <c r="Q459" t="s">
        <v>197</v>
      </c>
      <c r="R459" t="s">
        <v>53</v>
      </c>
      <c r="S459" t="s">
        <v>116</v>
      </c>
      <c r="T459" t="s">
        <v>198</v>
      </c>
      <c r="U459" t="s">
        <v>108</v>
      </c>
    </row>
    <row r="460" spans="1:21" x14ac:dyDescent="0.3">
      <c r="A460" t="s">
        <v>332</v>
      </c>
      <c r="B460" t="s">
        <v>332</v>
      </c>
      <c r="C460" t="s">
        <v>194</v>
      </c>
      <c r="D460">
        <v>3</v>
      </c>
      <c r="E460" t="s">
        <v>105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339</v>
      </c>
      <c r="L460" t="s">
        <v>334</v>
      </c>
      <c r="M460">
        <v>33</v>
      </c>
      <c r="N460">
        <v>14392</v>
      </c>
      <c r="O460" t="s">
        <v>52</v>
      </c>
      <c r="P460" t="s">
        <v>52</v>
      </c>
      <c r="Q460" t="s">
        <v>197</v>
      </c>
      <c r="R460" t="s">
        <v>53</v>
      </c>
      <c r="S460" t="s">
        <v>116</v>
      </c>
      <c r="T460" t="s">
        <v>198</v>
      </c>
      <c r="U460" t="s">
        <v>108</v>
      </c>
    </row>
    <row r="461" spans="1:21" x14ac:dyDescent="0.3">
      <c r="A461" t="s">
        <v>332</v>
      </c>
      <c r="B461" t="s">
        <v>332</v>
      </c>
      <c r="C461" t="s">
        <v>194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335</v>
      </c>
      <c r="L461" t="s">
        <v>334</v>
      </c>
      <c r="M461">
        <v>33</v>
      </c>
      <c r="N461">
        <v>14392</v>
      </c>
      <c r="O461" t="s">
        <v>52</v>
      </c>
      <c r="P461" t="s">
        <v>52</v>
      </c>
      <c r="Q461" t="s">
        <v>197</v>
      </c>
      <c r="R461" t="s">
        <v>53</v>
      </c>
      <c r="S461" t="s">
        <v>116</v>
      </c>
      <c r="T461" t="s">
        <v>198</v>
      </c>
      <c r="U461" t="s">
        <v>108</v>
      </c>
    </row>
    <row r="462" spans="1:21" x14ac:dyDescent="0.3">
      <c r="A462" t="s">
        <v>332</v>
      </c>
      <c r="B462" t="s">
        <v>332</v>
      </c>
      <c r="C462" t="s">
        <v>194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336</v>
      </c>
      <c r="L462" t="s">
        <v>334</v>
      </c>
      <c r="M462">
        <v>33</v>
      </c>
      <c r="N462">
        <v>14392</v>
      </c>
      <c r="O462" t="s">
        <v>52</v>
      </c>
      <c r="P462" t="s">
        <v>52</v>
      </c>
      <c r="Q462" t="s">
        <v>197</v>
      </c>
      <c r="R462" t="s">
        <v>53</v>
      </c>
      <c r="S462" t="s">
        <v>116</v>
      </c>
      <c r="T462" t="s">
        <v>198</v>
      </c>
      <c r="U462" t="s">
        <v>108</v>
      </c>
    </row>
    <row r="463" spans="1:21" x14ac:dyDescent="0.3">
      <c r="A463" t="s">
        <v>332</v>
      </c>
      <c r="B463" t="s">
        <v>332</v>
      </c>
      <c r="C463" t="s">
        <v>194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117</v>
      </c>
      <c r="J463" t="s">
        <v>51</v>
      </c>
      <c r="K463" t="s">
        <v>340</v>
      </c>
      <c r="L463" t="s">
        <v>338</v>
      </c>
      <c r="M463">
        <v>61</v>
      </c>
      <c r="O463" t="s">
        <v>52</v>
      </c>
      <c r="P463" t="s">
        <v>52</v>
      </c>
      <c r="Q463" t="s">
        <v>197</v>
      </c>
      <c r="R463" t="s">
        <v>53</v>
      </c>
      <c r="S463" t="s">
        <v>116</v>
      </c>
      <c r="T463" t="s">
        <v>198</v>
      </c>
      <c r="U463" t="s">
        <v>108</v>
      </c>
    </row>
    <row r="464" spans="1:21" x14ac:dyDescent="0.3">
      <c r="A464" t="s">
        <v>332</v>
      </c>
      <c r="B464" t="s">
        <v>332</v>
      </c>
      <c r="C464" t="s">
        <v>194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333</v>
      </c>
      <c r="L464" t="s">
        <v>334</v>
      </c>
      <c r="M464">
        <v>33</v>
      </c>
      <c r="N464">
        <v>14392</v>
      </c>
      <c r="O464" t="s">
        <v>52</v>
      </c>
      <c r="P464" t="s">
        <v>52</v>
      </c>
      <c r="Q464" t="s">
        <v>197</v>
      </c>
      <c r="R464" t="s">
        <v>53</v>
      </c>
      <c r="S464" t="s">
        <v>116</v>
      </c>
      <c r="T464" t="s">
        <v>198</v>
      </c>
      <c r="U464" t="s">
        <v>108</v>
      </c>
    </row>
    <row r="465" spans="1:21" x14ac:dyDescent="0.3">
      <c r="A465" t="s">
        <v>332</v>
      </c>
      <c r="B465" t="s">
        <v>332</v>
      </c>
      <c r="C465" t="s">
        <v>194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119</v>
      </c>
      <c r="J465" t="s">
        <v>58</v>
      </c>
      <c r="K465" t="s">
        <v>337</v>
      </c>
      <c r="L465" t="s">
        <v>338</v>
      </c>
      <c r="M465">
        <v>61</v>
      </c>
      <c r="O465" t="s">
        <v>52</v>
      </c>
      <c r="P465" t="s">
        <v>52</v>
      </c>
      <c r="Q465" t="s">
        <v>197</v>
      </c>
      <c r="R465" t="s">
        <v>53</v>
      </c>
      <c r="S465" t="s">
        <v>116</v>
      </c>
      <c r="T465" t="s">
        <v>198</v>
      </c>
      <c r="U465" t="s">
        <v>108</v>
      </c>
    </row>
    <row r="466" spans="1:21" x14ac:dyDescent="0.3">
      <c r="A466" t="s">
        <v>332</v>
      </c>
      <c r="B466" t="s">
        <v>332</v>
      </c>
      <c r="C466" t="s">
        <v>194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339</v>
      </c>
      <c r="L466" t="s">
        <v>334</v>
      </c>
      <c r="M466">
        <v>33</v>
      </c>
      <c r="N466">
        <v>14392</v>
      </c>
      <c r="O466" t="s">
        <v>52</v>
      </c>
      <c r="P466" t="s">
        <v>52</v>
      </c>
      <c r="Q466" t="s">
        <v>197</v>
      </c>
      <c r="R466" t="s">
        <v>53</v>
      </c>
      <c r="S466" t="s">
        <v>116</v>
      </c>
      <c r="T466" t="s">
        <v>198</v>
      </c>
      <c r="U466" t="s">
        <v>108</v>
      </c>
    </row>
    <row r="467" spans="1:21" x14ac:dyDescent="0.3">
      <c r="A467" t="s">
        <v>332</v>
      </c>
      <c r="B467" t="s">
        <v>332</v>
      </c>
      <c r="C467" t="s">
        <v>194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339</v>
      </c>
      <c r="L467" t="s">
        <v>334</v>
      </c>
      <c r="M467">
        <v>33</v>
      </c>
      <c r="N467">
        <v>14392</v>
      </c>
      <c r="O467" t="s">
        <v>52</v>
      </c>
      <c r="P467" t="s">
        <v>52</v>
      </c>
      <c r="Q467" t="s">
        <v>197</v>
      </c>
      <c r="R467" t="s">
        <v>53</v>
      </c>
      <c r="S467" t="s">
        <v>116</v>
      </c>
      <c r="T467" t="s">
        <v>198</v>
      </c>
      <c r="U467" t="s">
        <v>108</v>
      </c>
    </row>
    <row r="468" spans="1:21" x14ac:dyDescent="0.3">
      <c r="A468" t="s">
        <v>332</v>
      </c>
      <c r="B468" t="s">
        <v>332</v>
      </c>
      <c r="C468" t="s">
        <v>194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336</v>
      </c>
      <c r="L468" t="s">
        <v>334</v>
      </c>
      <c r="M468">
        <v>33</v>
      </c>
      <c r="N468">
        <v>14392</v>
      </c>
      <c r="O468" t="s">
        <v>52</v>
      </c>
      <c r="P468" t="s">
        <v>52</v>
      </c>
      <c r="Q468" t="s">
        <v>197</v>
      </c>
      <c r="R468" t="s">
        <v>53</v>
      </c>
      <c r="S468" t="s">
        <v>116</v>
      </c>
      <c r="T468" t="s">
        <v>198</v>
      </c>
      <c r="U468" t="s">
        <v>108</v>
      </c>
    </row>
    <row r="469" spans="1:21" x14ac:dyDescent="0.3">
      <c r="A469" t="s">
        <v>332</v>
      </c>
      <c r="B469" t="s">
        <v>332</v>
      </c>
      <c r="C469" t="s">
        <v>194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117</v>
      </c>
      <c r="J469" t="s">
        <v>51</v>
      </c>
      <c r="K469" t="s">
        <v>340</v>
      </c>
      <c r="L469" t="s">
        <v>338</v>
      </c>
      <c r="M469">
        <v>61</v>
      </c>
      <c r="O469" t="s">
        <v>52</v>
      </c>
      <c r="P469" t="s">
        <v>52</v>
      </c>
      <c r="Q469" t="s">
        <v>197</v>
      </c>
      <c r="R469" t="s">
        <v>53</v>
      </c>
      <c r="S469" t="s">
        <v>116</v>
      </c>
      <c r="T469" t="s">
        <v>198</v>
      </c>
      <c r="U469" t="s">
        <v>108</v>
      </c>
    </row>
    <row r="470" spans="1:21" x14ac:dyDescent="0.3">
      <c r="A470" t="s">
        <v>332</v>
      </c>
      <c r="B470" t="s">
        <v>332</v>
      </c>
      <c r="C470" t="s">
        <v>194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333</v>
      </c>
      <c r="L470" t="s">
        <v>334</v>
      </c>
      <c r="M470">
        <v>33</v>
      </c>
      <c r="N470">
        <v>14392</v>
      </c>
      <c r="O470" t="s">
        <v>52</v>
      </c>
      <c r="P470" t="s">
        <v>52</v>
      </c>
      <c r="Q470" t="s">
        <v>197</v>
      </c>
      <c r="R470" t="s">
        <v>53</v>
      </c>
      <c r="S470" t="s">
        <v>116</v>
      </c>
      <c r="T470" t="s">
        <v>198</v>
      </c>
      <c r="U470" t="s">
        <v>108</v>
      </c>
    </row>
    <row r="471" spans="1:21" x14ac:dyDescent="0.3">
      <c r="A471" t="s">
        <v>332</v>
      </c>
      <c r="B471" t="s">
        <v>332</v>
      </c>
      <c r="C471" t="s">
        <v>194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335</v>
      </c>
      <c r="L471" t="s">
        <v>334</v>
      </c>
      <c r="M471">
        <v>33</v>
      </c>
      <c r="N471">
        <v>14392</v>
      </c>
      <c r="O471" t="s">
        <v>52</v>
      </c>
      <c r="P471" t="s">
        <v>52</v>
      </c>
      <c r="Q471" t="s">
        <v>197</v>
      </c>
      <c r="R471" t="s">
        <v>53</v>
      </c>
      <c r="S471" t="s">
        <v>116</v>
      </c>
      <c r="T471" t="s">
        <v>198</v>
      </c>
      <c r="U471" t="s">
        <v>108</v>
      </c>
    </row>
    <row r="472" spans="1:21" x14ac:dyDescent="0.3">
      <c r="A472" t="s">
        <v>341</v>
      </c>
      <c r="B472" t="s">
        <v>341</v>
      </c>
      <c r="C472" t="s">
        <v>194</v>
      </c>
      <c r="D472">
        <v>1</v>
      </c>
      <c r="E472" t="s">
        <v>107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342</v>
      </c>
      <c r="L472" t="s">
        <v>343</v>
      </c>
      <c r="M472">
        <v>33</v>
      </c>
      <c r="N472">
        <v>14796</v>
      </c>
      <c r="O472" t="s">
        <v>52</v>
      </c>
      <c r="P472" t="s">
        <v>52</v>
      </c>
      <c r="Q472" t="s">
        <v>197</v>
      </c>
      <c r="R472" t="s">
        <v>53</v>
      </c>
      <c r="S472" t="s">
        <v>116</v>
      </c>
      <c r="T472" t="s">
        <v>198</v>
      </c>
      <c r="U472" t="s">
        <v>108</v>
      </c>
    </row>
    <row r="473" spans="1:21" x14ac:dyDescent="0.3">
      <c r="A473" t="s">
        <v>341</v>
      </c>
      <c r="B473" t="s">
        <v>341</v>
      </c>
      <c r="C473" t="s">
        <v>194</v>
      </c>
      <c r="D473">
        <v>1</v>
      </c>
      <c r="E473" t="s">
        <v>107</v>
      </c>
      <c r="F473">
        <v>1</v>
      </c>
      <c r="G473">
        <v>-4</v>
      </c>
      <c r="H473">
        <v>-4</v>
      </c>
      <c r="I473" t="s">
        <v>119</v>
      </c>
      <c r="J473" t="s">
        <v>58</v>
      </c>
      <c r="K473" t="s">
        <v>344</v>
      </c>
      <c r="L473" t="s">
        <v>345</v>
      </c>
      <c r="M473">
        <v>33</v>
      </c>
      <c r="O473" t="s">
        <v>52</v>
      </c>
      <c r="P473" t="s">
        <v>52</v>
      </c>
      <c r="Q473" t="s">
        <v>197</v>
      </c>
      <c r="R473" t="s">
        <v>53</v>
      </c>
      <c r="S473" t="s">
        <v>116</v>
      </c>
      <c r="T473" t="s">
        <v>198</v>
      </c>
      <c r="U473" t="s">
        <v>108</v>
      </c>
    </row>
    <row r="474" spans="1:21" x14ac:dyDescent="0.3">
      <c r="A474" t="s">
        <v>341</v>
      </c>
      <c r="B474" t="s">
        <v>341</v>
      </c>
      <c r="C474" t="s">
        <v>194</v>
      </c>
      <c r="D474">
        <v>1</v>
      </c>
      <c r="E474" t="s">
        <v>107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346</v>
      </c>
      <c r="L474" t="s">
        <v>343</v>
      </c>
      <c r="M474">
        <v>33</v>
      </c>
      <c r="N474">
        <v>14796</v>
      </c>
      <c r="O474" t="s">
        <v>52</v>
      </c>
      <c r="P474" t="s">
        <v>52</v>
      </c>
      <c r="Q474" t="s">
        <v>197</v>
      </c>
      <c r="R474" t="s">
        <v>53</v>
      </c>
      <c r="S474" t="s">
        <v>116</v>
      </c>
      <c r="T474" t="s">
        <v>198</v>
      </c>
      <c r="U474" t="s">
        <v>108</v>
      </c>
    </row>
    <row r="475" spans="1:21" x14ac:dyDescent="0.3">
      <c r="A475" t="s">
        <v>341</v>
      </c>
      <c r="B475" t="s">
        <v>341</v>
      </c>
      <c r="C475" t="s">
        <v>194</v>
      </c>
      <c r="D475">
        <v>1</v>
      </c>
      <c r="E475" t="s">
        <v>107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347</v>
      </c>
      <c r="L475" t="s">
        <v>343</v>
      </c>
      <c r="M475">
        <v>33</v>
      </c>
      <c r="N475">
        <v>14796</v>
      </c>
      <c r="O475" t="s">
        <v>52</v>
      </c>
      <c r="P475" t="s">
        <v>52</v>
      </c>
      <c r="Q475" t="s">
        <v>197</v>
      </c>
      <c r="R475" t="s">
        <v>53</v>
      </c>
      <c r="S475" t="s">
        <v>116</v>
      </c>
      <c r="T475" t="s">
        <v>198</v>
      </c>
      <c r="U475" t="s">
        <v>108</v>
      </c>
    </row>
    <row r="476" spans="1:21" x14ac:dyDescent="0.3">
      <c r="A476" t="s">
        <v>341</v>
      </c>
      <c r="B476" t="s">
        <v>341</v>
      </c>
      <c r="C476" t="s">
        <v>194</v>
      </c>
      <c r="D476">
        <v>1</v>
      </c>
      <c r="E476" t="s">
        <v>107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348</v>
      </c>
      <c r="L476" t="s">
        <v>343</v>
      </c>
      <c r="M476">
        <v>33</v>
      </c>
      <c r="N476">
        <v>14796</v>
      </c>
      <c r="O476" t="s">
        <v>52</v>
      </c>
      <c r="P476" t="s">
        <v>52</v>
      </c>
      <c r="Q476" t="s">
        <v>197</v>
      </c>
      <c r="R476" t="s">
        <v>53</v>
      </c>
      <c r="S476" t="s">
        <v>116</v>
      </c>
      <c r="T476" t="s">
        <v>198</v>
      </c>
      <c r="U476" t="s">
        <v>108</v>
      </c>
    </row>
    <row r="477" spans="1:21" x14ac:dyDescent="0.3">
      <c r="A477" t="s">
        <v>341</v>
      </c>
      <c r="B477" t="s">
        <v>341</v>
      </c>
      <c r="C477" t="s">
        <v>194</v>
      </c>
      <c r="D477">
        <v>1</v>
      </c>
      <c r="E477" t="s">
        <v>107</v>
      </c>
      <c r="F477">
        <v>1</v>
      </c>
      <c r="G477">
        <v>7664</v>
      </c>
      <c r="H477">
        <v>7664</v>
      </c>
      <c r="I477" t="s">
        <v>117</v>
      </c>
      <c r="J477" t="s">
        <v>51</v>
      </c>
      <c r="K477" t="s">
        <v>349</v>
      </c>
      <c r="L477" t="s">
        <v>345</v>
      </c>
      <c r="M477">
        <v>33</v>
      </c>
      <c r="O477" t="s">
        <v>52</v>
      </c>
      <c r="P477" t="s">
        <v>52</v>
      </c>
      <c r="Q477" t="s">
        <v>197</v>
      </c>
      <c r="R477" t="s">
        <v>53</v>
      </c>
      <c r="S477" t="s">
        <v>116</v>
      </c>
      <c r="T477" t="s">
        <v>198</v>
      </c>
      <c r="U477" t="s">
        <v>108</v>
      </c>
    </row>
    <row r="478" spans="1:21" x14ac:dyDescent="0.3">
      <c r="A478" t="s">
        <v>341</v>
      </c>
      <c r="B478" t="s">
        <v>341</v>
      </c>
      <c r="C478" t="s">
        <v>194</v>
      </c>
      <c r="D478">
        <v>2</v>
      </c>
      <c r="E478" t="s">
        <v>118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342</v>
      </c>
      <c r="L478" t="s">
        <v>343</v>
      </c>
      <c r="M478">
        <v>33</v>
      </c>
      <c r="N478">
        <v>14796</v>
      </c>
      <c r="O478" t="s">
        <v>52</v>
      </c>
      <c r="P478" t="s">
        <v>52</v>
      </c>
      <c r="Q478" t="s">
        <v>197</v>
      </c>
      <c r="R478" t="s">
        <v>53</v>
      </c>
      <c r="S478" t="s">
        <v>116</v>
      </c>
      <c r="T478" t="s">
        <v>198</v>
      </c>
      <c r="U478" t="s">
        <v>108</v>
      </c>
    </row>
    <row r="479" spans="1:21" x14ac:dyDescent="0.3">
      <c r="A479" t="s">
        <v>341</v>
      </c>
      <c r="B479" t="s">
        <v>341</v>
      </c>
      <c r="C479" t="s">
        <v>194</v>
      </c>
      <c r="D479">
        <v>2</v>
      </c>
      <c r="E479" t="s">
        <v>118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348</v>
      </c>
      <c r="L479" t="s">
        <v>343</v>
      </c>
      <c r="M479">
        <v>33</v>
      </c>
      <c r="N479">
        <v>14796</v>
      </c>
      <c r="O479" t="s">
        <v>52</v>
      </c>
      <c r="P479" t="s">
        <v>52</v>
      </c>
      <c r="Q479" t="s">
        <v>197</v>
      </c>
      <c r="R479" t="s">
        <v>53</v>
      </c>
      <c r="S479" t="s">
        <v>116</v>
      </c>
      <c r="T479" t="s">
        <v>198</v>
      </c>
      <c r="U479" t="s">
        <v>108</v>
      </c>
    </row>
    <row r="480" spans="1:21" x14ac:dyDescent="0.3">
      <c r="A480" t="s">
        <v>341</v>
      </c>
      <c r="B480" t="s">
        <v>341</v>
      </c>
      <c r="C480" t="s">
        <v>194</v>
      </c>
      <c r="D480">
        <v>2</v>
      </c>
      <c r="E480" t="s">
        <v>118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346</v>
      </c>
      <c r="L480" t="s">
        <v>343</v>
      </c>
      <c r="M480">
        <v>33</v>
      </c>
      <c r="N480">
        <v>14796</v>
      </c>
      <c r="O480" t="s">
        <v>52</v>
      </c>
      <c r="P480" t="s">
        <v>52</v>
      </c>
      <c r="Q480" t="s">
        <v>197</v>
      </c>
      <c r="R480" t="s">
        <v>53</v>
      </c>
      <c r="S480" t="s">
        <v>116</v>
      </c>
      <c r="T480" t="s">
        <v>198</v>
      </c>
      <c r="U480" t="s">
        <v>108</v>
      </c>
    </row>
    <row r="481" spans="1:21" x14ac:dyDescent="0.3">
      <c r="A481" t="s">
        <v>341</v>
      </c>
      <c r="B481" t="s">
        <v>341</v>
      </c>
      <c r="C481" t="s">
        <v>194</v>
      </c>
      <c r="D481">
        <v>2</v>
      </c>
      <c r="E481" t="s">
        <v>118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347</v>
      </c>
      <c r="L481" t="s">
        <v>343</v>
      </c>
      <c r="M481">
        <v>33</v>
      </c>
      <c r="N481">
        <v>14796</v>
      </c>
      <c r="O481" t="s">
        <v>52</v>
      </c>
      <c r="P481" t="s">
        <v>52</v>
      </c>
      <c r="Q481" t="s">
        <v>197</v>
      </c>
      <c r="R481" t="s">
        <v>53</v>
      </c>
      <c r="S481" t="s">
        <v>116</v>
      </c>
      <c r="T481" t="s">
        <v>198</v>
      </c>
      <c r="U481" t="s">
        <v>108</v>
      </c>
    </row>
    <row r="482" spans="1:21" x14ac:dyDescent="0.3">
      <c r="A482" t="s">
        <v>341</v>
      </c>
      <c r="B482" t="s">
        <v>341</v>
      </c>
      <c r="C482" t="s">
        <v>194</v>
      </c>
      <c r="D482">
        <v>2</v>
      </c>
      <c r="E482" t="s">
        <v>118</v>
      </c>
      <c r="F482">
        <v>1</v>
      </c>
      <c r="G482">
        <v>35</v>
      </c>
      <c r="H482">
        <v>35</v>
      </c>
      <c r="I482" t="s">
        <v>117</v>
      </c>
      <c r="J482" t="s">
        <v>51</v>
      </c>
      <c r="K482" t="s">
        <v>349</v>
      </c>
      <c r="L482" t="s">
        <v>345</v>
      </c>
      <c r="M482">
        <v>33</v>
      </c>
      <c r="O482" t="s">
        <v>52</v>
      </c>
      <c r="P482" t="s">
        <v>52</v>
      </c>
      <c r="Q482" t="s">
        <v>197</v>
      </c>
      <c r="R482" t="s">
        <v>53</v>
      </c>
      <c r="S482" t="s">
        <v>116</v>
      </c>
      <c r="T482" t="s">
        <v>198</v>
      </c>
      <c r="U482" t="s">
        <v>108</v>
      </c>
    </row>
    <row r="483" spans="1:21" x14ac:dyDescent="0.3">
      <c r="A483" t="s">
        <v>341</v>
      </c>
      <c r="B483" t="s">
        <v>341</v>
      </c>
      <c r="C483" t="s">
        <v>194</v>
      </c>
      <c r="D483">
        <v>3</v>
      </c>
      <c r="E483" t="s">
        <v>105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348</v>
      </c>
      <c r="L483" t="s">
        <v>343</v>
      </c>
      <c r="M483">
        <v>33</v>
      </c>
      <c r="N483">
        <v>14796</v>
      </c>
      <c r="O483" t="s">
        <v>52</v>
      </c>
      <c r="P483" t="s">
        <v>52</v>
      </c>
      <c r="Q483" t="s">
        <v>197</v>
      </c>
      <c r="R483" t="s">
        <v>53</v>
      </c>
      <c r="S483" t="s">
        <v>116</v>
      </c>
      <c r="T483" t="s">
        <v>198</v>
      </c>
      <c r="U483" t="s">
        <v>108</v>
      </c>
    </row>
    <row r="484" spans="1:21" x14ac:dyDescent="0.3">
      <c r="A484" t="s">
        <v>341</v>
      </c>
      <c r="B484" t="s">
        <v>341</v>
      </c>
      <c r="C484" t="s">
        <v>194</v>
      </c>
      <c r="D484">
        <v>3</v>
      </c>
      <c r="E484" t="s">
        <v>105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347</v>
      </c>
      <c r="L484" t="s">
        <v>343</v>
      </c>
      <c r="M484">
        <v>33</v>
      </c>
      <c r="N484">
        <v>14796</v>
      </c>
      <c r="O484" t="s">
        <v>52</v>
      </c>
      <c r="P484" t="s">
        <v>52</v>
      </c>
      <c r="Q484" t="s">
        <v>197</v>
      </c>
      <c r="R484" t="s">
        <v>53</v>
      </c>
      <c r="S484" t="s">
        <v>116</v>
      </c>
      <c r="T484" t="s">
        <v>198</v>
      </c>
      <c r="U484" t="s">
        <v>108</v>
      </c>
    </row>
    <row r="485" spans="1:21" x14ac:dyDescent="0.3">
      <c r="A485" t="s">
        <v>341</v>
      </c>
      <c r="B485" t="s">
        <v>341</v>
      </c>
      <c r="C485" t="s">
        <v>194</v>
      </c>
      <c r="D485">
        <v>3</v>
      </c>
      <c r="E485" t="s">
        <v>105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346</v>
      </c>
      <c r="L485" t="s">
        <v>343</v>
      </c>
      <c r="M485">
        <v>33</v>
      </c>
      <c r="N485">
        <v>14796</v>
      </c>
      <c r="O485" t="s">
        <v>52</v>
      </c>
      <c r="P485" t="s">
        <v>52</v>
      </c>
      <c r="Q485" t="s">
        <v>197</v>
      </c>
      <c r="R485" t="s">
        <v>53</v>
      </c>
      <c r="S485" t="s">
        <v>116</v>
      </c>
      <c r="T485" t="s">
        <v>198</v>
      </c>
      <c r="U485" t="s">
        <v>108</v>
      </c>
    </row>
    <row r="486" spans="1:21" x14ac:dyDescent="0.3">
      <c r="A486" t="s">
        <v>341</v>
      </c>
      <c r="B486" t="s">
        <v>341</v>
      </c>
      <c r="C486" t="s">
        <v>194</v>
      </c>
      <c r="D486">
        <v>3</v>
      </c>
      <c r="E486" t="s">
        <v>105</v>
      </c>
      <c r="F486">
        <v>1</v>
      </c>
      <c r="G486">
        <v>1075</v>
      </c>
      <c r="H486">
        <v>1075</v>
      </c>
      <c r="I486" t="s">
        <v>117</v>
      </c>
      <c r="J486" t="s">
        <v>51</v>
      </c>
      <c r="K486" t="s">
        <v>349</v>
      </c>
      <c r="L486" t="s">
        <v>345</v>
      </c>
      <c r="M486">
        <v>33</v>
      </c>
      <c r="O486" t="s">
        <v>52</v>
      </c>
      <c r="P486" t="s">
        <v>52</v>
      </c>
      <c r="Q486" t="s">
        <v>197</v>
      </c>
      <c r="R486" t="s">
        <v>53</v>
      </c>
      <c r="S486" t="s">
        <v>116</v>
      </c>
      <c r="T486" t="s">
        <v>198</v>
      </c>
      <c r="U486" t="s">
        <v>108</v>
      </c>
    </row>
    <row r="487" spans="1:21" x14ac:dyDescent="0.3">
      <c r="A487" t="s">
        <v>341</v>
      </c>
      <c r="B487" t="s">
        <v>341</v>
      </c>
      <c r="C487" t="s">
        <v>194</v>
      </c>
      <c r="D487">
        <v>3</v>
      </c>
      <c r="E487" t="s">
        <v>105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342</v>
      </c>
      <c r="L487" t="s">
        <v>343</v>
      </c>
      <c r="M487">
        <v>33</v>
      </c>
      <c r="N487">
        <v>14796</v>
      </c>
      <c r="O487" t="s">
        <v>52</v>
      </c>
      <c r="P487" t="s">
        <v>52</v>
      </c>
      <c r="Q487" t="s">
        <v>197</v>
      </c>
      <c r="R487" t="s">
        <v>53</v>
      </c>
      <c r="S487" t="s">
        <v>116</v>
      </c>
      <c r="T487" t="s">
        <v>198</v>
      </c>
      <c r="U487" t="s">
        <v>108</v>
      </c>
    </row>
    <row r="488" spans="1:21" x14ac:dyDescent="0.3">
      <c r="A488" t="s">
        <v>341</v>
      </c>
      <c r="B488" t="s">
        <v>341</v>
      </c>
      <c r="C488" t="s">
        <v>194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348</v>
      </c>
      <c r="L488" t="s">
        <v>343</v>
      </c>
      <c r="M488">
        <v>33</v>
      </c>
      <c r="N488">
        <v>14796</v>
      </c>
      <c r="O488" t="s">
        <v>52</v>
      </c>
      <c r="P488" t="s">
        <v>52</v>
      </c>
      <c r="Q488" t="s">
        <v>197</v>
      </c>
      <c r="R488" t="s">
        <v>53</v>
      </c>
      <c r="S488" t="s">
        <v>116</v>
      </c>
      <c r="T488" t="s">
        <v>198</v>
      </c>
      <c r="U488" t="s">
        <v>108</v>
      </c>
    </row>
    <row r="489" spans="1:21" x14ac:dyDescent="0.3">
      <c r="A489" t="s">
        <v>341</v>
      </c>
      <c r="B489" t="s">
        <v>341</v>
      </c>
      <c r="C489" t="s">
        <v>194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346</v>
      </c>
      <c r="L489" t="s">
        <v>343</v>
      </c>
      <c r="M489">
        <v>33</v>
      </c>
      <c r="N489">
        <v>14796</v>
      </c>
      <c r="O489" t="s">
        <v>52</v>
      </c>
      <c r="P489" t="s">
        <v>52</v>
      </c>
      <c r="Q489" t="s">
        <v>197</v>
      </c>
      <c r="R489" t="s">
        <v>53</v>
      </c>
      <c r="S489" t="s">
        <v>116</v>
      </c>
      <c r="T489" t="s">
        <v>198</v>
      </c>
      <c r="U489" t="s">
        <v>108</v>
      </c>
    </row>
    <row r="490" spans="1:21" x14ac:dyDescent="0.3">
      <c r="A490" t="s">
        <v>341</v>
      </c>
      <c r="B490" t="s">
        <v>341</v>
      </c>
      <c r="C490" t="s">
        <v>194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342</v>
      </c>
      <c r="L490" t="s">
        <v>343</v>
      </c>
      <c r="M490">
        <v>33</v>
      </c>
      <c r="N490">
        <v>14796</v>
      </c>
      <c r="O490" t="s">
        <v>52</v>
      </c>
      <c r="P490" t="s">
        <v>52</v>
      </c>
      <c r="Q490" t="s">
        <v>197</v>
      </c>
      <c r="R490" t="s">
        <v>53</v>
      </c>
      <c r="S490" t="s">
        <v>116</v>
      </c>
      <c r="T490" t="s">
        <v>198</v>
      </c>
      <c r="U490" t="s">
        <v>108</v>
      </c>
    </row>
    <row r="491" spans="1:21" x14ac:dyDescent="0.3">
      <c r="A491" t="s">
        <v>341</v>
      </c>
      <c r="B491" t="s">
        <v>341</v>
      </c>
      <c r="C491" t="s">
        <v>194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347</v>
      </c>
      <c r="L491" t="s">
        <v>343</v>
      </c>
      <c r="M491">
        <v>33</v>
      </c>
      <c r="N491">
        <v>14796</v>
      </c>
      <c r="O491" t="s">
        <v>52</v>
      </c>
      <c r="P491" t="s">
        <v>52</v>
      </c>
      <c r="Q491" t="s">
        <v>197</v>
      </c>
      <c r="R491" t="s">
        <v>53</v>
      </c>
      <c r="S491" t="s">
        <v>116</v>
      </c>
      <c r="T491" t="s">
        <v>198</v>
      </c>
      <c r="U491" t="s">
        <v>108</v>
      </c>
    </row>
    <row r="492" spans="1:21" x14ac:dyDescent="0.3">
      <c r="A492" t="s">
        <v>341</v>
      </c>
      <c r="B492" t="s">
        <v>341</v>
      </c>
      <c r="C492" t="s">
        <v>194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119</v>
      </c>
      <c r="J492" t="s">
        <v>58</v>
      </c>
      <c r="K492" t="s">
        <v>344</v>
      </c>
      <c r="L492" t="s">
        <v>345</v>
      </c>
      <c r="M492">
        <v>33</v>
      </c>
      <c r="O492" t="s">
        <v>52</v>
      </c>
      <c r="P492" t="s">
        <v>52</v>
      </c>
      <c r="Q492" t="s">
        <v>197</v>
      </c>
      <c r="R492" t="s">
        <v>53</v>
      </c>
      <c r="S492" t="s">
        <v>116</v>
      </c>
      <c r="T492" t="s">
        <v>198</v>
      </c>
      <c r="U492" t="s">
        <v>108</v>
      </c>
    </row>
    <row r="493" spans="1:21" x14ac:dyDescent="0.3">
      <c r="A493" t="s">
        <v>341</v>
      </c>
      <c r="B493" t="s">
        <v>341</v>
      </c>
      <c r="C493" t="s">
        <v>194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117</v>
      </c>
      <c r="J493" t="s">
        <v>51</v>
      </c>
      <c r="K493" t="s">
        <v>349</v>
      </c>
      <c r="L493" t="s">
        <v>345</v>
      </c>
      <c r="M493">
        <v>33</v>
      </c>
      <c r="O493" t="s">
        <v>52</v>
      </c>
      <c r="P493" t="s">
        <v>52</v>
      </c>
      <c r="Q493" t="s">
        <v>197</v>
      </c>
      <c r="R493" t="s">
        <v>53</v>
      </c>
      <c r="S493" t="s">
        <v>116</v>
      </c>
      <c r="T493" t="s">
        <v>198</v>
      </c>
      <c r="U493" t="s">
        <v>108</v>
      </c>
    </row>
    <row r="494" spans="1:21" x14ac:dyDescent="0.3">
      <c r="A494" t="s">
        <v>341</v>
      </c>
      <c r="B494" t="s">
        <v>341</v>
      </c>
      <c r="C494" t="s">
        <v>194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342</v>
      </c>
      <c r="L494" t="s">
        <v>343</v>
      </c>
      <c r="M494">
        <v>33</v>
      </c>
      <c r="N494">
        <v>14796</v>
      </c>
      <c r="O494" t="s">
        <v>52</v>
      </c>
      <c r="P494" t="s">
        <v>52</v>
      </c>
      <c r="Q494" t="s">
        <v>197</v>
      </c>
      <c r="R494" t="s">
        <v>53</v>
      </c>
      <c r="S494" t="s">
        <v>116</v>
      </c>
      <c r="T494" t="s">
        <v>198</v>
      </c>
      <c r="U494" t="s">
        <v>108</v>
      </c>
    </row>
    <row r="495" spans="1:21" x14ac:dyDescent="0.3">
      <c r="A495" t="s">
        <v>341</v>
      </c>
      <c r="B495" t="s">
        <v>341</v>
      </c>
      <c r="C495" t="s">
        <v>194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117</v>
      </c>
      <c r="J495" t="s">
        <v>51</v>
      </c>
      <c r="K495" t="s">
        <v>349</v>
      </c>
      <c r="L495" t="s">
        <v>345</v>
      </c>
      <c r="M495">
        <v>33</v>
      </c>
      <c r="O495" t="s">
        <v>52</v>
      </c>
      <c r="P495" t="s">
        <v>52</v>
      </c>
      <c r="Q495" t="s">
        <v>197</v>
      </c>
      <c r="R495" t="s">
        <v>53</v>
      </c>
      <c r="S495" t="s">
        <v>116</v>
      </c>
      <c r="T495" t="s">
        <v>198</v>
      </c>
      <c r="U495" t="s">
        <v>108</v>
      </c>
    </row>
    <row r="496" spans="1:21" x14ac:dyDescent="0.3">
      <c r="A496" t="s">
        <v>341</v>
      </c>
      <c r="B496" t="s">
        <v>341</v>
      </c>
      <c r="C496" t="s">
        <v>194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346</v>
      </c>
      <c r="L496" t="s">
        <v>343</v>
      </c>
      <c r="M496">
        <v>33</v>
      </c>
      <c r="N496">
        <v>14796</v>
      </c>
      <c r="O496" t="s">
        <v>52</v>
      </c>
      <c r="P496" t="s">
        <v>52</v>
      </c>
      <c r="Q496" t="s">
        <v>197</v>
      </c>
      <c r="R496" t="s">
        <v>53</v>
      </c>
      <c r="S496" t="s">
        <v>116</v>
      </c>
      <c r="T496" t="s">
        <v>198</v>
      </c>
      <c r="U496" t="s">
        <v>108</v>
      </c>
    </row>
    <row r="497" spans="1:21" x14ac:dyDescent="0.3">
      <c r="A497" t="s">
        <v>341</v>
      </c>
      <c r="B497" t="s">
        <v>341</v>
      </c>
      <c r="C497" t="s">
        <v>194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347</v>
      </c>
      <c r="L497" t="s">
        <v>343</v>
      </c>
      <c r="M497">
        <v>33</v>
      </c>
      <c r="N497">
        <v>14796</v>
      </c>
      <c r="O497" t="s">
        <v>52</v>
      </c>
      <c r="P497" t="s">
        <v>52</v>
      </c>
      <c r="Q497" t="s">
        <v>197</v>
      </c>
      <c r="R497" t="s">
        <v>53</v>
      </c>
      <c r="S497" t="s">
        <v>116</v>
      </c>
      <c r="T497" t="s">
        <v>198</v>
      </c>
      <c r="U497" t="s">
        <v>108</v>
      </c>
    </row>
    <row r="498" spans="1:21" x14ac:dyDescent="0.3">
      <c r="A498" t="s">
        <v>341</v>
      </c>
      <c r="B498" t="s">
        <v>341</v>
      </c>
      <c r="C498" t="s">
        <v>194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348</v>
      </c>
      <c r="L498" t="s">
        <v>343</v>
      </c>
      <c r="M498">
        <v>33</v>
      </c>
      <c r="N498">
        <v>14796</v>
      </c>
      <c r="O498" t="s">
        <v>52</v>
      </c>
      <c r="P498" t="s">
        <v>52</v>
      </c>
      <c r="Q498" t="s">
        <v>197</v>
      </c>
      <c r="R498" t="s">
        <v>53</v>
      </c>
      <c r="S498" t="s">
        <v>116</v>
      </c>
      <c r="T498" t="s">
        <v>198</v>
      </c>
      <c r="U498" t="s">
        <v>108</v>
      </c>
    </row>
    <row r="499" spans="1:21" x14ac:dyDescent="0.3">
      <c r="A499" t="s">
        <v>350</v>
      </c>
      <c r="B499" t="s">
        <v>350</v>
      </c>
      <c r="C499" t="s">
        <v>194</v>
      </c>
      <c r="D499">
        <v>1</v>
      </c>
      <c r="E499" t="s">
        <v>107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351</v>
      </c>
      <c r="L499" t="s">
        <v>352</v>
      </c>
      <c r="M499">
        <v>33</v>
      </c>
      <c r="N499">
        <v>15128</v>
      </c>
      <c r="O499" t="s">
        <v>52</v>
      </c>
      <c r="P499" t="s">
        <v>52</v>
      </c>
      <c r="Q499" t="s">
        <v>197</v>
      </c>
      <c r="R499" t="s">
        <v>53</v>
      </c>
      <c r="S499" t="s">
        <v>116</v>
      </c>
      <c r="T499" t="s">
        <v>198</v>
      </c>
      <c r="U499" t="s">
        <v>108</v>
      </c>
    </row>
    <row r="500" spans="1:21" x14ac:dyDescent="0.3">
      <c r="A500" t="s">
        <v>350</v>
      </c>
      <c r="B500" t="s">
        <v>350</v>
      </c>
      <c r="C500" t="s">
        <v>194</v>
      </c>
      <c r="D500">
        <v>1</v>
      </c>
      <c r="E500" t="s">
        <v>107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353</v>
      </c>
      <c r="L500" t="s">
        <v>352</v>
      </c>
      <c r="M500">
        <v>33</v>
      </c>
      <c r="N500">
        <v>15128</v>
      </c>
      <c r="O500" t="s">
        <v>52</v>
      </c>
      <c r="P500" t="s">
        <v>52</v>
      </c>
      <c r="Q500" t="s">
        <v>197</v>
      </c>
      <c r="R500" t="s">
        <v>53</v>
      </c>
      <c r="S500" t="s">
        <v>116</v>
      </c>
      <c r="T500" t="s">
        <v>198</v>
      </c>
      <c r="U500" t="s">
        <v>108</v>
      </c>
    </row>
    <row r="501" spans="1:21" x14ac:dyDescent="0.3">
      <c r="A501" t="s">
        <v>350</v>
      </c>
      <c r="B501" t="s">
        <v>350</v>
      </c>
      <c r="C501" t="s">
        <v>194</v>
      </c>
      <c r="D501">
        <v>1</v>
      </c>
      <c r="E501" t="s">
        <v>107</v>
      </c>
      <c r="F501">
        <v>1</v>
      </c>
      <c r="G501">
        <v>8</v>
      </c>
      <c r="H501">
        <v>8</v>
      </c>
      <c r="I501" t="s">
        <v>119</v>
      </c>
      <c r="J501" t="s">
        <v>58</v>
      </c>
      <c r="K501" t="s">
        <v>354</v>
      </c>
      <c r="L501" t="s">
        <v>355</v>
      </c>
      <c r="M501">
        <v>33</v>
      </c>
      <c r="O501" t="s">
        <v>52</v>
      </c>
      <c r="P501" t="s">
        <v>52</v>
      </c>
      <c r="Q501" t="s">
        <v>197</v>
      </c>
      <c r="R501" t="s">
        <v>53</v>
      </c>
      <c r="S501" t="s">
        <v>116</v>
      </c>
      <c r="T501" t="s">
        <v>198</v>
      </c>
      <c r="U501" t="s">
        <v>108</v>
      </c>
    </row>
    <row r="502" spans="1:21" x14ac:dyDescent="0.3">
      <c r="A502" t="s">
        <v>350</v>
      </c>
      <c r="B502" t="s">
        <v>350</v>
      </c>
      <c r="C502" t="s">
        <v>194</v>
      </c>
      <c r="D502">
        <v>1</v>
      </c>
      <c r="E502" t="s">
        <v>107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356</v>
      </c>
      <c r="L502" t="s">
        <v>352</v>
      </c>
      <c r="M502">
        <v>33</v>
      </c>
      <c r="N502">
        <v>15128</v>
      </c>
      <c r="O502" t="s">
        <v>52</v>
      </c>
      <c r="P502" t="s">
        <v>52</v>
      </c>
      <c r="Q502" t="s">
        <v>197</v>
      </c>
      <c r="R502" t="s">
        <v>53</v>
      </c>
      <c r="S502" t="s">
        <v>116</v>
      </c>
      <c r="T502" t="s">
        <v>198</v>
      </c>
      <c r="U502" t="s">
        <v>108</v>
      </c>
    </row>
    <row r="503" spans="1:21" x14ac:dyDescent="0.3">
      <c r="A503" t="s">
        <v>350</v>
      </c>
      <c r="B503" t="s">
        <v>350</v>
      </c>
      <c r="C503" t="s">
        <v>194</v>
      </c>
      <c r="D503">
        <v>1</v>
      </c>
      <c r="E503" t="s">
        <v>107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357</v>
      </c>
      <c r="L503" t="s">
        <v>352</v>
      </c>
      <c r="M503">
        <v>33</v>
      </c>
      <c r="N503">
        <v>15128</v>
      </c>
      <c r="O503" t="s">
        <v>52</v>
      </c>
      <c r="P503" t="s">
        <v>52</v>
      </c>
      <c r="Q503" t="s">
        <v>197</v>
      </c>
      <c r="R503" t="s">
        <v>53</v>
      </c>
      <c r="S503" t="s">
        <v>116</v>
      </c>
      <c r="T503" t="s">
        <v>198</v>
      </c>
      <c r="U503" t="s">
        <v>108</v>
      </c>
    </row>
    <row r="504" spans="1:21" x14ac:dyDescent="0.3">
      <c r="A504" t="s">
        <v>350</v>
      </c>
      <c r="B504" t="s">
        <v>350</v>
      </c>
      <c r="C504" t="s">
        <v>194</v>
      </c>
      <c r="D504">
        <v>1</v>
      </c>
      <c r="E504" t="s">
        <v>107</v>
      </c>
      <c r="F504">
        <v>1</v>
      </c>
      <c r="G504">
        <v>689</v>
      </c>
      <c r="H504">
        <v>689</v>
      </c>
      <c r="I504" t="s">
        <v>117</v>
      </c>
      <c r="J504" t="s">
        <v>51</v>
      </c>
      <c r="K504" t="s">
        <v>358</v>
      </c>
      <c r="L504" t="s">
        <v>355</v>
      </c>
      <c r="M504">
        <v>33</v>
      </c>
      <c r="O504" t="s">
        <v>52</v>
      </c>
      <c r="P504" t="s">
        <v>52</v>
      </c>
      <c r="Q504" t="s">
        <v>197</v>
      </c>
      <c r="R504" t="s">
        <v>53</v>
      </c>
      <c r="S504" t="s">
        <v>116</v>
      </c>
      <c r="T504" t="s">
        <v>198</v>
      </c>
      <c r="U504" t="s">
        <v>108</v>
      </c>
    </row>
    <row r="505" spans="1:21" x14ac:dyDescent="0.3">
      <c r="A505" t="s">
        <v>350</v>
      </c>
      <c r="B505" t="s">
        <v>350</v>
      </c>
      <c r="C505" t="s">
        <v>194</v>
      </c>
      <c r="D505">
        <v>2</v>
      </c>
      <c r="E505" t="s">
        <v>118</v>
      </c>
      <c r="F505">
        <v>1</v>
      </c>
      <c r="G505">
        <v>2</v>
      </c>
      <c r="H505">
        <v>2</v>
      </c>
      <c r="I505" t="s">
        <v>117</v>
      </c>
      <c r="J505" t="s">
        <v>51</v>
      </c>
      <c r="K505" t="s">
        <v>358</v>
      </c>
      <c r="L505" t="s">
        <v>355</v>
      </c>
      <c r="M505">
        <v>33</v>
      </c>
      <c r="O505" t="s">
        <v>52</v>
      </c>
      <c r="P505" t="s">
        <v>52</v>
      </c>
      <c r="Q505" t="s">
        <v>197</v>
      </c>
      <c r="R505" t="s">
        <v>53</v>
      </c>
      <c r="S505" t="s">
        <v>116</v>
      </c>
      <c r="T505" t="s">
        <v>198</v>
      </c>
      <c r="U505" t="s">
        <v>108</v>
      </c>
    </row>
    <row r="506" spans="1:21" x14ac:dyDescent="0.3">
      <c r="A506" t="s">
        <v>350</v>
      </c>
      <c r="B506" t="s">
        <v>350</v>
      </c>
      <c r="C506" t="s">
        <v>194</v>
      </c>
      <c r="D506">
        <v>2</v>
      </c>
      <c r="E506" t="s">
        <v>118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357</v>
      </c>
      <c r="L506" t="s">
        <v>352</v>
      </c>
      <c r="M506">
        <v>33</v>
      </c>
      <c r="N506">
        <v>15128</v>
      </c>
      <c r="O506" t="s">
        <v>52</v>
      </c>
      <c r="P506" t="s">
        <v>52</v>
      </c>
      <c r="Q506" t="s">
        <v>197</v>
      </c>
      <c r="R506" t="s">
        <v>53</v>
      </c>
      <c r="S506" t="s">
        <v>116</v>
      </c>
      <c r="T506" t="s">
        <v>198</v>
      </c>
      <c r="U506" t="s">
        <v>108</v>
      </c>
    </row>
    <row r="507" spans="1:21" x14ac:dyDescent="0.3">
      <c r="A507" t="s">
        <v>350</v>
      </c>
      <c r="B507" t="s">
        <v>350</v>
      </c>
      <c r="C507" t="s">
        <v>194</v>
      </c>
      <c r="D507">
        <v>2</v>
      </c>
      <c r="E507" t="s">
        <v>118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356</v>
      </c>
      <c r="L507" t="s">
        <v>352</v>
      </c>
      <c r="M507">
        <v>33</v>
      </c>
      <c r="N507">
        <v>15128</v>
      </c>
      <c r="O507" t="s">
        <v>52</v>
      </c>
      <c r="P507" t="s">
        <v>52</v>
      </c>
      <c r="Q507" t="s">
        <v>197</v>
      </c>
      <c r="R507" t="s">
        <v>53</v>
      </c>
      <c r="S507" t="s">
        <v>116</v>
      </c>
      <c r="T507" t="s">
        <v>198</v>
      </c>
      <c r="U507" t="s">
        <v>108</v>
      </c>
    </row>
    <row r="508" spans="1:21" x14ac:dyDescent="0.3">
      <c r="A508" t="s">
        <v>350</v>
      </c>
      <c r="B508" t="s">
        <v>350</v>
      </c>
      <c r="C508" t="s">
        <v>194</v>
      </c>
      <c r="D508">
        <v>2</v>
      </c>
      <c r="E508" t="s">
        <v>118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351</v>
      </c>
      <c r="L508" t="s">
        <v>352</v>
      </c>
      <c r="M508">
        <v>33</v>
      </c>
      <c r="N508">
        <v>15128</v>
      </c>
      <c r="O508" t="s">
        <v>52</v>
      </c>
      <c r="P508" t="s">
        <v>52</v>
      </c>
      <c r="Q508" t="s">
        <v>197</v>
      </c>
      <c r="R508" t="s">
        <v>53</v>
      </c>
      <c r="S508" t="s">
        <v>116</v>
      </c>
      <c r="T508" t="s">
        <v>198</v>
      </c>
      <c r="U508" t="s">
        <v>108</v>
      </c>
    </row>
    <row r="509" spans="1:21" x14ac:dyDescent="0.3">
      <c r="A509" t="s">
        <v>350</v>
      </c>
      <c r="B509" t="s">
        <v>350</v>
      </c>
      <c r="C509" t="s">
        <v>194</v>
      </c>
      <c r="D509">
        <v>2</v>
      </c>
      <c r="E509" t="s">
        <v>118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353</v>
      </c>
      <c r="L509" t="s">
        <v>352</v>
      </c>
      <c r="M509">
        <v>33</v>
      </c>
      <c r="N509">
        <v>15128</v>
      </c>
      <c r="O509" t="s">
        <v>52</v>
      </c>
      <c r="P509" t="s">
        <v>52</v>
      </c>
      <c r="Q509" t="s">
        <v>197</v>
      </c>
      <c r="R509" t="s">
        <v>53</v>
      </c>
      <c r="S509" t="s">
        <v>116</v>
      </c>
      <c r="T509" t="s">
        <v>198</v>
      </c>
      <c r="U509" t="s">
        <v>108</v>
      </c>
    </row>
    <row r="510" spans="1:21" x14ac:dyDescent="0.3">
      <c r="A510" t="s">
        <v>350</v>
      </c>
      <c r="B510" t="s">
        <v>350</v>
      </c>
      <c r="C510" t="s">
        <v>194</v>
      </c>
      <c r="D510">
        <v>3</v>
      </c>
      <c r="E510" t="s">
        <v>105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357</v>
      </c>
      <c r="L510" t="s">
        <v>352</v>
      </c>
      <c r="M510">
        <v>33</v>
      </c>
      <c r="N510">
        <v>15128</v>
      </c>
      <c r="O510" t="s">
        <v>52</v>
      </c>
      <c r="P510" t="s">
        <v>52</v>
      </c>
      <c r="Q510" t="s">
        <v>197</v>
      </c>
      <c r="R510" t="s">
        <v>53</v>
      </c>
      <c r="S510" t="s">
        <v>116</v>
      </c>
      <c r="T510" t="s">
        <v>198</v>
      </c>
      <c r="U510" t="s">
        <v>108</v>
      </c>
    </row>
    <row r="511" spans="1:21" x14ac:dyDescent="0.3">
      <c r="A511" t="s">
        <v>350</v>
      </c>
      <c r="B511" t="s">
        <v>350</v>
      </c>
      <c r="C511" t="s">
        <v>194</v>
      </c>
      <c r="D511">
        <v>3</v>
      </c>
      <c r="E511" t="s">
        <v>105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356</v>
      </c>
      <c r="L511" t="s">
        <v>352</v>
      </c>
      <c r="M511">
        <v>33</v>
      </c>
      <c r="N511">
        <v>15128</v>
      </c>
      <c r="O511" t="s">
        <v>52</v>
      </c>
      <c r="P511" t="s">
        <v>52</v>
      </c>
      <c r="Q511" t="s">
        <v>197</v>
      </c>
      <c r="R511" t="s">
        <v>53</v>
      </c>
      <c r="S511" t="s">
        <v>116</v>
      </c>
      <c r="T511" t="s">
        <v>198</v>
      </c>
      <c r="U511" t="s">
        <v>108</v>
      </c>
    </row>
    <row r="512" spans="1:21" x14ac:dyDescent="0.3">
      <c r="A512" t="s">
        <v>350</v>
      </c>
      <c r="B512" t="s">
        <v>350</v>
      </c>
      <c r="C512" t="s">
        <v>194</v>
      </c>
      <c r="D512">
        <v>3</v>
      </c>
      <c r="E512" t="s">
        <v>105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353</v>
      </c>
      <c r="L512" t="s">
        <v>352</v>
      </c>
      <c r="M512">
        <v>33</v>
      </c>
      <c r="N512">
        <v>15128</v>
      </c>
      <c r="O512" t="s">
        <v>52</v>
      </c>
      <c r="P512" t="s">
        <v>52</v>
      </c>
      <c r="Q512" t="s">
        <v>197</v>
      </c>
      <c r="R512" t="s">
        <v>53</v>
      </c>
      <c r="S512" t="s">
        <v>116</v>
      </c>
      <c r="T512" t="s">
        <v>198</v>
      </c>
      <c r="U512" t="s">
        <v>108</v>
      </c>
    </row>
    <row r="513" spans="1:21" x14ac:dyDescent="0.3">
      <c r="A513" t="s">
        <v>350</v>
      </c>
      <c r="B513" t="s">
        <v>350</v>
      </c>
      <c r="C513" t="s">
        <v>194</v>
      </c>
      <c r="D513">
        <v>3</v>
      </c>
      <c r="E513" t="s">
        <v>105</v>
      </c>
      <c r="F513">
        <v>1</v>
      </c>
      <c r="G513">
        <v>2</v>
      </c>
      <c r="H513">
        <v>2</v>
      </c>
      <c r="I513" t="s">
        <v>119</v>
      </c>
      <c r="J513" t="s">
        <v>58</v>
      </c>
      <c r="K513" t="s">
        <v>354</v>
      </c>
      <c r="L513" t="s">
        <v>355</v>
      </c>
      <c r="M513">
        <v>33</v>
      </c>
      <c r="O513" t="s">
        <v>52</v>
      </c>
      <c r="P513" t="s">
        <v>52</v>
      </c>
      <c r="Q513" t="s">
        <v>197</v>
      </c>
      <c r="R513" t="s">
        <v>53</v>
      </c>
      <c r="S513" t="s">
        <v>116</v>
      </c>
      <c r="T513" t="s">
        <v>198</v>
      </c>
      <c r="U513" t="s">
        <v>108</v>
      </c>
    </row>
    <row r="514" spans="1:21" x14ac:dyDescent="0.3">
      <c r="A514" t="s">
        <v>350</v>
      </c>
      <c r="B514" t="s">
        <v>350</v>
      </c>
      <c r="C514" t="s">
        <v>194</v>
      </c>
      <c r="D514">
        <v>3</v>
      </c>
      <c r="E514" t="s">
        <v>105</v>
      </c>
      <c r="F514">
        <v>1</v>
      </c>
      <c r="G514">
        <v>99</v>
      </c>
      <c r="H514">
        <v>99</v>
      </c>
      <c r="I514" t="s">
        <v>117</v>
      </c>
      <c r="J514" t="s">
        <v>51</v>
      </c>
      <c r="K514" t="s">
        <v>358</v>
      </c>
      <c r="L514" t="s">
        <v>355</v>
      </c>
      <c r="M514">
        <v>33</v>
      </c>
      <c r="O514" t="s">
        <v>52</v>
      </c>
      <c r="P514" t="s">
        <v>52</v>
      </c>
      <c r="Q514" t="s">
        <v>197</v>
      </c>
      <c r="R514" t="s">
        <v>53</v>
      </c>
      <c r="S514" t="s">
        <v>116</v>
      </c>
      <c r="T514" t="s">
        <v>198</v>
      </c>
      <c r="U514" t="s">
        <v>108</v>
      </c>
    </row>
    <row r="515" spans="1:21" x14ac:dyDescent="0.3">
      <c r="A515" t="s">
        <v>350</v>
      </c>
      <c r="B515" t="s">
        <v>350</v>
      </c>
      <c r="C515" t="s">
        <v>194</v>
      </c>
      <c r="D515">
        <v>3</v>
      </c>
      <c r="E515" t="s">
        <v>105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351</v>
      </c>
      <c r="L515" t="s">
        <v>352</v>
      </c>
      <c r="M515">
        <v>33</v>
      </c>
      <c r="N515">
        <v>15128</v>
      </c>
      <c r="O515" t="s">
        <v>52</v>
      </c>
      <c r="P515" t="s">
        <v>52</v>
      </c>
      <c r="Q515" t="s">
        <v>197</v>
      </c>
      <c r="R515" t="s">
        <v>53</v>
      </c>
      <c r="S515" t="s">
        <v>116</v>
      </c>
      <c r="T515" t="s">
        <v>198</v>
      </c>
      <c r="U515" t="s">
        <v>108</v>
      </c>
    </row>
    <row r="516" spans="1:21" x14ac:dyDescent="0.3">
      <c r="A516" t="s">
        <v>350</v>
      </c>
      <c r="B516" t="s">
        <v>350</v>
      </c>
      <c r="C516" t="s">
        <v>194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356</v>
      </c>
      <c r="L516" t="s">
        <v>352</v>
      </c>
      <c r="M516">
        <v>33</v>
      </c>
      <c r="N516">
        <v>15128</v>
      </c>
      <c r="O516" t="s">
        <v>52</v>
      </c>
      <c r="P516" t="s">
        <v>52</v>
      </c>
      <c r="Q516" t="s">
        <v>197</v>
      </c>
      <c r="R516" t="s">
        <v>53</v>
      </c>
      <c r="S516" t="s">
        <v>116</v>
      </c>
      <c r="T516" t="s">
        <v>198</v>
      </c>
      <c r="U516" t="s">
        <v>108</v>
      </c>
    </row>
    <row r="517" spans="1:21" x14ac:dyDescent="0.3">
      <c r="A517" t="s">
        <v>350</v>
      </c>
      <c r="B517" t="s">
        <v>350</v>
      </c>
      <c r="C517" t="s">
        <v>194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353</v>
      </c>
      <c r="L517" t="s">
        <v>352</v>
      </c>
      <c r="M517">
        <v>33</v>
      </c>
      <c r="N517">
        <v>15128</v>
      </c>
      <c r="O517" t="s">
        <v>52</v>
      </c>
      <c r="P517" t="s">
        <v>52</v>
      </c>
      <c r="Q517" t="s">
        <v>197</v>
      </c>
      <c r="R517" t="s">
        <v>53</v>
      </c>
      <c r="S517" t="s">
        <v>116</v>
      </c>
      <c r="T517" t="s">
        <v>198</v>
      </c>
      <c r="U517" t="s">
        <v>108</v>
      </c>
    </row>
    <row r="518" spans="1:21" x14ac:dyDescent="0.3">
      <c r="A518" t="s">
        <v>350</v>
      </c>
      <c r="B518" t="s">
        <v>350</v>
      </c>
      <c r="C518" t="s">
        <v>194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119</v>
      </c>
      <c r="J518" t="s">
        <v>58</v>
      </c>
      <c r="K518" t="s">
        <v>354</v>
      </c>
      <c r="L518" t="s">
        <v>355</v>
      </c>
      <c r="M518">
        <v>33</v>
      </c>
      <c r="O518" t="s">
        <v>52</v>
      </c>
      <c r="P518" t="s">
        <v>52</v>
      </c>
      <c r="Q518" t="s">
        <v>197</v>
      </c>
      <c r="R518" t="s">
        <v>53</v>
      </c>
      <c r="S518" t="s">
        <v>116</v>
      </c>
      <c r="T518" t="s">
        <v>198</v>
      </c>
      <c r="U518" t="s">
        <v>108</v>
      </c>
    </row>
    <row r="519" spans="1:21" x14ac:dyDescent="0.3">
      <c r="A519" t="s">
        <v>350</v>
      </c>
      <c r="B519" t="s">
        <v>350</v>
      </c>
      <c r="C519" t="s">
        <v>194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357</v>
      </c>
      <c r="L519" t="s">
        <v>352</v>
      </c>
      <c r="M519">
        <v>33</v>
      </c>
      <c r="N519">
        <v>15128</v>
      </c>
      <c r="O519" t="s">
        <v>52</v>
      </c>
      <c r="P519" t="s">
        <v>52</v>
      </c>
      <c r="Q519" t="s">
        <v>197</v>
      </c>
      <c r="R519" t="s">
        <v>53</v>
      </c>
      <c r="S519" t="s">
        <v>116</v>
      </c>
      <c r="T519" t="s">
        <v>198</v>
      </c>
      <c r="U519" t="s">
        <v>108</v>
      </c>
    </row>
    <row r="520" spans="1:21" x14ac:dyDescent="0.3">
      <c r="A520" t="s">
        <v>350</v>
      </c>
      <c r="B520" t="s">
        <v>350</v>
      </c>
      <c r="C520" t="s">
        <v>194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117</v>
      </c>
      <c r="J520" t="s">
        <v>51</v>
      </c>
      <c r="K520" t="s">
        <v>358</v>
      </c>
      <c r="L520" t="s">
        <v>355</v>
      </c>
      <c r="M520">
        <v>33</v>
      </c>
      <c r="O520" t="s">
        <v>52</v>
      </c>
      <c r="P520" t="s">
        <v>52</v>
      </c>
      <c r="Q520" t="s">
        <v>197</v>
      </c>
      <c r="R520" t="s">
        <v>53</v>
      </c>
      <c r="S520" t="s">
        <v>116</v>
      </c>
      <c r="T520" t="s">
        <v>198</v>
      </c>
      <c r="U520" t="s">
        <v>108</v>
      </c>
    </row>
    <row r="521" spans="1:21" x14ac:dyDescent="0.3">
      <c r="A521" t="s">
        <v>350</v>
      </c>
      <c r="B521" t="s">
        <v>350</v>
      </c>
      <c r="C521" t="s">
        <v>194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351</v>
      </c>
      <c r="L521" t="s">
        <v>352</v>
      </c>
      <c r="M521">
        <v>33</v>
      </c>
      <c r="N521">
        <v>15128</v>
      </c>
      <c r="O521" t="s">
        <v>52</v>
      </c>
      <c r="P521" t="s">
        <v>52</v>
      </c>
      <c r="Q521" t="s">
        <v>197</v>
      </c>
      <c r="R521" t="s">
        <v>53</v>
      </c>
      <c r="S521" t="s">
        <v>116</v>
      </c>
      <c r="T521" t="s">
        <v>198</v>
      </c>
      <c r="U521" t="s">
        <v>108</v>
      </c>
    </row>
    <row r="522" spans="1:21" x14ac:dyDescent="0.3">
      <c r="A522" t="s">
        <v>350</v>
      </c>
      <c r="B522" t="s">
        <v>350</v>
      </c>
      <c r="C522" t="s">
        <v>194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357</v>
      </c>
      <c r="L522" t="s">
        <v>352</v>
      </c>
      <c r="M522">
        <v>33</v>
      </c>
      <c r="N522">
        <v>15128</v>
      </c>
      <c r="O522" t="s">
        <v>52</v>
      </c>
      <c r="P522" t="s">
        <v>52</v>
      </c>
      <c r="Q522" t="s">
        <v>197</v>
      </c>
      <c r="R522" t="s">
        <v>53</v>
      </c>
      <c r="S522" t="s">
        <v>116</v>
      </c>
      <c r="T522" t="s">
        <v>198</v>
      </c>
      <c r="U522" t="s">
        <v>108</v>
      </c>
    </row>
    <row r="523" spans="1:21" x14ac:dyDescent="0.3">
      <c r="A523" t="s">
        <v>350</v>
      </c>
      <c r="B523" t="s">
        <v>350</v>
      </c>
      <c r="C523" t="s">
        <v>194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117</v>
      </c>
      <c r="J523" t="s">
        <v>51</v>
      </c>
      <c r="K523" t="s">
        <v>358</v>
      </c>
      <c r="L523" t="s">
        <v>355</v>
      </c>
      <c r="M523">
        <v>33</v>
      </c>
      <c r="O523" t="s">
        <v>52</v>
      </c>
      <c r="P523" t="s">
        <v>52</v>
      </c>
      <c r="Q523" t="s">
        <v>197</v>
      </c>
      <c r="R523" t="s">
        <v>53</v>
      </c>
      <c r="S523" t="s">
        <v>116</v>
      </c>
      <c r="T523" t="s">
        <v>198</v>
      </c>
      <c r="U523" t="s">
        <v>108</v>
      </c>
    </row>
    <row r="524" spans="1:21" x14ac:dyDescent="0.3">
      <c r="A524" t="s">
        <v>350</v>
      </c>
      <c r="B524" t="s">
        <v>350</v>
      </c>
      <c r="C524" t="s">
        <v>194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353</v>
      </c>
      <c r="L524" t="s">
        <v>352</v>
      </c>
      <c r="M524">
        <v>33</v>
      </c>
      <c r="N524">
        <v>15128</v>
      </c>
      <c r="O524" t="s">
        <v>52</v>
      </c>
      <c r="P524" t="s">
        <v>52</v>
      </c>
      <c r="Q524" t="s">
        <v>197</v>
      </c>
      <c r="R524" t="s">
        <v>53</v>
      </c>
      <c r="S524" t="s">
        <v>116</v>
      </c>
      <c r="T524" t="s">
        <v>198</v>
      </c>
      <c r="U524" t="s">
        <v>108</v>
      </c>
    </row>
    <row r="525" spans="1:21" x14ac:dyDescent="0.3">
      <c r="A525" t="s">
        <v>350</v>
      </c>
      <c r="B525" t="s">
        <v>350</v>
      </c>
      <c r="C525" t="s">
        <v>194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351</v>
      </c>
      <c r="L525" t="s">
        <v>352</v>
      </c>
      <c r="M525">
        <v>33</v>
      </c>
      <c r="N525">
        <v>15128</v>
      </c>
      <c r="O525" t="s">
        <v>52</v>
      </c>
      <c r="P525" t="s">
        <v>52</v>
      </c>
      <c r="Q525" t="s">
        <v>197</v>
      </c>
      <c r="R525" t="s">
        <v>53</v>
      </c>
      <c r="S525" t="s">
        <v>116</v>
      </c>
      <c r="T525" t="s">
        <v>198</v>
      </c>
      <c r="U525" t="s">
        <v>108</v>
      </c>
    </row>
    <row r="526" spans="1:21" x14ac:dyDescent="0.3">
      <c r="A526" t="s">
        <v>350</v>
      </c>
      <c r="B526" t="s">
        <v>350</v>
      </c>
      <c r="C526" t="s">
        <v>194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356</v>
      </c>
      <c r="L526" t="s">
        <v>352</v>
      </c>
      <c r="M526">
        <v>33</v>
      </c>
      <c r="N526">
        <v>15128</v>
      </c>
      <c r="O526" t="s">
        <v>52</v>
      </c>
      <c r="P526" t="s">
        <v>52</v>
      </c>
      <c r="Q526" t="s">
        <v>197</v>
      </c>
      <c r="R526" t="s">
        <v>53</v>
      </c>
      <c r="S526" t="s">
        <v>116</v>
      </c>
      <c r="T526" t="s">
        <v>198</v>
      </c>
      <c r="U526" t="s">
        <v>108</v>
      </c>
    </row>
    <row r="527" spans="1:21" x14ac:dyDescent="0.3">
      <c r="A527" t="s">
        <v>359</v>
      </c>
      <c r="B527" t="s">
        <v>359</v>
      </c>
      <c r="C527" t="s">
        <v>194</v>
      </c>
      <c r="D527">
        <v>1</v>
      </c>
      <c r="E527" t="s">
        <v>107</v>
      </c>
      <c r="F527">
        <v>1</v>
      </c>
      <c r="G527">
        <v>-323</v>
      </c>
      <c r="H527">
        <v>-323</v>
      </c>
      <c r="I527" t="s">
        <v>117</v>
      </c>
      <c r="J527" t="s">
        <v>51</v>
      </c>
      <c r="K527" t="s">
        <v>360</v>
      </c>
      <c r="L527" t="s">
        <v>361</v>
      </c>
      <c r="M527">
        <v>61</v>
      </c>
      <c r="O527" t="s">
        <v>52</v>
      </c>
      <c r="P527" t="s">
        <v>52</v>
      </c>
      <c r="Q527" t="s">
        <v>197</v>
      </c>
      <c r="R527" t="s">
        <v>53</v>
      </c>
      <c r="S527" t="s">
        <v>116</v>
      </c>
      <c r="T527" t="s">
        <v>198</v>
      </c>
      <c r="U527" t="s">
        <v>108</v>
      </c>
    </row>
    <row r="528" spans="1:21" x14ac:dyDescent="0.3">
      <c r="A528" t="s">
        <v>359</v>
      </c>
      <c r="B528" t="s">
        <v>359</v>
      </c>
      <c r="C528" t="s">
        <v>194</v>
      </c>
      <c r="D528">
        <v>1</v>
      </c>
      <c r="E528" t="s">
        <v>107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362</v>
      </c>
      <c r="L528" t="s">
        <v>363</v>
      </c>
      <c r="M528">
        <v>33</v>
      </c>
      <c r="N528">
        <v>15552</v>
      </c>
      <c r="O528" t="s">
        <v>52</v>
      </c>
      <c r="P528" t="s">
        <v>52</v>
      </c>
      <c r="Q528" t="s">
        <v>197</v>
      </c>
      <c r="R528" t="s">
        <v>53</v>
      </c>
      <c r="S528" t="s">
        <v>116</v>
      </c>
      <c r="T528" t="s">
        <v>198</v>
      </c>
      <c r="U528" t="s">
        <v>108</v>
      </c>
    </row>
    <row r="529" spans="1:21" x14ac:dyDescent="0.3">
      <c r="A529" t="s">
        <v>359</v>
      </c>
      <c r="B529" t="s">
        <v>359</v>
      </c>
      <c r="C529" t="s">
        <v>194</v>
      </c>
      <c r="D529">
        <v>1</v>
      </c>
      <c r="E529" t="s">
        <v>107</v>
      </c>
      <c r="F529">
        <v>1</v>
      </c>
      <c r="G529">
        <v>-5</v>
      </c>
      <c r="H529">
        <v>-5</v>
      </c>
      <c r="I529" t="s">
        <v>119</v>
      </c>
      <c r="J529" t="s">
        <v>58</v>
      </c>
      <c r="K529" t="s">
        <v>364</v>
      </c>
      <c r="L529" t="s">
        <v>361</v>
      </c>
      <c r="M529">
        <v>61</v>
      </c>
      <c r="O529" t="s">
        <v>52</v>
      </c>
      <c r="P529" t="s">
        <v>52</v>
      </c>
      <c r="Q529" t="s">
        <v>197</v>
      </c>
      <c r="R529" t="s">
        <v>53</v>
      </c>
      <c r="S529" t="s">
        <v>116</v>
      </c>
      <c r="T529" t="s">
        <v>198</v>
      </c>
      <c r="U529" t="s">
        <v>108</v>
      </c>
    </row>
    <row r="530" spans="1:21" x14ac:dyDescent="0.3">
      <c r="A530" t="s">
        <v>359</v>
      </c>
      <c r="B530" t="s">
        <v>359</v>
      </c>
      <c r="C530" t="s">
        <v>194</v>
      </c>
      <c r="D530">
        <v>1</v>
      </c>
      <c r="E530" t="s">
        <v>107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365</v>
      </c>
      <c r="L530" t="s">
        <v>363</v>
      </c>
      <c r="M530">
        <v>33</v>
      </c>
      <c r="N530">
        <v>15552</v>
      </c>
      <c r="O530" t="s">
        <v>52</v>
      </c>
      <c r="P530" t="s">
        <v>52</v>
      </c>
      <c r="Q530" t="s">
        <v>197</v>
      </c>
      <c r="R530" t="s">
        <v>53</v>
      </c>
      <c r="S530" t="s">
        <v>116</v>
      </c>
      <c r="T530" t="s">
        <v>198</v>
      </c>
      <c r="U530" t="s">
        <v>108</v>
      </c>
    </row>
    <row r="531" spans="1:21" x14ac:dyDescent="0.3">
      <c r="A531" t="s">
        <v>359</v>
      </c>
      <c r="B531" t="s">
        <v>359</v>
      </c>
      <c r="C531" t="s">
        <v>194</v>
      </c>
      <c r="D531">
        <v>1</v>
      </c>
      <c r="E531" t="s">
        <v>107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366</v>
      </c>
      <c r="L531" t="s">
        <v>363</v>
      </c>
      <c r="M531">
        <v>33</v>
      </c>
      <c r="N531">
        <v>15552</v>
      </c>
      <c r="O531" t="s">
        <v>52</v>
      </c>
      <c r="P531" t="s">
        <v>52</v>
      </c>
      <c r="Q531" t="s">
        <v>197</v>
      </c>
      <c r="R531" t="s">
        <v>53</v>
      </c>
      <c r="S531" t="s">
        <v>116</v>
      </c>
      <c r="T531" t="s">
        <v>198</v>
      </c>
      <c r="U531" t="s">
        <v>108</v>
      </c>
    </row>
    <row r="532" spans="1:21" x14ac:dyDescent="0.3">
      <c r="A532" t="s">
        <v>359</v>
      </c>
      <c r="B532" t="s">
        <v>359</v>
      </c>
      <c r="C532" t="s">
        <v>194</v>
      </c>
      <c r="D532">
        <v>1</v>
      </c>
      <c r="E532" t="s">
        <v>107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367</v>
      </c>
      <c r="L532" t="s">
        <v>363</v>
      </c>
      <c r="M532">
        <v>33</v>
      </c>
      <c r="N532">
        <v>15552</v>
      </c>
      <c r="O532" t="s">
        <v>52</v>
      </c>
      <c r="P532" t="s">
        <v>52</v>
      </c>
      <c r="Q532" t="s">
        <v>197</v>
      </c>
      <c r="R532" t="s">
        <v>53</v>
      </c>
      <c r="S532" t="s">
        <v>116</v>
      </c>
      <c r="T532" t="s">
        <v>198</v>
      </c>
      <c r="U532" t="s">
        <v>108</v>
      </c>
    </row>
    <row r="533" spans="1:21" x14ac:dyDescent="0.3">
      <c r="A533" t="s">
        <v>359</v>
      </c>
      <c r="B533" t="s">
        <v>359</v>
      </c>
      <c r="C533" t="s">
        <v>194</v>
      </c>
      <c r="D533">
        <v>2</v>
      </c>
      <c r="E533" t="s">
        <v>118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365</v>
      </c>
      <c r="L533" t="s">
        <v>363</v>
      </c>
      <c r="M533">
        <v>33</v>
      </c>
      <c r="N533">
        <v>15552</v>
      </c>
      <c r="O533" t="s">
        <v>52</v>
      </c>
      <c r="P533" t="s">
        <v>52</v>
      </c>
      <c r="Q533" t="s">
        <v>197</v>
      </c>
      <c r="R533" t="s">
        <v>53</v>
      </c>
      <c r="S533" t="s">
        <v>116</v>
      </c>
      <c r="T533" t="s">
        <v>198</v>
      </c>
      <c r="U533" t="s">
        <v>108</v>
      </c>
    </row>
    <row r="534" spans="1:21" x14ac:dyDescent="0.3">
      <c r="A534" t="s">
        <v>359</v>
      </c>
      <c r="B534" t="s">
        <v>359</v>
      </c>
      <c r="C534" t="s">
        <v>194</v>
      </c>
      <c r="D534">
        <v>2</v>
      </c>
      <c r="E534" t="s">
        <v>118</v>
      </c>
      <c r="F534">
        <v>1</v>
      </c>
      <c r="G534">
        <v>-2</v>
      </c>
      <c r="H534">
        <v>-2</v>
      </c>
      <c r="I534" t="s">
        <v>117</v>
      </c>
      <c r="J534" t="s">
        <v>51</v>
      </c>
      <c r="K534" t="s">
        <v>360</v>
      </c>
      <c r="L534" t="s">
        <v>361</v>
      </c>
      <c r="M534">
        <v>61</v>
      </c>
      <c r="O534" t="s">
        <v>52</v>
      </c>
      <c r="P534" t="s">
        <v>52</v>
      </c>
      <c r="Q534" t="s">
        <v>197</v>
      </c>
      <c r="R534" t="s">
        <v>53</v>
      </c>
      <c r="S534" t="s">
        <v>116</v>
      </c>
      <c r="T534" t="s">
        <v>198</v>
      </c>
      <c r="U534" t="s">
        <v>108</v>
      </c>
    </row>
    <row r="535" spans="1:21" x14ac:dyDescent="0.3">
      <c r="A535" t="s">
        <v>359</v>
      </c>
      <c r="B535" t="s">
        <v>359</v>
      </c>
      <c r="C535" t="s">
        <v>194</v>
      </c>
      <c r="D535">
        <v>2</v>
      </c>
      <c r="E535" t="s">
        <v>118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362</v>
      </c>
      <c r="L535" t="s">
        <v>363</v>
      </c>
      <c r="M535">
        <v>33</v>
      </c>
      <c r="N535">
        <v>15552</v>
      </c>
      <c r="O535" t="s">
        <v>52</v>
      </c>
      <c r="P535" t="s">
        <v>52</v>
      </c>
      <c r="Q535" t="s">
        <v>197</v>
      </c>
      <c r="R535" t="s">
        <v>53</v>
      </c>
      <c r="S535" t="s">
        <v>116</v>
      </c>
      <c r="T535" t="s">
        <v>198</v>
      </c>
      <c r="U535" t="s">
        <v>108</v>
      </c>
    </row>
    <row r="536" spans="1:21" x14ac:dyDescent="0.3">
      <c r="A536" t="s">
        <v>359</v>
      </c>
      <c r="B536" t="s">
        <v>359</v>
      </c>
      <c r="C536" t="s">
        <v>194</v>
      </c>
      <c r="D536">
        <v>2</v>
      </c>
      <c r="E536" t="s">
        <v>118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366</v>
      </c>
      <c r="L536" t="s">
        <v>363</v>
      </c>
      <c r="M536">
        <v>33</v>
      </c>
      <c r="N536">
        <v>15552</v>
      </c>
      <c r="O536" t="s">
        <v>52</v>
      </c>
      <c r="P536" t="s">
        <v>52</v>
      </c>
      <c r="Q536" t="s">
        <v>197</v>
      </c>
      <c r="R536" t="s">
        <v>53</v>
      </c>
      <c r="S536" t="s">
        <v>116</v>
      </c>
      <c r="T536" t="s">
        <v>198</v>
      </c>
      <c r="U536" t="s">
        <v>108</v>
      </c>
    </row>
    <row r="537" spans="1:21" x14ac:dyDescent="0.3">
      <c r="A537" t="s">
        <v>359</v>
      </c>
      <c r="B537" t="s">
        <v>359</v>
      </c>
      <c r="C537" t="s">
        <v>194</v>
      </c>
      <c r="D537">
        <v>2</v>
      </c>
      <c r="E537" t="s">
        <v>118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367</v>
      </c>
      <c r="L537" t="s">
        <v>363</v>
      </c>
      <c r="M537">
        <v>33</v>
      </c>
      <c r="N537">
        <v>15552</v>
      </c>
      <c r="O537" t="s">
        <v>52</v>
      </c>
      <c r="P537" t="s">
        <v>52</v>
      </c>
      <c r="Q537" t="s">
        <v>197</v>
      </c>
      <c r="R537" t="s">
        <v>53</v>
      </c>
      <c r="S537" t="s">
        <v>116</v>
      </c>
      <c r="T537" t="s">
        <v>198</v>
      </c>
      <c r="U537" t="s">
        <v>108</v>
      </c>
    </row>
    <row r="538" spans="1:21" x14ac:dyDescent="0.3">
      <c r="A538" t="s">
        <v>359</v>
      </c>
      <c r="B538" t="s">
        <v>359</v>
      </c>
      <c r="C538" t="s">
        <v>194</v>
      </c>
      <c r="D538">
        <v>3</v>
      </c>
      <c r="E538" t="s">
        <v>105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367</v>
      </c>
      <c r="L538" t="s">
        <v>363</v>
      </c>
      <c r="M538">
        <v>33</v>
      </c>
      <c r="N538">
        <v>15552</v>
      </c>
      <c r="O538" t="s">
        <v>52</v>
      </c>
      <c r="P538" t="s">
        <v>52</v>
      </c>
      <c r="Q538" t="s">
        <v>197</v>
      </c>
      <c r="R538" t="s">
        <v>53</v>
      </c>
      <c r="S538" t="s">
        <v>116</v>
      </c>
      <c r="T538" t="s">
        <v>198</v>
      </c>
      <c r="U538" t="s">
        <v>108</v>
      </c>
    </row>
    <row r="539" spans="1:21" x14ac:dyDescent="0.3">
      <c r="A539" t="s">
        <v>359</v>
      </c>
      <c r="B539" t="s">
        <v>359</v>
      </c>
      <c r="C539" t="s">
        <v>194</v>
      </c>
      <c r="D539">
        <v>3</v>
      </c>
      <c r="E539" t="s">
        <v>105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362</v>
      </c>
      <c r="L539" t="s">
        <v>363</v>
      </c>
      <c r="M539">
        <v>33</v>
      </c>
      <c r="N539">
        <v>15552</v>
      </c>
      <c r="O539" t="s">
        <v>52</v>
      </c>
      <c r="P539" t="s">
        <v>52</v>
      </c>
      <c r="Q539" t="s">
        <v>197</v>
      </c>
      <c r="R539" t="s">
        <v>53</v>
      </c>
      <c r="S539" t="s">
        <v>116</v>
      </c>
      <c r="T539" t="s">
        <v>198</v>
      </c>
      <c r="U539" t="s">
        <v>108</v>
      </c>
    </row>
    <row r="540" spans="1:21" x14ac:dyDescent="0.3">
      <c r="A540" t="s">
        <v>359</v>
      </c>
      <c r="B540" t="s">
        <v>359</v>
      </c>
      <c r="C540" t="s">
        <v>194</v>
      </c>
      <c r="D540">
        <v>3</v>
      </c>
      <c r="E540" t="s">
        <v>105</v>
      </c>
      <c r="F540">
        <v>1</v>
      </c>
      <c r="G540">
        <v>-44</v>
      </c>
      <c r="H540">
        <v>-44</v>
      </c>
      <c r="I540" t="s">
        <v>117</v>
      </c>
      <c r="J540" t="s">
        <v>51</v>
      </c>
      <c r="K540" t="s">
        <v>360</v>
      </c>
      <c r="L540" t="s">
        <v>361</v>
      </c>
      <c r="M540">
        <v>61</v>
      </c>
      <c r="O540" t="s">
        <v>52</v>
      </c>
      <c r="P540" t="s">
        <v>52</v>
      </c>
      <c r="Q540" t="s">
        <v>197</v>
      </c>
      <c r="R540" t="s">
        <v>53</v>
      </c>
      <c r="S540" t="s">
        <v>116</v>
      </c>
      <c r="T540" t="s">
        <v>198</v>
      </c>
      <c r="U540" t="s">
        <v>108</v>
      </c>
    </row>
    <row r="541" spans="1:21" x14ac:dyDescent="0.3">
      <c r="A541" t="s">
        <v>359</v>
      </c>
      <c r="B541" t="s">
        <v>359</v>
      </c>
      <c r="C541" t="s">
        <v>194</v>
      </c>
      <c r="D541">
        <v>3</v>
      </c>
      <c r="E541" t="s">
        <v>105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366</v>
      </c>
      <c r="L541" t="s">
        <v>363</v>
      </c>
      <c r="M541">
        <v>33</v>
      </c>
      <c r="N541">
        <v>15552</v>
      </c>
      <c r="O541" t="s">
        <v>52</v>
      </c>
      <c r="P541" t="s">
        <v>52</v>
      </c>
      <c r="Q541" t="s">
        <v>197</v>
      </c>
      <c r="R541" t="s">
        <v>53</v>
      </c>
      <c r="S541" t="s">
        <v>116</v>
      </c>
      <c r="T541" t="s">
        <v>198</v>
      </c>
      <c r="U541" t="s">
        <v>108</v>
      </c>
    </row>
    <row r="542" spans="1:21" x14ac:dyDescent="0.3">
      <c r="A542" t="s">
        <v>359</v>
      </c>
      <c r="B542" t="s">
        <v>359</v>
      </c>
      <c r="C542" t="s">
        <v>194</v>
      </c>
      <c r="D542">
        <v>3</v>
      </c>
      <c r="E542" t="s">
        <v>105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365</v>
      </c>
      <c r="L542" t="s">
        <v>363</v>
      </c>
      <c r="M542">
        <v>33</v>
      </c>
      <c r="N542">
        <v>15552</v>
      </c>
      <c r="O542" t="s">
        <v>52</v>
      </c>
      <c r="P542" t="s">
        <v>52</v>
      </c>
      <c r="Q542" t="s">
        <v>197</v>
      </c>
      <c r="R542" t="s">
        <v>53</v>
      </c>
      <c r="S542" t="s">
        <v>116</v>
      </c>
      <c r="T542" t="s">
        <v>198</v>
      </c>
      <c r="U542" t="s">
        <v>108</v>
      </c>
    </row>
    <row r="543" spans="1:21" x14ac:dyDescent="0.3">
      <c r="A543" t="s">
        <v>359</v>
      </c>
      <c r="B543" t="s">
        <v>359</v>
      </c>
      <c r="C543" t="s">
        <v>194</v>
      </c>
      <c r="D543">
        <v>3</v>
      </c>
      <c r="E543" t="s">
        <v>105</v>
      </c>
      <c r="F543">
        <v>1</v>
      </c>
      <c r="G543">
        <v>-1</v>
      </c>
      <c r="H543">
        <v>-1</v>
      </c>
      <c r="I543" t="s">
        <v>119</v>
      </c>
      <c r="J543" t="s">
        <v>58</v>
      </c>
      <c r="K543" t="s">
        <v>364</v>
      </c>
      <c r="L543" t="s">
        <v>361</v>
      </c>
      <c r="M543">
        <v>61</v>
      </c>
      <c r="O543" t="s">
        <v>52</v>
      </c>
      <c r="P543" t="s">
        <v>52</v>
      </c>
      <c r="Q543" t="s">
        <v>197</v>
      </c>
      <c r="R543" t="s">
        <v>53</v>
      </c>
      <c r="S543" t="s">
        <v>116</v>
      </c>
      <c r="T543" t="s">
        <v>198</v>
      </c>
      <c r="U543" t="s">
        <v>108</v>
      </c>
    </row>
    <row r="544" spans="1:21" x14ac:dyDescent="0.3">
      <c r="A544" t="s">
        <v>359</v>
      </c>
      <c r="B544" t="s">
        <v>359</v>
      </c>
      <c r="C544" t="s">
        <v>194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362</v>
      </c>
      <c r="L544" t="s">
        <v>363</v>
      </c>
      <c r="M544">
        <v>33</v>
      </c>
      <c r="N544">
        <v>15552</v>
      </c>
      <c r="O544" t="s">
        <v>52</v>
      </c>
      <c r="P544" t="s">
        <v>52</v>
      </c>
      <c r="Q544" t="s">
        <v>197</v>
      </c>
      <c r="R544" t="s">
        <v>53</v>
      </c>
      <c r="S544" t="s">
        <v>116</v>
      </c>
      <c r="T544" t="s">
        <v>198</v>
      </c>
      <c r="U544" t="s">
        <v>108</v>
      </c>
    </row>
    <row r="545" spans="1:21" x14ac:dyDescent="0.3">
      <c r="A545" t="s">
        <v>359</v>
      </c>
      <c r="B545" t="s">
        <v>359</v>
      </c>
      <c r="C545" t="s">
        <v>194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365</v>
      </c>
      <c r="L545" t="s">
        <v>363</v>
      </c>
      <c r="M545">
        <v>33</v>
      </c>
      <c r="N545">
        <v>15552</v>
      </c>
      <c r="O545" t="s">
        <v>52</v>
      </c>
      <c r="P545" t="s">
        <v>52</v>
      </c>
      <c r="Q545" t="s">
        <v>197</v>
      </c>
      <c r="R545" t="s">
        <v>53</v>
      </c>
      <c r="S545" t="s">
        <v>116</v>
      </c>
      <c r="T545" t="s">
        <v>198</v>
      </c>
      <c r="U545" t="s">
        <v>108</v>
      </c>
    </row>
    <row r="546" spans="1:21" x14ac:dyDescent="0.3">
      <c r="A546" t="s">
        <v>359</v>
      </c>
      <c r="B546" t="s">
        <v>359</v>
      </c>
      <c r="C546" t="s">
        <v>194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119</v>
      </c>
      <c r="J546" t="s">
        <v>58</v>
      </c>
      <c r="K546" t="s">
        <v>364</v>
      </c>
      <c r="L546" t="s">
        <v>361</v>
      </c>
      <c r="M546">
        <v>61</v>
      </c>
      <c r="O546" t="s">
        <v>52</v>
      </c>
      <c r="P546" t="s">
        <v>52</v>
      </c>
      <c r="Q546" t="s">
        <v>197</v>
      </c>
      <c r="R546" t="s">
        <v>53</v>
      </c>
      <c r="S546" t="s">
        <v>116</v>
      </c>
      <c r="T546" t="s">
        <v>198</v>
      </c>
      <c r="U546" t="s">
        <v>108</v>
      </c>
    </row>
    <row r="547" spans="1:21" x14ac:dyDescent="0.3">
      <c r="A547" t="s">
        <v>359</v>
      </c>
      <c r="B547" t="s">
        <v>359</v>
      </c>
      <c r="C547" t="s">
        <v>194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367</v>
      </c>
      <c r="L547" t="s">
        <v>363</v>
      </c>
      <c r="M547">
        <v>33</v>
      </c>
      <c r="N547">
        <v>15552</v>
      </c>
      <c r="O547" t="s">
        <v>52</v>
      </c>
      <c r="P547" t="s">
        <v>52</v>
      </c>
      <c r="Q547" t="s">
        <v>197</v>
      </c>
      <c r="R547" t="s">
        <v>53</v>
      </c>
      <c r="S547" t="s">
        <v>116</v>
      </c>
      <c r="T547" t="s">
        <v>198</v>
      </c>
      <c r="U547" t="s">
        <v>108</v>
      </c>
    </row>
    <row r="548" spans="1:21" x14ac:dyDescent="0.3">
      <c r="A548" t="s">
        <v>359</v>
      </c>
      <c r="B548" t="s">
        <v>359</v>
      </c>
      <c r="C548" t="s">
        <v>194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117</v>
      </c>
      <c r="J548" t="s">
        <v>51</v>
      </c>
      <c r="K548" t="s">
        <v>360</v>
      </c>
      <c r="L548" t="s">
        <v>361</v>
      </c>
      <c r="M548">
        <v>61</v>
      </c>
      <c r="O548" t="s">
        <v>52</v>
      </c>
      <c r="P548" t="s">
        <v>52</v>
      </c>
      <c r="Q548" t="s">
        <v>197</v>
      </c>
      <c r="R548" t="s">
        <v>53</v>
      </c>
      <c r="S548" t="s">
        <v>116</v>
      </c>
      <c r="T548" t="s">
        <v>198</v>
      </c>
      <c r="U548" t="s">
        <v>108</v>
      </c>
    </row>
    <row r="549" spans="1:21" x14ac:dyDescent="0.3">
      <c r="A549" t="s">
        <v>359</v>
      </c>
      <c r="B549" t="s">
        <v>359</v>
      </c>
      <c r="C549" t="s">
        <v>194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366</v>
      </c>
      <c r="L549" t="s">
        <v>363</v>
      </c>
      <c r="M549">
        <v>33</v>
      </c>
      <c r="N549">
        <v>15552</v>
      </c>
      <c r="O549" t="s">
        <v>52</v>
      </c>
      <c r="P549" t="s">
        <v>52</v>
      </c>
      <c r="Q549" t="s">
        <v>197</v>
      </c>
      <c r="R549" t="s">
        <v>53</v>
      </c>
      <c r="S549" t="s">
        <v>116</v>
      </c>
      <c r="T549" t="s">
        <v>198</v>
      </c>
      <c r="U549" t="s">
        <v>108</v>
      </c>
    </row>
    <row r="550" spans="1:21" x14ac:dyDescent="0.3">
      <c r="A550" t="s">
        <v>359</v>
      </c>
      <c r="B550" t="s">
        <v>359</v>
      </c>
      <c r="C550" t="s">
        <v>194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367</v>
      </c>
      <c r="L550" t="s">
        <v>363</v>
      </c>
      <c r="M550">
        <v>33</v>
      </c>
      <c r="N550">
        <v>15552</v>
      </c>
      <c r="O550" t="s">
        <v>52</v>
      </c>
      <c r="P550" t="s">
        <v>52</v>
      </c>
      <c r="Q550" t="s">
        <v>197</v>
      </c>
      <c r="R550" t="s">
        <v>53</v>
      </c>
      <c r="S550" t="s">
        <v>116</v>
      </c>
      <c r="T550" t="s">
        <v>198</v>
      </c>
      <c r="U550" t="s">
        <v>108</v>
      </c>
    </row>
    <row r="551" spans="1:21" x14ac:dyDescent="0.3">
      <c r="A551" t="s">
        <v>359</v>
      </c>
      <c r="B551" t="s">
        <v>359</v>
      </c>
      <c r="C551" t="s">
        <v>194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365</v>
      </c>
      <c r="L551" t="s">
        <v>363</v>
      </c>
      <c r="M551">
        <v>33</v>
      </c>
      <c r="N551">
        <v>15552</v>
      </c>
      <c r="O551" t="s">
        <v>52</v>
      </c>
      <c r="P551" t="s">
        <v>52</v>
      </c>
      <c r="Q551" t="s">
        <v>197</v>
      </c>
      <c r="R551" t="s">
        <v>53</v>
      </c>
      <c r="S551" t="s">
        <v>116</v>
      </c>
      <c r="T551" t="s">
        <v>198</v>
      </c>
      <c r="U551" t="s">
        <v>108</v>
      </c>
    </row>
    <row r="552" spans="1:21" x14ac:dyDescent="0.3">
      <c r="A552" t="s">
        <v>359</v>
      </c>
      <c r="B552" t="s">
        <v>359</v>
      </c>
      <c r="C552" t="s">
        <v>194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117</v>
      </c>
      <c r="J552" t="s">
        <v>51</v>
      </c>
      <c r="K552" t="s">
        <v>360</v>
      </c>
      <c r="L552" t="s">
        <v>361</v>
      </c>
      <c r="M552">
        <v>61</v>
      </c>
      <c r="O552" t="s">
        <v>52</v>
      </c>
      <c r="P552" t="s">
        <v>52</v>
      </c>
      <c r="Q552" t="s">
        <v>197</v>
      </c>
      <c r="R552" t="s">
        <v>53</v>
      </c>
      <c r="S552" t="s">
        <v>116</v>
      </c>
      <c r="T552" t="s">
        <v>198</v>
      </c>
      <c r="U552" t="s">
        <v>108</v>
      </c>
    </row>
    <row r="553" spans="1:21" x14ac:dyDescent="0.3">
      <c r="A553" t="s">
        <v>359</v>
      </c>
      <c r="B553" t="s">
        <v>359</v>
      </c>
      <c r="C553" t="s">
        <v>194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362</v>
      </c>
      <c r="L553" t="s">
        <v>363</v>
      </c>
      <c r="M553">
        <v>33</v>
      </c>
      <c r="N553">
        <v>15552</v>
      </c>
      <c r="O553" t="s">
        <v>52</v>
      </c>
      <c r="P553" t="s">
        <v>52</v>
      </c>
      <c r="Q553" t="s">
        <v>197</v>
      </c>
      <c r="R553" t="s">
        <v>53</v>
      </c>
      <c r="S553" t="s">
        <v>116</v>
      </c>
      <c r="T553" t="s">
        <v>198</v>
      </c>
      <c r="U553" t="s">
        <v>108</v>
      </c>
    </row>
    <row r="554" spans="1:21" x14ac:dyDescent="0.3">
      <c r="A554" t="s">
        <v>359</v>
      </c>
      <c r="B554" t="s">
        <v>359</v>
      </c>
      <c r="C554" t="s">
        <v>194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366</v>
      </c>
      <c r="L554" t="s">
        <v>363</v>
      </c>
      <c r="M554">
        <v>33</v>
      </c>
      <c r="N554">
        <v>15552</v>
      </c>
      <c r="O554" t="s">
        <v>52</v>
      </c>
      <c r="P554" t="s">
        <v>52</v>
      </c>
      <c r="Q554" t="s">
        <v>197</v>
      </c>
      <c r="R554" t="s">
        <v>53</v>
      </c>
      <c r="S554" t="s">
        <v>116</v>
      </c>
      <c r="T554" t="s">
        <v>198</v>
      </c>
      <c r="U554" t="s">
        <v>108</v>
      </c>
    </row>
    <row r="555" spans="1:21" x14ac:dyDescent="0.3">
      <c r="A555" t="s">
        <v>368</v>
      </c>
      <c r="B555" t="s">
        <v>368</v>
      </c>
      <c r="C555" t="s">
        <v>194</v>
      </c>
      <c r="D555">
        <v>1</v>
      </c>
      <c r="E555" t="s">
        <v>107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369</v>
      </c>
      <c r="L555" t="s">
        <v>370</v>
      </c>
      <c r="M555">
        <v>33</v>
      </c>
      <c r="N555">
        <v>15894</v>
      </c>
      <c r="O555" t="s">
        <v>52</v>
      </c>
      <c r="P555" t="s">
        <v>52</v>
      </c>
      <c r="Q555" t="s">
        <v>197</v>
      </c>
      <c r="R555" t="s">
        <v>53</v>
      </c>
      <c r="S555" t="s">
        <v>116</v>
      </c>
      <c r="T555" t="s">
        <v>198</v>
      </c>
      <c r="U555" t="s">
        <v>108</v>
      </c>
    </row>
    <row r="556" spans="1:21" x14ac:dyDescent="0.3">
      <c r="A556" t="s">
        <v>368</v>
      </c>
      <c r="B556" t="s">
        <v>368</v>
      </c>
      <c r="C556" t="s">
        <v>194</v>
      </c>
      <c r="D556">
        <v>1</v>
      </c>
      <c r="E556" t="s">
        <v>107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371</v>
      </c>
      <c r="L556" t="s">
        <v>370</v>
      </c>
      <c r="M556">
        <v>33</v>
      </c>
      <c r="N556">
        <v>15894</v>
      </c>
      <c r="O556" t="s">
        <v>52</v>
      </c>
      <c r="P556" t="s">
        <v>52</v>
      </c>
      <c r="Q556" t="s">
        <v>197</v>
      </c>
      <c r="R556" t="s">
        <v>53</v>
      </c>
      <c r="S556" t="s">
        <v>116</v>
      </c>
      <c r="T556" t="s">
        <v>198</v>
      </c>
      <c r="U556" t="s">
        <v>108</v>
      </c>
    </row>
    <row r="557" spans="1:21" x14ac:dyDescent="0.3">
      <c r="A557" t="s">
        <v>368</v>
      </c>
      <c r="B557" t="s">
        <v>368</v>
      </c>
      <c r="C557" t="s">
        <v>194</v>
      </c>
      <c r="D557">
        <v>1</v>
      </c>
      <c r="E557" t="s">
        <v>107</v>
      </c>
      <c r="F557">
        <v>1</v>
      </c>
      <c r="G557">
        <v>-570</v>
      </c>
      <c r="H557">
        <v>-570</v>
      </c>
      <c r="I557" t="s">
        <v>117</v>
      </c>
      <c r="J557" t="s">
        <v>51</v>
      </c>
      <c r="K557" t="s">
        <v>372</v>
      </c>
      <c r="L557" t="s">
        <v>373</v>
      </c>
      <c r="M557">
        <v>61</v>
      </c>
      <c r="O557" t="s">
        <v>52</v>
      </c>
      <c r="P557" t="s">
        <v>52</v>
      </c>
      <c r="Q557" t="s">
        <v>197</v>
      </c>
      <c r="R557" t="s">
        <v>53</v>
      </c>
      <c r="S557" t="s">
        <v>116</v>
      </c>
      <c r="T557" t="s">
        <v>198</v>
      </c>
      <c r="U557" t="s">
        <v>108</v>
      </c>
    </row>
    <row r="558" spans="1:21" x14ac:dyDescent="0.3">
      <c r="A558" t="s">
        <v>368</v>
      </c>
      <c r="B558" t="s">
        <v>368</v>
      </c>
      <c r="C558" t="s">
        <v>194</v>
      </c>
      <c r="D558">
        <v>1</v>
      </c>
      <c r="E558" t="s">
        <v>107</v>
      </c>
      <c r="F558">
        <v>1</v>
      </c>
      <c r="G558">
        <v>-2594</v>
      </c>
      <c r="H558">
        <v>-2594</v>
      </c>
      <c r="I558" t="s">
        <v>119</v>
      </c>
      <c r="J558" t="s">
        <v>58</v>
      </c>
      <c r="K558" t="s">
        <v>374</v>
      </c>
      <c r="L558" t="s">
        <v>373</v>
      </c>
      <c r="M558">
        <v>61</v>
      </c>
      <c r="O558" t="s">
        <v>52</v>
      </c>
      <c r="P558" t="s">
        <v>52</v>
      </c>
      <c r="Q558" t="s">
        <v>197</v>
      </c>
      <c r="R558" t="s">
        <v>53</v>
      </c>
      <c r="S558" t="s">
        <v>116</v>
      </c>
      <c r="T558" t="s">
        <v>198</v>
      </c>
      <c r="U558" t="s">
        <v>108</v>
      </c>
    </row>
    <row r="559" spans="1:21" x14ac:dyDescent="0.3">
      <c r="A559" t="s">
        <v>368</v>
      </c>
      <c r="B559" t="s">
        <v>368</v>
      </c>
      <c r="C559" t="s">
        <v>194</v>
      </c>
      <c r="D559">
        <v>1</v>
      </c>
      <c r="E559" t="s">
        <v>107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375</v>
      </c>
      <c r="L559" t="s">
        <v>370</v>
      </c>
      <c r="M559">
        <v>33</v>
      </c>
      <c r="N559">
        <v>15894</v>
      </c>
      <c r="O559" t="s">
        <v>52</v>
      </c>
      <c r="P559" t="s">
        <v>52</v>
      </c>
      <c r="Q559" t="s">
        <v>197</v>
      </c>
      <c r="R559" t="s">
        <v>53</v>
      </c>
      <c r="S559" t="s">
        <v>116</v>
      </c>
      <c r="T559" t="s">
        <v>198</v>
      </c>
      <c r="U559" t="s">
        <v>108</v>
      </c>
    </row>
    <row r="560" spans="1:21" x14ac:dyDescent="0.3">
      <c r="A560" t="s">
        <v>368</v>
      </c>
      <c r="B560" t="s">
        <v>368</v>
      </c>
      <c r="C560" t="s">
        <v>194</v>
      </c>
      <c r="D560">
        <v>1</v>
      </c>
      <c r="E560" t="s">
        <v>107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376</v>
      </c>
      <c r="L560" t="s">
        <v>370</v>
      </c>
      <c r="M560">
        <v>33</v>
      </c>
      <c r="N560">
        <v>15894</v>
      </c>
      <c r="O560" t="s">
        <v>52</v>
      </c>
      <c r="P560" t="s">
        <v>52</v>
      </c>
      <c r="Q560" t="s">
        <v>197</v>
      </c>
      <c r="R560" t="s">
        <v>53</v>
      </c>
      <c r="S560" t="s">
        <v>116</v>
      </c>
      <c r="T560" t="s">
        <v>198</v>
      </c>
      <c r="U560" t="s">
        <v>108</v>
      </c>
    </row>
    <row r="561" spans="1:21" x14ac:dyDescent="0.3">
      <c r="A561" t="s">
        <v>368</v>
      </c>
      <c r="B561" t="s">
        <v>368</v>
      </c>
      <c r="C561" t="s">
        <v>194</v>
      </c>
      <c r="D561">
        <v>2</v>
      </c>
      <c r="E561" t="s">
        <v>118</v>
      </c>
      <c r="F561">
        <v>1</v>
      </c>
      <c r="G561">
        <v>-11</v>
      </c>
      <c r="H561">
        <v>-11</v>
      </c>
      <c r="I561" t="s">
        <v>119</v>
      </c>
      <c r="J561" t="s">
        <v>58</v>
      </c>
      <c r="K561" t="s">
        <v>374</v>
      </c>
      <c r="L561" t="s">
        <v>373</v>
      </c>
      <c r="M561">
        <v>61</v>
      </c>
      <c r="O561" t="s">
        <v>52</v>
      </c>
      <c r="P561" t="s">
        <v>52</v>
      </c>
      <c r="Q561" t="s">
        <v>197</v>
      </c>
      <c r="R561" t="s">
        <v>53</v>
      </c>
      <c r="S561" t="s">
        <v>116</v>
      </c>
      <c r="T561" t="s">
        <v>198</v>
      </c>
      <c r="U561" t="s">
        <v>108</v>
      </c>
    </row>
    <row r="562" spans="1:21" x14ac:dyDescent="0.3">
      <c r="A562" t="s">
        <v>368</v>
      </c>
      <c r="B562" t="s">
        <v>368</v>
      </c>
      <c r="C562" t="s">
        <v>194</v>
      </c>
      <c r="D562">
        <v>2</v>
      </c>
      <c r="E562" t="s">
        <v>118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369</v>
      </c>
      <c r="L562" t="s">
        <v>370</v>
      </c>
      <c r="M562">
        <v>33</v>
      </c>
      <c r="N562">
        <v>15894</v>
      </c>
      <c r="O562" t="s">
        <v>52</v>
      </c>
      <c r="P562" t="s">
        <v>52</v>
      </c>
      <c r="Q562" t="s">
        <v>197</v>
      </c>
      <c r="R562" t="s">
        <v>53</v>
      </c>
      <c r="S562" t="s">
        <v>116</v>
      </c>
      <c r="T562" t="s">
        <v>198</v>
      </c>
      <c r="U562" t="s">
        <v>108</v>
      </c>
    </row>
    <row r="563" spans="1:21" x14ac:dyDescent="0.3">
      <c r="A563" t="s">
        <v>368</v>
      </c>
      <c r="B563" t="s">
        <v>368</v>
      </c>
      <c r="C563" t="s">
        <v>194</v>
      </c>
      <c r="D563">
        <v>2</v>
      </c>
      <c r="E563" t="s">
        <v>118</v>
      </c>
      <c r="F563">
        <v>1</v>
      </c>
      <c r="G563">
        <v>-3</v>
      </c>
      <c r="H563">
        <v>-3</v>
      </c>
      <c r="I563" t="s">
        <v>117</v>
      </c>
      <c r="J563" t="s">
        <v>51</v>
      </c>
      <c r="K563" t="s">
        <v>372</v>
      </c>
      <c r="L563" t="s">
        <v>373</v>
      </c>
      <c r="M563">
        <v>61</v>
      </c>
      <c r="O563" t="s">
        <v>52</v>
      </c>
      <c r="P563" t="s">
        <v>52</v>
      </c>
      <c r="Q563" t="s">
        <v>197</v>
      </c>
      <c r="R563" t="s">
        <v>53</v>
      </c>
      <c r="S563" t="s">
        <v>116</v>
      </c>
      <c r="T563" t="s">
        <v>198</v>
      </c>
      <c r="U563" t="s">
        <v>108</v>
      </c>
    </row>
    <row r="564" spans="1:21" x14ac:dyDescent="0.3">
      <c r="A564" t="s">
        <v>368</v>
      </c>
      <c r="B564" t="s">
        <v>368</v>
      </c>
      <c r="C564" t="s">
        <v>194</v>
      </c>
      <c r="D564">
        <v>2</v>
      </c>
      <c r="E564" t="s">
        <v>118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371</v>
      </c>
      <c r="L564" t="s">
        <v>370</v>
      </c>
      <c r="M564">
        <v>33</v>
      </c>
      <c r="N564">
        <v>15894</v>
      </c>
      <c r="O564" t="s">
        <v>52</v>
      </c>
      <c r="P564" t="s">
        <v>52</v>
      </c>
      <c r="Q564" t="s">
        <v>197</v>
      </c>
      <c r="R564" t="s">
        <v>53</v>
      </c>
      <c r="S564" t="s">
        <v>116</v>
      </c>
      <c r="T564" t="s">
        <v>198</v>
      </c>
      <c r="U564" t="s">
        <v>108</v>
      </c>
    </row>
    <row r="565" spans="1:21" x14ac:dyDescent="0.3">
      <c r="A565" t="s">
        <v>368</v>
      </c>
      <c r="B565" t="s">
        <v>368</v>
      </c>
      <c r="C565" t="s">
        <v>194</v>
      </c>
      <c r="D565">
        <v>2</v>
      </c>
      <c r="E565" t="s">
        <v>118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376</v>
      </c>
      <c r="L565" t="s">
        <v>370</v>
      </c>
      <c r="M565">
        <v>33</v>
      </c>
      <c r="N565">
        <v>15894</v>
      </c>
      <c r="O565" t="s">
        <v>52</v>
      </c>
      <c r="P565" t="s">
        <v>52</v>
      </c>
      <c r="Q565" t="s">
        <v>197</v>
      </c>
      <c r="R565" t="s">
        <v>53</v>
      </c>
      <c r="S565" t="s">
        <v>116</v>
      </c>
      <c r="T565" t="s">
        <v>198</v>
      </c>
      <c r="U565" t="s">
        <v>108</v>
      </c>
    </row>
    <row r="566" spans="1:21" x14ac:dyDescent="0.3">
      <c r="A566" t="s">
        <v>368</v>
      </c>
      <c r="B566" t="s">
        <v>368</v>
      </c>
      <c r="C566" t="s">
        <v>194</v>
      </c>
      <c r="D566">
        <v>2</v>
      </c>
      <c r="E566" t="s">
        <v>118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375</v>
      </c>
      <c r="L566" t="s">
        <v>370</v>
      </c>
      <c r="M566">
        <v>33</v>
      </c>
      <c r="N566">
        <v>15894</v>
      </c>
      <c r="O566" t="s">
        <v>52</v>
      </c>
      <c r="P566" t="s">
        <v>52</v>
      </c>
      <c r="Q566" t="s">
        <v>197</v>
      </c>
      <c r="R566" t="s">
        <v>53</v>
      </c>
      <c r="S566" t="s">
        <v>116</v>
      </c>
      <c r="T566" t="s">
        <v>198</v>
      </c>
      <c r="U566" t="s">
        <v>108</v>
      </c>
    </row>
    <row r="567" spans="1:21" x14ac:dyDescent="0.3">
      <c r="A567" t="s">
        <v>368</v>
      </c>
      <c r="B567" t="s">
        <v>368</v>
      </c>
      <c r="C567" t="s">
        <v>194</v>
      </c>
      <c r="D567">
        <v>3</v>
      </c>
      <c r="E567" t="s">
        <v>105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371</v>
      </c>
      <c r="L567" t="s">
        <v>370</v>
      </c>
      <c r="M567">
        <v>33</v>
      </c>
      <c r="N567">
        <v>15894</v>
      </c>
      <c r="O567" t="s">
        <v>52</v>
      </c>
      <c r="P567" t="s">
        <v>52</v>
      </c>
      <c r="Q567" t="s">
        <v>197</v>
      </c>
      <c r="R567" t="s">
        <v>53</v>
      </c>
      <c r="S567" t="s">
        <v>116</v>
      </c>
      <c r="T567" t="s">
        <v>198</v>
      </c>
      <c r="U567" t="s">
        <v>108</v>
      </c>
    </row>
    <row r="568" spans="1:21" x14ac:dyDescent="0.3">
      <c r="A568" t="s">
        <v>368</v>
      </c>
      <c r="B568" t="s">
        <v>368</v>
      </c>
      <c r="C568" t="s">
        <v>194</v>
      </c>
      <c r="D568">
        <v>3</v>
      </c>
      <c r="E568" t="s">
        <v>105</v>
      </c>
      <c r="F568">
        <v>1</v>
      </c>
      <c r="G568">
        <v>-383</v>
      </c>
      <c r="H568">
        <v>-383</v>
      </c>
      <c r="I568" t="s">
        <v>119</v>
      </c>
      <c r="J568" t="s">
        <v>58</v>
      </c>
      <c r="K568" t="s">
        <v>374</v>
      </c>
      <c r="L568" t="s">
        <v>373</v>
      </c>
      <c r="M568">
        <v>61</v>
      </c>
      <c r="O568" t="s">
        <v>52</v>
      </c>
      <c r="P568" t="s">
        <v>52</v>
      </c>
      <c r="Q568" t="s">
        <v>197</v>
      </c>
      <c r="R568" t="s">
        <v>53</v>
      </c>
      <c r="S568" t="s">
        <v>116</v>
      </c>
      <c r="T568" t="s">
        <v>198</v>
      </c>
      <c r="U568" t="s">
        <v>108</v>
      </c>
    </row>
    <row r="569" spans="1:21" x14ac:dyDescent="0.3">
      <c r="A569" t="s">
        <v>368</v>
      </c>
      <c r="B569" t="s">
        <v>368</v>
      </c>
      <c r="C569" t="s">
        <v>194</v>
      </c>
      <c r="D569">
        <v>3</v>
      </c>
      <c r="E569" t="s">
        <v>105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375</v>
      </c>
      <c r="L569" t="s">
        <v>370</v>
      </c>
      <c r="M569">
        <v>33</v>
      </c>
      <c r="N569">
        <v>15894</v>
      </c>
      <c r="O569" t="s">
        <v>52</v>
      </c>
      <c r="P569" t="s">
        <v>52</v>
      </c>
      <c r="Q569" t="s">
        <v>197</v>
      </c>
      <c r="R569" t="s">
        <v>53</v>
      </c>
      <c r="S569" t="s">
        <v>116</v>
      </c>
      <c r="T569" t="s">
        <v>198</v>
      </c>
      <c r="U569" t="s">
        <v>108</v>
      </c>
    </row>
    <row r="570" spans="1:21" x14ac:dyDescent="0.3">
      <c r="A570" t="s">
        <v>368</v>
      </c>
      <c r="B570" t="s">
        <v>368</v>
      </c>
      <c r="C570" t="s">
        <v>194</v>
      </c>
      <c r="D570">
        <v>3</v>
      </c>
      <c r="E570" t="s">
        <v>105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376</v>
      </c>
      <c r="L570" t="s">
        <v>370</v>
      </c>
      <c r="M570">
        <v>33</v>
      </c>
      <c r="N570">
        <v>15894</v>
      </c>
      <c r="O570" t="s">
        <v>52</v>
      </c>
      <c r="P570" t="s">
        <v>52</v>
      </c>
      <c r="Q570" t="s">
        <v>197</v>
      </c>
      <c r="R570" t="s">
        <v>53</v>
      </c>
      <c r="S570" t="s">
        <v>116</v>
      </c>
      <c r="T570" t="s">
        <v>198</v>
      </c>
      <c r="U570" t="s">
        <v>108</v>
      </c>
    </row>
    <row r="571" spans="1:21" x14ac:dyDescent="0.3">
      <c r="A571" t="s">
        <v>368</v>
      </c>
      <c r="B571" t="s">
        <v>368</v>
      </c>
      <c r="C571" t="s">
        <v>194</v>
      </c>
      <c r="D571">
        <v>3</v>
      </c>
      <c r="E571" t="s">
        <v>105</v>
      </c>
      <c r="F571">
        <v>1</v>
      </c>
      <c r="G571">
        <v>-80</v>
      </c>
      <c r="H571">
        <v>-80</v>
      </c>
      <c r="I571" t="s">
        <v>117</v>
      </c>
      <c r="J571" t="s">
        <v>51</v>
      </c>
      <c r="K571" t="s">
        <v>372</v>
      </c>
      <c r="L571" t="s">
        <v>373</v>
      </c>
      <c r="M571">
        <v>61</v>
      </c>
      <c r="O571" t="s">
        <v>52</v>
      </c>
      <c r="P571" t="s">
        <v>52</v>
      </c>
      <c r="Q571" t="s">
        <v>197</v>
      </c>
      <c r="R571" t="s">
        <v>53</v>
      </c>
      <c r="S571" t="s">
        <v>116</v>
      </c>
      <c r="T571" t="s">
        <v>198</v>
      </c>
      <c r="U571" t="s">
        <v>108</v>
      </c>
    </row>
    <row r="572" spans="1:21" x14ac:dyDescent="0.3">
      <c r="A572" t="s">
        <v>368</v>
      </c>
      <c r="B572" t="s">
        <v>368</v>
      </c>
      <c r="C572" t="s">
        <v>194</v>
      </c>
      <c r="D572">
        <v>3</v>
      </c>
      <c r="E572" t="s">
        <v>105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369</v>
      </c>
      <c r="L572" t="s">
        <v>370</v>
      </c>
      <c r="M572">
        <v>33</v>
      </c>
      <c r="N572">
        <v>15894</v>
      </c>
      <c r="O572" t="s">
        <v>52</v>
      </c>
      <c r="P572" t="s">
        <v>52</v>
      </c>
      <c r="Q572" t="s">
        <v>197</v>
      </c>
      <c r="R572" t="s">
        <v>53</v>
      </c>
      <c r="S572" t="s">
        <v>116</v>
      </c>
      <c r="T572" t="s">
        <v>198</v>
      </c>
      <c r="U572" t="s">
        <v>108</v>
      </c>
    </row>
    <row r="573" spans="1:21" x14ac:dyDescent="0.3">
      <c r="A573" t="s">
        <v>368</v>
      </c>
      <c r="B573" t="s">
        <v>368</v>
      </c>
      <c r="C573" t="s">
        <v>194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371</v>
      </c>
      <c r="L573" t="s">
        <v>370</v>
      </c>
      <c r="M573">
        <v>33</v>
      </c>
      <c r="N573">
        <v>15894</v>
      </c>
      <c r="O573" t="s">
        <v>52</v>
      </c>
      <c r="P573" t="s">
        <v>52</v>
      </c>
      <c r="Q573" t="s">
        <v>197</v>
      </c>
      <c r="R573" t="s">
        <v>53</v>
      </c>
      <c r="S573" t="s">
        <v>116</v>
      </c>
      <c r="T573" t="s">
        <v>198</v>
      </c>
      <c r="U573" t="s">
        <v>108</v>
      </c>
    </row>
    <row r="574" spans="1:21" x14ac:dyDescent="0.3">
      <c r="A574" t="s">
        <v>368</v>
      </c>
      <c r="B574" t="s">
        <v>368</v>
      </c>
      <c r="C574" t="s">
        <v>194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369</v>
      </c>
      <c r="L574" t="s">
        <v>370</v>
      </c>
      <c r="M574">
        <v>33</v>
      </c>
      <c r="N574">
        <v>15894</v>
      </c>
      <c r="O574" t="s">
        <v>52</v>
      </c>
      <c r="P574" t="s">
        <v>52</v>
      </c>
      <c r="Q574" t="s">
        <v>197</v>
      </c>
      <c r="R574" t="s">
        <v>53</v>
      </c>
      <c r="S574" t="s">
        <v>116</v>
      </c>
      <c r="T574" t="s">
        <v>198</v>
      </c>
      <c r="U574" t="s">
        <v>108</v>
      </c>
    </row>
    <row r="575" spans="1:21" x14ac:dyDescent="0.3">
      <c r="A575" t="s">
        <v>368</v>
      </c>
      <c r="B575" t="s">
        <v>368</v>
      </c>
      <c r="C575" t="s">
        <v>194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376</v>
      </c>
      <c r="L575" t="s">
        <v>370</v>
      </c>
      <c r="M575">
        <v>33</v>
      </c>
      <c r="N575">
        <v>15894</v>
      </c>
      <c r="O575" t="s">
        <v>52</v>
      </c>
      <c r="P575" t="s">
        <v>52</v>
      </c>
      <c r="Q575" t="s">
        <v>197</v>
      </c>
      <c r="R575" t="s">
        <v>53</v>
      </c>
      <c r="S575" t="s">
        <v>116</v>
      </c>
      <c r="T575" t="s">
        <v>198</v>
      </c>
      <c r="U575" t="s">
        <v>108</v>
      </c>
    </row>
    <row r="576" spans="1:21" x14ac:dyDescent="0.3">
      <c r="A576" t="s">
        <v>368</v>
      </c>
      <c r="B576" t="s">
        <v>368</v>
      </c>
      <c r="C576" t="s">
        <v>194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119</v>
      </c>
      <c r="J576" t="s">
        <v>58</v>
      </c>
      <c r="K576" t="s">
        <v>374</v>
      </c>
      <c r="L576" t="s">
        <v>373</v>
      </c>
      <c r="M576">
        <v>61</v>
      </c>
      <c r="O576" t="s">
        <v>52</v>
      </c>
      <c r="P576" t="s">
        <v>52</v>
      </c>
      <c r="Q576" t="s">
        <v>197</v>
      </c>
      <c r="R576" t="s">
        <v>53</v>
      </c>
      <c r="S576" t="s">
        <v>116</v>
      </c>
      <c r="T576" t="s">
        <v>198</v>
      </c>
      <c r="U576" t="s">
        <v>108</v>
      </c>
    </row>
    <row r="577" spans="1:21" x14ac:dyDescent="0.3">
      <c r="A577" t="s">
        <v>368</v>
      </c>
      <c r="B577" t="s">
        <v>368</v>
      </c>
      <c r="C577" t="s">
        <v>194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117</v>
      </c>
      <c r="J577" t="s">
        <v>51</v>
      </c>
      <c r="K577" t="s">
        <v>372</v>
      </c>
      <c r="L577" t="s">
        <v>373</v>
      </c>
      <c r="M577">
        <v>61</v>
      </c>
      <c r="O577" t="s">
        <v>52</v>
      </c>
      <c r="P577" t="s">
        <v>52</v>
      </c>
      <c r="Q577" t="s">
        <v>197</v>
      </c>
      <c r="R577" t="s">
        <v>53</v>
      </c>
      <c r="S577" t="s">
        <v>116</v>
      </c>
      <c r="T577" t="s">
        <v>198</v>
      </c>
      <c r="U577" t="s">
        <v>108</v>
      </c>
    </row>
    <row r="578" spans="1:21" x14ac:dyDescent="0.3">
      <c r="A578" t="s">
        <v>368</v>
      </c>
      <c r="B578" t="s">
        <v>368</v>
      </c>
      <c r="C578" t="s">
        <v>194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375</v>
      </c>
      <c r="L578" t="s">
        <v>370</v>
      </c>
      <c r="M578">
        <v>33</v>
      </c>
      <c r="N578">
        <v>15894</v>
      </c>
      <c r="O578" t="s">
        <v>52</v>
      </c>
      <c r="P578" t="s">
        <v>52</v>
      </c>
      <c r="Q578" t="s">
        <v>197</v>
      </c>
      <c r="R578" t="s">
        <v>53</v>
      </c>
      <c r="S578" t="s">
        <v>116</v>
      </c>
      <c r="T578" t="s">
        <v>198</v>
      </c>
      <c r="U578" t="s">
        <v>108</v>
      </c>
    </row>
    <row r="579" spans="1:21" x14ac:dyDescent="0.3">
      <c r="A579" t="s">
        <v>368</v>
      </c>
      <c r="B579" t="s">
        <v>368</v>
      </c>
      <c r="C579" t="s">
        <v>194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369</v>
      </c>
      <c r="L579" t="s">
        <v>370</v>
      </c>
      <c r="M579">
        <v>33</v>
      </c>
      <c r="N579">
        <v>15894</v>
      </c>
      <c r="O579" t="s">
        <v>52</v>
      </c>
      <c r="P579" t="s">
        <v>52</v>
      </c>
      <c r="Q579" t="s">
        <v>197</v>
      </c>
      <c r="R579" t="s">
        <v>53</v>
      </c>
      <c r="S579" t="s">
        <v>116</v>
      </c>
      <c r="T579" t="s">
        <v>198</v>
      </c>
      <c r="U579" t="s">
        <v>108</v>
      </c>
    </row>
    <row r="580" spans="1:21" x14ac:dyDescent="0.3">
      <c r="A580" t="s">
        <v>368</v>
      </c>
      <c r="B580" t="s">
        <v>368</v>
      </c>
      <c r="C580" t="s">
        <v>194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371</v>
      </c>
      <c r="L580" t="s">
        <v>370</v>
      </c>
      <c r="M580">
        <v>33</v>
      </c>
      <c r="N580">
        <v>15894</v>
      </c>
      <c r="O580" t="s">
        <v>52</v>
      </c>
      <c r="P580" t="s">
        <v>52</v>
      </c>
      <c r="Q580" t="s">
        <v>197</v>
      </c>
      <c r="R580" t="s">
        <v>53</v>
      </c>
      <c r="S580" t="s">
        <v>116</v>
      </c>
      <c r="T580" t="s">
        <v>198</v>
      </c>
      <c r="U580" t="s">
        <v>108</v>
      </c>
    </row>
    <row r="581" spans="1:21" x14ac:dyDescent="0.3">
      <c r="A581" t="s">
        <v>368</v>
      </c>
      <c r="B581" t="s">
        <v>368</v>
      </c>
      <c r="C581" t="s">
        <v>194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376</v>
      </c>
      <c r="L581" t="s">
        <v>370</v>
      </c>
      <c r="M581">
        <v>33</v>
      </c>
      <c r="N581">
        <v>15894</v>
      </c>
      <c r="O581" t="s">
        <v>52</v>
      </c>
      <c r="P581" t="s">
        <v>52</v>
      </c>
      <c r="Q581" t="s">
        <v>197</v>
      </c>
      <c r="R581" t="s">
        <v>53</v>
      </c>
      <c r="S581" t="s">
        <v>116</v>
      </c>
      <c r="T581" t="s">
        <v>198</v>
      </c>
      <c r="U581" t="s">
        <v>108</v>
      </c>
    </row>
    <row r="582" spans="1:21" x14ac:dyDescent="0.3">
      <c r="A582" t="s">
        <v>368</v>
      </c>
      <c r="B582" t="s">
        <v>368</v>
      </c>
      <c r="C582" t="s">
        <v>194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119</v>
      </c>
      <c r="J582" t="s">
        <v>58</v>
      </c>
      <c r="K582" t="s">
        <v>374</v>
      </c>
      <c r="L582" t="s">
        <v>373</v>
      </c>
      <c r="M582">
        <v>61</v>
      </c>
      <c r="O582" t="s">
        <v>52</v>
      </c>
      <c r="P582" t="s">
        <v>52</v>
      </c>
      <c r="Q582" t="s">
        <v>197</v>
      </c>
      <c r="R582" t="s">
        <v>53</v>
      </c>
      <c r="S582" t="s">
        <v>116</v>
      </c>
      <c r="T582" t="s">
        <v>198</v>
      </c>
      <c r="U582" t="s">
        <v>108</v>
      </c>
    </row>
    <row r="583" spans="1:21" x14ac:dyDescent="0.3">
      <c r="A583" t="s">
        <v>368</v>
      </c>
      <c r="B583" t="s">
        <v>368</v>
      </c>
      <c r="C583" t="s">
        <v>194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375</v>
      </c>
      <c r="L583" t="s">
        <v>370</v>
      </c>
      <c r="M583">
        <v>33</v>
      </c>
      <c r="N583">
        <v>15894</v>
      </c>
      <c r="O583" t="s">
        <v>52</v>
      </c>
      <c r="P583" t="s">
        <v>52</v>
      </c>
      <c r="Q583" t="s">
        <v>197</v>
      </c>
      <c r="R583" t="s">
        <v>53</v>
      </c>
      <c r="S583" t="s">
        <v>116</v>
      </c>
      <c r="T583" t="s">
        <v>198</v>
      </c>
      <c r="U583" t="s">
        <v>108</v>
      </c>
    </row>
    <row r="584" spans="1:21" x14ac:dyDescent="0.3">
      <c r="A584" t="s">
        <v>368</v>
      </c>
      <c r="B584" t="s">
        <v>368</v>
      </c>
      <c r="C584" t="s">
        <v>194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117</v>
      </c>
      <c r="J584" t="s">
        <v>51</v>
      </c>
      <c r="K584" t="s">
        <v>372</v>
      </c>
      <c r="L584" t="s">
        <v>373</v>
      </c>
      <c r="M584">
        <v>61</v>
      </c>
      <c r="O584" t="s">
        <v>52</v>
      </c>
      <c r="P584" t="s">
        <v>52</v>
      </c>
      <c r="Q584" t="s">
        <v>197</v>
      </c>
      <c r="R584" t="s">
        <v>53</v>
      </c>
      <c r="S584" t="s">
        <v>116</v>
      </c>
      <c r="T584" t="s">
        <v>198</v>
      </c>
      <c r="U584" t="s">
        <v>108</v>
      </c>
    </row>
    <row r="585" spans="1:21" x14ac:dyDescent="0.3">
      <c r="A585" t="s">
        <v>377</v>
      </c>
      <c r="B585" t="s">
        <v>377</v>
      </c>
      <c r="C585" t="s">
        <v>194</v>
      </c>
      <c r="D585">
        <v>1</v>
      </c>
      <c r="E585" t="s">
        <v>107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378</v>
      </c>
      <c r="L585" t="s">
        <v>379</v>
      </c>
      <c r="M585">
        <v>33</v>
      </c>
      <c r="N585">
        <v>16653</v>
      </c>
      <c r="O585" t="s">
        <v>52</v>
      </c>
      <c r="P585" t="s">
        <v>52</v>
      </c>
      <c r="Q585" t="s">
        <v>197</v>
      </c>
      <c r="R585" t="s">
        <v>53</v>
      </c>
      <c r="S585" t="s">
        <v>116</v>
      </c>
      <c r="T585" t="s">
        <v>198</v>
      </c>
      <c r="U585" t="s">
        <v>108</v>
      </c>
    </row>
    <row r="586" spans="1:21" x14ac:dyDescent="0.3">
      <c r="A586" t="s">
        <v>377</v>
      </c>
      <c r="B586" t="s">
        <v>377</v>
      </c>
      <c r="C586" t="s">
        <v>194</v>
      </c>
      <c r="D586">
        <v>1</v>
      </c>
      <c r="E586" t="s">
        <v>107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380</v>
      </c>
      <c r="L586" t="s">
        <v>379</v>
      </c>
      <c r="M586">
        <v>33</v>
      </c>
      <c r="N586">
        <v>16653</v>
      </c>
      <c r="O586" t="s">
        <v>52</v>
      </c>
      <c r="P586" t="s">
        <v>52</v>
      </c>
      <c r="Q586" t="s">
        <v>197</v>
      </c>
      <c r="R586" t="s">
        <v>53</v>
      </c>
      <c r="S586" t="s">
        <v>116</v>
      </c>
      <c r="T586" t="s">
        <v>198</v>
      </c>
      <c r="U586" t="s">
        <v>108</v>
      </c>
    </row>
    <row r="587" spans="1:21" x14ac:dyDescent="0.3">
      <c r="A587" t="s">
        <v>377</v>
      </c>
      <c r="B587" t="s">
        <v>377</v>
      </c>
      <c r="C587" t="s">
        <v>194</v>
      </c>
      <c r="D587">
        <v>1</v>
      </c>
      <c r="E587" t="s">
        <v>107</v>
      </c>
      <c r="F587">
        <v>1</v>
      </c>
      <c r="G587">
        <v>-1312</v>
      </c>
      <c r="H587">
        <v>-1312</v>
      </c>
      <c r="I587" t="s">
        <v>117</v>
      </c>
      <c r="J587" t="s">
        <v>51</v>
      </c>
      <c r="K587" t="s">
        <v>381</v>
      </c>
      <c r="L587" t="s">
        <v>382</v>
      </c>
      <c r="M587">
        <v>61</v>
      </c>
      <c r="O587" t="s">
        <v>52</v>
      </c>
      <c r="P587" t="s">
        <v>52</v>
      </c>
      <c r="Q587" t="s">
        <v>197</v>
      </c>
      <c r="R587" t="s">
        <v>53</v>
      </c>
      <c r="S587" t="s">
        <v>116</v>
      </c>
      <c r="T587" t="s">
        <v>198</v>
      </c>
      <c r="U587" t="s">
        <v>108</v>
      </c>
    </row>
    <row r="588" spans="1:21" x14ac:dyDescent="0.3">
      <c r="A588" t="s">
        <v>377</v>
      </c>
      <c r="B588" t="s">
        <v>377</v>
      </c>
      <c r="C588" t="s">
        <v>194</v>
      </c>
      <c r="D588">
        <v>1</v>
      </c>
      <c r="E588" t="s">
        <v>107</v>
      </c>
      <c r="F588">
        <v>1</v>
      </c>
      <c r="G588">
        <v>-3027</v>
      </c>
      <c r="H588">
        <v>-3027</v>
      </c>
      <c r="I588" t="s">
        <v>119</v>
      </c>
      <c r="J588" t="s">
        <v>58</v>
      </c>
      <c r="K588" t="s">
        <v>383</v>
      </c>
      <c r="L588" t="s">
        <v>384</v>
      </c>
      <c r="M588">
        <v>61</v>
      </c>
      <c r="O588" t="s">
        <v>52</v>
      </c>
      <c r="P588" t="s">
        <v>52</v>
      </c>
      <c r="Q588" t="s">
        <v>197</v>
      </c>
      <c r="R588" t="s">
        <v>53</v>
      </c>
      <c r="S588" t="s">
        <v>116</v>
      </c>
      <c r="T588" t="s">
        <v>198</v>
      </c>
      <c r="U588" t="s">
        <v>108</v>
      </c>
    </row>
    <row r="589" spans="1:21" x14ac:dyDescent="0.3">
      <c r="A589" t="s">
        <v>377</v>
      </c>
      <c r="B589" t="s">
        <v>377</v>
      </c>
      <c r="C589" t="s">
        <v>194</v>
      </c>
      <c r="D589">
        <v>1</v>
      </c>
      <c r="E589" t="s">
        <v>107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385</v>
      </c>
      <c r="L589" t="s">
        <v>379</v>
      </c>
      <c r="M589">
        <v>33</v>
      </c>
      <c r="N589">
        <v>16653</v>
      </c>
      <c r="O589" t="s">
        <v>52</v>
      </c>
      <c r="P589" t="s">
        <v>52</v>
      </c>
      <c r="Q589" t="s">
        <v>197</v>
      </c>
      <c r="R589" t="s">
        <v>53</v>
      </c>
      <c r="S589" t="s">
        <v>116</v>
      </c>
      <c r="T589" t="s">
        <v>198</v>
      </c>
      <c r="U589" t="s">
        <v>108</v>
      </c>
    </row>
    <row r="590" spans="1:21" x14ac:dyDescent="0.3">
      <c r="A590" t="s">
        <v>377</v>
      </c>
      <c r="B590" t="s">
        <v>377</v>
      </c>
      <c r="C590" t="s">
        <v>194</v>
      </c>
      <c r="D590">
        <v>1</v>
      </c>
      <c r="E590" t="s">
        <v>107</v>
      </c>
      <c r="F590">
        <v>1</v>
      </c>
      <c r="G590">
        <v>10</v>
      </c>
      <c r="H590">
        <v>10</v>
      </c>
      <c r="I590" t="s">
        <v>386</v>
      </c>
      <c r="J590" t="s">
        <v>55</v>
      </c>
      <c r="K590" t="s">
        <v>387</v>
      </c>
      <c r="L590" t="s">
        <v>382</v>
      </c>
      <c r="M590">
        <v>61</v>
      </c>
      <c r="O590" t="s">
        <v>52</v>
      </c>
      <c r="P590" t="s">
        <v>52</v>
      </c>
      <c r="Q590" t="s">
        <v>197</v>
      </c>
      <c r="R590" t="s">
        <v>53</v>
      </c>
      <c r="S590" t="s">
        <v>116</v>
      </c>
      <c r="T590" t="s">
        <v>198</v>
      </c>
      <c r="U590" t="s">
        <v>108</v>
      </c>
    </row>
    <row r="591" spans="1:21" x14ac:dyDescent="0.3">
      <c r="A591" t="s">
        <v>377</v>
      </c>
      <c r="B591" t="s">
        <v>377</v>
      </c>
      <c r="C591" t="s">
        <v>194</v>
      </c>
      <c r="D591">
        <v>1</v>
      </c>
      <c r="E591" t="s">
        <v>107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388</v>
      </c>
      <c r="L591" t="s">
        <v>379</v>
      </c>
      <c r="M591">
        <v>33</v>
      </c>
      <c r="N591">
        <v>16653</v>
      </c>
      <c r="O591" t="s">
        <v>52</v>
      </c>
      <c r="P591" t="s">
        <v>52</v>
      </c>
      <c r="Q591" t="s">
        <v>197</v>
      </c>
      <c r="R591" t="s">
        <v>53</v>
      </c>
      <c r="S591" t="s">
        <v>116</v>
      </c>
      <c r="T591" t="s">
        <v>198</v>
      </c>
      <c r="U591" t="s">
        <v>108</v>
      </c>
    </row>
    <row r="592" spans="1:21" x14ac:dyDescent="0.3">
      <c r="A592" t="s">
        <v>377</v>
      </c>
      <c r="B592" t="s">
        <v>377</v>
      </c>
      <c r="C592" t="s">
        <v>194</v>
      </c>
      <c r="D592">
        <v>2</v>
      </c>
      <c r="E592" t="s">
        <v>118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380</v>
      </c>
      <c r="L592" t="s">
        <v>379</v>
      </c>
      <c r="M592">
        <v>33</v>
      </c>
      <c r="N592">
        <v>16653</v>
      </c>
      <c r="O592" t="s">
        <v>52</v>
      </c>
      <c r="P592" t="s">
        <v>52</v>
      </c>
      <c r="Q592" t="s">
        <v>197</v>
      </c>
      <c r="R592" t="s">
        <v>53</v>
      </c>
      <c r="S592" t="s">
        <v>116</v>
      </c>
      <c r="T592" t="s">
        <v>198</v>
      </c>
      <c r="U592" t="s">
        <v>108</v>
      </c>
    </row>
    <row r="593" spans="1:21" x14ac:dyDescent="0.3">
      <c r="A593" t="s">
        <v>377</v>
      </c>
      <c r="B593" t="s">
        <v>377</v>
      </c>
      <c r="C593" t="s">
        <v>194</v>
      </c>
      <c r="D593">
        <v>2</v>
      </c>
      <c r="E593" t="s">
        <v>118</v>
      </c>
      <c r="F593">
        <v>1</v>
      </c>
      <c r="G593">
        <v>-13</v>
      </c>
      <c r="H593">
        <v>-13</v>
      </c>
      <c r="I593" t="s">
        <v>119</v>
      </c>
      <c r="J593" t="s">
        <v>58</v>
      </c>
      <c r="K593" t="s">
        <v>383</v>
      </c>
      <c r="L593" t="s">
        <v>384</v>
      </c>
      <c r="M593">
        <v>61</v>
      </c>
      <c r="O593" t="s">
        <v>52</v>
      </c>
      <c r="P593" t="s">
        <v>52</v>
      </c>
      <c r="Q593" t="s">
        <v>197</v>
      </c>
      <c r="R593" t="s">
        <v>53</v>
      </c>
      <c r="S593" t="s">
        <v>116</v>
      </c>
      <c r="T593" t="s">
        <v>198</v>
      </c>
      <c r="U593" t="s">
        <v>108</v>
      </c>
    </row>
    <row r="594" spans="1:21" x14ac:dyDescent="0.3">
      <c r="A594" t="s">
        <v>377</v>
      </c>
      <c r="B594" t="s">
        <v>377</v>
      </c>
      <c r="C594" t="s">
        <v>194</v>
      </c>
      <c r="D594">
        <v>2</v>
      </c>
      <c r="E594" t="s">
        <v>118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385</v>
      </c>
      <c r="L594" t="s">
        <v>379</v>
      </c>
      <c r="M594">
        <v>33</v>
      </c>
      <c r="N594">
        <v>16653</v>
      </c>
      <c r="O594" t="s">
        <v>52</v>
      </c>
      <c r="P594" t="s">
        <v>52</v>
      </c>
      <c r="Q594" t="s">
        <v>197</v>
      </c>
      <c r="R594" t="s">
        <v>53</v>
      </c>
      <c r="S594" t="s">
        <v>116</v>
      </c>
      <c r="T594" t="s">
        <v>198</v>
      </c>
      <c r="U594" t="s">
        <v>108</v>
      </c>
    </row>
    <row r="595" spans="1:21" x14ac:dyDescent="0.3">
      <c r="A595" t="s">
        <v>377</v>
      </c>
      <c r="B595" t="s">
        <v>377</v>
      </c>
      <c r="C595" t="s">
        <v>194</v>
      </c>
      <c r="D595">
        <v>2</v>
      </c>
      <c r="E595" t="s">
        <v>118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388</v>
      </c>
      <c r="L595" t="s">
        <v>379</v>
      </c>
      <c r="M595">
        <v>33</v>
      </c>
      <c r="N595">
        <v>16653</v>
      </c>
      <c r="O595" t="s">
        <v>52</v>
      </c>
      <c r="P595" t="s">
        <v>52</v>
      </c>
      <c r="Q595" t="s">
        <v>197</v>
      </c>
      <c r="R595" t="s">
        <v>53</v>
      </c>
      <c r="S595" t="s">
        <v>116</v>
      </c>
      <c r="T595" t="s">
        <v>198</v>
      </c>
      <c r="U595" t="s">
        <v>108</v>
      </c>
    </row>
    <row r="596" spans="1:21" x14ac:dyDescent="0.3">
      <c r="A596" t="s">
        <v>377</v>
      </c>
      <c r="B596" t="s">
        <v>377</v>
      </c>
      <c r="C596" t="s">
        <v>194</v>
      </c>
      <c r="D596">
        <v>2</v>
      </c>
      <c r="E596" t="s">
        <v>118</v>
      </c>
      <c r="F596">
        <v>1</v>
      </c>
      <c r="G596">
        <v>-6</v>
      </c>
      <c r="H596">
        <v>-6</v>
      </c>
      <c r="I596" t="s">
        <v>117</v>
      </c>
      <c r="J596" t="s">
        <v>51</v>
      </c>
      <c r="K596" t="s">
        <v>381</v>
      </c>
      <c r="L596" t="s">
        <v>382</v>
      </c>
      <c r="M596">
        <v>61</v>
      </c>
      <c r="O596" t="s">
        <v>52</v>
      </c>
      <c r="P596" t="s">
        <v>52</v>
      </c>
      <c r="Q596" t="s">
        <v>197</v>
      </c>
      <c r="R596" t="s">
        <v>53</v>
      </c>
      <c r="S596" t="s">
        <v>116</v>
      </c>
      <c r="T596" t="s">
        <v>198</v>
      </c>
      <c r="U596" t="s">
        <v>108</v>
      </c>
    </row>
    <row r="597" spans="1:21" x14ac:dyDescent="0.3">
      <c r="A597" t="s">
        <v>377</v>
      </c>
      <c r="B597" t="s">
        <v>377</v>
      </c>
      <c r="C597" t="s">
        <v>194</v>
      </c>
      <c r="D597">
        <v>2</v>
      </c>
      <c r="E597" t="s">
        <v>118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378</v>
      </c>
      <c r="L597" t="s">
        <v>379</v>
      </c>
      <c r="M597">
        <v>33</v>
      </c>
      <c r="N597">
        <v>16653</v>
      </c>
      <c r="O597" t="s">
        <v>52</v>
      </c>
      <c r="P597" t="s">
        <v>52</v>
      </c>
      <c r="Q597" t="s">
        <v>197</v>
      </c>
      <c r="R597" t="s">
        <v>53</v>
      </c>
      <c r="S597" t="s">
        <v>116</v>
      </c>
      <c r="T597" t="s">
        <v>198</v>
      </c>
      <c r="U597" t="s">
        <v>108</v>
      </c>
    </row>
    <row r="598" spans="1:21" x14ac:dyDescent="0.3">
      <c r="A598" t="s">
        <v>377</v>
      </c>
      <c r="B598" t="s">
        <v>377</v>
      </c>
      <c r="C598" t="s">
        <v>194</v>
      </c>
      <c r="D598">
        <v>3</v>
      </c>
      <c r="E598" t="s">
        <v>105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380</v>
      </c>
      <c r="L598" t="s">
        <v>379</v>
      </c>
      <c r="M598">
        <v>33</v>
      </c>
      <c r="N598">
        <v>16653</v>
      </c>
      <c r="O598" t="s">
        <v>52</v>
      </c>
      <c r="P598" t="s">
        <v>52</v>
      </c>
      <c r="Q598" t="s">
        <v>197</v>
      </c>
      <c r="R598" t="s">
        <v>53</v>
      </c>
      <c r="S598" t="s">
        <v>116</v>
      </c>
      <c r="T598" t="s">
        <v>198</v>
      </c>
      <c r="U598" t="s">
        <v>108</v>
      </c>
    </row>
    <row r="599" spans="1:21" x14ac:dyDescent="0.3">
      <c r="A599" t="s">
        <v>377</v>
      </c>
      <c r="B599" t="s">
        <v>377</v>
      </c>
      <c r="C599" t="s">
        <v>194</v>
      </c>
      <c r="D599">
        <v>3</v>
      </c>
      <c r="E599" t="s">
        <v>105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388</v>
      </c>
      <c r="L599" t="s">
        <v>379</v>
      </c>
      <c r="M599">
        <v>33</v>
      </c>
      <c r="N599">
        <v>16653</v>
      </c>
      <c r="O599" t="s">
        <v>52</v>
      </c>
      <c r="P599" t="s">
        <v>52</v>
      </c>
      <c r="Q599" t="s">
        <v>197</v>
      </c>
      <c r="R599" t="s">
        <v>53</v>
      </c>
      <c r="S599" t="s">
        <v>116</v>
      </c>
      <c r="T599" t="s">
        <v>198</v>
      </c>
      <c r="U599" t="s">
        <v>108</v>
      </c>
    </row>
    <row r="600" spans="1:21" x14ac:dyDescent="0.3">
      <c r="A600" t="s">
        <v>377</v>
      </c>
      <c r="B600" t="s">
        <v>377</v>
      </c>
      <c r="C600" t="s">
        <v>194</v>
      </c>
      <c r="D600">
        <v>3</v>
      </c>
      <c r="E600" t="s">
        <v>105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385</v>
      </c>
      <c r="L600" t="s">
        <v>379</v>
      </c>
      <c r="M600">
        <v>33</v>
      </c>
      <c r="N600">
        <v>16653</v>
      </c>
      <c r="O600" t="s">
        <v>52</v>
      </c>
      <c r="P600" t="s">
        <v>52</v>
      </c>
      <c r="Q600" t="s">
        <v>197</v>
      </c>
      <c r="R600" t="s">
        <v>53</v>
      </c>
      <c r="S600" t="s">
        <v>116</v>
      </c>
      <c r="T600" t="s">
        <v>198</v>
      </c>
      <c r="U600" t="s">
        <v>108</v>
      </c>
    </row>
    <row r="601" spans="1:21" x14ac:dyDescent="0.3">
      <c r="A601" t="s">
        <v>377</v>
      </c>
      <c r="B601" t="s">
        <v>377</v>
      </c>
      <c r="C601" t="s">
        <v>194</v>
      </c>
      <c r="D601">
        <v>3</v>
      </c>
      <c r="E601" t="s">
        <v>105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378</v>
      </c>
      <c r="L601" t="s">
        <v>379</v>
      </c>
      <c r="M601">
        <v>33</v>
      </c>
      <c r="N601">
        <v>16653</v>
      </c>
      <c r="O601" t="s">
        <v>52</v>
      </c>
      <c r="P601" t="s">
        <v>52</v>
      </c>
      <c r="Q601" t="s">
        <v>197</v>
      </c>
      <c r="R601" t="s">
        <v>53</v>
      </c>
      <c r="S601" t="s">
        <v>116</v>
      </c>
      <c r="T601" t="s">
        <v>198</v>
      </c>
      <c r="U601" t="s">
        <v>108</v>
      </c>
    </row>
    <row r="602" spans="1:21" x14ac:dyDescent="0.3">
      <c r="A602" t="s">
        <v>377</v>
      </c>
      <c r="B602" t="s">
        <v>377</v>
      </c>
      <c r="C602" t="s">
        <v>194</v>
      </c>
      <c r="D602">
        <v>3</v>
      </c>
      <c r="E602" t="s">
        <v>105</v>
      </c>
      <c r="F602">
        <v>1</v>
      </c>
      <c r="G602">
        <v>-456</v>
      </c>
      <c r="H602">
        <v>-456</v>
      </c>
      <c r="I602" t="s">
        <v>119</v>
      </c>
      <c r="J602" t="s">
        <v>58</v>
      </c>
      <c r="K602" t="s">
        <v>383</v>
      </c>
      <c r="L602" t="s">
        <v>384</v>
      </c>
      <c r="M602">
        <v>61</v>
      </c>
      <c r="O602" t="s">
        <v>52</v>
      </c>
      <c r="P602" t="s">
        <v>52</v>
      </c>
      <c r="Q602" t="s">
        <v>197</v>
      </c>
      <c r="R602" t="s">
        <v>53</v>
      </c>
      <c r="S602" t="s">
        <v>116</v>
      </c>
      <c r="T602" t="s">
        <v>198</v>
      </c>
      <c r="U602" t="s">
        <v>108</v>
      </c>
    </row>
    <row r="603" spans="1:21" x14ac:dyDescent="0.3">
      <c r="A603" t="s">
        <v>377</v>
      </c>
      <c r="B603" t="s">
        <v>377</v>
      </c>
      <c r="C603" t="s">
        <v>194</v>
      </c>
      <c r="D603">
        <v>3</v>
      </c>
      <c r="E603" t="s">
        <v>105</v>
      </c>
      <c r="F603">
        <v>1</v>
      </c>
      <c r="G603">
        <v>-189</v>
      </c>
      <c r="H603">
        <v>-189</v>
      </c>
      <c r="I603" t="s">
        <v>117</v>
      </c>
      <c r="J603" t="s">
        <v>51</v>
      </c>
      <c r="K603" t="s">
        <v>381</v>
      </c>
      <c r="L603" t="s">
        <v>382</v>
      </c>
      <c r="M603">
        <v>61</v>
      </c>
      <c r="O603" t="s">
        <v>52</v>
      </c>
      <c r="P603" t="s">
        <v>52</v>
      </c>
      <c r="Q603" t="s">
        <v>197</v>
      </c>
      <c r="R603" t="s">
        <v>53</v>
      </c>
      <c r="S603" t="s">
        <v>116</v>
      </c>
      <c r="T603" t="s">
        <v>198</v>
      </c>
      <c r="U603" t="s">
        <v>108</v>
      </c>
    </row>
    <row r="604" spans="1:21" x14ac:dyDescent="0.3">
      <c r="A604" t="s">
        <v>377</v>
      </c>
      <c r="B604" t="s">
        <v>377</v>
      </c>
      <c r="C604" t="s">
        <v>194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378</v>
      </c>
      <c r="L604" t="s">
        <v>379</v>
      </c>
      <c r="M604">
        <v>33</v>
      </c>
      <c r="N604">
        <v>16653</v>
      </c>
      <c r="O604" t="s">
        <v>52</v>
      </c>
      <c r="P604" t="s">
        <v>52</v>
      </c>
      <c r="Q604" t="s">
        <v>197</v>
      </c>
      <c r="R604" t="s">
        <v>53</v>
      </c>
      <c r="S604" t="s">
        <v>116</v>
      </c>
      <c r="T604" t="s">
        <v>198</v>
      </c>
      <c r="U604" t="s">
        <v>108</v>
      </c>
    </row>
    <row r="605" spans="1:21" x14ac:dyDescent="0.3">
      <c r="A605" t="s">
        <v>377</v>
      </c>
      <c r="B605" t="s">
        <v>377</v>
      </c>
      <c r="C605" t="s">
        <v>194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117</v>
      </c>
      <c r="J605" t="s">
        <v>51</v>
      </c>
      <c r="K605" t="s">
        <v>381</v>
      </c>
      <c r="L605" t="s">
        <v>382</v>
      </c>
      <c r="M605">
        <v>61</v>
      </c>
      <c r="O605" t="s">
        <v>52</v>
      </c>
      <c r="P605" t="s">
        <v>52</v>
      </c>
      <c r="Q605" t="s">
        <v>197</v>
      </c>
      <c r="R605" t="s">
        <v>53</v>
      </c>
      <c r="S605" t="s">
        <v>116</v>
      </c>
      <c r="T605" t="s">
        <v>198</v>
      </c>
      <c r="U605" t="s">
        <v>108</v>
      </c>
    </row>
    <row r="606" spans="1:21" x14ac:dyDescent="0.3">
      <c r="A606" t="s">
        <v>377</v>
      </c>
      <c r="B606" t="s">
        <v>377</v>
      </c>
      <c r="C606" t="s">
        <v>194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119</v>
      </c>
      <c r="J606" t="s">
        <v>58</v>
      </c>
      <c r="K606" t="s">
        <v>383</v>
      </c>
      <c r="L606" t="s">
        <v>384</v>
      </c>
      <c r="M606">
        <v>61</v>
      </c>
      <c r="O606" t="s">
        <v>52</v>
      </c>
      <c r="P606" t="s">
        <v>52</v>
      </c>
      <c r="Q606" t="s">
        <v>197</v>
      </c>
      <c r="R606" t="s">
        <v>53</v>
      </c>
      <c r="S606" t="s">
        <v>116</v>
      </c>
      <c r="T606" t="s">
        <v>198</v>
      </c>
      <c r="U606" t="s">
        <v>108</v>
      </c>
    </row>
    <row r="607" spans="1:21" x14ac:dyDescent="0.3">
      <c r="A607" t="s">
        <v>377</v>
      </c>
      <c r="B607" t="s">
        <v>377</v>
      </c>
      <c r="C607" t="s">
        <v>194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388</v>
      </c>
      <c r="L607" t="s">
        <v>379</v>
      </c>
      <c r="M607">
        <v>33</v>
      </c>
      <c r="N607">
        <v>16653</v>
      </c>
      <c r="O607" t="s">
        <v>52</v>
      </c>
      <c r="P607" t="s">
        <v>52</v>
      </c>
      <c r="Q607" t="s">
        <v>197</v>
      </c>
      <c r="R607" t="s">
        <v>53</v>
      </c>
      <c r="S607" t="s">
        <v>116</v>
      </c>
      <c r="T607" t="s">
        <v>198</v>
      </c>
      <c r="U607" t="s">
        <v>108</v>
      </c>
    </row>
    <row r="608" spans="1:21" x14ac:dyDescent="0.3">
      <c r="A608" t="s">
        <v>377</v>
      </c>
      <c r="B608" t="s">
        <v>377</v>
      </c>
      <c r="C608" t="s">
        <v>194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380</v>
      </c>
      <c r="L608" t="s">
        <v>379</v>
      </c>
      <c r="M608">
        <v>33</v>
      </c>
      <c r="N608">
        <v>16653</v>
      </c>
      <c r="O608" t="s">
        <v>52</v>
      </c>
      <c r="P608" t="s">
        <v>52</v>
      </c>
      <c r="Q608" t="s">
        <v>197</v>
      </c>
      <c r="R608" t="s">
        <v>53</v>
      </c>
      <c r="S608" t="s">
        <v>116</v>
      </c>
      <c r="T608" t="s">
        <v>198</v>
      </c>
      <c r="U608" t="s">
        <v>108</v>
      </c>
    </row>
    <row r="609" spans="1:21" x14ac:dyDescent="0.3">
      <c r="A609" t="s">
        <v>377</v>
      </c>
      <c r="B609" t="s">
        <v>377</v>
      </c>
      <c r="C609" t="s">
        <v>194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385</v>
      </c>
      <c r="L609" t="s">
        <v>379</v>
      </c>
      <c r="M609">
        <v>33</v>
      </c>
      <c r="N609">
        <v>16653</v>
      </c>
      <c r="O609" t="s">
        <v>52</v>
      </c>
      <c r="P609" t="s">
        <v>52</v>
      </c>
      <c r="Q609" t="s">
        <v>197</v>
      </c>
      <c r="R609" t="s">
        <v>53</v>
      </c>
      <c r="S609" t="s">
        <v>116</v>
      </c>
      <c r="T609" t="s">
        <v>198</v>
      </c>
      <c r="U609" t="s">
        <v>108</v>
      </c>
    </row>
    <row r="610" spans="1:21" x14ac:dyDescent="0.3">
      <c r="A610" t="s">
        <v>377</v>
      </c>
      <c r="B610" t="s">
        <v>377</v>
      </c>
      <c r="C610" t="s">
        <v>194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380</v>
      </c>
      <c r="L610" t="s">
        <v>379</v>
      </c>
      <c r="M610">
        <v>33</v>
      </c>
      <c r="N610">
        <v>16653</v>
      </c>
      <c r="O610" t="s">
        <v>52</v>
      </c>
      <c r="P610" t="s">
        <v>52</v>
      </c>
      <c r="Q610" t="s">
        <v>197</v>
      </c>
      <c r="R610" t="s">
        <v>53</v>
      </c>
      <c r="S610" t="s">
        <v>116</v>
      </c>
      <c r="T610" t="s">
        <v>198</v>
      </c>
      <c r="U610" t="s">
        <v>108</v>
      </c>
    </row>
    <row r="611" spans="1:21" x14ac:dyDescent="0.3">
      <c r="A611" t="s">
        <v>377</v>
      </c>
      <c r="B611" t="s">
        <v>377</v>
      </c>
      <c r="C611" t="s">
        <v>194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385</v>
      </c>
      <c r="L611" t="s">
        <v>379</v>
      </c>
      <c r="M611">
        <v>33</v>
      </c>
      <c r="N611">
        <v>16653</v>
      </c>
      <c r="O611" t="s">
        <v>52</v>
      </c>
      <c r="P611" t="s">
        <v>52</v>
      </c>
      <c r="Q611" t="s">
        <v>197</v>
      </c>
      <c r="R611" t="s">
        <v>53</v>
      </c>
      <c r="S611" t="s">
        <v>116</v>
      </c>
      <c r="T611" t="s">
        <v>198</v>
      </c>
      <c r="U611" t="s">
        <v>108</v>
      </c>
    </row>
    <row r="612" spans="1:21" x14ac:dyDescent="0.3">
      <c r="A612" t="s">
        <v>377</v>
      </c>
      <c r="B612" t="s">
        <v>377</v>
      </c>
      <c r="C612" t="s">
        <v>194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117</v>
      </c>
      <c r="J612" t="s">
        <v>51</v>
      </c>
      <c r="K612" t="s">
        <v>381</v>
      </c>
      <c r="L612" t="s">
        <v>382</v>
      </c>
      <c r="M612">
        <v>61</v>
      </c>
      <c r="O612" t="s">
        <v>52</v>
      </c>
      <c r="P612" t="s">
        <v>52</v>
      </c>
      <c r="Q612" t="s">
        <v>197</v>
      </c>
      <c r="R612" t="s">
        <v>53</v>
      </c>
      <c r="S612" t="s">
        <v>116</v>
      </c>
      <c r="T612" t="s">
        <v>198</v>
      </c>
      <c r="U612" t="s">
        <v>108</v>
      </c>
    </row>
    <row r="613" spans="1:21" x14ac:dyDescent="0.3">
      <c r="A613" t="s">
        <v>377</v>
      </c>
      <c r="B613" t="s">
        <v>377</v>
      </c>
      <c r="C613" t="s">
        <v>194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378</v>
      </c>
      <c r="L613" t="s">
        <v>379</v>
      </c>
      <c r="M613">
        <v>33</v>
      </c>
      <c r="N613">
        <v>16653</v>
      </c>
      <c r="O613" t="s">
        <v>52</v>
      </c>
      <c r="P613" t="s">
        <v>52</v>
      </c>
      <c r="Q613" t="s">
        <v>197</v>
      </c>
      <c r="R613" t="s">
        <v>53</v>
      </c>
      <c r="S613" t="s">
        <v>116</v>
      </c>
      <c r="T613" t="s">
        <v>198</v>
      </c>
      <c r="U613" t="s">
        <v>108</v>
      </c>
    </row>
    <row r="614" spans="1:21" x14ac:dyDescent="0.3">
      <c r="A614" t="s">
        <v>377</v>
      </c>
      <c r="B614" t="s">
        <v>377</v>
      </c>
      <c r="C614" t="s">
        <v>194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119</v>
      </c>
      <c r="J614" t="s">
        <v>58</v>
      </c>
      <c r="K614" t="s">
        <v>383</v>
      </c>
      <c r="L614" t="s">
        <v>384</v>
      </c>
      <c r="M614">
        <v>61</v>
      </c>
      <c r="O614" t="s">
        <v>52</v>
      </c>
      <c r="P614" t="s">
        <v>52</v>
      </c>
      <c r="Q614" t="s">
        <v>197</v>
      </c>
      <c r="R614" t="s">
        <v>53</v>
      </c>
      <c r="S614" t="s">
        <v>116</v>
      </c>
      <c r="T614" t="s">
        <v>198</v>
      </c>
      <c r="U614" t="s">
        <v>108</v>
      </c>
    </row>
    <row r="615" spans="1:21" x14ac:dyDescent="0.3">
      <c r="A615" t="s">
        <v>377</v>
      </c>
      <c r="B615" t="s">
        <v>377</v>
      </c>
      <c r="C615" t="s">
        <v>194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388</v>
      </c>
      <c r="L615" t="s">
        <v>379</v>
      </c>
      <c r="M615">
        <v>33</v>
      </c>
      <c r="N615">
        <v>16653</v>
      </c>
      <c r="O615" t="s">
        <v>52</v>
      </c>
      <c r="P615" t="s">
        <v>52</v>
      </c>
      <c r="Q615" t="s">
        <v>197</v>
      </c>
      <c r="R615" t="s">
        <v>53</v>
      </c>
      <c r="S615" t="s">
        <v>116</v>
      </c>
      <c r="T615" t="s">
        <v>198</v>
      </c>
      <c r="U615" t="s">
        <v>108</v>
      </c>
    </row>
    <row r="616" spans="1:21" x14ac:dyDescent="0.3">
      <c r="A616" t="s">
        <v>389</v>
      </c>
      <c r="B616" t="s">
        <v>389</v>
      </c>
      <c r="C616" t="s">
        <v>194</v>
      </c>
      <c r="D616">
        <v>1</v>
      </c>
      <c r="E616" t="s">
        <v>107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390</v>
      </c>
      <c r="L616" t="s">
        <v>391</v>
      </c>
      <c r="M616">
        <v>33</v>
      </c>
      <c r="N616">
        <v>16938</v>
      </c>
      <c r="O616" t="s">
        <v>52</v>
      </c>
      <c r="P616" t="s">
        <v>52</v>
      </c>
      <c r="Q616" t="s">
        <v>197</v>
      </c>
      <c r="R616" t="s">
        <v>53</v>
      </c>
      <c r="S616" t="s">
        <v>116</v>
      </c>
      <c r="T616" t="s">
        <v>198</v>
      </c>
      <c r="U616" t="s">
        <v>108</v>
      </c>
    </row>
    <row r="617" spans="1:21" x14ac:dyDescent="0.3">
      <c r="A617" t="s">
        <v>389</v>
      </c>
      <c r="B617" t="s">
        <v>389</v>
      </c>
      <c r="C617" t="s">
        <v>194</v>
      </c>
      <c r="D617">
        <v>1</v>
      </c>
      <c r="E617" t="s">
        <v>107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392</v>
      </c>
      <c r="L617" t="s">
        <v>391</v>
      </c>
      <c r="M617">
        <v>33</v>
      </c>
      <c r="N617">
        <v>16938</v>
      </c>
      <c r="O617" t="s">
        <v>52</v>
      </c>
      <c r="P617" t="s">
        <v>52</v>
      </c>
      <c r="Q617" t="s">
        <v>197</v>
      </c>
      <c r="R617" t="s">
        <v>53</v>
      </c>
      <c r="S617" t="s">
        <v>116</v>
      </c>
      <c r="T617" t="s">
        <v>198</v>
      </c>
      <c r="U617" t="s">
        <v>108</v>
      </c>
    </row>
    <row r="618" spans="1:21" x14ac:dyDescent="0.3">
      <c r="A618" t="s">
        <v>389</v>
      </c>
      <c r="B618" t="s">
        <v>389</v>
      </c>
      <c r="C618" t="s">
        <v>194</v>
      </c>
      <c r="D618">
        <v>1</v>
      </c>
      <c r="E618" t="s">
        <v>107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393</v>
      </c>
      <c r="L618" t="s">
        <v>391</v>
      </c>
      <c r="M618">
        <v>33</v>
      </c>
      <c r="N618">
        <v>16938</v>
      </c>
      <c r="O618" t="s">
        <v>52</v>
      </c>
      <c r="P618" t="s">
        <v>52</v>
      </c>
      <c r="Q618" t="s">
        <v>197</v>
      </c>
      <c r="R618" t="s">
        <v>53</v>
      </c>
      <c r="S618" t="s">
        <v>116</v>
      </c>
      <c r="T618" t="s">
        <v>198</v>
      </c>
      <c r="U618" t="s">
        <v>108</v>
      </c>
    </row>
    <row r="619" spans="1:21" x14ac:dyDescent="0.3">
      <c r="A619" t="s">
        <v>389</v>
      </c>
      <c r="B619" t="s">
        <v>389</v>
      </c>
      <c r="C619" t="s">
        <v>194</v>
      </c>
      <c r="D619">
        <v>1</v>
      </c>
      <c r="E619" t="s">
        <v>107</v>
      </c>
      <c r="F619">
        <v>1</v>
      </c>
      <c r="G619">
        <v>882</v>
      </c>
      <c r="H619">
        <v>882</v>
      </c>
      <c r="I619" t="s">
        <v>117</v>
      </c>
      <c r="J619" t="s">
        <v>51</v>
      </c>
      <c r="K619" t="s">
        <v>394</v>
      </c>
      <c r="L619" t="s">
        <v>395</v>
      </c>
      <c r="M619">
        <v>33</v>
      </c>
      <c r="O619" t="s">
        <v>52</v>
      </c>
      <c r="P619" t="s">
        <v>52</v>
      </c>
      <c r="Q619" t="s">
        <v>197</v>
      </c>
      <c r="R619" t="s">
        <v>53</v>
      </c>
      <c r="S619" t="s">
        <v>116</v>
      </c>
      <c r="T619" t="s">
        <v>198</v>
      </c>
      <c r="U619" t="s">
        <v>108</v>
      </c>
    </row>
    <row r="620" spans="1:21" x14ac:dyDescent="0.3">
      <c r="A620" t="s">
        <v>389</v>
      </c>
      <c r="B620" t="s">
        <v>389</v>
      </c>
      <c r="C620" t="s">
        <v>194</v>
      </c>
      <c r="D620">
        <v>1</v>
      </c>
      <c r="E620" t="s">
        <v>107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396</v>
      </c>
      <c r="L620" t="s">
        <v>391</v>
      </c>
      <c r="M620">
        <v>33</v>
      </c>
      <c r="N620">
        <v>16938</v>
      </c>
      <c r="O620" t="s">
        <v>52</v>
      </c>
      <c r="P620" t="s">
        <v>52</v>
      </c>
      <c r="Q620" t="s">
        <v>197</v>
      </c>
      <c r="R620" t="s">
        <v>53</v>
      </c>
      <c r="S620" t="s">
        <v>116</v>
      </c>
      <c r="T620" t="s">
        <v>198</v>
      </c>
      <c r="U620" t="s">
        <v>108</v>
      </c>
    </row>
    <row r="621" spans="1:21" x14ac:dyDescent="0.3">
      <c r="A621" t="s">
        <v>389</v>
      </c>
      <c r="B621" t="s">
        <v>389</v>
      </c>
      <c r="C621" t="s">
        <v>194</v>
      </c>
      <c r="D621">
        <v>2</v>
      </c>
      <c r="E621" t="s">
        <v>118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393</v>
      </c>
      <c r="L621" t="s">
        <v>391</v>
      </c>
      <c r="M621">
        <v>33</v>
      </c>
      <c r="N621">
        <v>16938</v>
      </c>
      <c r="O621" t="s">
        <v>52</v>
      </c>
      <c r="P621" t="s">
        <v>52</v>
      </c>
      <c r="Q621" t="s">
        <v>197</v>
      </c>
      <c r="R621" t="s">
        <v>53</v>
      </c>
      <c r="S621" t="s">
        <v>116</v>
      </c>
      <c r="T621" t="s">
        <v>198</v>
      </c>
      <c r="U621" t="s">
        <v>108</v>
      </c>
    </row>
    <row r="622" spans="1:21" x14ac:dyDescent="0.3">
      <c r="A622" t="s">
        <v>389</v>
      </c>
      <c r="B622" t="s">
        <v>389</v>
      </c>
      <c r="C622" t="s">
        <v>194</v>
      </c>
      <c r="D622">
        <v>2</v>
      </c>
      <c r="E622" t="s">
        <v>118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392</v>
      </c>
      <c r="L622" t="s">
        <v>391</v>
      </c>
      <c r="M622">
        <v>33</v>
      </c>
      <c r="N622">
        <v>16938</v>
      </c>
      <c r="O622" t="s">
        <v>52</v>
      </c>
      <c r="P622" t="s">
        <v>52</v>
      </c>
      <c r="Q622" t="s">
        <v>197</v>
      </c>
      <c r="R622" t="s">
        <v>53</v>
      </c>
      <c r="S622" t="s">
        <v>116</v>
      </c>
      <c r="T622" t="s">
        <v>198</v>
      </c>
      <c r="U622" t="s">
        <v>108</v>
      </c>
    </row>
    <row r="623" spans="1:21" x14ac:dyDescent="0.3">
      <c r="A623" t="s">
        <v>389</v>
      </c>
      <c r="B623" t="s">
        <v>389</v>
      </c>
      <c r="C623" t="s">
        <v>194</v>
      </c>
      <c r="D623">
        <v>2</v>
      </c>
      <c r="E623" t="s">
        <v>118</v>
      </c>
      <c r="F623">
        <v>1</v>
      </c>
      <c r="G623">
        <v>4</v>
      </c>
      <c r="H623">
        <v>4</v>
      </c>
      <c r="I623" t="s">
        <v>117</v>
      </c>
      <c r="J623" t="s">
        <v>51</v>
      </c>
      <c r="K623" t="s">
        <v>394</v>
      </c>
      <c r="L623" t="s">
        <v>395</v>
      </c>
      <c r="M623">
        <v>33</v>
      </c>
      <c r="O623" t="s">
        <v>52</v>
      </c>
      <c r="P623" t="s">
        <v>52</v>
      </c>
      <c r="Q623" t="s">
        <v>197</v>
      </c>
      <c r="R623" t="s">
        <v>53</v>
      </c>
      <c r="S623" t="s">
        <v>116</v>
      </c>
      <c r="T623" t="s">
        <v>198</v>
      </c>
      <c r="U623" t="s">
        <v>108</v>
      </c>
    </row>
    <row r="624" spans="1:21" x14ac:dyDescent="0.3">
      <c r="A624" t="s">
        <v>389</v>
      </c>
      <c r="B624" t="s">
        <v>389</v>
      </c>
      <c r="C624" t="s">
        <v>194</v>
      </c>
      <c r="D624">
        <v>2</v>
      </c>
      <c r="E624" t="s">
        <v>118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390</v>
      </c>
      <c r="L624" t="s">
        <v>391</v>
      </c>
      <c r="M624">
        <v>33</v>
      </c>
      <c r="N624">
        <v>16938</v>
      </c>
      <c r="O624" t="s">
        <v>52</v>
      </c>
      <c r="P624" t="s">
        <v>52</v>
      </c>
      <c r="Q624" t="s">
        <v>197</v>
      </c>
      <c r="R624" t="s">
        <v>53</v>
      </c>
      <c r="S624" t="s">
        <v>116</v>
      </c>
      <c r="T624" t="s">
        <v>198</v>
      </c>
      <c r="U624" t="s">
        <v>108</v>
      </c>
    </row>
    <row r="625" spans="1:21" x14ac:dyDescent="0.3">
      <c r="A625" t="s">
        <v>389</v>
      </c>
      <c r="B625" t="s">
        <v>389</v>
      </c>
      <c r="C625" t="s">
        <v>194</v>
      </c>
      <c r="D625">
        <v>2</v>
      </c>
      <c r="E625" t="s">
        <v>118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396</v>
      </c>
      <c r="L625" t="s">
        <v>391</v>
      </c>
      <c r="M625">
        <v>33</v>
      </c>
      <c r="N625">
        <v>16938</v>
      </c>
      <c r="O625" t="s">
        <v>52</v>
      </c>
      <c r="P625" t="s">
        <v>52</v>
      </c>
      <c r="Q625" t="s">
        <v>197</v>
      </c>
      <c r="R625" t="s">
        <v>53</v>
      </c>
      <c r="S625" t="s">
        <v>116</v>
      </c>
      <c r="T625" t="s">
        <v>198</v>
      </c>
      <c r="U625" t="s">
        <v>108</v>
      </c>
    </row>
    <row r="626" spans="1:21" x14ac:dyDescent="0.3">
      <c r="A626" t="s">
        <v>389</v>
      </c>
      <c r="B626" t="s">
        <v>389</v>
      </c>
      <c r="C626" t="s">
        <v>194</v>
      </c>
      <c r="D626">
        <v>3</v>
      </c>
      <c r="E626" t="s">
        <v>105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390</v>
      </c>
      <c r="L626" t="s">
        <v>391</v>
      </c>
      <c r="M626">
        <v>33</v>
      </c>
      <c r="N626">
        <v>16938</v>
      </c>
      <c r="O626" t="s">
        <v>52</v>
      </c>
      <c r="P626" t="s">
        <v>52</v>
      </c>
      <c r="Q626" t="s">
        <v>197</v>
      </c>
      <c r="R626" t="s">
        <v>53</v>
      </c>
      <c r="S626" t="s">
        <v>116</v>
      </c>
      <c r="T626" t="s">
        <v>198</v>
      </c>
      <c r="U626" t="s">
        <v>108</v>
      </c>
    </row>
    <row r="627" spans="1:21" x14ac:dyDescent="0.3">
      <c r="A627" t="s">
        <v>389</v>
      </c>
      <c r="B627" t="s">
        <v>389</v>
      </c>
      <c r="C627" t="s">
        <v>194</v>
      </c>
      <c r="D627">
        <v>3</v>
      </c>
      <c r="E627" t="s">
        <v>105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392</v>
      </c>
      <c r="L627" t="s">
        <v>391</v>
      </c>
      <c r="M627">
        <v>33</v>
      </c>
      <c r="N627">
        <v>16938</v>
      </c>
      <c r="O627" t="s">
        <v>52</v>
      </c>
      <c r="P627" t="s">
        <v>52</v>
      </c>
      <c r="Q627" t="s">
        <v>197</v>
      </c>
      <c r="R627" t="s">
        <v>53</v>
      </c>
      <c r="S627" t="s">
        <v>116</v>
      </c>
      <c r="T627" t="s">
        <v>198</v>
      </c>
      <c r="U627" t="s">
        <v>108</v>
      </c>
    </row>
    <row r="628" spans="1:21" x14ac:dyDescent="0.3">
      <c r="A628" t="s">
        <v>389</v>
      </c>
      <c r="B628" t="s">
        <v>389</v>
      </c>
      <c r="C628" t="s">
        <v>194</v>
      </c>
      <c r="D628">
        <v>3</v>
      </c>
      <c r="E628" t="s">
        <v>105</v>
      </c>
      <c r="F628">
        <v>1</v>
      </c>
      <c r="G628">
        <v>128</v>
      </c>
      <c r="H628">
        <v>128</v>
      </c>
      <c r="I628" t="s">
        <v>117</v>
      </c>
      <c r="J628" t="s">
        <v>51</v>
      </c>
      <c r="K628" t="s">
        <v>394</v>
      </c>
      <c r="L628" t="s">
        <v>395</v>
      </c>
      <c r="M628">
        <v>33</v>
      </c>
      <c r="O628" t="s">
        <v>52</v>
      </c>
      <c r="P628" t="s">
        <v>52</v>
      </c>
      <c r="Q628" t="s">
        <v>197</v>
      </c>
      <c r="R628" t="s">
        <v>53</v>
      </c>
      <c r="S628" t="s">
        <v>116</v>
      </c>
      <c r="T628" t="s">
        <v>198</v>
      </c>
      <c r="U628" t="s">
        <v>108</v>
      </c>
    </row>
    <row r="629" spans="1:21" x14ac:dyDescent="0.3">
      <c r="A629" t="s">
        <v>389</v>
      </c>
      <c r="B629" t="s">
        <v>389</v>
      </c>
      <c r="C629" t="s">
        <v>194</v>
      </c>
      <c r="D629">
        <v>3</v>
      </c>
      <c r="E629" t="s">
        <v>105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396</v>
      </c>
      <c r="L629" t="s">
        <v>391</v>
      </c>
      <c r="M629">
        <v>33</v>
      </c>
      <c r="N629">
        <v>16938</v>
      </c>
      <c r="O629" t="s">
        <v>52</v>
      </c>
      <c r="P629" t="s">
        <v>52</v>
      </c>
      <c r="Q629" t="s">
        <v>197</v>
      </c>
      <c r="R629" t="s">
        <v>53</v>
      </c>
      <c r="S629" t="s">
        <v>116</v>
      </c>
      <c r="T629" t="s">
        <v>198</v>
      </c>
      <c r="U629" t="s">
        <v>108</v>
      </c>
    </row>
    <row r="630" spans="1:21" x14ac:dyDescent="0.3">
      <c r="A630" t="s">
        <v>389</v>
      </c>
      <c r="B630" t="s">
        <v>389</v>
      </c>
      <c r="C630" t="s">
        <v>194</v>
      </c>
      <c r="D630">
        <v>3</v>
      </c>
      <c r="E630" t="s">
        <v>105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393</v>
      </c>
      <c r="L630" t="s">
        <v>391</v>
      </c>
      <c r="M630">
        <v>33</v>
      </c>
      <c r="N630">
        <v>16938</v>
      </c>
      <c r="O630" t="s">
        <v>52</v>
      </c>
      <c r="P630" t="s">
        <v>52</v>
      </c>
      <c r="Q630" t="s">
        <v>197</v>
      </c>
      <c r="R630" t="s">
        <v>53</v>
      </c>
      <c r="S630" t="s">
        <v>116</v>
      </c>
      <c r="T630" t="s">
        <v>198</v>
      </c>
      <c r="U630" t="s">
        <v>108</v>
      </c>
    </row>
    <row r="631" spans="1:21" x14ac:dyDescent="0.3">
      <c r="A631" t="s">
        <v>389</v>
      </c>
      <c r="B631" t="s">
        <v>389</v>
      </c>
      <c r="C631" t="s">
        <v>194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396</v>
      </c>
      <c r="L631" t="s">
        <v>391</v>
      </c>
      <c r="M631">
        <v>33</v>
      </c>
      <c r="N631">
        <v>16938</v>
      </c>
      <c r="O631" t="s">
        <v>52</v>
      </c>
      <c r="P631" t="s">
        <v>52</v>
      </c>
      <c r="Q631" t="s">
        <v>197</v>
      </c>
      <c r="R631" t="s">
        <v>53</v>
      </c>
      <c r="S631" t="s">
        <v>116</v>
      </c>
      <c r="T631" t="s">
        <v>198</v>
      </c>
      <c r="U631" t="s">
        <v>108</v>
      </c>
    </row>
    <row r="632" spans="1:21" x14ac:dyDescent="0.3">
      <c r="A632" t="s">
        <v>389</v>
      </c>
      <c r="B632" t="s">
        <v>389</v>
      </c>
      <c r="C632" t="s">
        <v>194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393</v>
      </c>
      <c r="L632" t="s">
        <v>391</v>
      </c>
      <c r="M632">
        <v>33</v>
      </c>
      <c r="N632">
        <v>16938</v>
      </c>
      <c r="O632" t="s">
        <v>52</v>
      </c>
      <c r="P632" t="s">
        <v>52</v>
      </c>
      <c r="Q632" t="s">
        <v>197</v>
      </c>
      <c r="R632" t="s">
        <v>53</v>
      </c>
      <c r="S632" t="s">
        <v>116</v>
      </c>
      <c r="T632" t="s">
        <v>198</v>
      </c>
      <c r="U632" t="s">
        <v>108</v>
      </c>
    </row>
    <row r="633" spans="1:21" x14ac:dyDescent="0.3">
      <c r="A633" t="s">
        <v>389</v>
      </c>
      <c r="B633" t="s">
        <v>389</v>
      </c>
      <c r="C633" t="s">
        <v>194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392</v>
      </c>
      <c r="L633" t="s">
        <v>391</v>
      </c>
      <c r="M633">
        <v>33</v>
      </c>
      <c r="N633">
        <v>16938</v>
      </c>
      <c r="O633" t="s">
        <v>52</v>
      </c>
      <c r="P633" t="s">
        <v>52</v>
      </c>
      <c r="Q633" t="s">
        <v>197</v>
      </c>
      <c r="R633" t="s">
        <v>53</v>
      </c>
      <c r="S633" t="s">
        <v>116</v>
      </c>
      <c r="T633" t="s">
        <v>198</v>
      </c>
      <c r="U633" t="s">
        <v>108</v>
      </c>
    </row>
    <row r="634" spans="1:21" x14ac:dyDescent="0.3">
      <c r="A634" t="s">
        <v>389</v>
      </c>
      <c r="B634" t="s">
        <v>389</v>
      </c>
      <c r="C634" t="s">
        <v>194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390</v>
      </c>
      <c r="L634" t="s">
        <v>391</v>
      </c>
      <c r="M634">
        <v>33</v>
      </c>
      <c r="N634">
        <v>16938</v>
      </c>
      <c r="O634" t="s">
        <v>52</v>
      </c>
      <c r="P634" t="s">
        <v>52</v>
      </c>
      <c r="Q634" t="s">
        <v>197</v>
      </c>
      <c r="R634" t="s">
        <v>53</v>
      </c>
      <c r="S634" t="s">
        <v>116</v>
      </c>
      <c r="T634" t="s">
        <v>198</v>
      </c>
      <c r="U634" t="s">
        <v>108</v>
      </c>
    </row>
    <row r="635" spans="1:21" x14ac:dyDescent="0.3">
      <c r="A635" t="s">
        <v>389</v>
      </c>
      <c r="B635" t="s">
        <v>389</v>
      </c>
      <c r="C635" t="s">
        <v>194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117</v>
      </c>
      <c r="J635" t="s">
        <v>51</v>
      </c>
      <c r="K635" t="s">
        <v>394</v>
      </c>
      <c r="L635" t="s">
        <v>395</v>
      </c>
      <c r="M635">
        <v>33</v>
      </c>
      <c r="O635" t="s">
        <v>52</v>
      </c>
      <c r="P635" t="s">
        <v>52</v>
      </c>
      <c r="Q635" t="s">
        <v>197</v>
      </c>
      <c r="R635" t="s">
        <v>53</v>
      </c>
      <c r="S635" t="s">
        <v>116</v>
      </c>
      <c r="T635" t="s">
        <v>198</v>
      </c>
      <c r="U635" t="s">
        <v>108</v>
      </c>
    </row>
    <row r="636" spans="1:21" x14ac:dyDescent="0.3">
      <c r="A636" t="s">
        <v>389</v>
      </c>
      <c r="B636" t="s">
        <v>389</v>
      </c>
      <c r="C636" t="s">
        <v>194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392</v>
      </c>
      <c r="L636" t="s">
        <v>391</v>
      </c>
      <c r="M636">
        <v>33</v>
      </c>
      <c r="N636">
        <v>16938</v>
      </c>
      <c r="O636" t="s">
        <v>52</v>
      </c>
      <c r="P636" t="s">
        <v>52</v>
      </c>
      <c r="Q636" t="s">
        <v>197</v>
      </c>
      <c r="R636" t="s">
        <v>53</v>
      </c>
      <c r="S636" t="s">
        <v>116</v>
      </c>
      <c r="T636" t="s">
        <v>198</v>
      </c>
      <c r="U636" t="s">
        <v>108</v>
      </c>
    </row>
    <row r="637" spans="1:21" x14ac:dyDescent="0.3">
      <c r="A637" t="s">
        <v>389</v>
      </c>
      <c r="B637" t="s">
        <v>389</v>
      </c>
      <c r="C637" t="s">
        <v>194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390</v>
      </c>
      <c r="L637" t="s">
        <v>391</v>
      </c>
      <c r="M637">
        <v>33</v>
      </c>
      <c r="N637">
        <v>16938</v>
      </c>
      <c r="O637" t="s">
        <v>52</v>
      </c>
      <c r="P637" t="s">
        <v>52</v>
      </c>
      <c r="Q637" t="s">
        <v>197</v>
      </c>
      <c r="R637" t="s">
        <v>53</v>
      </c>
      <c r="S637" t="s">
        <v>116</v>
      </c>
      <c r="T637" t="s">
        <v>198</v>
      </c>
      <c r="U637" t="s">
        <v>108</v>
      </c>
    </row>
    <row r="638" spans="1:21" x14ac:dyDescent="0.3">
      <c r="A638" t="s">
        <v>389</v>
      </c>
      <c r="B638" t="s">
        <v>389</v>
      </c>
      <c r="C638" t="s">
        <v>194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117</v>
      </c>
      <c r="J638" t="s">
        <v>51</v>
      </c>
      <c r="K638" t="s">
        <v>394</v>
      </c>
      <c r="L638" t="s">
        <v>395</v>
      </c>
      <c r="M638">
        <v>33</v>
      </c>
      <c r="O638" t="s">
        <v>52</v>
      </c>
      <c r="P638" t="s">
        <v>52</v>
      </c>
      <c r="Q638" t="s">
        <v>197</v>
      </c>
      <c r="R638" t="s">
        <v>53</v>
      </c>
      <c r="S638" t="s">
        <v>116</v>
      </c>
      <c r="T638" t="s">
        <v>198</v>
      </c>
      <c r="U638" t="s">
        <v>108</v>
      </c>
    </row>
    <row r="639" spans="1:21" x14ac:dyDescent="0.3">
      <c r="A639" t="s">
        <v>389</v>
      </c>
      <c r="B639" t="s">
        <v>389</v>
      </c>
      <c r="C639" t="s">
        <v>194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396</v>
      </c>
      <c r="L639" t="s">
        <v>391</v>
      </c>
      <c r="M639">
        <v>33</v>
      </c>
      <c r="N639">
        <v>16938</v>
      </c>
      <c r="O639" t="s">
        <v>52</v>
      </c>
      <c r="P639" t="s">
        <v>52</v>
      </c>
      <c r="Q639" t="s">
        <v>197</v>
      </c>
      <c r="R639" t="s">
        <v>53</v>
      </c>
      <c r="S639" t="s">
        <v>116</v>
      </c>
      <c r="T639" t="s">
        <v>198</v>
      </c>
      <c r="U639" t="s">
        <v>108</v>
      </c>
    </row>
    <row r="640" spans="1:21" x14ac:dyDescent="0.3">
      <c r="A640" t="s">
        <v>389</v>
      </c>
      <c r="B640" t="s">
        <v>389</v>
      </c>
      <c r="C640" t="s">
        <v>194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393</v>
      </c>
      <c r="L640" t="s">
        <v>391</v>
      </c>
      <c r="M640">
        <v>33</v>
      </c>
      <c r="N640">
        <v>16938</v>
      </c>
      <c r="O640" t="s">
        <v>52</v>
      </c>
      <c r="P640" t="s">
        <v>52</v>
      </c>
      <c r="Q640" t="s">
        <v>197</v>
      </c>
      <c r="R640" t="s">
        <v>53</v>
      </c>
      <c r="S640" t="s">
        <v>116</v>
      </c>
      <c r="T640" t="s">
        <v>198</v>
      </c>
      <c r="U640" t="s">
        <v>108</v>
      </c>
    </row>
    <row r="641" spans="1:21" x14ac:dyDescent="0.3">
      <c r="A641" t="s">
        <v>397</v>
      </c>
      <c r="B641" t="s">
        <v>397</v>
      </c>
      <c r="C641" t="s">
        <v>194</v>
      </c>
      <c r="D641">
        <v>1</v>
      </c>
      <c r="E641" t="s">
        <v>107</v>
      </c>
      <c r="F641">
        <v>1</v>
      </c>
      <c r="G641">
        <v>-332</v>
      </c>
      <c r="H641">
        <v>-332</v>
      </c>
      <c r="I641" t="s">
        <v>117</v>
      </c>
      <c r="J641" t="s">
        <v>51</v>
      </c>
      <c r="K641" t="s">
        <v>398</v>
      </c>
      <c r="L641" t="s">
        <v>399</v>
      </c>
      <c r="M641">
        <v>61</v>
      </c>
      <c r="O641" t="s">
        <v>52</v>
      </c>
      <c r="P641" t="s">
        <v>52</v>
      </c>
      <c r="Q641" t="s">
        <v>197</v>
      </c>
      <c r="R641" t="s">
        <v>53</v>
      </c>
      <c r="S641" t="s">
        <v>116</v>
      </c>
      <c r="T641" t="s">
        <v>198</v>
      </c>
      <c r="U641" t="s">
        <v>108</v>
      </c>
    </row>
    <row r="642" spans="1:21" x14ac:dyDescent="0.3">
      <c r="A642" t="s">
        <v>397</v>
      </c>
      <c r="B642" t="s">
        <v>397</v>
      </c>
      <c r="C642" t="s">
        <v>194</v>
      </c>
      <c r="D642">
        <v>1</v>
      </c>
      <c r="E642" t="s">
        <v>107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400</v>
      </c>
      <c r="L642" t="s">
        <v>401</v>
      </c>
      <c r="M642">
        <v>33</v>
      </c>
      <c r="N642">
        <v>17339</v>
      </c>
      <c r="O642" t="s">
        <v>52</v>
      </c>
      <c r="P642" t="s">
        <v>52</v>
      </c>
      <c r="Q642" t="s">
        <v>197</v>
      </c>
      <c r="R642" t="s">
        <v>53</v>
      </c>
      <c r="S642" t="s">
        <v>116</v>
      </c>
      <c r="T642" t="s">
        <v>198</v>
      </c>
      <c r="U642" t="s">
        <v>108</v>
      </c>
    </row>
    <row r="643" spans="1:21" x14ac:dyDescent="0.3">
      <c r="A643" t="s">
        <v>397</v>
      </c>
      <c r="B643" t="s">
        <v>397</v>
      </c>
      <c r="C643" t="s">
        <v>194</v>
      </c>
      <c r="D643">
        <v>1</v>
      </c>
      <c r="E643" t="s">
        <v>107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402</v>
      </c>
      <c r="L643" t="s">
        <v>401</v>
      </c>
      <c r="M643">
        <v>33</v>
      </c>
      <c r="N643">
        <v>17339</v>
      </c>
      <c r="O643" t="s">
        <v>52</v>
      </c>
      <c r="P643" t="s">
        <v>52</v>
      </c>
      <c r="Q643" t="s">
        <v>197</v>
      </c>
      <c r="R643" t="s">
        <v>53</v>
      </c>
      <c r="S643" t="s">
        <v>116</v>
      </c>
      <c r="T643" t="s">
        <v>198</v>
      </c>
      <c r="U643" t="s">
        <v>108</v>
      </c>
    </row>
    <row r="644" spans="1:21" x14ac:dyDescent="0.3">
      <c r="A644" t="s">
        <v>397</v>
      </c>
      <c r="B644" t="s">
        <v>397</v>
      </c>
      <c r="C644" t="s">
        <v>194</v>
      </c>
      <c r="D644">
        <v>1</v>
      </c>
      <c r="E644" t="s">
        <v>107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403</v>
      </c>
      <c r="L644" t="s">
        <v>401</v>
      </c>
      <c r="M644">
        <v>33</v>
      </c>
      <c r="N644">
        <v>17339</v>
      </c>
      <c r="O644" t="s">
        <v>52</v>
      </c>
      <c r="P644" t="s">
        <v>52</v>
      </c>
      <c r="Q644" t="s">
        <v>197</v>
      </c>
      <c r="R644" t="s">
        <v>53</v>
      </c>
      <c r="S644" t="s">
        <v>116</v>
      </c>
      <c r="T644" t="s">
        <v>198</v>
      </c>
      <c r="U644" t="s">
        <v>108</v>
      </c>
    </row>
    <row r="645" spans="1:21" x14ac:dyDescent="0.3">
      <c r="A645" t="s">
        <v>397</v>
      </c>
      <c r="B645" t="s">
        <v>397</v>
      </c>
      <c r="C645" t="s">
        <v>194</v>
      </c>
      <c r="D645">
        <v>1</v>
      </c>
      <c r="E645" t="s">
        <v>107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404</v>
      </c>
      <c r="L645" t="s">
        <v>401</v>
      </c>
      <c r="M645">
        <v>33</v>
      </c>
      <c r="N645">
        <v>17339</v>
      </c>
      <c r="O645" t="s">
        <v>52</v>
      </c>
      <c r="P645" t="s">
        <v>52</v>
      </c>
      <c r="Q645" t="s">
        <v>197</v>
      </c>
      <c r="R645" t="s">
        <v>53</v>
      </c>
      <c r="S645" t="s">
        <v>116</v>
      </c>
      <c r="T645" t="s">
        <v>198</v>
      </c>
      <c r="U645" t="s">
        <v>108</v>
      </c>
    </row>
    <row r="646" spans="1:21" x14ac:dyDescent="0.3">
      <c r="A646" t="s">
        <v>397</v>
      </c>
      <c r="B646" t="s">
        <v>397</v>
      </c>
      <c r="C646" t="s">
        <v>194</v>
      </c>
      <c r="D646">
        <v>2</v>
      </c>
      <c r="E646" t="s">
        <v>118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400</v>
      </c>
      <c r="L646" t="s">
        <v>401</v>
      </c>
      <c r="M646">
        <v>33</v>
      </c>
      <c r="N646">
        <v>17339</v>
      </c>
      <c r="O646" t="s">
        <v>52</v>
      </c>
      <c r="P646" t="s">
        <v>52</v>
      </c>
      <c r="Q646" t="s">
        <v>197</v>
      </c>
      <c r="R646" t="s">
        <v>53</v>
      </c>
      <c r="S646" t="s">
        <v>116</v>
      </c>
      <c r="T646" t="s">
        <v>198</v>
      </c>
      <c r="U646" t="s">
        <v>108</v>
      </c>
    </row>
    <row r="647" spans="1:21" x14ac:dyDescent="0.3">
      <c r="A647" t="s">
        <v>397</v>
      </c>
      <c r="B647" t="s">
        <v>397</v>
      </c>
      <c r="C647" t="s">
        <v>194</v>
      </c>
      <c r="D647">
        <v>2</v>
      </c>
      <c r="E647" t="s">
        <v>118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402</v>
      </c>
      <c r="L647" t="s">
        <v>401</v>
      </c>
      <c r="M647">
        <v>33</v>
      </c>
      <c r="N647">
        <v>17339</v>
      </c>
      <c r="O647" t="s">
        <v>52</v>
      </c>
      <c r="P647" t="s">
        <v>52</v>
      </c>
      <c r="Q647" t="s">
        <v>197</v>
      </c>
      <c r="R647" t="s">
        <v>53</v>
      </c>
      <c r="S647" t="s">
        <v>116</v>
      </c>
      <c r="T647" t="s">
        <v>198</v>
      </c>
      <c r="U647" t="s">
        <v>108</v>
      </c>
    </row>
    <row r="648" spans="1:21" x14ac:dyDescent="0.3">
      <c r="A648" t="s">
        <v>397</v>
      </c>
      <c r="B648" t="s">
        <v>397</v>
      </c>
      <c r="C648" t="s">
        <v>194</v>
      </c>
      <c r="D648">
        <v>2</v>
      </c>
      <c r="E648" t="s">
        <v>118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403</v>
      </c>
      <c r="L648" t="s">
        <v>401</v>
      </c>
      <c r="M648">
        <v>33</v>
      </c>
      <c r="N648">
        <v>17339</v>
      </c>
      <c r="O648" t="s">
        <v>52</v>
      </c>
      <c r="P648" t="s">
        <v>52</v>
      </c>
      <c r="Q648" t="s">
        <v>197</v>
      </c>
      <c r="R648" t="s">
        <v>53</v>
      </c>
      <c r="S648" t="s">
        <v>116</v>
      </c>
      <c r="T648" t="s">
        <v>198</v>
      </c>
      <c r="U648" t="s">
        <v>108</v>
      </c>
    </row>
    <row r="649" spans="1:21" x14ac:dyDescent="0.3">
      <c r="A649" t="s">
        <v>397</v>
      </c>
      <c r="B649" t="s">
        <v>397</v>
      </c>
      <c r="C649" t="s">
        <v>194</v>
      </c>
      <c r="D649">
        <v>2</v>
      </c>
      <c r="E649" t="s">
        <v>118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404</v>
      </c>
      <c r="L649" t="s">
        <v>401</v>
      </c>
      <c r="M649">
        <v>33</v>
      </c>
      <c r="N649">
        <v>17339</v>
      </c>
      <c r="O649" t="s">
        <v>52</v>
      </c>
      <c r="P649" t="s">
        <v>52</v>
      </c>
      <c r="Q649" t="s">
        <v>197</v>
      </c>
      <c r="R649" t="s">
        <v>53</v>
      </c>
      <c r="S649" t="s">
        <v>116</v>
      </c>
      <c r="T649" t="s">
        <v>198</v>
      </c>
      <c r="U649" t="s">
        <v>108</v>
      </c>
    </row>
    <row r="650" spans="1:21" x14ac:dyDescent="0.3">
      <c r="A650" t="s">
        <v>397</v>
      </c>
      <c r="B650" t="s">
        <v>397</v>
      </c>
      <c r="C650" t="s">
        <v>194</v>
      </c>
      <c r="D650">
        <v>2</v>
      </c>
      <c r="E650" t="s">
        <v>118</v>
      </c>
      <c r="F650">
        <v>1</v>
      </c>
      <c r="G650">
        <v>-1</v>
      </c>
      <c r="H650">
        <v>-1</v>
      </c>
      <c r="I650" t="s">
        <v>117</v>
      </c>
      <c r="J650" t="s">
        <v>51</v>
      </c>
      <c r="K650" t="s">
        <v>398</v>
      </c>
      <c r="L650" t="s">
        <v>399</v>
      </c>
      <c r="M650">
        <v>61</v>
      </c>
      <c r="O650" t="s">
        <v>52</v>
      </c>
      <c r="P650" t="s">
        <v>52</v>
      </c>
      <c r="Q650" t="s">
        <v>197</v>
      </c>
      <c r="R650" t="s">
        <v>53</v>
      </c>
      <c r="S650" t="s">
        <v>116</v>
      </c>
      <c r="T650" t="s">
        <v>198</v>
      </c>
      <c r="U650" t="s">
        <v>108</v>
      </c>
    </row>
    <row r="651" spans="1:21" x14ac:dyDescent="0.3">
      <c r="A651" t="s">
        <v>397</v>
      </c>
      <c r="B651" t="s">
        <v>397</v>
      </c>
      <c r="C651" t="s">
        <v>194</v>
      </c>
      <c r="D651">
        <v>3</v>
      </c>
      <c r="E651" t="s">
        <v>105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400</v>
      </c>
      <c r="L651" t="s">
        <v>401</v>
      </c>
      <c r="M651">
        <v>33</v>
      </c>
      <c r="N651">
        <v>17339</v>
      </c>
      <c r="O651" t="s">
        <v>52</v>
      </c>
      <c r="P651" t="s">
        <v>52</v>
      </c>
      <c r="Q651" t="s">
        <v>197</v>
      </c>
      <c r="R651" t="s">
        <v>53</v>
      </c>
      <c r="S651" t="s">
        <v>116</v>
      </c>
      <c r="T651" t="s">
        <v>198</v>
      </c>
      <c r="U651" t="s">
        <v>108</v>
      </c>
    </row>
    <row r="652" spans="1:21" x14ac:dyDescent="0.3">
      <c r="A652" t="s">
        <v>397</v>
      </c>
      <c r="B652" t="s">
        <v>397</v>
      </c>
      <c r="C652" t="s">
        <v>194</v>
      </c>
      <c r="D652">
        <v>3</v>
      </c>
      <c r="E652" t="s">
        <v>105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404</v>
      </c>
      <c r="L652" t="s">
        <v>401</v>
      </c>
      <c r="M652">
        <v>33</v>
      </c>
      <c r="N652">
        <v>17339</v>
      </c>
      <c r="O652" t="s">
        <v>52</v>
      </c>
      <c r="P652" t="s">
        <v>52</v>
      </c>
      <c r="Q652" t="s">
        <v>197</v>
      </c>
      <c r="R652" t="s">
        <v>53</v>
      </c>
      <c r="S652" t="s">
        <v>116</v>
      </c>
      <c r="T652" t="s">
        <v>198</v>
      </c>
      <c r="U652" t="s">
        <v>108</v>
      </c>
    </row>
    <row r="653" spans="1:21" x14ac:dyDescent="0.3">
      <c r="A653" t="s">
        <v>397</v>
      </c>
      <c r="B653" t="s">
        <v>397</v>
      </c>
      <c r="C653" t="s">
        <v>194</v>
      </c>
      <c r="D653">
        <v>3</v>
      </c>
      <c r="E653" t="s">
        <v>105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403</v>
      </c>
      <c r="L653" t="s">
        <v>401</v>
      </c>
      <c r="M653">
        <v>33</v>
      </c>
      <c r="N653">
        <v>17339</v>
      </c>
      <c r="O653" t="s">
        <v>52</v>
      </c>
      <c r="P653" t="s">
        <v>52</v>
      </c>
      <c r="Q653" t="s">
        <v>197</v>
      </c>
      <c r="R653" t="s">
        <v>53</v>
      </c>
      <c r="S653" t="s">
        <v>116</v>
      </c>
      <c r="T653" t="s">
        <v>198</v>
      </c>
      <c r="U653" t="s">
        <v>108</v>
      </c>
    </row>
    <row r="654" spans="1:21" x14ac:dyDescent="0.3">
      <c r="A654" t="s">
        <v>397</v>
      </c>
      <c r="B654" t="s">
        <v>397</v>
      </c>
      <c r="C654" t="s">
        <v>194</v>
      </c>
      <c r="D654">
        <v>3</v>
      </c>
      <c r="E654" t="s">
        <v>105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402</v>
      </c>
      <c r="L654" t="s">
        <v>401</v>
      </c>
      <c r="M654">
        <v>33</v>
      </c>
      <c r="N654">
        <v>17339</v>
      </c>
      <c r="O654" t="s">
        <v>52</v>
      </c>
      <c r="P654" t="s">
        <v>52</v>
      </c>
      <c r="Q654" t="s">
        <v>197</v>
      </c>
      <c r="R654" t="s">
        <v>53</v>
      </c>
      <c r="S654" t="s">
        <v>116</v>
      </c>
      <c r="T654" t="s">
        <v>198</v>
      </c>
      <c r="U654" t="s">
        <v>108</v>
      </c>
    </row>
    <row r="655" spans="1:21" x14ac:dyDescent="0.3">
      <c r="A655" t="s">
        <v>397</v>
      </c>
      <c r="B655" t="s">
        <v>397</v>
      </c>
      <c r="C655" t="s">
        <v>194</v>
      </c>
      <c r="D655">
        <v>3</v>
      </c>
      <c r="E655" t="s">
        <v>105</v>
      </c>
      <c r="F655">
        <v>1</v>
      </c>
      <c r="G655">
        <v>-33</v>
      </c>
      <c r="H655">
        <v>-33</v>
      </c>
      <c r="I655" t="s">
        <v>117</v>
      </c>
      <c r="J655" t="s">
        <v>51</v>
      </c>
      <c r="K655" t="s">
        <v>398</v>
      </c>
      <c r="L655" t="s">
        <v>399</v>
      </c>
      <c r="M655">
        <v>61</v>
      </c>
      <c r="O655" t="s">
        <v>52</v>
      </c>
      <c r="P655" t="s">
        <v>52</v>
      </c>
      <c r="Q655" t="s">
        <v>197</v>
      </c>
      <c r="R655" t="s">
        <v>53</v>
      </c>
      <c r="S655" t="s">
        <v>116</v>
      </c>
      <c r="T655" t="s">
        <v>198</v>
      </c>
      <c r="U655" t="s">
        <v>108</v>
      </c>
    </row>
    <row r="656" spans="1:21" x14ac:dyDescent="0.3">
      <c r="A656" t="s">
        <v>397</v>
      </c>
      <c r="B656" t="s">
        <v>397</v>
      </c>
      <c r="C656" t="s">
        <v>194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117</v>
      </c>
      <c r="J656" t="s">
        <v>51</v>
      </c>
      <c r="K656" t="s">
        <v>398</v>
      </c>
      <c r="L656" t="s">
        <v>399</v>
      </c>
      <c r="M656">
        <v>61</v>
      </c>
      <c r="O656" t="s">
        <v>52</v>
      </c>
      <c r="P656" t="s">
        <v>52</v>
      </c>
      <c r="Q656" t="s">
        <v>197</v>
      </c>
      <c r="R656" t="s">
        <v>53</v>
      </c>
      <c r="S656" t="s">
        <v>116</v>
      </c>
      <c r="T656" t="s">
        <v>198</v>
      </c>
      <c r="U656" t="s">
        <v>108</v>
      </c>
    </row>
    <row r="657" spans="1:21" x14ac:dyDescent="0.3">
      <c r="A657" t="s">
        <v>397</v>
      </c>
      <c r="B657" t="s">
        <v>397</v>
      </c>
      <c r="C657" t="s">
        <v>194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404</v>
      </c>
      <c r="L657" t="s">
        <v>401</v>
      </c>
      <c r="M657">
        <v>33</v>
      </c>
      <c r="N657">
        <v>17339</v>
      </c>
      <c r="O657" t="s">
        <v>52</v>
      </c>
      <c r="P657" t="s">
        <v>52</v>
      </c>
      <c r="Q657" t="s">
        <v>197</v>
      </c>
      <c r="R657" t="s">
        <v>53</v>
      </c>
      <c r="S657" t="s">
        <v>116</v>
      </c>
      <c r="T657" t="s">
        <v>198</v>
      </c>
      <c r="U657" t="s">
        <v>108</v>
      </c>
    </row>
    <row r="658" spans="1:21" x14ac:dyDescent="0.3">
      <c r="A658" t="s">
        <v>397</v>
      </c>
      <c r="B658" t="s">
        <v>397</v>
      </c>
      <c r="C658" t="s">
        <v>194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403</v>
      </c>
      <c r="L658" t="s">
        <v>401</v>
      </c>
      <c r="M658">
        <v>33</v>
      </c>
      <c r="N658">
        <v>17339</v>
      </c>
      <c r="O658" t="s">
        <v>52</v>
      </c>
      <c r="P658" t="s">
        <v>52</v>
      </c>
      <c r="Q658" t="s">
        <v>197</v>
      </c>
      <c r="R658" t="s">
        <v>53</v>
      </c>
      <c r="S658" t="s">
        <v>116</v>
      </c>
      <c r="T658" t="s">
        <v>198</v>
      </c>
      <c r="U658" t="s">
        <v>108</v>
      </c>
    </row>
    <row r="659" spans="1:21" x14ac:dyDescent="0.3">
      <c r="A659" t="s">
        <v>397</v>
      </c>
      <c r="B659" t="s">
        <v>397</v>
      </c>
      <c r="C659" t="s">
        <v>194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400</v>
      </c>
      <c r="L659" t="s">
        <v>401</v>
      </c>
      <c r="M659">
        <v>33</v>
      </c>
      <c r="N659">
        <v>17339</v>
      </c>
      <c r="O659" t="s">
        <v>52</v>
      </c>
      <c r="P659" t="s">
        <v>52</v>
      </c>
      <c r="Q659" t="s">
        <v>197</v>
      </c>
      <c r="R659" t="s">
        <v>53</v>
      </c>
      <c r="S659" t="s">
        <v>116</v>
      </c>
      <c r="T659" t="s">
        <v>198</v>
      </c>
      <c r="U659" t="s">
        <v>108</v>
      </c>
    </row>
    <row r="660" spans="1:21" x14ac:dyDescent="0.3">
      <c r="A660" t="s">
        <v>397</v>
      </c>
      <c r="B660" t="s">
        <v>397</v>
      </c>
      <c r="C660" t="s">
        <v>194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402</v>
      </c>
      <c r="L660" t="s">
        <v>401</v>
      </c>
      <c r="M660">
        <v>33</v>
      </c>
      <c r="N660">
        <v>17339</v>
      </c>
      <c r="O660" t="s">
        <v>52</v>
      </c>
      <c r="P660" t="s">
        <v>52</v>
      </c>
      <c r="Q660" t="s">
        <v>197</v>
      </c>
      <c r="R660" t="s">
        <v>53</v>
      </c>
      <c r="S660" t="s">
        <v>116</v>
      </c>
      <c r="T660" t="s">
        <v>198</v>
      </c>
      <c r="U660" t="s">
        <v>108</v>
      </c>
    </row>
    <row r="661" spans="1:21" x14ac:dyDescent="0.3">
      <c r="A661" t="s">
        <v>397</v>
      </c>
      <c r="B661" t="s">
        <v>397</v>
      </c>
      <c r="C661" t="s">
        <v>194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404</v>
      </c>
      <c r="L661" t="s">
        <v>401</v>
      </c>
      <c r="M661">
        <v>33</v>
      </c>
      <c r="N661">
        <v>17339</v>
      </c>
      <c r="O661" t="s">
        <v>52</v>
      </c>
      <c r="P661" t="s">
        <v>52</v>
      </c>
      <c r="Q661" t="s">
        <v>197</v>
      </c>
      <c r="R661" t="s">
        <v>53</v>
      </c>
      <c r="S661" t="s">
        <v>116</v>
      </c>
      <c r="T661" t="s">
        <v>198</v>
      </c>
      <c r="U661" t="s">
        <v>108</v>
      </c>
    </row>
    <row r="662" spans="1:21" x14ac:dyDescent="0.3">
      <c r="A662" t="s">
        <v>397</v>
      </c>
      <c r="B662" t="s">
        <v>397</v>
      </c>
      <c r="C662" t="s">
        <v>194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403</v>
      </c>
      <c r="L662" t="s">
        <v>401</v>
      </c>
      <c r="M662">
        <v>33</v>
      </c>
      <c r="N662">
        <v>17339</v>
      </c>
      <c r="O662" t="s">
        <v>52</v>
      </c>
      <c r="P662" t="s">
        <v>52</v>
      </c>
      <c r="Q662" t="s">
        <v>197</v>
      </c>
      <c r="R662" t="s">
        <v>53</v>
      </c>
      <c r="S662" t="s">
        <v>116</v>
      </c>
      <c r="T662" t="s">
        <v>198</v>
      </c>
      <c r="U662" t="s">
        <v>108</v>
      </c>
    </row>
    <row r="663" spans="1:21" x14ac:dyDescent="0.3">
      <c r="A663" t="s">
        <v>397</v>
      </c>
      <c r="B663" t="s">
        <v>397</v>
      </c>
      <c r="C663" t="s">
        <v>194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117</v>
      </c>
      <c r="J663" t="s">
        <v>51</v>
      </c>
      <c r="K663" t="s">
        <v>398</v>
      </c>
      <c r="L663" t="s">
        <v>399</v>
      </c>
      <c r="M663">
        <v>61</v>
      </c>
      <c r="O663" t="s">
        <v>52</v>
      </c>
      <c r="P663" t="s">
        <v>52</v>
      </c>
      <c r="Q663" t="s">
        <v>197</v>
      </c>
      <c r="R663" t="s">
        <v>53</v>
      </c>
      <c r="S663" t="s">
        <v>116</v>
      </c>
      <c r="T663" t="s">
        <v>198</v>
      </c>
      <c r="U663" t="s">
        <v>108</v>
      </c>
    </row>
    <row r="664" spans="1:21" x14ac:dyDescent="0.3">
      <c r="A664" t="s">
        <v>397</v>
      </c>
      <c r="B664" t="s">
        <v>397</v>
      </c>
      <c r="C664" t="s">
        <v>194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402</v>
      </c>
      <c r="L664" t="s">
        <v>401</v>
      </c>
      <c r="M664">
        <v>33</v>
      </c>
      <c r="N664">
        <v>17339</v>
      </c>
      <c r="O664" t="s">
        <v>52</v>
      </c>
      <c r="P664" t="s">
        <v>52</v>
      </c>
      <c r="Q664" t="s">
        <v>197</v>
      </c>
      <c r="R664" t="s">
        <v>53</v>
      </c>
      <c r="S664" t="s">
        <v>116</v>
      </c>
      <c r="T664" t="s">
        <v>198</v>
      </c>
      <c r="U664" t="s">
        <v>108</v>
      </c>
    </row>
    <row r="665" spans="1:21" x14ac:dyDescent="0.3">
      <c r="A665" t="s">
        <v>397</v>
      </c>
      <c r="B665" t="s">
        <v>397</v>
      </c>
      <c r="C665" t="s">
        <v>194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400</v>
      </c>
      <c r="L665" t="s">
        <v>401</v>
      </c>
      <c r="M665">
        <v>33</v>
      </c>
      <c r="N665">
        <v>17339</v>
      </c>
      <c r="O665" t="s">
        <v>52</v>
      </c>
      <c r="P665" t="s">
        <v>52</v>
      </c>
      <c r="Q665" t="s">
        <v>197</v>
      </c>
      <c r="R665" t="s">
        <v>53</v>
      </c>
      <c r="S665" t="s">
        <v>116</v>
      </c>
      <c r="T665" t="s">
        <v>198</v>
      </c>
      <c r="U665" t="s">
        <v>108</v>
      </c>
    </row>
    <row r="666" spans="1:21" x14ac:dyDescent="0.3">
      <c r="A666" t="s">
        <v>405</v>
      </c>
      <c r="B666" t="s">
        <v>405</v>
      </c>
      <c r="C666" t="s">
        <v>194</v>
      </c>
      <c r="D666">
        <v>1</v>
      </c>
      <c r="E666" t="s">
        <v>107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406</v>
      </c>
      <c r="L666" t="s">
        <v>407</v>
      </c>
      <c r="M666">
        <v>33</v>
      </c>
      <c r="N666">
        <v>17645</v>
      </c>
      <c r="O666" t="s">
        <v>52</v>
      </c>
      <c r="P666" t="s">
        <v>52</v>
      </c>
      <c r="Q666" t="s">
        <v>197</v>
      </c>
      <c r="R666" t="s">
        <v>53</v>
      </c>
      <c r="S666" t="s">
        <v>116</v>
      </c>
      <c r="T666" t="s">
        <v>198</v>
      </c>
      <c r="U666" t="s">
        <v>108</v>
      </c>
    </row>
    <row r="667" spans="1:21" x14ac:dyDescent="0.3">
      <c r="A667" t="s">
        <v>405</v>
      </c>
      <c r="B667" t="s">
        <v>405</v>
      </c>
      <c r="C667" t="s">
        <v>194</v>
      </c>
      <c r="D667">
        <v>1</v>
      </c>
      <c r="E667" t="s">
        <v>107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408</v>
      </c>
      <c r="L667" t="s">
        <v>407</v>
      </c>
      <c r="M667">
        <v>33</v>
      </c>
      <c r="N667">
        <v>17645</v>
      </c>
      <c r="O667" t="s">
        <v>52</v>
      </c>
      <c r="P667" t="s">
        <v>52</v>
      </c>
      <c r="Q667" t="s">
        <v>197</v>
      </c>
      <c r="R667" t="s">
        <v>53</v>
      </c>
      <c r="S667" t="s">
        <v>116</v>
      </c>
      <c r="T667" t="s">
        <v>198</v>
      </c>
      <c r="U667" t="s">
        <v>108</v>
      </c>
    </row>
    <row r="668" spans="1:21" x14ac:dyDescent="0.3">
      <c r="A668" t="s">
        <v>405</v>
      </c>
      <c r="B668" t="s">
        <v>405</v>
      </c>
      <c r="C668" t="s">
        <v>194</v>
      </c>
      <c r="D668">
        <v>1</v>
      </c>
      <c r="E668" t="s">
        <v>107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409</v>
      </c>
      <c r="L668" t="s">
        <v>407</v>
      </c>
      <c r="M668">
        <v>33</v>
      </c>
      <c r="N668">
        <v>17645</v>
      </c>
      <c r="O668" t="s">
        <v>52</v>
      </c>
      <c r="P668" t="s">
        <v>52</v>
      </c>
      <c r="Q668" t="s">
        <v>197</v>
      </c>
      <c r="R668" t="s">
        <v>53</v>
      </c>
      <c r="S668" t="s">
        <v>116</v>
      </c>
      <c r="T668" t="s">
        <v>198</v>
      </c>
      <c r="U668" t="s">
        <v>108</v>
      </c>
    </row>
    <row r="669" spans="1:21" x14ac:dyDescent="0.3">
      <c r="A669" t="s">
        <v>405</v>
      </c>
      <c r="B669" t="s">
        <v>405</v>
      </c>
      <c r="C669" t="s">
        <v>194</v>
      </c>
      <c r="D669">
        <v>1</v>
      </c>
      <c r="E669" t="s">
        <v>107</v>
      </c>
      <c r="F669">
        <v>1</v>
      </c>
      <c r="G669">
        <v>1042</v>
      </c>
      <c r="H669">
        <v>1042</v>
      </c>
      <c r="I669" t="s">
        <v>117</v>
      </c>
      <c r="J669" t="s">
        <v>51</v>
      </c>
      <c r="K669" t="s">
        <v>410</v>
      </c>
      <c r="L669" t="s">
        <v>411</v>
      </c>
      <c r="M669">
        <v>33</v>
      </c>
      <c r="O669" t="s">
        <v>52</v>
      </c>
      <c r="P669" t="s">
        <v>52</v>
      </c>
      <c r="Q669" t="s">
        <v>197</v>
      </c>
      <c r="R669" t="s">
        <v>53</v>
      </c>
      <c r="S669" t="s">
        <v>116</v>
      </c>
      <c r="T669" t="s">
        <v>198</v>
      </c>
      <c r="U669" t="s">
        <v>108</v>
      </c>
    </row>
    <row r="670" spans="1:21" x14ac:dyDescent="0.3">
      <c r="A670" t="s">
        <v>405</v>
      </c>
      <c r="B670" t="s">
        <v>405</v>
      </c>
      <c r="C670" t="s">
        <v>194</v>
      </c>
      <c r="D670">
        <v>1</v>
      </c>
      <c r="E670" t="s">
        <v>107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412</v>
      </c>
      <c r="L670" t="s">
        <v>407</v>
      </c>
      <c r="M670">
        <v>33</v>
      </c>
      <c r="N670">
        <v>17645</v>
      </c>
      <c r="O670" t="s">
        <v>52</v>
      </c>
      <c r="P670" t="s">
        <v>52</v>
      </c>
      <c r="Q670" t="s">
        <v>197</v>
      </c>
      <c r="R670" t="s">
        <v>53</v>
      </c>
      <c r="S670" t="s">
        <v>116</v>
      </c>
      <c r="T670" t="s">
        <v>198</v>
      </c>
      <c r="U670" t="s">
        <v>108</v>
      </c>
    </row>
    <row r="671" spans="1:21" x14ac:dyDescent="0.3">
      <c r="A671" t="s">
        <v>405</v>
      </c>
      <c r="B671" t="s">
        <v>405</v>
      </c>
      <c r="C671" t="s">
        <v>194</v>
      </c>
      <c r="D671">
        <v>2</v>
      </c>
      <c r="E671" t="s">
        <v>118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406</v>
      </c>
      <c r="L671" t="s">
        <v>407</v>
      </c>
      <c r="M671">
        <v>33</v>
      </c>
      <c r="N671">
        <v>17645</v>
      </c>
      <c r="O671" t="s">
        <v>52</v>
      </c>
      <c r="P671" t="s">
        <v>52</v>
      </c>
      <c r="Q671" t="s">
        <v>197</v>
      </c>
      <c r="R671" t="s">
        <v>53</v>
      </c>
      <c r="S671" t="s">
        <v>116</v>
      </c>
      <c r="T671" t="s">
        <v>198</v>
      </c>
      <c r="U671" t="s">
        <v>108</v>
      </c>
    </row>
    <row r="672" spans="1:21" x14ac:dyDescent="0.3">
      <c r="A672" t="s">
        <v>405</v>
      </c>
      <c r="B672" t="s">
        <v>405</v>
      </c>
      <c r="C672" t="s">
        <v>194</v>
      </c>
      <c r="D672">
        <v>2</v>
      </c>
      <c r="E672" t="s">
        <v>118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409</v>
      </c>
      <c r="L672" t="s">
        <v>407</v>
      </c>
      <c r="M672">
        <v>33</v>
      </c>
      <c r="N672">
        <v>17645</v>
      </c>
      <c r="O672" t="s">
        <v>52</v>
      </c>
      <c r="P672" t="s">
        <v>52</v>
      </c>
      <c r="Q672" t="s">
        <v>197</v>
      </c>
      <c r="R672" t="s">
        <v>53</v>
      </c>
      <c r="S672" t="s">
        <v>116</v>
      </c>
      <c r="T672" t="s">
        <v>198</v>
      </c>
      <c r="U672" t="s">
        <v>108</v>
      </c>
    </row>
    <row r="673" spans="1:21" x14ac:dyDescent="0.3">
      <c r="A673" t="s">
        <v>405</v>
      </c>
      <c r="B673" t="s">
        <v>405</v>
      </c>
      <c r="C673" t="s">
        <v>194</v>
      </c>
      <c r="D673">
        <v>2</v>
      </c>
      <c r="E673" t="s">
        <v>118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408</v>
      </c>
      <c r="L673" t="s">
        <v>407</v>
      </c>
      <c r="M673">
        <v>33</v>
      </c>
      <c r="N673">
        <v>17645</v>
      </c>
      <c r="O673" t="s">
        <v>52</v>
      </c>
      <c r="P673" t="s">
        <v>52</v>
      </c>
      <c r="Q673" t="s">
        <v>197</v>
      </c>
      <c r="R673" t="s">
        <v>53</v>
      </c>
      <c r="S673" t="s">
        <v>116</v>
      </c>
      <c r="T673" t="s">
        <v>198</v>
      </c>
      <c r="U673" t="s">
        <v>108</v>
      </c>
    </row>
    <row r="674" spans="1:21" x14ac:dyDescent="0.3">
      <c r="A674" t="s">
        <v>405</v>
      </c>
      <c r="B674" t="s">
        <v>405</v>
      </c>
      <c r="C674" t="s">
        <v>194</v>
      </c>
      <c r="D674">
        <v>2</v>
      </c>
      <c r="E674" t="s">
        <v>118</v>
      </c>
      <c r="F674">
        <v>1</v>
      </c>
      <c r="G674">
        <v>4</v>
      </c>
      <c r="H674">
        <v>4</v>
      </c>
      <c r="I674" t="s">
        <v>117</v>
      </c>
      <c r="J674" t="s">
        <v>51</v>
      </c>
      <c r="K674" t="s">
        <v>410</v>
      </c>
      <c r="L674" t="s">
        <v>411</v>
      </c>
      <c r="M674">
        <v>33</v>
      </c>
      <c r="O674" t="s">
        <v>52</v>
      </c>
      <c r="P674" t="s">
        <v>52</v>
      </c>
      <c r="Q674" t="s">
        <v>197</v>
      </c>
      <c r="R674" t="s">
        <v>53</v>
      </c>
      <c r="S674" t="s">
        <v>116</v>
      </c>
      <c r="T674" t="s">
        <v>198</v>
      </c>
      <c r="U674" t="s">
        <v>108</v>
      </c>
    </row>
    <row r="675" spans="1:21" x14ac:dyDescent="0.3">
      <c r="A675" t="s">
        <v>405</v>
      </c>
      <c r="B675" t="s">
        <v>405</v>
      </c>
      <c r="C675" t="s">
        <v>194</v>
      </c>
      <c r="D675">
        <v>2</v>
      </c>
      <c r="E675" t="s">
        <v>118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412</v>
      </c>
      <c r="L675" t="s">
        <v>407</v>
      </c>
      <c r="M675">
        <v>33</v>
      </c>
      <c r="N675">
        <v>17645</v>
      </c>
      <c r="O675" t="s">
        <v>52</v>
      </c>
      <c r="P675" t="s">
        <v>52</v>
      </c>
      <c r="Q675" t="s">
        <v>197</v>
      </c>
      <c r="R675" t="s">
        <v>53</v>
      </c>
      <c r="S675" t="s">
        <v>116</v>
      </c>
      <c r="T675" t="s">
        <v>198</v>
      </c>
      <c r="U675" t="s">
        <v>108</v>
      </c>
    </row>
    <row r="676" spans="1:21" x14ac:dyDescent="0.3">
      <c r="A676" t="s">
        <v>405</v>
      </c>
      <c r="B676" t="s">
        <v>405</v>
      </c>
      <c r="C676" t="s">
        <v>194</v>
      </c>
      <c r="D676">
        <v>3</v>
      </c>
      <c r="E676" t="s">
        <v>105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406</v>
      </c>
      <c r="L676" t="s">
        <v>407</v>
      </c>
      <c r="M676">
        <v>33</v>
      </c>
      <c r="N676">
        <v>17645</v>
      </c>
      <c r="O676" t="s">
        <v>52</v>
      </c>
      <c r="P676" t="s">
        <v>52</v>
      </c>
      <c r="Q676" t="s">
        <v>197</v>
      </c>
      <c r="R676" t="s">
        <v>53</v>
      </c>
      <c r="S676" t="s">
        <v>116</v>
      </c>
      <c r="T676" t="s">
        <v>198</v>
      </c>
      <c r="U676" t="s">
        <v>108</v>
      </c>
    </row>
    <row r="677" spans="1:21" x14ac:dyDescent="0.3">
      <c r="A677" t="s">
        <v>405</v>
      </c>
      <c r="B677" t="s">
        <v>405</v>
      </c>
      <c r="C677" t="s">
        <v>194</v>
      </c>
      <c r="D677">
        <v>3</v>
      </c>
      <c r="E677" t="s">
        <v>105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409</v>
      </c>
      <c r="L677" t="s">
        <v>407</v>
      </c>
      <c r="M677">
        <v>33</v>
      </c>
      <c r="N677">
        <v>17645</v>
      </c>
      <c r="O677" t="s">
        <v>52</v>
      </c>
      <c r="P677" t="s">
        <v>52</v>
      </c>
      <c r="Q677" t="s">
        <v>197</v>
      </c>
      <c r="R677" t="s">
        <v>53</v>
      </c>
      <c r="S677" t="s">
        <v>116</v>
      </c>
      <c r="T677" t="s">
        <v>198</v>
      </c>
      <c r="U677" t="s">
        <v>108</v>
      </c>
    </row>
    <row r="678" spans="1:21" x14ac:dyDescent="0.3">
      <c r="A678" t="s">
        <v>405</v>
      </c>
      <c r="B678" t="s">
        <v>405</v>
      </c>
      <c r="C678" t="s">
        <v>194</v>
      </c>
      <c r="D678">
        <v>3</v>
      </c>
      <c r="E678" t="s">
        <v>105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412</v>
      </c>
      <c r="L678" t="s">
        <v>407</v>
      </c>
      <c r="M678">
        <v>33</v>
      </c>
      <c r="N678">
        <v>17645</v>
      </c>
      <c r="O678" t="s">
        <v>52</v>
      </c>
      <c r="P678" t="s">
        <v>52</v>
      </c>
      <c r="Q678" t="s">
        <v>197</v>
      </c>
      <c r="R678" t="s">
        <v>53</v>
      </c>
      <c r="S678" t="s">
        <v>116</v>
      </c>
      <c r="T678" t="s">
        <v>198</v>
      </c>
      <c r="U678" t="s">
        <v>108</v>
      </c>
    </row>
    <row r="679" spans="1:21" x14ac:dyDescent="0.3">
      <c r="A679" t="s">
        <v>405</v>
      </c>
      <c r="B679" t="s">
        <v>405</v>
      </c>
      <c r="C679" t="s">
        <v>194</v>
      </c>
      <c r="D679">
        <v>3</v>
      </c>
      <c r="E679" t="s">
        <v>105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408</v>
      </c>
      <c r="L679" t="s">
        <v>407</v>
      </c>
      <c r="M679">
        <v>33</v>
      </c>
      <c r="N679">
        <v>17645</v>
      </c>
      <c r="O679" t="s">
        <v>52</v>
      </c>
      <c r="P679" t="s">
        <v>52</v>
      </c>
      <c r="Q679" t="s">
        <v>197</v>
      </c>
      <c r="R679" t="s">
        <v>53</v>
      </c>
      <c r="S679" t="s">
        <v>116</v>
      </c>
      <c r="T679" t="s">
        <v>198</v>
      </c>
      <c r="U679" t="s">
        <v>108</v>
      </c>
    </row>
    <row r="680" spans="1:21" x14ac:dyDescent="0.3">
      <c r="A680" t="s">
        <v>405</v>
      </c>
      <c r="B680" t="s">
        <v>405</v>
      </c>
      <c r="C680" t="s">
        <v>194</v>
      </c>
      <c r="D680">
        <v>3</v>
      </c>
      <c r="E680" t="s">
        <v>105</v>
      </c>
      <c r="F680">
        <v>1</v>
      </c>
      <c r="G680">
        <v>105</v>
      </c>
      <c r="H680">
        <v>105</v>
      </c>
      <c r="I680" t="s">
        <v>117</v>
      </c>
      <c r="J680" t="s">
        <v>51</v>
      </c>
      <c r="K680" t="s">
        <v>410</v>
      </c>
      <c r="L680" t="s">
        <v>411</v>
      </c>
      <c r="M680">
        <v>33</v>
      </c>
      <c r="O680" t="s">
        <v>52</v>
      </c>
      <c r="P680" t="s">
        <v>52</v>
      </c>
      <c r="Q680" t="s">
        <v>197</v>
      </c>
      <c r="R680" t="s">
        <v>53</v>
      </c>
      <c r="S680" t="s">
        <v>116</v>
      </c>
      <c r="T680" t="s">
        <v>198</v>
      </c>
      <c r="U680" t="s">
        <v>108</v>
      </c>
    </row>
    <row r="681" spans="1:21" x14ac:dyDescent="0.3">
      <c r="A681" t="s">
        <v>405</v>
      </c>
      <c r="B681" t="s">
        <v>405</v>
      </c>
      <c r="C681" t="s">
        <v>194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117</v>
      </c>
      <c r="J681" t="s">
        <v>51</v>
      </c>
      <c r="K681" t="s">
        <v>410</v>
      </c>
      <c r="L681" t="s">
        <v>411</v>
      </c>
      <c r="M681">
        <v>33</v>
      </c>
      <c r="O681" t="s">
        <v>52</v>
      </c>
      <c r="P681" t="s">
        <v>52</v>
      </c>
      <c r="Q681" t="s">
        <v>197</v>
      </c>
      <c r="R681" t="s">
        <v>53</v>
      </c>
      <c r="S681" t="s">
        <v>116</v>
      </c>
      <c r="T681" t="s">
        <v>198</v>
      </c>
      <c r="U681" t="s">
        <v>108</v>
      </c>
    </row>
    <row r="682" spans="1:21" x14ac:dyDescent="0.3">
      <c r="A682" t="s">
        <v>405</v>
      </c>
      <c r="B682" t="s">
        <v>405</v>
      </c>
      <c r="C682" t="s">
        <v>194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408</v>
      </c>
      <c r="L682" t="s">
        <v>407</v>
      </c>
      <c r="M682">
        <v>33</v>
      </c>
      <c r="N682">
        <v>17645</v>
      </c>
      <c r="O682" t="s">
        <v>52</v>
      </c>
      <c r="P682" t="s">
        <v>52</v>
      </c>
      <c r="Q682" t="s">
        <v>197</v>
      </c>
      <c r="R682" t="s">
        <v>53</v>
      </c>
      <c r="S682" t="s">
        <v>116</v>
      </c>
      <c r="T682" t="s">
        <v>198</v>
      </c>
      <c r="U682" t="s">
        <v>108</v>
      </c>
    </row>
    <row r="683" spans="1:21" x14ac:dyDescent="0.3">
      <c r="A683" t="s">
        <v>405</v>
      </c>
      <c r="B683" t="s">
        <v>405</v>
      </c>
      <c r="C683" t="s">
        <v>194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406</v>
      </c>
      <c r="L683" t="s">
        <v>407</v>
      </c>
      <c r="M683">
        <v>33</v>
      </c>
      <c r="N683">
        <v>17645</v>
      </c>
      <c r="O683" t="s">
        <v>52</v>
      </c>
      <c r="P683" t="s">
        <v>52</v>
      </c>
      <c r="Q683" t="s">
        <v>197</v>
      </c>
      <c r="R683" t="s">
        <v>53</v>
      </c>
      <c r="S683" t="s">
        <v>116</v>
      </c>
      <c r="T683" t="s">
        <v>198</v>
      </c>
      <c r="U683" t="s">
        <v>108</v>
      </c>
    </row>
    <row r="684" spans="1:21" x14ac:dyDescent="0.3">
      <c r="A684" t="s">
        <v>405</v>
      </c>
      <c r="B684" t="s">
        <v>405</v>
      </c>
      <c r="C684" t="s">
        <v>194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412</v>
      </c>
      <c r="L684" t="s">
        <v>407</v>
      </c>
      <c r="M684">
        <v>33</v>
      </c>
      <c r="N684">
        <v>17645</v>
      </c>
      <c r="O684" t="s">
        <v>52</v>
      </c>
      <c r="P684" t="s">
        <v>52</v>
      </c>
      <c r="Q684" t="s">
        <v>197</v>
      </c>
      <c r="R684" t="s">
        <v>53</v>
      </c>
      <c r="S684" t="s">
        <v>116</v>
      </c>
      <c r="T684" t="s">
        <v>198</v>
      </c>
      <c r="U684" t="s">
        <v>108</v>
      </c>
    </row>
    <row r="685" spans="1:21" x14ac:dyDescent="0.3">
      <c r="A685" t="s">
        <v>405</v>
      </c>
      <c r="B685" t="s">
        <v>405</v>
      </c>
      <c r="C685" t="s">
        <v>194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409</v>
      </c>
      <c r="L685" t="s">
        <v>407</v>
      </c>
      <c r="M685">
        <v>33</v>
      </c>
      <c r="N685">
        <v>17645</v>
      </c>
      <c r="O685" t="s">
        <v>52</v>
      </c>
      <c r="P685" t="s">
        <v>52</v>
      </c>
      <c r="Q685" t="s">
        <v>197</v>
      </c>
      <c r="R685" t="s">
        <v>53</v>
      </c>
      <c r="S685" t="s">
        <v>116</v>
      </c>
      <c r="T685" t="s">
        <v>198</v>
      </c>
      <c r="U685" t="s">
        <v>108</v>
      </c>
    </row>
    <row r="686" spans="1:21" x14ac:dyDescent="0.3">
      <c r="A686" t="s">
        <v>405</v>
      </c>
      <c r="B686" t="s">
        <v>405</v>
      </c>
      <c r="C686" t="s">
        <v>194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117</v>
      </c>
      <c r="J686" t="s">
        <v>51</v>
      </c>
      <c r="K686" t="s">
        <v>410</v>
      </c>
      <c r="L686" t="s">
        <v>411</v>
      </c>
      <c r="M686">
        <v>33</v>
      </c>
      <c r="O686" t="s">
        <v>52</v>
      </c>
      <c r="P686" t="s">
        <v>52</v>
      </c>
      <c r="Q686" t="s">
        <v>197</v>
      </c>
      <c r="R686" t="s">
        <v>53</v>
      </c>
      <c r="S686" t="s">
        <v>116</v>
      </c>
      <c r="T686" t="s">
        <v>198</v>
      </c>
      <c r="U686" t="s">
        <v>108</v>
      </c>
    </row>
    <row r="687" spans="1:21" x14ac:dyDescent="0.3">
      <c r="A687" t="s">
        <v>405</v>
      </c>
      <c r="B687" t="s">
        <v>405</v>
      </c>
      <c r="C687" t="s">
        <v>194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408</v>
      </c>
      <c r="L687" t="s">
        <v>407</v>
      </c>
      <c r="M687">
        <v>33</v>
      </c>
      <c r="N687">
        <v>17645</v>
      </c>
      <c r="O687" t="s">
        <v>52</v>
      </c>
      <c r="P687" t="s">
        <v>52</v>
      </c>
      <c r="Q687" t="s">
        <v>197</v>
      </c>
      <c r="R687" t="s">
        <v>53</v>
      </c>
      <c r="S687" t="s">
        <v>116</v>
      </c>
      <c r="T687" t="s">
        <v>198</v>
      </c>
      <c r="U687" t="s">
        <v>108</v>
      </c>
    </row>
    <row r="688" spans="1:21" x14ac:dyDescent="0.3">
      <c r="A688" t="s">
        <v>405</v>
      </c>
      <c r="B688" t="s">
        <v>405</v>
      </c>
      <c r="C688" t="s">
        <v>194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406</v>
      </c>
      <c r="L688" t="s">
        <v>407</v>
      </c>
      <c r="M688">
        <v>33</v>
      </c>
      <c r="N688">
        <v>17645</v>
      </c>
      <c r="O688" t="s">
        <v>52</v>
      </c>
      <c r="P688" t="s">
        <v>52</v>
      </c>
      <c r="Q688" t="s">
        <v>197</v>
      </c>
      <c r="R688" t="s">
        <v>53</v>
      </c>
      <c r="S688" t="s">
        <v>116</v>
      </c>
      <c r="T688" t="s">
        <v>198</v>
      </c>
      <c r="U688" t="s">
        <v>108</v>
      </c>
    </row>
    <row r="689" spans="1:21" x14ac:dyDescent="0.3">
      <c r="A689" t="s">
        <v>405</v>
      </c>
      <c r="B689" t="s">
        <v>405</v>
      </c>
      <c r="C689" t="s">
        <v>194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412</v>
      </c>
      <c r="L689" t="s">
        <v>407</v>
      </c>
      <c r="M689">
        <v>33</v>
      </c>
      <c r="N689">
        <v>17645</v>
      </c>
      <c r="O689" t="s">
        <v>52</v>
      </c>
      <c r="P689" t="s">
        <v>52</v>
      </c>
      <c r="Q689" t="s">
        <v>197</v>
      </c>
      <c r="R689" t="s">
        <v>53</v>
      </c>
      <c r="S689" t="s">
        <v>116</v>
      </c>
      <c r="T689" t="s">
        <v>198</v>
      </c>
      <c r="U689" t="s">
        <v>108</v>
      </c>
    </row>
    <row r="690" spans="1:21" x14ac:dyDescent="0.3">
      <c r="A690" t="s">
        <v>405</v>
      </c>
      <c r="B690" t="s">
        <v>405</v>
      </c>
      <c r="C690" t="s">
        <v>194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409</v>
      </c>
      <c r="L690" t="s">
        <v>407</v>
      </c>
      <c r="M690">
        <v>33</v>
      </c>
      <c r="N690">
        <v>17645</v>
      </c>
      <c r="O690" t="s">
        <v>52</v>
      </c>
      <c r="P690" t="s">
        <v>52</v>
      </c>
      <c r="Q690" t="s">
        <v>197</v>
      </c>
      <c r="R690" t="s">
        <v>53</v>
      </c>
      <c r="S690" t="s">
        <v>116</v>
      </c>
      <c r="T690" t="s">
        <v>198</v>
      </c>
      <c r="U690" t="s">
        <v>108</v>
      </c>
    </row>
    <row r="691" spans="1:21" x14ac:dyDescent="0.3">
      <c r="A691" t="s">
        <v>413</v>
      </c>
      <c r="B691" t="s">
        <v>413</v>
      </c>
      <c r="C691" t="s">
        <v>194</v>
      </c>
      <c r="D691">
        <v>1</v>
      </c>
      <c r="E691" t="s">
        <v>107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414</v>
      </c>
      <c r="L691" t="s">
        <v>415</v>
      </c>
      <c r="M691">
        <v>33</v>
      </c>
      <c r="N691">
        <v>18264</v>
      </c>
      <c r="O691" t="s">
        <v>52</v>
      </c>
      <c r="P691" t="s">
        <v>52</v>
      </c>
      <c r="Q691" t="s">
        <v>197</v>
      </c>
      <c r="R691" t="s">
        <v>53</v>
      </c>
      <c r="S691" t="s">
        <v>116</v>
      </c>
      <c r="T691" t="s">
        <v>198</v>
      </c>
      <c r="U691" t="s">
        <v>108</v>
      </c>
    </row>
    <row r="692" spans="1:21" x14ac:dyDescent="0.3">
      <c r="A692" t="s">
        <v>413</v>
      </c>
      <c r="B692" t="s">
        <v>413</v>
      </c>
      <c r="C692" t="s">
        <v>194</v>
      </c>
      <c r="D692">
        <v>1</v>
      </c>
      <c r="E692" t="s">
        <v>107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416</v>
      </c>
      <c r="L692" t="s">
        <v>415</v>
      </c>
      <c r="M692">
        <v>33</v>
      </c>
      <c r="N692">
        <v>18264</v>
      </c>
      <c r="O692" t="s">
        <v>52</v>
      </c>
      <c r="P692" t="s">
        <v>52</v>
      </c>
      <c r="Q692" t="s">
        <v>197</v>
      </c>
      <c r="R692" t="s">
        <v>53</v>
      </c>
      <c r="S692" t="s">
        <v>116</v>
      </c>
      <c r="T692" t="s">
        <v>198</v>
      </c>
      <c r="U692" t="s">
        <v>108</v>
      </c>
    </row>
    <row r="693" spans="1:21" x14ac:dyDescent="0.3">
      <c r="A693" t="s">
        <v>413</v>
      </c>
      <c r="B693" t="s">
        <v>413</v>
      </c>
      <c r="C693" t="s">
        <v>194</v>
      </c>
      <c r="D693">
        <v>1</v>
      </c>
      <c r="E693" t="s">
        <v>107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417</v>
      </c>
      <c r="L693" t="s">
        <v>415</v>
      </c>
      <c r="M693">
        <v>33</v>
      </c>
      <c r="N693">
        <v>18264</v>
      </c>
      <c r="O693" t="s">
        <v>52</v>
      </c>
      <c r="P693" t="s">
        <v>52</v>
      </c>
      <c r="Q693" t="s">
        <v>197</v>
      </c>
      <c r="R693" t="s">
        <v>53</v>
      </c>
      <c r="S693" t="s">
        <v>116</v>
      </c>
      <c r="T693" t="s">
        <v>198</v>
      </c>
      <c r="U693" t="s">
        <v>108</v>
      </c>
    </row>
    <row r="694" spans="1:21" x14ac:dyDescent="0.3">
      <c r="A694" t="s">
        <v>413</v>
      </c>
      <c r="B694" t="s">
        <v>413</v>
      </c>
      <c r="C694" t="s">
        <v>194</v>
      </c>
      <c r="D694">
        <v>1</v>
      </c>
      <c r="E694" t="s">
        <v>107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418</v>
      </c>
      <c r="L694" t="s">
        <v>415</v>
      </c>
      <c r="M694">
        <v>33</v>
      </c>
      <c r="N694">
        <v>18264</v>
      </c>
      <c r="O694" t="s">
        <v>52</v>
      </c>
      <c r="P694" t="s">
        <v>52</v>
      </c>
      <c r="Q694" t="s">
        <v>197</v>
      </c>
      <c r="R694" t="s">
        <v>53</v>
      </c>
      <c r="S694" t="s">
        <v>116</v>
      </c>
      <c r="T694" t="s">
        <v>198</v>
      </c>
      <c r="U694" t="s">
        <v>108</v>
      </c>
    </row>
    <row r="695" spans="1:21" x14ac:dyDescent="0.3">
      <c r="A695" t="s">
        <v>413</v>
      </c>
      <c r="B695" t="s">
        <v>413</v>
      </c>
      <c r="C695" t="s">
        <v>194</v>
      </c>
      <c r="D695">
        <v>1</v>
      </c>
      <c r="E695" t="s">
        <v>107</v>
      </c>
      <c r="F695">
        <v>1</v>
      </c>
      <c r="G695">
        <v>1933</v>
      </c>
      <c r="H695">
        <v>1933</v>
      </c>
      <c r="I695" t="s">
        <v>117</v>
      </c>
      <c r="J695" t="s">
        <v>51</v>
      </c>
      <c r="K695" t="s">
        <v>419</v>
      </c>
      <c r="L695" t="s">
        <v>420</v>
      </c>
      <c r="M695">
        <v>33</v>
      </c>
      <c r="O695" t="s">
        <v>52</v>
      </c>
      <c r="P695" t="s">
        <v>52</v>
      </c>
      <c r="Q695" t="s">
        <v>197</v>
      </c>
      <c r="R695" t="s">
        <v>53</v>
      </c>
      <c r="S695" t="s">
        <v>116</v>
      </c>
      <c r="T695" t="s">
        <v>198</v>
      </c>
      <c r="U695" t="s">
        <v>108</v>
      </c>
    </row>
    <row r="696" spans="1:21" x14ac:dyDescent="0.3">
      <c r="A696" t="s">
        <v>413</v>
      </c>
      <c r="B696" t="s">
        <v>413</v>
      </c>
      <c r="C696" t="s">
        <v>194</v>
      </c>
      <c r="D696">
        <v>2</v>
      </c>
      <c r="E696" t="s">
        <v>118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417</v>
      </c>
      <c r="L696" t="s">
        <v>415</v>
      </c>
      <c r="M696">
        <v>33</v>
      </c>
      <c r="N696">
        <v>18264</v>
      </c>
      <c r="O696" t="s">
        <v>52</v>
      </c>
      <c r="P696" t="s">
        <v>52</v>
      </c>
      <c r="Q696" t="s">
        <v>197</v>
      </c>
      <c r="R696" t="s">
        <v>53</v>
      </c>
      <c r="S696" t="s">
        <v>116</v>
      </c>
      <c r="T696" t="s">
        <v>198</v>
      </c>
      <c r="U696" t="s">
        <v>108</v>
      </c>
    </row>
    <row r="697" spans="1:21" x14ac:dyDescent="0.3">
      <c r="A697" t="s">
        <v>413</v>
      </c>
      <c r="B697" t="s">
        <v>413</v>
      </c>
      <c r="C697" t="s">
        <v>194</v>
      </c>
      <c r="D697">
        <v>2</v>
      </c>
      <c r="E697" t="s">
        <v>118</v>
      </c>
      <c r="F697">
        <v>1</v>
      </c>
      <c r="G697">
        <v>6</v>
      </c>
      <c r="H697">
        <v>6</v>
      </c>
      <c r="I697" t="s">
        <v>117</v>
      </c>
      <c r="J697" t="s">
        <v>51</v>
      </c>
      <c r="K697" t="s">
        <v>419</v>
      </c>
      <c r="L697" t="s">
        <v>420</v>
      </c>
      <c r="M697">
        <v>33</v>
      </c>
      <c r="O697" t="s">
        <v>52</v>
      </c>
      <c r="P697" t="s">
        <v>52</v>
      </c>
      <c r="Q697" t="s">
        <v>197</v>
      </c>
      <c r="R697" t="s">
        <v>53</v>
      </c>
      <c r="S697" t="s">
        <v>116</v>
      </c>
      <c r="T697" t="s">
        <v>198</v>
      </c>
      <c r="U697" t="s">
        <v>108</v>
      </c>
    </row>
    <row r="698" spans="1:21" x14ac:dyDescent="0.3">
      <c r="A698" t="s">
        <v>413</v>
      </c>
      <c r="B698" t="s">
        <v>413</v>
      </c>
      <c r="C698" t="s">
        <v>194</v>
      </c>
      <c r="D698">
        <v>2</v>
      </c>
      <c r="E698" t="s">
        <v>118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416</v>
      </c>
      <c r="L698" t="s">
        <v>415</v>
      </c>
      <c r="M698">
        <v>33</v>
      </c>
      <c r="N698">
        <v>18264</v>
      </c>
      <c r="O698" t="s">
        <v>52</v>
      </c>
      <c r="P698" t="s">
        <v>52</v>
      </c>
      <c r="Q698" t="s">
        <v>197</v>
      </c>
      <c r="R698" t="s">
        <v>53</v>
      </c>
      <c r="S698" t="s">
        <v>116</v>
      </c>
      <c r="T698" t="s">
        <v>198</v>
      </c>
      <c r="U698" t="s">
        <v>108</v>
      </c>
    </row>
    <row r="699" spans="1:21" x14ac:dyDescent="0.3">
      <c r="A699" t="s">
        <v>413</v>
      </c>
      <c r="B699" t="s">
        <v>413</v>
      </c>
      <c r="C699" t="s">
        <v>194</v>
      </c>
      <c r="D699">
        <v>2</v>
      </c>
      <c r="E699" t="s">
        <v>118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418</v>
      </c>
      <c r="L699" t="s">
        <v>415</v>
      </c>
      <c r="M699">
        <v>33</v>
      </c>
      <c r="N699">
        <v>18264</v>
      </c>
      <c r="O699" t="s">
        <v>52</v>
      </c>
      <c r="P699" t="s">
        <v>52</v>
      </c>
      <c r="Q699" t="s">
        <v>197</v>
      </c>
      <c r="R699" t="s">
        <v>53</v>
      </c>
      <c r="S699" t="s">
        <v>116</v>
      </c>
      <c r="T699" t="s">
        <v>198</v>
      </c>
      <c r="U699" t="s">
        <v>108</v>
      </c>
    </row>
    <row r="700" spans="1:21" x14ac:dyDescent="0.3">
      <c r="A700" t="s">
        <v>413</v>
      </c>
      <c r="B700" t="s">
        <v>413</v>
      </c>
      <c r="C700" t="s">
        <v>194</v>
      </c>
      <c r="D700">
        <v>2</v>
      </c>
      <c r="E700" t="s">
        <v>118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414</v>
      </c>
      <c r="L700" t="s">
        <v>415</v>
      </c>
      <c r="M700">
        <v>33</v>
      </c>
      <c r="N700">
        <v>18264</v>
      </c>
      <c r="O700" t="s">
        <v>52</v>
      </c>
      <c r="P700" t="s">
        <v>52</v>
      </c>
      <c r="Q700" t="s">
        <v>197</v>
      </c>
      <c r="R700" t="s">
        <v>53</v>
      </c>
      <c r="S700" t="s">
        <v>116</v>
      </c>
      <c r="T700" t="s">
        <v>198</v>
      </c>
      <c r="U700" t="s">
        <v>108</v>
      </c>
    </row>
    <row r="701" spans="1:21" x14ac:dyDescent="0.3">
      <c r="A701" t="s">
        <v>413</v>
      </c>
      <c r="B701" t="s">
        <v>413</v>
      </c>
      <c r="C701" t="s">
        <v>194</v>
      </c>
      <c r="D701">
        <v>3</v>
      </c>
      <c r="E701" t="s">
        <v>105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418</v>
      </c>
      <c r="L701" t="s">
        <v>415</v>
      </c>
      <c r="M701">
        <v>33</v>
      </c>
      <c r="N701">
        <v>18264</v>
      </c>
      <c r="O701" t="s">
        <v>52</v>
      </c>
      <c r="P701" t="s">
        <v>52</v>
      </c>
      <c r="Q701" t="s">
        <v>197</v>
      </c>
      <c r="R701" t="s">
        <v>53</v>
      </c>
      <c r="S701" t="s">
        <v>116</v>
      </c>
      <c r="T701" t="s">
        <v>198</v>
      </c>
      <c r="U701" t="s">
        <v>108</v>
      </c>
    </row>
    <row r="702" spans="1:21" x14ac:dyDescent="0.3">
      <c r="A702" t="s">
        <v>413</v>
      </c>
      <c r="B702" t="s">
        <v>413</v>
      </c>
      <c r="C702" t="s">
        <v>194</v>
      </c>
      <c r="D702">
        <v>3</v>
      </c>
      <c r="E702" t="s">
        <v>105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417</v>
      </c>
      <c r="L702" t="s">
        <v>415</v>
      </c>
      <c r="M702">
        <v>33</v>
      </c>
      <c r="N702">
        <v>18264</v>
      </c>
      <c r="O702" t="s">
        <v>52</v>
      </c>
      <c r="P702" t="s">
        <v>52</v>
      </c>
      <c r="Q702" t="s">
        <v>197</v>
      </c>
      <c r="R702" t="s">
        <v>53</v>
      </c>
      <c r="S702" t="s">
        <v>116</v>
      </c>
      <c r="T702" t="s">
        <v>198</v>
      </c>
      <c r="U702" t="s">
        <v>108</v>
      </c>
    </row>
    <row r="703" spans="1:21" x14ac:dyDescent="0.3">
      <c r="A703" t="s">
        <v>413</v>
      </c>
      <c r="B703" t="s">
        <v>413</v>
      </c>
      <c r="C703" t="s">
        <v>194</v>
      </c>
      <c r="D703">
        <v>3</v>
      </c>
      <c r="E703" t="s">
        <v>105</v>
      </c>
      <c r="F703">
        <v>1</v>
      </c>
      <c r="G703">
        <v>196</v>
      </c>
      <c r="H703">
        <v>196</v>
      </c>
      <c r="I703" t="s">
        <v>117</v>
      </c>
      <c r="J703" t="s">
        <v>51</v>
      </c>
      <c r="K703" t="s">
        <v>419</v>
      </c>
      <c r="L703" t="s">
        <v>420</v>
      </c>
      <c r="M703">
        <v>33</v>
      </c>
      <c r="O703" t="s">
        <v>52</v>
      </c>
      <c r="P703" t="s">
        <v>52</v>
      </c>
      <c r="Q703" t="s">
        <v>197</v>
      </c>
      <c r="R703" t="s">
        <v>53</v>
      </c>
      <c r="S703" t="s">
        <v>116</v>
      </c>
      <c r="T703" t="s">
        <v>198</v>
      </c>
      <c r="U703" t="s">
        <v>108</v>
      </c>
    </row>
    <row r="704" spans="1:21" x14ac:dyDescent="0.3">
      <c r="A704" t="s">
        <v>413</v>
      </c>
      <c r="B704" t="s">
        <v>413</v>
      </c>
      <c r="C704" t="s">
        <v>194</v>
      </c>
      <c r="D704">
        <v>3</v>
      </c>
      <c r="E704" t="s">
        <v>105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414</v>
      </c>
      <c r="L704" t="s">
        <v>415</v>
      </c>
      <c r="M704">
        <v>33</v>
      </c>
      <c r="N704">
        <v>18264</v>
      </c>
      <c r="O704" t="s">
        <v>52</v>
      </c>
      <c r="P704" t="s">
        <v>52</v>
      </c>
      <c r="Q704" t="s">
        <v>197</v>
      </c>
      <c r="R704" t="s">
        <v>53</v>
      </c>
      <c r="S704" t="s">
        <v>116</v>
      </c>
      <c r="T704" t="s">
        <v>198</v>
      </c>
      <c r="U704" t="s">
        <v>108</v>
      </c>
    </row>
    <row r="705" spans="1:21" x14ac:dyDescent="0.3">
      <c r="A705" t="s">
        <v>413</v>
      </c>
      <c r="B705" t="s">
        <v>413</v>
      </c>
      <c r="C705" t="s">
        <v>194</v>
      </c>
      <c r="D705">
        <v>3</v>
      </c>
      <c r="E705" t="s">
        <v>105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416</v>
      </c>
      <c r="L705" t="s">
        <v>415</v>
      </c>
      <c r="M705">
        <v>33</v>
      </c>
      <c r="N705">
        <v>18264</v>
      </c>
      <c r="O705" t="s">
        <v>52</v>
      </c>
      <c r="P705" t="s">
        <v>52</v>
      </c>
      <c r="Q705" t="s">
        <v>197</v>
      </c>
      <c r="R705" t="s">
        <v>53</v>
      </c>
      <c r="S705" t="s">
        <v>116</v>
      </c>
      <c r="T705" t="s">
        <v>198</v>
      </c>
      <c r="U705" t="s">
        <v>108</v>
      </c>
    </row>
    <row r="706" spans="1:21" x14ac:dyDescent="0.3">
      <c r="A706" t="s">
        <v>413</v>
      </c>
      <c r="B706" t="s">
        <v>413</v>
      </c>
      <c r="C706" t="s">
        <v>194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418</v>
      </c>
      <c r="L706" t="s">
        <v>415</v>
      </c>
      <c r="M706">
        <v>33</v>
      </c>
      <c r="N706">
        <v>18264</v>
      </c>
      <c r="O706" t="s">
        <v>52</v>
      </c>
      <c r="P706" t="s">
        <v>52</v>
      </c>
      <c r="Q706" t="s">
        <v>197</v>
      </c>
      <c r="R706" t="s">
        <v>53</v>
      </c>
      <c r="S706" t="s">
        <v>116</v>
      </c>
      <c r="T706" t="s">
        <v>198</v>
      </c>
      <c r="U706" t="s">
        <v>108</v>
      </c>
    </row>
    <row r="707" spans="1:21" x14ac:dyDescent="0.3">
      <c r="A707" t="s">
        <v>413</v>
      </c>
      <c r="B707" t="s">
        <v>413</v>
      </c>
      <c r="C707" t="s">
        <v>194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416</v>
      </c>
      <c r="L707" t="s">
        <v>415</v>
      </c>
      <c r="M707">
        <v>33</v>
      </c>
      <c r="N707">
        <v>18264</v>
      </c>
      <c r="O707" t="s">
        <v>52</v>
      </c>
      <c r="P707" t="s">
        <v>52</v>
      </c>
      <c r="Q707" t="s">
        <v>197</v>
      </c>
      <c r="R707" t="s">
        <v>53</v>
      </c>
      <c r="S707" t="s">
        <v>116</v>
      </c>
      <c r="T707" t="s">
        <v>198</v>
      </c>
      <c r="U707" t="s">
        <v>108</v>
      </c>
    </row>
    <row r="708" spans="1:21" x14ac:dyDescent="0.3">
      <c r="A708" t="s">
        <v>413</v>
      </c>
      <c r="B708" t="s">
        <v>413</v>
      </c>
      <c r="C708" t="s">
        <v>194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117</v>
      </c>
      <c r="J708" t="s">
        <v>51</v>
      </c>
      <c r="K708" t="s">
        <v>419</v>
      </c>
      <c r="L708" t="s">
        <v>420</v>
      </c>
      <c r="M708">
        <v>33</v>
      </c>
      <c r="O708" t="s">
        <v>52</v>
      </c>
      <c r="P708" t="s">
        <v>52</v>
      </c>
      <c r="Q708" t="s">
        <v>197</v>
      </c>
      <c r="R708" t="s">
        <v>53</v>
      </c>
      <c r="S708" t="s">
        <v>116</v>
      </c>
      <c r="T708" t="s">
        <v>198</v>
      </c>
      <c r="U708" t="s">
        <v>108</v>
      </c>
    </row>
    <row r="709" spans="1:21" x14ac:dyDescent="0.3">
      <c r="A709" t="s">
        <v>413</v>
      </c>
      <c r="B709" t="s">
        <v>413</v>
      </c>
      <c r="C709" t="s">
        <v>194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417</v>
      </c>
      <c r="L709" t="s">
        <v>415</v>
      </c>
      <c r="M709">
        <v>33</v>
      </c>
      <c r="N709">
        <v>18264</v>
      </c>
      <c r="O709" t="s">
        <v>52</v>
      </c>
      <c r="P709" t="s">
        <v>52</v>
      </c>
      <c r="Q709" t="s">
        <v>197</v>
      </c>
      <c r="R709" t="s">
        <v>53</v>
      </c>
      <c r="S709" t="s">
        <v>116</v>
      </c>
      <c r="T709" t="s">
        <v>198</v>
      </c>
      <c r="U709" t="s">
        <v>108</v>
      </c>
    </row>
    <row r="710" spans="1:21" x14ac:dyDescent="0.3">
      <c r="A710" t="s">
        <v>413</v>
      </c>
      <c r="B710" t="s">
        <v>413</v>
      </c>
      <c r="C710" t="s">
        <v>194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414</v>
      </c>
      <c r="L710" t="s">
        <v>415</v>
      </c>
      <c r="M710">
        <v>33</v>
      </c>
      <c r="N710">
        <v>18264</v>
      </c>
      <c r="O710" t="s">
        <v>52</v>
      </c>
      <c r="P710" t="s">
        <v>52</v>
      </c>
      <c r="Q710" t="s">
        <v>197</v>
      </c>
      <c r="R710" t="s">
        <v>53</v>
      </c>
      <c r="S710" t="s">
        <v>116</v>
      </c>
      <c r="T710" t="s">
        <v>198</v>
      </c>
      <c r="U710" t="s">
        <v>108</v>
      </c>
    </row>
    <row r="711" spans="1:21" x14ac:dyDescent="0.3">
      <c r="A711" t="s">
        <v>413</v>
      </c>
      <c r="B711" t="s">
        <v>413</v>
      </c>
      <c r="C711" t="s">
        <v>194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417</v>
      </c>
      <c r="L711" t="s">
        <v>415</v>
      </c>
      <c r="M711">
        <v>33</v>
      </c>
      <c r="N711">
        <v>18264</v>
      </c>
      <c r="O711" t="s">
        <v>52</v>
      </c>
      <c r="P711" t="s">
        <v>52</v>
      </c>
      <c r="Q711" t="s">
        <v>197</v>
      </c>
      <c r="R711" t="s">
        <v>53</v>
      </c>
      <c r="S711" t="s">
        <v>116</v>
      </c>
      <c r="T711" t="s">
        <v>198</v>
      </c>
      <c r="U711" t="s">
        <v>108</v>
      </c>
    </row>
    <row r="712" spans="1:21" x14ac:dyDescent="0.3">
      <c r="A712" t="s">
        <v>413</v>
      </c>
      <c r="B712" t="s">
        <v>413</v>
      </c>
      <c r="C712" t="s">
        <v>194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418</v>
      </c>
      <c r="L712" t="s">
        <v>415</v>
      </c>
      <c r="M712">
        <v>33</v>
      </c>
      <c r="N712">
        <v>18264</v>
      </c>
      <c r="O712" t="s">
        <v>52</v>
      </c>
      <c r="P712" t="s">
        <v>52</v>
      </c>
      <c r="Q712" t="s">
        <v>197</v>
      </c>
      <c r="R712" t="s">
        <v>53</v>
      </c>
      <c r="S712" t="s">
        <v>116</v>
      </c>
      <c r="T712" t="s">
        <v>198</v>
      </c>
      <c r="U712" t="s">
        <v>108</v>
      </c>
    </row>
    <row r="713" spans="1:21" x14ac:dyDescent="0.3">
      <c r="A713" t="s">
        <v>413</v>
      </c>
      <c r="B713" t="s">
        <v>413</v>
      </c>
      <c r="C713" t="s">
        <v>194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414</v>
      </c>
      <c r="L713" t="s">
        <v>415</v>
      </c>
      <c r="M713">
        <v>33</v>
      </c>
      <c r="N713">
        <v>18264</v>
      </c>
      <c r="O713" t="s">
        <v>52</v>
      </c>
      <c r="P713" t="s">
        <v>52</v>
      </c>
      <c r="Q713" t="s">
        <v>197</v>
      </c>
      <c r="R713" t="s">
        <v>53</v>
      </c>
      <c r="S713" t="s">
        <v>116</v>
      </c>
      <c r="T713" t="s">
        <v>198</v>
      </c>
      <c r="U713" t="s">
        <v>108</v>
      </c>
    </row>
    <row r="714" spans="1:21" x14ac:dyDescent="0.3">
      <c r="A714" t="s">
        <v>413</v>
      </c>
      <c r="B714" t="s">
        <v>413</v>
      </c>
      <c r="C714" t="s">
        <v>194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416</v>
      </c>
      <c r="L714" t="s">
        <v>415</v>
      </c>
      <c r="M714">
        <v>33</v>
      </c>
      <c r="N714">
        <v>18264</v>
      </c>
      <c r="O714" t="s">
        <v>52</v>
      </c>
      <c r="P714" t="s">
        <v>52</v>
      </c>
      <c r="Q714" t="s">
        <v>197</v>
      </c>
      <c r="R714" t="s">
        <v>53</v>
      </c>
      <c r="S714" t="s">
        <v>116</v>
      </c>
      <c r="T714" t="s">
        <v>198</v>
      </c>
      <c r="U714" t="s">
        <v>108</v>
      </c>
    </row>
    <row r="715" spans="1:21" x14ac:dyDescent="0.3">
      <c r="A715" t="s">
        <v>413</v>
      </c>
      <c r="B715" t="s">
        <v>413</v>
      </c>
      <c r="C715" t="s">
        <v>194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117</v>
      </c>
      <c r="J715" t="s">
        <v>51</v>
      </c>
      <c r="K715" t="s">
        <v>419</v>
      </c>
      <c r="L715" t="s">
        <v>420</v>
      </c>
      <c r="M715">
        <v>33</v>
      </c>
      <c r="O715" t="s">
        <v>52</v>
      </c>
      <c r="P715" t="s">
        <v>52</v>
      </c>
      <c r="Q715" t="s">
        <v>197</v>
      </c>
      <c r="R715" t="s">
        <v>53</v>
      </c>
      <c r="S715" t="s">
        <v>116</v>
      </c>
      <c r="T715" t="s">
        <v>198</v>
      </c>
      <c r="U715" t="s">
        <v>108</v>
      </c>
    </row>
    <row r="716" spans="1:21" x14ac:dyDescent="0.3">
      <c r="A716" t="s">
        <v>421</v>
      </c>
      <c r="B716" t="s">
        <v>421</v>
      </c>
      <c r="C716" t="s">
        <v>194</v>
      </c>
      <c r="D716">
        <v>1</v>
      </c>
      <c r="E716" t="s">
        <v>107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422</v>
      </c>
      <c r="L716" t="s">
        <v>423</v>
      </c>
      <c r="M716">
        <v>33</v>
      </c>
      <c r="N716">
        <v>18700</v>
      </c>
      <c r="O716" t="s">
        <v>52</v>
      </c>
      <c r="P716" t="s">
        <v>52</v>
      </c>
      <c r="Q716" t="s">
        <v>197</v>
      </c>
      <c r="R716" t="s">
        <v>53</v>
      </c>
      <c r="S716" t="s">
        <v>116</v>
      </c>
      <c r="T716" t="s">
        <v>198</v>
      </c>
      <c r="U716" t="s">
        <v>108</v>
      </c>
    </row>
    <row r="717" spans="1:21" x14ac:dyDescent="0.3">
      <c r="A717" t="s">
        <v>421</v>
      </c>
      <c r="B717" t="s">
        <v>421</v>
      </c>
      <c r="C717" t="s">
        <v>194</v>
      </c>
      <c r="D717">
        <v>1</v>
      </c>
      <c r="E717" t="s">
        <v>107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424</v>
      </c>
      <c r="L717" t="s">
        <v>423</v>
      </c>
      <c r="M717">
        <v>33</v>
      </c>
      <c r="N717">
        <v>18700</v>
      </c>
      <c r="O717" t="s">
        <v>52</v>
      </c>
      <c r="P717" t="s">
        <v>52</v>
      </c>
      <c r="Q717" t="s">
        <v>197</v>
      </c>
      <c r="R717" t="s">
        <v>53</v>
      </c>
      <c r="S717" t="s">
        <v>116</v>
      </c>
      <c r="T717" t="s">
        <v>198</v>
      </c>
      <c r="U717" t="s">
        <v>108</v>
      </c>
    </row>
    <row r="718" spans="1:21" x14ac:dyDescent="0.3">
      <c r="A718" t="s">
        <v>421</v>
      </c>
      <c r="B718" t="s">
        <v>421</v>
      </c>
      <c r="C718" t="s">
        <v>194</v>
      </c>
      <c r="D718">
        <v>1</v>
      </c>
      <c r="E718" t="s">
        <v>107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425</v>
      </c>
      <c r="L718" t="s">
        <v>423</v>
      </c>
      <c r="M718">
        <v>33</v>
      </c>
      <c r="N718">
        <v>18700</v>
      </c>
      <c r="O718" t="s">
        <v>52</v>
      </c>
      <c r="P718" t="s">
        <v>52</v>
      </c>
      <c r="Q718" t="s">
        <v>197</v>
      </c>
      <c r="R718" t="s">
        <v>53</v>
      </c>
      <c r="S718" t="s">
        <v>116</v>
      </c>
      <c r="T718" t="s">
        <v>198</v>
      </c>
      <c r="U718" t="s">
        <v>108</v>
      </c>
    </row>
    <row r="719" spans="1:21" x14ac:dyDescent="0.3">
      <c r="A719" t="s">
        <v>421</v>
      </c>
      <c r="B719" t="s">
        <v>421</v>
      </c>
      <c r="C719" t="s">
        <v>194</v>
      </c>
      <c r="D719">
        <v>1</v>
      </c>
      <c r="E719" t="s">
        <v>107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426</v>
      </c>
      <c r="L719" t="s">
        <v>423</v>
      </c>
      <c r="M719">
        <v>33</v>
      </c>
      <c r="N719">
        <v>18700</v>
      </c>
      <c r="O719" t="s">
        <v>52</v>
      </c>
      <c r="P719" t="s">
        <v>52</v>
      </c>
      <c r="Q719" t="s">
        <v>197</v>
      </c>
      <c r="R719" t="s">
        <v>53</v>
      </c>
      <c r="S719" t="s">
        <v>116</v>
      </c>
      <c r="T719" t="s">
        <v>198</v>
      </c>
      <c r="U719" t="s">
        <v>108</v>
      </c>
    </row>
    <row r="720" spans="1:21" x14ac:dyDescent="0.3">
      <c r="A720" t="s">
        <v>421</v>
      </c>
      <c r="B720" t="s">
        <v>421</v>
      </c>
      <c r="C720" t="s">
        <v>194</v>
      </c>
      <c r="D720">
        <v>2</v>
      </c>
      <c r="E720" t="s">
        <v>118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424</v>
      </c>
      <c r="L720" t="s">
        <v>423</v>
      </c>
      <c r="M720">
        <v>33</v>
      </c>
      <c r="N720">
        <v>18700</v>
      </c>
      <c r="O720" t="s">
        <v>52</v>
      </c>
      <c r="P720" t="s">
        <v>52</v>
      </c>
      <c r="Q720" t="s">
        <v>197</v>
      </c>
      <c r="R720" t="s">
        <v>53</v>
      </c>
      <c r="S720" t="s">
        <v>116</v>
      </c>
      <c r="T720" t="s">
        <v>198</v>
      </c>
      <c r="U720" t="s">
        <v>108</v>
      </c>
    </row>
    <row r="721" spans="1:21" x14ac:dyDescent="0.3">
      <c r="A721" t="s">
        <v>421</v>
      </c>
      <c r="B721" t="s">
        <v>421</v>
      </c>
      <c r="C721" t="s">
        <v>194</v>
      </c>
      <c r="D721">
        <v>2</v>
      </c>
      <c r="E721" t="s">
        <v>118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425</v>
      </c>
      <c r="L721" t="s">
        <v>423</v>
      </c>
      <c r="M721">
        <v>33</v>
      </c>
      <c r="N721">
        <v>18700</v>
      </c>
      <c r="O721" t="s">
        <v>52</v>
      </c>
      <c r="P721" t="s">
        <v>52</v>
      </c>
      <c r="Q721" t="s">
        <v>197</v>
      </c>
      <c r="R721" t="s">
        <v>53</v>
      </c>
      <c r="S721" t="s">
        <v>116</v>
      </c>
      <c r="T721" t="s">
        <v>198</v>
      </c>
      <c r="U721" t="s">
        <v>108</v>
      </c>
    </row>
    <row r="722" spans="1:21" x14ac:dyDescent="0.3">
      <c r="A722" t="s">
        <v>421</v>
      </c>
      <c r="B722" t="s">
        <v>421</v>
      </c>
      <c r="C722" t="s">
        <v>194</v>
      </c>
      <c r="D722">
        <v>2</v>
      </c>
      <c r="E722" t="s">
        <v>118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426</v>
      </c>
      <c r="L722" t="s">
        <v>423</v>
      </c>
      <c r="M722">
        <v>33</v>
      </c>
      <c r="N722">
        <v>18700</v>
      </c>
      <c r="O722" t="s">
        <v>52</v>
      </c>
      <c r="P722" t="s">
        <v>52</v>
      </c>
      <c r="Q722" t="s">
        <v>197</v>
      </c>
      <c r="R722" t="s">
        <v>53</v>
      </c>
      <c r="S722" t="s">
        <v>116</v>
      </c>
      <c r="T722" t="s">
        <v>198</v>
      </c>
      <c r="U722" t="s">
        <v>108</v>
      </c>
    </row>
    <row r="723" spans="1:21" x14ac:dyDescent="0.3">
      <c r="A723" t="s">
        <v>421</v>
      </c>
      <c r="B723" t="s">
        <v>421</v>
      </c>
      <c r="C723" t="s">
        <v>194</v>
      </c>
      <c r="D723">
        <v>2</v>
      </c>
      <c r="E723" t="s">
        <v>118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422</v>
      </c>
      <c r="L723" t="s">
        <v>423</v>
      </c>
      <c r="M723">
        <v>33</v>
      </c>
      <c r="N723">
        <v>18700</v>
      </c>
      <c r="O723" t="s">
        <v>52</v>
      </c>
      <c r="P723" t="s">
        <v>52</v>
      </c>
      <c r="Q723" t="s">
        <v>197</v>
      </c>
      <c r="R723" t="s">
        <v>53</v>
      </c>
      <c r="S723" t="s">
        <v>116</v>
      </c>
      <c r="T723" t="s">
        <v>198</v>
      </c>
      <c r="U723" t="s">
        <v>108</v>
      </c>
    </row>
    <row r="724" spans="1:21" x14ac:dyDescent="0.3">
      <c r="A724" t="s">
        <v>421</v>
      </c>
      <c r="B724" t="s">
        <v>421</v>
      </c>
      <c r="C724" t="s">
        <v>194</v>
      </c>
      <c r="D724">
        <v>3</v>
      </c>
      <c r="E724" t="s">
        <v>105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426</v>
      </c>
      <c r="L724" t="s">
        <v>423</v>
      </c>
      <c r="M724">
        <v>33</v>
      </c>
      <c r="N724">
        <v>18700</v>
      </c>
      <c r="O724" t="s">
        <v>52</v>
      </c>
      <c r="P724" t="s">
        <v>52</v>
      </c>
      <c r="Q724" t="s">
        <v>197</v>
      </c>
      <c r="R724" t="s">
        <v>53</v>
      </c>
      <c r="S724" t="s">
        <v>116</v>
      </c>
      <c r="T724" t="s">
        <v>198</v>
      </c>
      <c r="U724" t="s">
        <v>108</v>
      </c>
    </row>
    <row r="725" spans="1:21" x14ac:dyDescent="0.3">
      <c r="A725" t="s">
        <v>421</v>
      </c>
      <c r="B725" t="s">
        <v>421</v>
      </c>
      <c r="C725" t="s">
        <v>194</v>
      </c>
      <c r="D725">
        <v>3</v>
      </c>
      <c r="E725" t="s">
        <v>105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424</v>
      </c>
      <c r="L725" t="s">
        <v>423</v>
      </c>
      <c r="M725">
        <v>33</v>
      </c>
      <c r="N725">
        <v>18700</v>
      </c>
      <c r="O725" t="s">
        <v>52</v>
      </c>
      <c r="P725" t="s">
        <v>52</v>
      </c>
      <c r="Q725" t="s">
        <v>197</v>
      </c>
      <c r="R725" t="s">
        <v>53</v>
      </c>
      <c r="S725" t="s">
        <v>116</v>
      </c>
      <c r="T725" t="s">
        <v>198</v>
      </c>
      <c r="U725" t="s">
        <v>108</v>
      </c>
    </row>
    <row r="726" spans="1:21" x14ac:dyDescent="0.3">
      <c r="A726" t="s">
        <v>421</v>
      </c>
      <c r="B726" t="s">
        <v>421</v>
      </c>
      <c r="C726" t="s">
        <v>194</v>
      </c>
      <c r="D726">
        <v>3</v>
      </c>
      <c r="E726" t="s">
        <v>105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422</v>
      </c>
      <c r="L726" t="s">
        <v>423</v>
      </c>
      <c r="M726">
        <v>33</v>
      </c>
      <c r="N726">
        <v>18700</v>
      </c>
      <c r="O726" t="s">
        <v>52</v>
      </c>
      <c r="P726" t="s">
        <v>52</v>
      </c>
      <c r="Q726" t="s">
        <v>197</v>
      </c>
      <c r="R726" t="s">
        <v>53</v>
      </c>
      <c r="S726" t="s">
        <v>116</v>
      </c>
      <c r="T726" t="s">
        <v>198</v>
      </c>
      <c r="U726" t="s">
        <v>108</v>
      </c>
    </row>
    <row r="727" spans="1:21" x14ac:dyDescent="0.3">
      <c r="A727" t="s">
        <v>421</v>
      </c>
      <c r="B727" t="s">
        <v>421</v>
      </c>
      <c r="C727" t="s">
        <v>194</v>
      </c>
      <c r="D727">
        <v>3</v>
      </c>
      <c r="E727" t="s">
        <v>105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425</v>
      </c>
      <c r="L727" t="s">
        <v>423</v>
      </c>
      <c r="M727">
        <v>33</v>
      </c>
      <c r="N727">
        <v>18700</v>
      </c>
      <c r="O727" t="s">
        <v>52</v>
      </c>
      <c r="P727" t="s">
        <v>52</v>
      </c>
      <c r="Q727" t="s">
        <v>197</v>
      </c>
      <c r="R727" t="s">
        <v>53</v>
      </c>
      <c r="S727" t="s">
        <v>116</v>
      </c>
      <c r="T727" t="s">
        <v>198</v>
      </c>
      <c r="U727" t="s">
        <v>108</v>
      </c>
    </row>
    <row r="728" spans="1:21" x14ac:dyDescent="0.3">
      <c r="A728" t="s">
        <v>421</v>
      </c>
      <c r="B728" t="s">
        <v>421</v>
      </c>
      <c r="C728" t="s">
        <v>194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425</v>
      </c>
      <c r="L728" t="s">
        <v>423</v>
      </c>
      <c r="M728">
        <v>33</v>
      </c>
      <c r="N728">
        <v>18700</v>
      </c>
      <c r="O728" t="s">
        <v>52</v>
      </c>
      <c r="P728" t="s">
        <v>52</v>
      </c>
      <c r="Q728" t="s">
        <v>197</v>
      </c>
      <c r="R728" t="s">
        <v>53</v>
      </c>
      <c r="S728" t="s">
        <v>116</v>
      </c>
      <c r="T728" t="s">
        <v>198</v>
      </c>
      <c r="U728" t="s">
        <v>108</v>
      </c>
    </row>
    <row r="729" spans="1:21" x14ac:dyDescent="0.3">
      <c r="A729" t="s">
        <v>421</v>
      </c>
      <c r="B729" t="s">
        <v>421</v>
      </c>
      <c r="C729" t="s">
        <v>194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424</v>
      </c>
      <c r="L729" t="s">
        <v>423</v>
      </c>
      <c r="M729">
        <v>33</v>
      </c>
      <c r="N729">
        <v>18700</v>
      </c>
      <c r="O729" t="s">
        <v>52</v>
      </c>
      <c r="P729" t="s">
        <v>52</v>
      </c>
      <c r="Q729" t="s">
        <v>197</v>
      </c>
      <c r="R729" t="s">
        <v>53</v>
      </c>
      <c r="S729" t="s">
        <v>116</v>
      </c>
      <c r="T729" t="s">
        <v>198</v>
      </c>
      <c r="U729" t="s">
        <v>108</v>
      </c>
    </row>
    <row r="730" spans="1:21" x14ac:dyDescent="0.3">
      <c r="A730" t="s">
        <v>421</v>
      </c>
      <c r="B730" t="s">
        <v>421</v>
      </c>
      <c r="C730" t="s">
        <v>194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422</v>
      </c>
      <c r="L730" t="s">
        <v>423</v>
      </c>
      <c r="M730">
        <v>33</v>
      </c>
      <c r="N730">
        <v>18700</v>
      </c>
      <c r="O730" t="s">
        <v>52</v>
      </c>
      <c r="P730" t="s">
        <v>52</v>
      </c>
      <c r="Q730" t="s">
        <v>197</v>
      </c>
      <c r="R730" t="s">
        <v>53</v>
      </c>
      <c r="S730" t="s">
        <v>116</v>
      </c>
      <c r="T730" t="s">
        <v>198</v>
      </c>
      <c r="U730" t="s">
        <v>108</v>
      </c>
    </row>
    <row r="731" spans="1:21" x14ac:dyDescent="0.3">
      <c r="A731" t="s">
        <v>421</v>
      </c>
      <c r="B731" t="s">
        <v>421</v>
      </c>
      <c r="C731" t="s">
        <v>194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426</v>
      </c>
      <c r="L731" t="s">
        <v>423</v>
      </c>
      <c r="M731">
        <v>33</v>
      </c>
      <c r="N731">
        <v>18700</v>
      </c>
      <c r="O731" t="s">
        <v>52</v>
      </c>
      <c r="P731" t="s">
        <v>52</v>
      </c>
      <c r="Q731" t="s">
        <v>197</v>
      </c>
      <c r="R731" t="s">
        <v>53</v>
      </c>
      <c r="S731" t="s">
        <v>116</v>
      </c>
      <c r="T731" t="s">
        <v>198</v>
      </c>
      <c r="U731" t="s">
        <v>108</v>
      </c>
    </row>
    <row r="732" spans="1:21" x14ac:dyDescent="0.3">
      <c r="A732" t="s">
        <v>421</v>
      </c>
      <c r="B732" t="s">
        <v>421</v>
      </c>
      <c r="C732" t="s">
        <v>194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426</v>
      </c>
      <c r="L732" t="s">
        <v>423</v>
      </c>
      <c r="M732">
        <v>33</v>
      </c>
      <c r="N732">
        <v>18700</v>
      </c>
      <c r="O732" t="s">
        <v>52</v>
      </c>
      <c r="P732" t="s">
        <v>52</v>
      </c>
      <c r="Q732" t="s">
        <v>197</v>
      </c>
      <c r="R732" t="s">
        <v>53</v>
      </c>
      <c r="S732" t="s">
        <v>116</v>
      </c>
      <c r="T732" t="s">
        <v>198</v>
      </c>
      <c r="U732" t="s">
        <v>108</v>
      </c>
    </row>
    <row r="733" spans="1:21" x14ac:dyDescent="0.3">
      <c r="A733" t="s">
        <v>421</v>
      </c>
      <c r="B733" t="s">
        <v>421</v>
      </c>
      <c r="C733" t="s">
        <v>194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425</v>
      </c>
      <c r="L733" t="s">
        <v>423</v>
      </c>
      <c r="M733">
        <v>33</v>
      </c>
      <c r="N733">
        <v>18700</v>
      </c>
      <c r="O733" t="s">
        <v>52</v>
      </c>
      <c r="P733" t="s">
        <v>52</v>
      </c>
      <c r="Q733" t="s">
        <v>197</v>
      </c>
      <c r="R733" t="s">
        <v>53</v>
      </c>
      <c r="S733" t="s">
        <v>116</v>
      </c>
      <c r="T733" t="s">
        <v>198</v>
      </c>
      <c r="U733" t="s">
        <v>108</v>
      </c>
    </row>
    <row r="734" spans="1:21" x14ac:dyDescent="0.3">
      <c r="A734" t="s">
        <v>421</v>
      </c>
      <c r="B734" t="s">
        <v>421</v>
      </c>
      <c r="C734" t="s">
        <v>194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422</v>
      </c>
      <c r="L734" t="s">
        <v>423</v>
      </c>
      <c r="M734">
        <v>33</v>
      </c>
      <c r="N734">
        <v>18700</v>
      </c>
      <c r="O734" t="s">
        <v>52</v>
      </c>
      <c r="P734" t="s">
        <v>52</v>
      </c>
      <c r="Q734" t="s">
        <v>197</v>
      </c>
      <c r="R734" t="s">
        <v>53</v>
      </c>
      <c r="S734" t="s">
        <v>116</v>
      </c>
      <c r="T734" t="s">
        <v>198</v>
      </c>
      <c r="U734" t="s">
        <v>108</v>
      </c>
    </row>
    <row r="735" spans="1:21" x14ac:dyDescent="0.3">
      <c r="A735" t="s">
        <v>421</v>
      </c>
      <c r="B735" t="s">
        <v>421</v>
      </c>
      <c r="C735" t="s">
        <v>194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424</v>
      </c>
      <c r="L735" t="s">
        <v>423</v>
      </c>
      <c r="M735">
        <v>33</v>
      </c>
      <c r="N735">
        <v>18700</v>
      </c>
      <c r="O735" t="s">
        <v>52</v>
      </c>
      <c r="P735" t="s">
        <v>52</v>
      </c>
      <c r="Q735" t="s">
        <v>197</v>
      </c>
      <c r="R735" t="s">
        <v>53</v>
      </c>
      <c r="S735" t="s">
        <v>116</v>
      </c>
      <c r="T735" t="s">
        <v>198</v>
      </c>
      <c r="U735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AD3261"/>
  <sheetViews>
    <sheetView topLeftCell="Q1" zoomScale="85" zoomScaleNormal="85" workbookViewId="0">
      <selection activeCell="L7" sqref="L7:S7"/>
    </sheetView>
  </sheetViews>
  <sheetFormatPr baseColWidth="10" defaultRowHeight="14.4" x14ac:dyDescent="0.3"/>
  <cols>
    <col min="1" max="1" width="12.6640625" bestFit="1" customWidth="1"/>
    <col min="2" max="2" width="17.109375" bestFit="1" customWidth="1"/>
    <col min="3" max="3" width="8" bestFit="1" customWidth="1"/>
    <col min="4" max="4" width="7.109375" bestFit="1" customWidth="1"/>
    <col min="5" max="5" width="16.6640625" bestFit="1" customWidth="1"/>
    <col min="6" max="6" width="11.88671875" bestFit="1" customWidth="1"/>
    <col min="7" max="7" width="27" bestFit="1" customWidth="1"/>
    <col min="8" max="9" width="26.109375" bestFit="1" customWidth="1"/>
    <col min="10" max="10" width="59.44140625" bestFit="1" customWidth="1"/>
    <col min="11" max="11" width="16.6640625" bestFit="1" customWidth="1"/>
    <col min="12" max="12" width="20.5546875" bestFit="1" customWidth="1"/>
    <col min="13" max="14" width="15" bestFit="1" customWidth="1"/>
    <col min="15" max="15" width="10.33203125" bestFit="1" customWidth="1"/>
    <col min="16" max="16" width="21.88671875" bestFit="1" customWidth="1"/>
    <col min="17" max="17" width="9.5546875" bestFit="1" customWidth="1"/>
    <col min="18" max="18" width="15.88671875" bestFit="1" customWidth="1"/>
    <col min="19" max="19" width="12" bestFit="1" customWidth="1"/>
    <col min="20" max="20" width="15.44140625" bestFit="1" customWidth="1"/>
    <col min="21" max="21" width="21.33203125" bestFit="1" customWidth="1"/>
    <col min="22" max="22" width="12.44140625" bestFit="1" customWidth="1"/>
    <col min="23" max="23" width="20.21875" bestFit="1" customWidth="1"/>
    <col min="24" max="24" width="15.44140625" bestFit="1" customWidth="1"/>
    <col min="25" max="26" width="22.5546875" bestFit="1" customWidth="1"/>
    <col min="27" max="27" width="13.33203125" bestFit="1" customWidth="1"/>
    <col min="28" max="28" width="21.44140625" bestFit="1" customWidth="1"/>
    <col min="29" max="29" width="20.33203125" bestFit="1" customWidth="1"/>
  </cols>
  <sheetData>
    <row r="1" spans="1:30" s="2" customFormat="1" x14ac:dyDescent="0.3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5" t="s">
        <v>16</v>
      </c>
      <c r="R1" s="55" t="s">
        <v>17</v>
      </c>
      <c r="S1" s="55" t="s">
        <v>18</v>
      </c>
      <c r="T1" s="55" t="s">
        <v>19</v>
      </c>
      <c r="U1" s="55" t="s">
        <v>99</v>
      </c>
      <c r="V1" s="55" t="s">
        <v>20</v>
      </c>
      <c r="W1" s="55" t="s">
        <v>100</v>
      </c>
      <c r="X1" s="55" t="s">
        <v>21</v>
      </c>
      <c r="Y1" s="55" t="s">
        <v>22</v>
      </c>
      <c r="Z1" s="55" t="s">
        <v>101</v>
      </c>
      <c r="AA1" s="55" t="s">
        <v>23</v>
      </c>
      <c r="AB1" s="55" t="s">
        <v>102</v>
      </c>
      <c r="AC1" s="55" t="s">
        <v>24</v>
      </c>
      <c r="AD1" s="55" t="s">
        <v>78</v>
      </c>
    </row>
    <row r="2" spans="1:30" x14ac:dyDescent="0.3">
      <c r="A2">
        <v>600911</v>
      </c>
      <c r="B2" t="s">
        <v>136</v>
      </c>
      <c r="C2">
        <v>2016</v>
      </c>
      <c r="D2">
        <v>4</v>
      </c>
      <c r="E2" t="s">
        <v>109</v>
      </c>
      <c r="F2" t="s">
        <v>108</v>
      </c>
      <c r="G2" t="s">
        <v>108</v>
      </c>
      <c r="H2" t="s">
        <v>25</v>
      </c>
      <c r="I2" t="s">
        <v>137</v>
      </c>
      <c r="J2" t="s">
        <v>138</v>
      </c>
      <c r="K2" t="s">
        <v>139</v>
      </c>
      <c r="L2" t="s">
        <v>140</v>
      </c>
      <c r="M2">
        <v>4919.3408924699997</v>
      </c>
      <c r="N2">
        <v>0</v>
      </c>
      <c r="O2" t="s">
        <v>103</v>
      </c>
      <c r="P2" s="56">
        <v>44330.488381134259</v>
      </c>
      <c r="Q2">
        <v>5423000</v>
      </c>
      <c r="R2" t="s">
        <v>98</v>
      </c>
      <c r="S2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108</v>
      </c>
      <c r="AD2" s="56">
        <v>42461</v>
      </c>
    </row>
    <row r="3" spans="1:30" x14ac:dyDescent="0.3">
      <c r="A3">
        <v>600929</v>
      </c>
      <c r="B3" t="s">
        <v>136</v>
      </c>
      <c r="C3">
        <v>2016</v>
      </c>
      <c r="D3">
        <v>4</v>
      </c>
      <c r="E3" t="s">
        <v>111</v>
      </c>
      <c r="F3" t="s">
        <v>108</v>
      </c>
      <c r="G3" t="s">
        <v>108</v>
      </c>
      <c r="H3" t="s">
        <v>25</v>
      </c>
      <c r="I3" t="s">
        <v>137</v>
      </c>
      <c r="J3" t="s">
        <v>138</v>
      </c>
      <c r="K3" t="s">
        <v>141</v>
      </c>
      <c r="L3" t="s">
        <v>140</v>
      </c>
      <c r="M3">
        <v>1317.6215099999999</v>
      </c>
      <c r="N3">
        <v>0</v>
      </c>
      <c r="O3" t="s">
        <v>103</v>
      </c>
      <c r="P3" s="56">
        <v>44330.488381793977</v>
      </c>
      <c r="Q3">
        <v>5423034</v>
      </c>
      <c r="R3" t="s">
        <v>98</v>
      </c>
      <c r="S3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108</v>
      </c>
      <c r="AD3" s="56">
        <v>42461</v>
      </c>
    </row>
    <row r="4" spans="1:30" x14ac:dyDescent="0.3">
      <c r="A4">
        <v>607827</v>
      </c>
      <c r="B4" t="s">
        <v>142</v>
      </c>
      <c r="C4">
        <v>2016</v>
      </c>
      <c r="D4">
        <v>3</v>
      </c>
      <c r="E4" t="s">
        <v>111</v>
      </c>
      <c r="F4" t="s">
        <v>108</v>
      </c>
      <c r="G4" t="s">
        <v>108</v>
      </c>
      <c r="H4" t="s">
        <v>25</v>
      </c>
      <c r="I4" t="s">
        <v>137</v>
      </c>
      <c r="J4" t="s">
        <v>138</v>
      </c>
      <c r="K4" t="s">
        <v>141</v>
      </c>
      <c r="L4" t="s">
        <v>140</v>
      </c>
      <c r="M4">
        <v>1703.6853574199999</v>
      </c>
      <c r="N4">
        <v>0</v>
      </c>
      <c r="O4" t="s">
        <v>103</v>
      </c>
      <c r="P4" s="56">
        <v>44330.494940509263</v>
      </c>
      <c r="Q4">
        <v>5439222</v>
      </c>
      <c r="R4" t="s">
        <v>98</v>
      </c>
      <c r="S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108</v>
      </c>
      <c r="AD4" s="56">
        <v>42430</v>
      </c>
    </row>
    <row r="5" spans="1:30" x14ac:dyDescent="0.3">
      <c r="A5">
        <v>600947</v>
      </c>
      <c r="B5" t="s">
        <v>136</v>
      </c>
      <c r="C5">
        <v>2016</v>
      </c>
      <c r="D5">
        <v>4</v>
      </c>
      <c r="E5" t="s">
        <v>63</v>
      </c>
      <c r="F5" t="s">
        <v>108</v>
      </c>
      <c r="G5" t="s">
        <v>108</v>
      </c>
      <c r="H5" t="s">
        <v>25</v>
      </c>
      <c r="I5" t="s">
        <v>137</v>
      </c>
      <c r="J5" t="s">
        <v>138</v>
      </c>
      <c r="K5" t="s">
        <v>143</v>
      </c>
      <c r="L5" t="s">
        <v>140</v>
      </c>
      <c r="M5">
        <v>2065.7815005799998</v>
      </c>
      <c r="N5">
        <v>0</v>
      </c>
      <c r="O5" t="s">
        <v>103</v>
      </c>
      <c r="P5" s="56">
        <v>44330.488382442127</v>
      </c>
      <c r="Q5">
        <v>5423068</v>
      </c>
      <c r="R5" t="s">
        <v>98</v>
      </c>
      <c r="S5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108</v>
      </c>
      <c r="AD5" s="56">
        <v>42461</v>
      </c>
    </row>
    <row r="6" spans="1:30" x14ac:dyDescent="0.3">
      <c r="A6">
        <v>607809</v>
      </c>
      <c r="B6" t="s">
        <v>142</v>
      </c>
      <c r="C6">
        <v>2016</v>
      </c>
      <c r="D6">
        <v>3</v>
      </c>
      <c r="E6" t="s">
        <v>109</v>
      </c>
      <c r="F6" t="s">
        <v>108</v>
      </c>
      <c r="G6" t="s">
        <v>108</v>
      </c>
      <c r="H6" t="s">
        <v>25</v>
      </c>
      <c r="I6" t="s">
        <v>137</v>
      </c>
      <c r="J6" t="s">
        <v>138</v>
      </c>
      <c r="K6" t="s">
        <v>139</v>
      </c>
      <c r="L6" t="s">
        <v>140</v>
      </c>
      <c r="M6">
        <v>6396.77665523</v>
      </c>
      <c r="N6">
        <v>0</v>
      </c>
      <c r="O6" t="s">
        <v>103</v>
      </c>
      <c r="P6" s="56">
        <v>44330.494939849537</v>
      </c>
      <c r="Q6">
        <v>5439188</v>
      </c>
      <c r="R6" t="s">
        <v>98</v>
      </c>
      <c r="S6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108</v>
      </c>
      <c r="AD6" s="56">
        <v>42430</v>
      </c>
    </row>
    <row r="7" spans="1:30" x14ac:dyDescent="0.3">
      <c r="A7">
        <v>607845</v>
      </c>
      <c r="B7" t="s">
        <v>142</v>
      </c>
      <c r="C7">
        <v>2016</v>
      </c>
      <c r="D7">
        <v>3</v>
      </c>
      <c r="E7" t="s">
        <v>63</v>
      </c>
      <c r="F7" t="s">
        <v>108</v>
      </c>
      <c r="G7" t="s">
        <v>108</v>
      </c>
      <c r="H7" t="s">
        <v>25</v>
      </c>
      <c r="I7" t="s">
        <v>137</v>
      </c>
      <c r="J7" t="s">
        <v>138</v>
      </c>
      <c r="K7" t="s">
        <v>143</v>
      </c>
      <c r="L7" t="s">
        <v>140</v>
      </c>
      <c r="M7">
        <v>2312.6677555199999</v>
      </c>
      <c r="N7">
        <v>0</v>
      </c>
      <c r="O7" t="s">
        <v>103</v>
      </c>
      <c r="P7" s="56">
        <v>44330.494941122677</v>
      </c>
      <c r="Q7">
        <v>5439256</v>
      </c>
      <c r="R7" t="s">
        <v>98</v>
      </c>
      <c r="S7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108</v>
      </c>
      <c r="AD7" s="56">
        <v>42430</v>
      </c>
    </row>
    <row r="8" spans="1:30" x14ac:dyDescent="0.3">
      <c r="A8">
        <v>607809</v>
      </c>
      <c r="B8" t="s">
        <v>142</v>
      </c>
      <c r="C8">
        <v>2016</v>
      </c>
      <c r="D8">
        <v>3</v>
      </c>
      <c r="E8" t="s">
        <v>109</v>
      </c>
      <c r="F8" t="s">
        <v>108</v>
      </c>
      <c r="G8" t="s">
        <v>108</v>
      </c>
      <c r="H8" t="s">
        <v>25</v>
      </c>
      <c r="I8" t="s">
        <v>137</v>
      </c>
      <c r="J8" t="s">
        <v>138</v>
      </c>
      <c r="K8" t="s">
        <v>139</v>
      </c>
      <c r="L8" t="s">
        <v>140</v>
      </c>
      <c r="M8">
        <v>6396.77665523</v>
      </c>
      <c r="N8">
        <v>0</v>
      </c>
      <c r="O8" t="s">
        <v>103</v>
      </c>
      <c r="P8" s="56">
        <v>44330.494939849537</v>
      </c>
      <c r="Q8">
        <v>5439187</v>
      </c>
      <c r="R8" t="s">
        <v>106</v>
      </c>
      <c r="S8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108</v>
      </c>
      <c r="AD8" s="56">
        <v>42430</v>
      </c>
    </row>
    <row r="9" spans="1:30" x14ac:dyDescent="0.3">
      <c r="A9">
        <v>607845</v>
      </c>
      <c r="B9" t="s">
        <v>142</v>
      </c>
      <c r="C9">
        <v>2016</v>
      </c>
      <c r="D9">
        <v>3</v>
      </c>
      <c r="E9" t="s">
        <v>63</v>
      </c>
      <c r="F9" t="s">
        <v>108</v>
      </c>
      <c r="G9" t="s">
        <v>108</v>
      </c>
      <c r="H9" t="s">
        <v>25</v>
      </c>
      <c r="I9" t="s">
        <v>137</v>
      </c>
      <c r="J9" t="s">
        <v>138</v>
      </c>
      <c r="K9" t="s">
        <v>143</v>
      </c>
      <c r="L9" t="s">
        <v>140</v>
      </c>
      <c r="M9">
        <v>2312.6677555199999</v>
      </c>
      <c r="N9">
        <v>0</v>
      </c>
      <c r="O9" t="s">
        <v>103</v>
      </c>
      <c r="P9" s="56">
        <v>44330.494941122677</v>
      </c>
      <c r="Q9">
        <v>5439255</v>
      </c>
      <c r="R9" t="s">
        <v>106</v>
      </c>
      <c r="S9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108</v>
      </c>
      <c r="AD9" s="56">
        <v>42430</v>
      </c>
    </row>
    <row r="10" spans="1:30" x14ac:dyDescent="0.3">
      <c r="A10">
        <v>600929</v>
      </c>
      <c r="B10" t="s">
        <v>136</v>
      </c>
      <c r="C10">
        <v>2016</v>
      </c>
      <c r="D10">
        <v>4</v>
      </c>
      <c r="E10" t="s">
        <v>111</v>
      </c>
      <c r="F10" t="s">
        <v>108</v>
      </c>
      <c r="G10" t="s">
        <v>108</v>
      </c>
      <c r="H10" t="s">
        <v>25</v>
      </c>
      <c r="I10" t="s">
        <v>137</v>
      </c>
      <c r="J10" t="s">
        <v>138</v>
      </c>
      <c r="K10" t="s">
        <v>141</v>
      </c>
      <c r="L10" t="s">
        <v>140</v>
      </c>
      <c r="M10">
        <v>1317.6215099999999</v>
      </c>
      <c r="N10">
        <v>0</v>
      </c>
      <c r="O10" t="s">
        <v>103</v>
      </c>
      <c r="P10" s="56">
        <v>44330.488381793977</v>
      </c>
      <c r="Q10">
        <v>5423033</v>
      </c>
      <c r="R10" t="s">
        <v>106</v>
      </c>
      <c r="S10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108</v>
      </c>
      <c r="AD10" s="56">
        <v>42461</v>
      </c>
    </row>
    <row r="11" spans="1:30" x14ac:dyDescent="0.3">
      <c r="A11">
        <v>600947</v>
      </c>
      <c r="B11" t="s">
        <v>136</v>
      </c>
      <c r="C11">
        <v>2016</v>
      </c>
      <c r="D11">
        <v>4</v>
      </c>
      <c r="E11" t="s">
        <v>63</v>
      </c>
      <c r="F11" t="s">
        <v>108</v>
      </c>
      <c r="G11" t="s">
        <v>108</v>
      </c>
      <c r="H11" t="s">
        <v>25</v>
      </c>
      <c r="I11" t="s">
        <v>137</v>
      </c>
      <c r="J11" t="s">
        <v>138</v>
      </c>
      <c r="K11" t="s">
        <v>143</v>
      </c>
      <c r="L11" t="s">
        <v>140</v>
      </c>
      <c r="M11">
        <v>2065.7815005799998</v>
      </c>
      <c r="N11">
        <v>0</v>
      </c>
      <c r="O11" t="s">
        <v>103</v>
      </c>
      <c r="P11" s="56">
        <v>44330.488382442127</v>
      </c>
      <c r="Q11">
        <v>5423067</v>
      </c>
      <c r="R11" t="s">
        <v>106</v>
      </c>
      <c r="S11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108</v>
      </c>
      <c r="AD11" s="56">
        <v>42461</v>
      </c>
    </row>
    <row r="12" spans="1:30" x14ac:dyDescent="0.3">
      <c r="A12">
        <v>607827</v>
      </c>
      <c r="B12" t="s">
        <v>142</v>
      </c>
      <c r="C12">
        <v>2016</v>
      </c>
      <c r="D12">
        <v>3</v>
      </c>
      <c r="E12" t="s">
        <v>111</v>
      </c>
      <c r="F12" t="s">
        <v>108</v>
      </c>
      <c r="G12" t="s">
        <v>108</v>
      </c>
      <c r="H12" t="s">
        <v>25</v>
      </c>
      <c r="I12" t="s">
        <v>137</v>
      </c>
      <c r="J12" t="s">
        <v>138</v>
      </c>
      <c r="K12" t="s">
        <v>141</v>
      </c>
      <c r="L12" t="s">
        <v>140</v>
      </c>
      <c r="M12">
        <v>1703.6853574199999</v>
      </c>
      <c r="N12">
        <v>0</v>
      </c>
      <c r="O12" t="s">
        <v>103</v>
      </c>
      <c r="P12" s="56">
        <v>44330.494940509263</v>
      </c>
      <c r="Q12">
        <v>5439221</v>
      </c>
      <c r="R12" t="s">
        <v>106</v>
      </c>
      <c r="S12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108</v>
      </c>
      <c r="AD12" s="56">
        <v>42430</v>
      </c>
    </row>
    <row r="13" spans="1:30" x14ac:dyDescent="0.3">
      <c r="A13">
        <v>600911</v>
      </c>
      <c r="B13" t="s">
        <v>136</v>
      </c>
      <c r="C13">
        <v>2016</v>
      </c>
      <c r="D13">
        <v>4</v>
      </c>
      <c r="E13" t="s">
        <v>109</v>
      </c>
      <c r="F13" t="s">
        <v>108</v>
      </c>
      <c r="G13" t="s">
        <v>108</v>
      </c>
      <c r="H13" t="s">
        <v>25</v>
      </c>
      <c r="I13" t="s">
        <v>137</v>
      </c>
      <c r="J13" t="s">
        <v>138</v>
      </c>
      <c r="K13" t="s">
        <v>139</v>
      </c>
      <c r="L13" t="s">
        <v>140</v>
      </c>
      <c r="M13">
        <v>4919.3408924699997</v>
      </c>
      <c r="N13">
        <v>0</v>
      </c>
      <c r="O13" t="s">
        <v>103</v>
      </c>
      <c r="P13" s="56">
        <v>44330.488381134259</v>
      </c>
      <c r="Q13">
        <v>5422999</v>
      </c>
      <c r="R13" t="s">
        <v>106</v>
      </c>
      <c r="S13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108</v>
      </c>
      <c r="AD13" s="56">
        <v>42461</v>
      </c>
    </row>
    <row r="14" spans="1:30" x14ac:dyDescent="0.3">
      <c r="A14">
        <v>747847</v>
      </c>
      <c r="B14" t="s">
        <v>144</v>
      </c>
      <c r="C14">
        <v>2016</v>
      </c>
      <c r="D14">
        <v>1</v>
      </c>
      <c r="E14" t="s">
        <v>109</v>
      </c>
      <c r="F14" t="s">
        <v>108</v>
      </c>
      <c r="G14" t="s">
        <v>108</v>
      </c>
      <c r="H14" t="s">
        <v>137</v>
      </c>
      <c r="I14" t="s">
        <v>137</v>
      </c>
      <c r="J14" t="s">
        <v>145</v>
      </c>
      <c r="K14" t="s">
        <v>139</v>
      </c>
      <c r="L14" t="s">
        <v>146</v>
      </c>
      <c r="M14">
        <v>4067.4409494400002</v>
      </c>
      <c r="N14">
        <v>0</v>
      </c>
      <c r="O14" t="s">
        <v>103</v>
      </c>
      <c r="P14" s="56">
        <v>44350.694832986112</v>
      </c>
      <c r="Q14">
        <v>6409298</v>
      </c>
      <c r="R14" t="s">
        <v>98</v>
      </c>
      <c r="S1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108</v>
      </c>
      <c r="AD14" s="56">
        <v>42370</v>
      </c>
    </row>
    <row r="15" spans="1:30" x14ac:dyDescent="0.3">
      <c r="A15">
        <v>747883</v>
      </c>
      <c r="B15" t="s">
        <v>144</v>
      </c>
      <c r="C15">
        <v>2016</v>
      </c>
      <c r="D15">
        <v>1</v>
      </c>
      <c r="E15" t="s">
        <v>63</v>
      </c>
      <c r="F15" t="s">
        <v>108</v>
      </c>
      <c r="G15" t="s">
        <v>108</v>
      </c>
      <c r="H15" t="s">
        <v>137</v>
      </c>
      <c r="I15" t="s">
        <v>137</v>
      </c>
      <c r="J15" t="s">
        <v>145</v>
      </c>
      <c r="K15" t="s">
        <v>143</v>
      </c>
      <c r="L15" t="s">
        <v>146</v>
      </c>
      <c r="M15">
        <v>1749.0648298200001</v>
      </c>
      <c r="N15">
        <v>0</v>
      </c>
      <c r="O15" t="s">
        <v>103</v>
      </c>
      <c r="P15" s="56">
        <v>44350.694834374997</v>
      </c>
      <c r="Q15">
        <v>6409370</v>
      </c>
      <c r="R15" t="s">
        <v>98</v>
      </c>
      <c r="S15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108</v>
      </c>
      <c r="AD15" s="56">
        <v>42370</v>
      </c>
    </row>
    <row r="16" spans="1:30" x14ac:dyDescent="0.3">
      <c r="A16">
        <v>747865</v>
      </c>
      <c r="B16" t="s">
        <v>144</v>
      </c>
      <c r="C16">
        <v>2016</v>
      </c>
      <c r="D16">
        <v>1</v>
      </c>
      <c r="E16" t="s">
        <v>111</v>
      </c>
      <c r="F16" t="s">
        <v>108</v>
      </c>
      <c r="G16" t="s">
        <v>108</v>
      </c>
      <c r="H16" t="s">
        <v>137</v>
      </c>
      <c r="I16" t="s">
        <v>137</v>
      </c>
      <c r="J16" t="s">
        <v>145</v>
      </c>
      <c r="K16" t="s">
        <v>141</v>
      </c>
      <c r="L16" t="s">
        <v>146</v>
      </c>
      <c r="M16">
        <v>897.34483422000005</v>
      </c>
      <c r="N16">
        <v>0</v>
      </c>
      <c r="O16" t="s">
        <v>103</v>
      </c>
      <c r="P16" s="56">
        <v>44350.694833680558</v>
      </c>
      <c r="Q16">
        <v>6409334</v>
      </c>
      <c r="R16" t="s">
        <v>98</v>
      </c>
      <c r="S16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108</v>
      </c>
      <c r="AD16" s="56">
        <v>42370</v>
      </c>
    </row>
    <row r="17" spans="1:30" x14ac:dyDescent="0.3">
      <c r="A17">
        <v>747847</v>
      </c>
      <c r="B17" t="s">
        <v>144</v>
      </c>
      <c r="C17">
        <v>2016</v>
      </c>
      <c r="D17">
        <v>1</v>
      </c>
      <c r="E17" t="s">
        <v>109</v>
      </c>
      <c r="F17" t="s">
        <v>108</v>
      </c>
      <c r="G17" t="s">
        <v>108</v>
      </c>
      <c r="H17" t="s">
        <v>137</v>
      </c>
      <c r="I17" t="s">
        <v>137</v>
      </c>
      <c r="J17" t="s">
        <v>145</v>
      </c>
      <c r="K17" t="s">
        <v>139</v>
      </c>
      <c r="L17" t="s">
        <v>146</v>
      </c>
      <c r="M17">
        <v>4067.4409494400002</v>
      </c>
      <c r="N17">
        <v>0</v>
      </c>
      <c r="O17" t="s">
        <v>103</v>
      </c>
      <c r="P17" s="56">
        <v>44350.694832986112</v>
      </c>
      <c r="Q17">
        <v>6409297</v>
      </c>
      <c r="R17" t="s">
        <v>106</v>
      </c>
      <c r="S17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108</v>
      </c>
      <c r="AD17" s="56">
        <v>42370</v>
      </c>
    </row>
    <row r="18" spans="1:30" x14ac:dyDescent="0.3">
      <c r="A18">
        <v>747883</v>
      </c>
      <c r="B18" t="s">
        <v>144</v>
      </c>
      <c r="C18">
        <v>2016</v>
      </c>
      <c r="D18">
        <v>1</v>
      </c>
      <c r="E18" t="s">
        <v>63</v>
      </c>
      <c r="F18" t="s">
        <v>108</v>
      </c>
      <c r="G18" t="s">
        <v>108</v>
      </c>
      <c r="H18" t="s">
        <v>137</v>
      </c>
      <c r="I18" t="s">
        <v>137</v>
      </c>
      <c r="J18" t="s">
        <v>145</v>
      </c>
      <c r="K18" t="s">
        <v>143</v>
      </c>
      <c r="L18" t="s">
        <v>146</v>
      </c>
      <c r="M18">
        <v>1749.0648298200001</v>
      </c>
      <c r="N18">
        <v>0</v>
      </c>
      <c r="O18" t="s">
        <v>103</v>
      </c>
      <c r="P18" s="56">
        <v>44350.694834374997</v>
      </c>
      <c r="Q18">
        <v>6409369</v>
      </c>
      <c r="R18" t="s">
        <v>106</v>
      </c>
      <c r="S18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108</v>
      </c>
      <c r="AD18" s="56">
        <v>42370</v>
      </c>
    </row>
    <row r="19" spans="1:30" x14ac:dyDescent="0.3">
      <c r="A19">
        <v>747865</v>
      </c>
      <c r="B19" t="s">
        <v>144</v>
      </c>
      <c r="C19">
        <v>2016</v>
      </c>
      <c r="D19">
        <v>1</v>
      </c>
      <c r="E19" t="s">
        <v>111</v>
      </c>
      <c r="F19" t="s">
        <v>108</v>
      </c>
      <c r="G19" t="s">
        <v>108</v>
      </c>
      <c r="H19" t="s">
        <v>137</v>
      </c>
      <c r="I19" t="s">
        <v>137</v>
      </c>
      <c r="J19" t="s">
        <v>145</v>
      </c>
      <c r="K19" t="s">
        <v>141</v>
      </c>
      <c r="L19" t="s">
        <v>146</v>
      </c>
      <c r="M19">
        <v>897.34483422000005</v>
      </c>
      <c r="N19">
        <v>0</v>
      </c>
      <c r="O19" t="s">
        <v>103</v>
      </c>
      <c r="P19" s="56">
        <v>44350.694833680558</v>
      </c>
      <c r="Q19">
        <v>6409333</v>
      </c>
      <c r="R19" t="s">
        <v>106</v>
      </c>
      <c r="S19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108</v>
      </c>
      <c r="AD19" s="56">
        <v>42370</v>
      </c>
    </row>
    <row r="20" spans="1:30" x14ac:dyDescent="0.3">
      <c r="A20">
        <v>755003</v>
      </c>
      <c r="B20" t="s">
        <v>147</v>
      </c>
      <c r="C20">
        <v>2016</v>
      </c>
      <c r="D20">
        <v>2</v>
      </c>
      <c r="E20" t="s">
        <v>109</v>
      </c>
      <c r="F20" t="s">
        <v>108</v>
      </c>
      <c r="G20" t="s">
        <v>108</v>
      </c>
      <c r="H20" t="s">
        <v>137</v>
      </c>
      <c r="I20" t="s">
        <v>137</v>
      </c>
      <c r="J20" t="s">
        <v>148</v>
      </c>
      <c r="K20" t="s">
        <v>139</v>
      </c>
      <c r="L20" t="s">
        <v>146</v>
      </c>
      <c r="M20">
        <v>5278.3353200499996</v>
      </c>
      <c r="N20">
        <v>0</v>
      </c>
      <c r="O20" t="s">
        <v>103</v>
      </c>
      <c r="P20" s="56">
        <v>44350.700936655092</v>
      </c>
      <c r="Q20">
        <v>6425847</v>
      </c>
      <c r="R20" t="s">
        <v>98</v>
      </c>
      <c r="S20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108</v>
      </c>
      <c r="AD20" s="56">
        <v>42401</v>
      </c>
    </row>
    <row r="21" spans="1:30" x14ac:dyDescent="0.3">
      <c r="A21">
        <v>755021</v>
      </c>
      <c r="B21" t="s">
        <v>147</v>
      </c>
      <c r="C21">
        <v>2016</v>
      </c>
      <c r="D21">
        <v>2</v>
      </c>
      <c r="E21" t="s">
        <v>111</v>
      </c>
      <c r="F21" t="s">
        <v>108</v>
      </c>
      <c r="G21" t="s">
        <v>108</v>
      </c>
      <c r="H21" t="s">
        <v>137</v>
      </c>
      <c r="I21" t="s">
        <v>137</v>
      </c>
      <c r="J21" t="s">
        <v>148</v>
      </c>
      <c r="K21" t="s">
        <v>141</v>
      </c>
      <c r="L21" t="s">
        <v>146</v>
      </c>
      <c r="M21">
        <v>1241.48702998</v>
      </c>
      <c r="N21">
        <v>0</v>
      </c>
      <c r="O21" t="s">
        <v>103</v>
      </c>
      <c r="P21" s="56">
        <v>44350.700937118047</v>
      </c>
      <c r="Q21">
        <v>6425881</v>
      </c>
      <c r="R21" t="s">
        <v>98</v>
      </c>
      <c r="S21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108</v>
      </c>
      <c r="AD21" s="56">
        <v>42401</v>
      </c>
    </row>
    <row r="22" spans="1:30" x14ac:dyDescent="0.3">
      <c r="A22">
        <v>755039</v>
      </c>
      <c r="B22" t="s">
        <v>147</v>
      </c>
      <c r="C22">
        <v>2016</v>
      </c>
      <c r="D22">
        <v>2</v>
      </c>
      <c r="E22" t="s">
        <v>63</v>
      </c>
      <c r="F22" t="s">
        <v>108</v>
      </c>
      <c r="G22" t="s">
        <v>108</v>
      </c>
      <c r="H22" t="s">
        <v>137</v>
      </c>
      <c r="I22" t="s">
        <v>137</v>
      </c>
      <c r="J22" t="s">
        <v>148</v>
      </c>
      <c r="K22" t="s">
        <v>143</v>
      </c>
      <c r="L22" t="s">
        <v>146</v>
      </c>
      <c r="M22">
        <v>1904.6034659100001</v>
      </c>
      <c r="N22">
        <v>0</v>
      </c>
      <c r="O22" t="s">
        <v>103</v>
      </c>
      <c r="P22" s="56">
        <v>44350.700937847221</v>
      </c>
      <c r="Q22">
        <v>6425915</v>
      </c>
      <c r="R22" t="s">
        <v>98</v>
      </c>
      <c r="S22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108</v>
      </c>
      <c r="AD22" s="56">
        <v>42401</v>
      </c>
    </row>
    <row r="23" spans="1:30" x14ac:dyDescent="0.3">
      <c r="A23">
        <v>755039</v>
      </c>
      <c r="B23" t="s">
        <v>147</v>
      </c>
      <c r="C23">
        <v>2016</v>
      </c>
      <c r="D23">
        <v>2</v>
      </c>
      <c r="E23" t="s">
        <v>63</v>
      </c>
      <c r="F23" t="s">
        <v>108</v>
      </c>
      <c r="G23" t="s">
        <v>108</v>
      </c>
      <c r="H23" t="s">
        <v>137</v>
      </c>
      <c r="I23" t="s">
        <v>137</v>
      </c>
      <c r="J23" t="s">
        <v>148</v>
      </c>
      <c r="K23" t="s">
        <v>143</v>
      </c>
      <c r="L23" t="s">
        <v>146</v>
      </c>
      <c r="M23">
        <v>1904.6034659100001</v>
      </c>
      <c r="N23">
        <v>0</v>
      </c>
      <c r="O23" t="s">
        <v>103</v>
      </c>
      <c r="P23" s="56">
        <v>44350.700937847221</v>
      </c>
      <c r="Q23">
        <v>6425914</v>
      </c>
      <c r="R23" t="s">
        <v>106</v>
      </c>
      <c r="S23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108</v>
      </c>
      <c r="AD23" s="56">
        <v>42401</v>
      </c>
    </row>
    <row r="24" spans="1:30" x14ac:dyDescent="0.3">
      <c r="A24">
        <v>755003</v>
      </c>
      <c r="B24" t="s">
        <v>147</v>
      </c>
      <c r="C24">
        <v>2016</v>
      </c>
      <c r="D24">
        <v>2</v>
      </c>
      <c r="E24" t="s">
        <v>109</v>
      </c>
      <c r="F24" t="s">
        <v>108</v>
      </c>
      <c r="G24" t="s">
        <v>108</v>
      </c>
      <c r="H24" t="s">
        <v>137</v>
      </c>
      <c r="I24" t="s">
        <v>137</v>
      </c>
      <c r="J24" t="s">
        <v>148</v>
      </c>
      <c r="K24" t="s">
        <v>139</v>
      </c>
      <c r="L24" t="s">
        <v>146</v>
      </c>
      <c r="M24">
        <v>5278.3353200499996</v>
      </c>
      <c r="N24">
        <v>0</v>
      </c>
      <c r="O24" t="s">
        <v>103</v>
      </c>
      <c r="P24" s="56">
        <v>44350.700936655092</v>
      </c>
      <c r="Q24">
        <v>6425846</v>
      </c>
      <c r="R24" t="s">
        <v>106</v>
      </c>
      <c r="S2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108</v>
      </c>
      <c r="AD24" s="56">
        <v>42401</v>
      </c>
    </row>
    <row r="25" spans="1:30" x14ac:dyDescent="0.3">
      <c r="A25">
        <v>755021</v>
      </c>
      <c r="B25" t="s">
        <v>147</v>
      </c>
      <c r="C25">
        <v>2016</v>
      </c>
      <c r="D25">
        <v>2</v>
      </c>
      <c r="E25" t="s">
        <v>111</v>
      </c>
      <c r="F25" t="s">
        <v>108</v>
      </c>
      <c r="G25" t="s">
        <v>108</v>
      </c>
      <c r="H25" t="s">
        <v>137</v>
      </c>
      <c r="I25" t="s">
        <v>137</v>
      </c>
      <c r="J25" t="s">
        <v>148</v>
      </c>
      <c r="K25" t="s">
        <v>141</v>
      </c>
      <c r="L25" t="s">
        <v>146</v>
      </c>
      <c r="M25">
        <v>1241.48702998</v>
      </c>
      <c r="N25">
        <v>0</v>
      </c>
      <c r="O25" t="s">
        <v>103</v>
      </c>
      <c r="P25" s="56">
        <v>44350.700937118047</v>
      </c>
      <c r="Q25">
        <v>6425880</v>
      </c>
      <c r="R25" t="s">
        <v>106</v>
      </c>
      <c r="S25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108</v>
      </c>
      <c r="AD25" s="56">
        <v>42401</v>
      </c>
    </row>
    <row r="26" spans="1:30" x14ac:dyDescent="0.3">
      <c r="A26">
        <v>339874</v>
      </c>
      <c r="B26" t="s">
        <v>149</v>
      </c>
      <c r="C26">
        <v>2018</v>
      </c>
      <c r="D26">
        <v>4</v>
      </c>
      <c r="E26" t="s">
        <v>111</v>
      </c>
      <c r="F26" t="s">
        <v>108</v>
      </c>
      <c r="G26" t="s">
        <v>108</v>
      </c>
      <c r="H26" t="s">
        <v>25</v>
      </c>
      <c r="I26" t="s">
        <v>25</v>
      </c>
      <c r="J26" t="s">
        <v>138</v>
      </c>
      <c r="K26" t="s">
        <v>112</v>
      </c>
      <c r="L26" t="s">
        <v>140</v>
      </c>
      <c r="M26">
        <v>395.73036543000001</v>
      </c>
      <c r="N26">
        <v>0</v>
      </c>
      <c r="O26" t="s">
        <v>103</v>
      </c>
      <c r="P26" s="56">
        <v>44269.883115474528</v>
      </c>
      <c r="Q26">
        <v>3217183</v>
      </c>
      <c r="R26" t="s">
        <v>98</v>
      </c>
      <c r="S26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108</v>
      </c>
      <c r="AD26" s="56">
        <v>43191</v>
      </c>
    </row>
    <row r="27" spans="1:30" x14ac:dyDescent="0.3">
      <c r="A27">
        <v>339897</v>
      </c>
      <c r="B27" t="s">
        <v>149</v>
      </c>
      <c r="C27">
        <v>2018</v>
      </c>
      <c r="D27">
        <v>4</v>
      </c>
      <c r="E27" t="s">
        <v>113</v>
      </c>
      <c r="F27" t="s">
        <v>108</v>
      </c>
      <c r="G27" t="s">
        <v>108</v>
      </c>
      <c r="H27" t="s">
        <v>25</v>
      </c>
      <c r="I27" t="s">
        <v>25</v>
      </c>
      <c r="J27" t="s">
        <v>138</v>
      </c>
      <c r="K27" t="s">
        <v>114</v>
      </c>
      <c r="L27" t="s">
        <v>140</v>
      </c>
      <c r="M27">
        <v>912.57738198000004</v>
      </c>
      <c r="N27">
        <v>0</v>
      </c>
      <c r="O27" t="s">
        <v>103</v>
      </c>
      <c r="P27" s="56">
        <v>44269.883116168981</v>
      </c>
      <c r="Q27">
        <v>3217229</v>
      </c>
      <c r="R27" t="s">
        <v>98</v>
      </c>
      <c r="S27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108</v>
      </c>
      <c r="AD27" s="56">
        <v>43191</v>
      </c>
    </row>
    <row r="28" spans="1:30" x14ac:dyDescent="0.3">
      <c r="A28">
        <v>339851</v>
      </c>
      <c r="B28" t="s">
        <v>149</v>
      </c>
      <c r="C28">
        <v>2018</v>
      </c>
      <c r="D28">
        <v>4</v>
      </c>
      <c r="E28" t="s">
        <v>109</v>
      </c>
      <c r="F28" t="s">
        <v>108</v>
      </c>
      <c r="G28" t="s">
        <v>108</v>
      </c>
      <c r="H28" t="s">
        <v>25</v>
      </c>
      <c r="I28" t="s">
        <v>25</v>
      </c>
      <c r="J28" t="s">
        <v>138</v>
      </c>
      <c r="K28" t="s">
        <v>110</v>
      </c>
      <c r="L28" t="s">
        <v>140</v>
      </c>
      <c r="M28">
        <v>2217.9983667299998</v>
      </c>
      <c r="N28">
        <v>0</v>
      </c>
      <c r="O28" t="s">
        <v>103</v>
      </c>
      <c r="P28" s="56">
        <v>44269.88311489582</v>
      </c>
      <c r="Q28">
        <v>3217137</v>
      </c>
      <c r="R28" t="s">
        <v>98</v>
      </c>
      <c r="S28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108</v>
      </c>
      <c r="AD28" s="56">
        <v>43191</v>
      </c>
    </row>
    <row r="29" spans="1:30" x14ac:dyDescent="0.3">
      <c r="A29">
        <v>119638</v>
      </c>
      <c r="B29" t="s">
        <v>150</v>
      </c>
      <c r="C29">
        <v>2018</v>
      </c>
      <c r="D29">
        <v>9</v>
      </c>
      <c r="E29" t="s">
        <v>111</v>
      </c>
      <c r="F29" t="s">
        <v>108</v>
      </c>
      <c r="G29" t="s">
        <v>108</v>
      </c>
      <c r="H29" t="s">
        <v>25</v>
      </c>
      <c r="I29" t="s">
        <v>25</v>
      </c>
      <c r="J29" t="s">
        <v>138</v>
      </c>
      <c r="K29" t="s">
        <v>112</v>
      </c>
      <c r="L29" t="s">
        <v>140</v>
      </c>
      <c r="M29">
        <v>316.65874517999998</v>
      </c>
      <c r="N29">
        <v>0</v>
      </c>
      <c r="O29" t="s">
        <v>104</v>
      </c>
      <c r="P29" s="56">
        <v>44269.85110659722</v>
      </c>
      <c r="Q29">
        <v>1081733</v>
      </c>
      <c r="R29" t="s">
        <v>105</v>
      </c>
      <c r="S29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108</v>
      </c>
      <c r="AD29" s="56">
        <v>43344</v>
      </c>
    </row>
    <row r="30" spans="1:30" x14ac:dyDescent="0.3">
      <c r="A30">
        <v>130294</v>
      </c>
      <c r="B30" t="s">
        <v>151</v>
      </c>
      <c r="C30">
        <v>2018</v>
      </c>
      <c r="D30">
        <v>10</v>
      </c>
      <c r="E30" t="s">
        <v>109</v>
      </c>
      <c r="F30" t="s">
        <v>108</v>
      </c>
      <c r="G30" t="s">
        <v>108</v>
      </c>
      <c r="H30" t="s">
        <v>25</v>
      </c>
      <c r="I30" t="s">
        <v>25</v>
      </c>
      <c r="J30" t="s">
        <v>138</v>
      </c>
      <c r="K30" t="s">
        <v>110</v>
      </c>
      <c r="L30" t="s">
        <v>140</v>
      </c>
      <c r="M30">
        <v>1428.8615156599999</v>
      </c>
      <c r="N30">
        <v>0</v>
      </c>
      <c r="O30" t="s">
        <v>104</v>
      </c>
      <c r="P30" s="56">
        <v>44269.8525723727</v>
      </c>
      <c r="Q30">
        <v>1192985</v>
      </c>
      <c r="R30" t="s">
        <v>105</v>
      </c>
      <c r="S30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108</v>
      </c>
      <c r="AD30" s="56">
        <v>43374</v>
      </c>
    </row>
    <row r="31" spans="1:30" x14ac:dyDescent="0.3">
      <c r="A31">
        <v>144832</v>
      </c>
      <c r="B31" t="s">
        <v>152</v>
      </c>
      <c r="C31">
        <v>2018</v>
      </c>
      <c r="D31">
        <v>11</v>
      </c>
      <c r="E31" t="s">
        <v>109</v>
      </c>
      <c r="F31" t="s">
        <v>108</v>
      </c>
      <c r="G31" t="s">
        <v>108</v>
      </c>
      <c r="H31" t="s">
        <v>25</v>
      </c>
      <c r="I31" t="s">
        <v>25</v>
      </c>
      <c r="J31" t="s">
        <v>138</v>
      </c>
      <c r="K31" t="s">
        <v>110</v>
      </c>
      <c r="L31" t="s">
        <v>140</v>
      </c>
      <c r="M31">
        <v>1939.5207746900001</v>
      </c>
      <c r="N31">
        <v>0</v>
      </c>
      <c r="O31" t="s">
        <v>104</v>
      </c>
      <c r="P31" s="56">
        <v>44269.854262534733</v>
      </c>
      <c r="Q31">
        <v>1336945</v>
      </c>
      <c r="R31" t="s">
        <v>105</v>
      </c>
      <c r="S31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108</v>
      </c>
      <c r="AD31" s="56">
        <v>43405</v>
      </c>
    </row>
    <row r="32" spans="1:30" x14ac:dyDescent="0.3">
      <c r="A32">
        <v>130318</v>
      </c>
      <c r="B32" t="s">
        <v>151</v>
      </c>
      <c r="C32">
        <v>2018</v>
      </c>
      <c r="D32">
        <v>10</v>
      </c>
      <c r="E32" t="s">
        <v>111</v>
      </c>
      <c r="F32" t="s">
        <v>108</v>
      </c>
      <c r="G32" t="s">
        <v>108</v>
      </c>
      <c r="H32" t="s">
        <v>25</v>
      </c>
      <c r="I32" t="s">
        <v>25</v>
      </c>
      <c r="J32" t="s">
        <v>138</v>
      </c>
      <c r="K32" t="s">
        <v>112</v>
      </c>
      <c r="L32" t="s">
        <v>140</v>
      </c>
      <c r="M32">
        <v>333.40243543999998</v>
      </c>
      <c r="N32">
        <v>0</v>
      </c>
      <c r="O32" t="s">
        <v>104</v>
      </c>
      <c r="P32" s="56">
        <v>44269.852573611111</v>
      </c>
      <c r="Q32">
        <v>1193105</v>
      </c>
      <c r="R32" t="s">
        <v>105</v>
      </c>
      <c r="S32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108</v>
      </c>
      <c r="AD32" s="56">
        <v>43374</v>
      </c>
    </row>
    <row r="33" spans="1:30" x14ac:dyDescent="0.3">
      <c r="A33">
        <v>119662</v>
      </c>
      <c r="B33" t="s">
        <v>150</v>
      </c>
      <c r="C33">
        <v>2018</v>
      </c>
      <c r="D33">
        <v>9</v>
      </c>
      <c r="E33" t="s">
        <v>113</v>
      </c>
      <c r="F33" t="s">
        <v>108</v>
      </c>
      <c r="G33" t="s">
        <v>108</v>
      </c>
      <c r="H33" t="s">
        <v>25</v>
      </c>
      <c r="I33" t="s">
        <v>25</v>
      </c>
      <c r="J33" t="s">
        <v>138</v>
      </c>
      <c r="K33" t="s">
        <v>114</v>
      </c>
      <c r="L33" t="s">
        <v>140</v>
      </c>
      <c r="M33">
        <v>843.05591856000001</v>
      </c>
      <c r="N33">
        <v>0</v>
      </c>
      <c r="O33" t="s">
        <v>104</v>
      </c>
      <c r="P33" s="56">
        <v>44269.851107986113</v>
      </c>
      <c r="Q33">
        <v>1081853</v>
      </c>
      <c r="R33" t="s">
        <v>105</v>
      </c>
      <c r="S33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108</v>
      </c>
      <c r="AD33" s="56">
        <v>43344</v>
      </c>
    </row>
    <row r="34" spans="1:30" x14ac:dyDescent="0.3">
      <c r="A34">
        <v>443785</v>
      </c>
      <c r="B34" t="s">
        <v>153</v>
      </c>
      <c r="C34">
        <v>2018</v>
      </c>
      <c r="D34">
        <v>12</v>
      </c>
      <c r="E34" t="s">
        <v>109</v>
      </c>
      <c r="F34" t="s">
        <v>108</v>
      </c>
      <c r="G34" t="s">
        <v>108</v>
      </c>
      <c r="H34" t="s">
        <v>25</v>
      </c>
      <c r="I34" t="s">
        <v>25</v>
      </c>
      <c r="J34" t="s">
        <v>138</v>
      </c>
      <c r="K34" t="s">
        <v>110</v>
      </c>
      <c r="L34" t="s">
        <v>140</v>
      </c>
      <c r="M34">
        <v>3041.3129330199999</v>
      </c>
      <c r="N34">
        <v>0</v>
      </c>
      <c r="O34" t="s">
        <v>104</v>
      </c>
      <c r="P34" s="56">
        <v>44284.514579629627</v>
      </c>
      <c r="Q34">
        <v>4215244</v>
      </c>
      <c r="R34" t="s">
        <v>105</v>
      </c>
      <c r="S3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108</v>
      </c>
      <c r="AD34" s="56">
        <v>43435</v>
      </c>
    </row>
    <row r="35" spans="1:30" x14ac:dyDescent="0.3">
      <c r="A35">
        <v>119614</v>
      </c>
      <c r="B35" t="s">
        <v>150</v>
      </c>
      <c r="C35">
        <v>2018</v>
      </c>
      <c r="D35">
        <v>9</v>
      </c>
      <c r="E35" t="s">
        <v>109</v>
      </c>
      <c r="F35" t="s">
        <v>108</v>
      </c>
      <c r="G35" t="s">
        <v>108</v>
      </c>
      <c r="H35" t="s">
        <v>25</v>
      </c>
      <c r="I35" t="s">
        <v>25</v>
      </c>
      <c r="J35" t="s">
        <v>138</v>
      </c>
      <c r="K35" t="s">
        <v>110</v>
      </c>
      <c r="L35" t="s">
        <v>140</v>
      </c>
      <c r="M35">
        <v>1439.52704135</v>
      </c>
      <c r="N35">
        <v>0</v>
      </c>
      <c r="O35" t="s">
        <v>104</v>
      </c>
      <c r="P35" s="56">
        <v>44269.851105011578</v>
      </c>
      <c r="Q35">
        <v>1081613</v>
      </c>
      <c r="R35" t="s">
        <v>105</v>
      </c>
      <c r="S35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108</v>
      </c>
      <c r="AD35" s="56">
        <v>43344</v>
      </c>
    </row>
    <row r="36" spans="1:30" x14ac:dyDescent="0.3">
      <c r="A36">
        <v>144856</v>
      </c>
      <c r="B36" t="s">
        <v>152</v>
      </c>
      <c r="C36">
        <v>2018</v>
      </c>
      <c r="D36">
        <v>11</v>
      </c>
      <c r="E36" t="s">
        <v>111</v>
      </c>
      <c r="F36" t="s">
        <v>108</v>
      </c>
      <c r="G36" t="s">
        <v>108</v>
      </c>
      <c r="H36" t="s">
        <v>25</v>
      </c>
      <c r="I36" t="s">
        <v>25</v>
      </c>
      <c r="J36" t="s">
        <v>138</v>
      </c>
      <c r="K36" t="s">
        <v>112</v>
      </c>
      <c r="L36" t="s">
        <v>140</v>
      </c>
      <c r="M36">
        <v>527.43779992999998</v>
      </c>
      <c r="N36">
        <v>0</v>
      </c>
      <c r="O36" t="s">
        <v>104</v>
      </c>
      <c r="P36" s="56">
        <v>44269.854263738423</v>
      </c>
      <c r="Q36">
        <v>1337065</v>
      </c>
      <c r="R36" t="s">
        <v>105</v>
      </c>
      <c r="S36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108</v>
      </c>
      <c r="AD36" s="56">
        <v>43405</v>
      </c>
    </row>
    <row r="37" spans="1:30" x14ac:dyDescent="0.3">
      <c r="A37">
        <v>443809</v>
      </c>
      <c r="B37" t="s">
        <v>153</v>
      </c>
      <c r="C37">
        <v>2018</v>
      </c>
      <c r="D37">
        <v>12</v>
      </c>
      <c r="E37" t="s">
        <v>111</v>
      </c>
      <c r="F37" t="s">
        <v>108</v>
      </c>
      <c r="G37" t="s">
        <v>108</v>
      </c>
      <c r="H37" t="s">
        <v>25</v>
      </c>
      <c r="I37" t="s">
        <v>25</v>
      </c>
      <c r="J37" t="s">
        <v>138</v>
      </c>
      <c r="K37" t="s">
        <v>112</v>
      </c>
      <c r="L37" t="s">
        <v>140</v>
      </c>
      <c r="M37">
        <v>824.95046656</v>
      </c>
      <c r="N37">
        <v>0</v>
      </c>
      <c r="O37" t="s">
        <v>104</v>
      </c>
      <c r="P37" s="56">
        <v>44284.514580937503</v>
      </c>
      <c r="Q37">
        <v>4215364</v>
      </c>
      <c r="R37" t="s">
        <v>105</v>
      </c>
      <c r="S37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108</v>
      </c>
      <c r="AD37" s="56">
        <v>43435</v>
      </c>
    </row>
    <row r="38" spans="1:30" x14ac:dyDescent="0.3">
      <c r="A38">
        <v>144880</v>
      </c>
      <c r="B38" t="s">
        <v>152</v>
      </c>
      <c r="C38">
        <v>2018</v>
      </c>
      <c r="D38">
        <v>11</v>
      </c>
      <c r="E38" t="s">
        <v>113</v>
      </c>
      <c r="F38" t="s">
        <v>108</v>
      </c>
      <c r="G38" t="s">
        <v>108</v>
      </c>
      <c r="H38" t="s">
        <v>25</v>
      </c>
      <c r="I38" t="s">
        <v>25</v>
      </c>
      <c r="J38" t="s">
        <v>138</v>
      </c>
      <c r="K38" t="s">
        <v>114</v>
      </c>
      <c r="L38" t="s">
        <v>140</v>
      </c>
      <c r="M38">
        <v>1036.3887642100001</v>
      </c>
      <c r="N38">
        <v>0</v>
      </c>
      <c r="O38" t="s">
        <v>104</v>
      </c>
      <c r="P38" s="56">
        <v>44269.854264965281</v>
      </c>
      <c r="Q38">
        <v>1337185</v>
      </c>
      <c r="R38" t="s">
        <v>105</v>
      </c>
      <c r="S38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108</v>
      </c>
      <c r="AD38" s="56">
        <v>43405</v>
      </c>
    </row>
    <row r="39" spans="1:30" x14ac:dyDescent="0.3">
      <c r="A39">
        <v>130342</v>
      </c>
      <c r="B39" t="s">
        <v>151</v>
      </c>
      <c r="C39">
        <v>2018</v>
      </c>
      <c r="D39">
        <v>10</v>
      </c>
      <c r="E39" t="s">
        <v>113</v>
      </c>
      <c r="F39" t="s">
        <v>108</v>
      </c>
      <c r="G39" t="s">
        <v>108</v>
      </c>
      <c r="H39" t="s">
        <v>25</v>
      </c>
      <c r="I39" t="s">
        <v>25</v>
      </c>
      <c r="J39" t="s">
        <v>138</v>
      </c>
      <c r="K39" t="s">
        <v>114</v>
      </c>
      <c r="L39" t="s">
        <v>140</v>
      </c>
      <c r="M39">
        <v>879.43208655000001</v>
      </c>
      <c r="N39">
        <v>0</v>
      </c>
      <c r="O39" t="s">
        <v>104</v>
      </c>
      <c r="P39" s="56">
        <v>44269.852574803241</v>
      </c>
      <c r="Q39">
        <v>1193225</v>
      </c>
      <c r="R39" t="s">
        <v>105</v>
      </c>
      <c r="S39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108</v>
      </c>
      <c r="AD39" s="56">
        <v>43374</v>
      </c>
    </row>
    <row r="40" spans="1:30" x14ac:dyDescent="0.3">
      <c r="A40">
        <v>443833</v>
      </c>
      <c r="B40" t="s">
        <v>153</v>
      </c>
      <c r="C40">
        <v>2018</v>
      </c>
      <c r="D40">
        <v>12</v>
      </c>
      <c r="E40" t="s">
        <v>113</v>
      </c>
      <c r="F40" t="s">
        <v>108</v>
      </c>
      <c r="G40" t="s">
        <v>108</v>
      </c>
      <c r="H40" t="s">
        <v>25</v>
      </c>
      <c r="I40" t="s">
        <v>25</v>
      </c>
      <c r="J40" t="s">
        <v>138</v>
      </c>
      <c r="K40" t="s">
        <v>114</v>
      </c>
      <c r="L40" t="s">
        <v>140</v>
      </c>
      <c r="M40">
        <v>1153.4816149200001</v>
      </c>
      <c r="N40">
        <v>0</v>
      </c>
      <c r="O40" t="s">
        <v>104</v>
      </c>
      <c r="P40" s="56">
        <v>44284.51458221065</v>
      </c>
      <c r="Q40">
        <v>4215484</v>
      </c>
      <c r="R40" t="s">
        <v>105</v>
      </c>
      <c r="S40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108</v>
      </c>
      <c r="AD40" s="56">
        <v>43435</v>
      </c>
    </row>
    <row r="41" spans="1:30" x14ac:dyDescent="0.3">
      <c r="A41">
        <v>339897</v>
      </c>
      <c r="B41" t="s">
        <v>149</v>
      </c>
      <c r="C41">
        <v>2018</v>
      </c>
      <c r="D41">
        <v>4</v>
      </c>
      <c r="E41" t="s">
        <v>113</v>
      </c>
      <c r="F41" t="s">
        <v>108</v>
      </c>
      <c r="G41" t="s">
        <v>108</v>
      </c>
      <c r="H41" t="s">
        <v>25</v>
      </c>
      <c r="I41" t="s">
        <v>25</v>
      </c>
      <c r="J41" t="s">
        <v>138</v>
      </c>
      <c r="K41" t="s">
        <v>114</v>
      </c>
      <c r="L41" t="s">
        <v>140</v>
      </c>
      <c r="M41">
        <v>912.57738198000004</v>
      </c>
      <c r="N41">
        <v>0</v>
      </c>
      <c r="O41" t="s">
        <v>103</v>
      </c>
      <c r="P41" s="56">
        <v>44269.883116168981</v>
      </c>
      <c r="Q41">
        <v>3217228</v>
      </c>
      <c r="R41" t="s">
        <v>106</v>
      </c>
      <c r="S41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108</v>
      </c>
      <c r="AD41" s="56">
        <v>43191</v>
      </c>
    </row>
    <row r="42" spans="1:30" x14ac:dyDescent="0.3">
      <c r="A42">
        <v>339851</v>
      </c>
      <c r="B42" t="s">
        <v>149</v>
      </c>
      <c r="C42">
        <v>2018</v>
      </c>
      <c r="D42">
        <v>4</v>
      </c>
      <c r="E42" t="s">
        <v>109</v>
      </c>
      <c r="F42" t="s">
        <v>108</v>
      </c>
      <c r="G42" t="s">
        <v>108</v>
      </c>
      <c r="H42" t="s">
        <v>25</v>
      </c>
      <c r="I42" t="s">
        <v>25</v>
      </c>
      <c r="J42" t="s">
        <v>138</v>
      </c>
      <c r="K42" t="s">
        <v>110</v>
      </c>
      <c r="L42" t="s">
        <v>140</v>
      </c>
      <c r="M42">
        <v>2217.9983667299998</v>
      </c>
      <c r="N42">
        <v>0</v>
      </c>
      <c r="O42" t="s">
        <v>103</v>
      </c>
      <c r="P42" s="56">
        <v>44269.88311489582</v>
      </c>
      <c r="Q42">
        <v>3217136</v>
      </c>
      <c r="R42" t="s">
        <v>106</v>
      </c>
      <c r="S42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108</v>
      </c>
      <c r="AD42" s="56">
        <v>43191</v>
      </c>
    </row>
    <row r="43" spans="1:30" x14ac:dyDescent="0.3">
      <c r="A43">
        <v>339874</v>
      </c>
      <c r="B43" t="s">
        <v>149</v>
      </c>
      <c r="C43">
        <v>2018</v>
      </c>
      <c r="D43">
        <v>4</v>
      </c>
      <c r="E43" t="s">
        <v>111</v>
      </c>
      <c r="F43" t="s">
        <v>108</v>
      </c>
      <c r="G43" t="s">
        <v>108</v>
      </c>
      <c r="H43" t="s">
        <v>25</v>
      </c>
      <c r="I43" t="s">
        <v>25</v>
      </c>
      <c r="J43" t="s">
        <v>138</v>
      </c>
      <c r="K43" t="s">
        <v>112</v>
      </c>
      <c r="L43" t="s">
        <v>140</v>
      </c>
      <c r="M43">
        <v>395.73036543000001</v>
      </c>
      <c r="N43">
        <v>0</v>
      </c>
      <c r="O43" t="s">
        <v>103</v>
      </c>
      <c r="P43" s="56">
        <v>44269.883115474528</v>
      </c>
      <c r="Q43">
        <v>3217182</v>
      </c>
      <c r="R43" t="s">
        <v>106</v>
      </c>
      <c r="S43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108</v>
      </c>
      <c r="AD43" s="56">
        <v>43191</v>
      </c>
    </row>
    <row r="44" spans="1:30" x14ac:dyDescent="0.3">
      <c r="A44">
        <v>51320</v>
      </c>
      <c r="B44" t="s">
        <v>154</v>
      </c>
      <c r="C44">
        <v>2018</v>
      </c>
      <c r="D44">
        <v>2</v>
      </c>
      <c r="E44" t="s">
        <v>109</v>
      </c>
      <c r="F44" t="s">
        <v>108</v>
      </c>
      <c r="G44" t="s">
        <v>108</v>
      </c>
      <c r="H44" t="s">
        <v>25</v>
      </c>
      <c r="I44" t="s">
        <v>25</v>
      </c>
      <c r="J44" t="s">
        <v>138</v>
      </c>
      <c r="K44" t="s">
        <v>110</v>
      </c>
      <c r="L44" t="s">
        <v>140</v>
      </c>
      <c r="M44">
        <v>2992.3278786400001</v>
      </c>
      <c r="N44">
        <v>0</v>
      </c>
      <c r="O44" t="s">
        <v>103</v>
      </c>
      <c r="P44" s="56">
        <v>44269.843124270832</v>
      </c>
      <c r="Q44">
        <v>446370</v>
      </c>
      <c r="R44" t="s">
        <v>98</v>
      </c>
      <c r="S4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108</v>
      </c>
      <c r="AD44" s="56">
        <v>43132</v>
      </c>
    </row>
    <row r="45" spans="1:30" x14ac:dyDescent="0.3">
      <c r="A45">
        <v>51342</v>
      </c>
      <c r="B45" t="s">
        <v>154</v>
      </c>
      <c r="C45">
        <v>2018</v>
      </c>
      <c r="D45">
        <v>2</v>
      </c>
      <c r="E45" t="s">
        <v>111</v>
      </c>
      <c r="F45" t="s">
        <v>108</v>
      </c>
      <c r="G45" t="s">
        <v>108</v>
      </c>
      <c r="H45" t="s">
        <v>25</v>
      </c>
      <c r="I45" t="s">
        <v>25</v>
      </c>
      <c r="J45" t="s">
        <v>138</v>
      </c>
      <c r="K45" t="s">
        <v>112</v>
      </c>
      <c r="L45" t="s">
        <v>140</v>
      </c>
      <c r="M45">
        <v>828.89142677999996</v>
      </c>
      <c r="N45">
        <v>0</v>
      </c>
      <c r="O45" t="s">
        <v>103</v>
      </c>
      <c r="P45" s="56">
        <v>44269.843124965279</v>
      </c>
      <c r="Q45">
        <v>446414</v>
      </c>
      <c r="R45" t="s">
        <v>98</v>
      </c>
      <c r="S45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108</v>
      </c>
      <c r="AD45" s="56">
        <v>43132</v>
      </c>
    </row>
    <row r="46" spans="1:30" x14ac:dyDescent="0.3">
      <c r="A46">
        <v>51364</v>
      </c>
      <c r="B46" t="s">
        <v>154</v>
      </c>
      <c r="C46">
        <v>2018</v>
      </c>
      <c r="D46">
        <v>2</v>
      </c>
      <c r="E46" t="s">
        <v>113</v>
      </c>
      <c r="F46" t="s">
        <v>108</v>
      </c>
      <c r="G46" t="s">
        <v>108</v>
      </c>
      <c r="H46" t="s">
        <v>25</v>
      </c>
      <c r="I46" t="s">
        <v>25</v>
      </c>
      <c r="J46" t="s">
        <v>138</v>
      </c>
      <c r="K46" t="s">
        <v>114</v>
      </c>
      <c r="L46" t="s">
        <v>140</v>
      </c>
      <c r="M46">
        <v>1043.8948492300001</v>
      </c>
      <c r="N46">
        <v>0</v>
      </c>
      <c r="O46" t="s">
        <v>103</v>
      </c>
      <c r="P46" s="56">
        <v>44269.843125613428</v>
      </c>
      <c r="Q46">
        <v>446458</v>
      </c>
      <c r="R46" t="s">
        <v>98</v>
      </c>
      <c r="S46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108</v>
      </c>
      <c r="AD46" s="56">
        <v>43132</v>
      </c>
    </row>
    <row r="47" spans="1:30" x14ac:dyDescent="0.3">
      <c r="A47">
        <v>144880</v>
      </c>
      <c r="B47" t="s">
        <v>152</v>
      </c>
      <c r="C47">
        <v>2018</v>
      </c>
      <c r="D47">
        <v>11</v>
      </c>
      <c r="E47" t="s">
        <v>113</v>
      </c>
      <c r="F47" t="s">
        <v>108</v>
      </c>
      <c r="G47" t="s">
        <v>108</v>
      </c>
      <c r="H47" t="s">
        <v>25</v>
      </c>
      <c r="I47" t="s">
        <v>25</v>
      </c>
      <c r="J47" t="s">
        <v>138</v>
      </c>
      <c r="K47" t="s">
        <v>114</v>
      </c>
      <c r="L47" t="s">
        <v>140</v>
      </c>
      <c r="M47">
        <v>1036.3887642100001</v>
      </c>
      <c r="N47">
        <v>0</v>
      </c>
      <c r="O47" t="s">
        <v>104</v>
      </c>
      <c r="P47" s="56">
        <v>44269.854264965281</v>
      </c>
      <c r="Q47">
        <v>1337184</v>
      </c>
      <c r="R47" t="s">
        <v>27</v>
      </c>
      <c r="S47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108</v>
      </c>
      <c r="AD47" s="56">
        <v>43405</v>
      </c>
    </row>
    <row r="48" spans="1:30" x14ac:dyDescent="0.3">
      <c r="A48">
        <v>119662</v>
      </c>
      <c r="B48" t="s">
        <v>150</v>
      </c>
      <c r="C48">
        <v>2018</v>
      </c>
      <c r="D48">
        <v>9</v>
      </c>
      <c r="E48" t="s">
        <v>113</v>
      </c>
      <c r="F48" t="s">
        <v>108</v>
      </c>
      <c r="G48" t="s">
        <v>108</v>
      </c>
      <c r="H48" t="s">
        <v>25</v>
      </c>
      <c r="I48" t="s">
        <v>25</v>
      </c>
      <c r="J48" t="s">
        <v>138</v>
      </c>
      <c r="K48" t="s">
        <v>114</v>
      </c>
      <c r="L48" t="s">
        <v>140</v>
      </c>
      <c r="M48">
        <v>843.05591856000001</v>
      </c>
      <c r="N48">
        <v>0</v>
      </c>
      <c r="O48" t="s">
        <v>104</v>
      </c>
      <c r="P48" s="56">
        <v>44269.851107986113</v>
      </c>
      <c r="Q48">
        <v>1081852</v>
      </c>
      <c r="R48" t="s">
        <v>27</v>
      </c>
      <c r="S48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108</v>
      </c>
      <c r="AD48" s="56">
        <v>43344</v>
      </c>
    </row>
    <row r="49" spans="1:30" x14ac:dyDescent="0.3">
      <c r="A49">
        <v>119614</v>
      </c>
      <c r="B49" t="s">
        <v>150</v>
      </c>
      <c r="C49">
        <v>2018</v>
      </c>
      <c r="D49">
        <v>9</v>
      </c>
      <c r="E49" t="s">
        <v>109</v>
      </c>
      <c r="F49" t="s">
        <v>108</v>
      </c>
      <c r="G49" t="s">
        <v>108</v>
      </c>
      <c r="H49" t="s">
        <v>25</v>
      </c>
      <c r="I49" t="s">
        <v>25</v>
      </c>
      <c r="J49" t="s">
        <v>138</v>
      </c>
      <c r="K49" t="s">
        <v>110</v>
      </c>
      <c r="L49" t="s">
        <v>140</v>
      </c>
      <c r="M49">
        <v>1439.52704135</v>
      </c>
      <c r="N49">
        <v>0</v>
      </c>
      <c r="O49" t="s">
        <v>104</v>
      </c>
      <c r="P49" s="56">
        <v>44269.851105011578</v>
      </c>
      <c r="Q49">
        <v>1081612</v>
      </c>
      <c r="R49" t="s">
        <v>27</v>
      </c>
      <c r="S49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108</v>
      </c>
      <c r="AD49" s="56">
        <v>43344</v>
      </c>
    </row>
    <row r="50" spans="1:30" x14ac:dyDescent="0.3">
      <c r="A50">
        <v>130294</v>
      </c>
      <c r="B50" t="s">
        <v>151</v>
      </c>
      <c r="C50">
        <v>2018</v>
      </c>
      <c r="D50">
        <v>10</v>
      </c>
      <c r="E50" t="s">
        <v>109</v>
      </c>
      <c r="F50" t="s">
        <v>108</v>
      </c>
      <c r="G50" t="s">
        <v>108</v>
      </c>
      <c r="H50" t="s">
        <v>25</v>
      </c>
      <c r="I50" t="s">
        <v>25</v>
      </c>
      <c r="J50" t="s">
        <v>138</v>
      </c>
      <c r="K50" t="s">
        <v>110</v>
      </c>
      <c r="L50" t="s">
        <v>140</v>
      </c>
      <c r="M50">
        <v>1428.8615156599999</v>
      </c>
      <c r="N50">
        <v>0</v>
      </c>
      <c r="O50" t="s">
        <v>104</v>
      </c>
      <c r="P50" s="56">
        <v>44269.8525723727</v>
      </c>
      <c r="Q50">
        <v>1192984</v>
      </c>
      <c r="R50" t="s">
        <v>27</v>
      </c>
      <c r="S50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108</v>
      </c>
      <c r="AD50" s="56">
        <v>43374</v>
      </c>
    </row>
    <row r="51" spans="1:30" x14ac:dyDescent="0.3">
      <c r="A51">
        <v>443809</v>
      </c>
      <c r="B51" t="s">
        <v>153</v>
      </c>
      <c r="C51">
        <v>2018</v>
      </c>
      <c r="D51">
        <v>12</v>
      </c>
      <c r="E51" t="s">
        <v>111</v>
      </c>
      <c r="F51" t="s">
        <v>108</v>
      </c>
      <c r="G51" t="s">
        <v>108</v>
      </c>
      <c r="H51" t="s">
        <v>25</v>
      </c>
      <c r="I51" t="s">
        <v>25</v>
      </c>
      <c r="J51" t="s">
        <v>138</v>
      </c>
      <c r="K51" t="s">
        <v>112</v>
      </c>
      <c r="L51" t="s">
        <v>140</v>
      </c>
      <c r="M51">
        <v>824.95046656</v>
      </c>
      <c r="N51">
        <v>0</v>
      </c>
      <c r="O51" t="s">
        <v>104</v>
      </c>
      <c r="P51" s="56">
        <v>44284.514580937503</v>
      </c>
      <c r="Q51">
        <v>4215363</v>
      </c>
      <c r="R51" t="s">
        <v>27</v>
      </c>
      <c r="S51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108</v>
      </c>
      <c r="AD51" s="56">
        <v>43435</v>
      </c>
    </row>
    <row r="52" spans="1:30" x14ac:dyDescent="0.3">
      <c r="A52">
        <v>144832</v>
      </c>
      <c r="B52" t="s">
        <v>152</v>
      </c>
      <c r="C52">
        <v>2018</v>
      </c>
      <c r="D52">
        <v>11</v>
      </c>
      <c r="E52" t="s">
        <v>109</v>
      </c>
      <c r="F52" t="s">
        <v>108</v>
      </c>
      <c r="G52" t="s">
        <v>108</v>
      </c>
      <c r="H52" t="s">
        <v>25</v>
      </c>
      <c r="I52" t="s">
        <v>25</v>
      </c>
      <c r="J52" t="s">
        <v>138</v>
      </c>
      <c r="K52" t="s">
        <v>110</v>
      </c>
      <c r="L52" t="s">
        <v>140</v>
      </c>
      <c r="M52">
        <v>1939.5207746900001</v>
      </c>
      <c r="N52">
        <v>0</v>
      </c>
      <c r="O52" t="s">
        <v>104</v>
      </c>
      <c r="P52" s="56">
        <v>44269.854262534733</v>
      </c>
      <c r="Q52">
        <v>1336944</v>
      </c>
      <c r="R52" t="s">
        <v>27</v>
      </c>
      <c r="S52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108</v>
      </c>
      <c r="AD52" s="56">
        <v>43405</v>
      </c>
    </row>
    <row r="53" spans="1:30" x14ac:dyDescent="0.3">
      <c r="A53">
        <v>119638</v>
      </c>
      <c r="B53" t="s">
        <v>150</v>
      </c>
      <c r="C53">
        <v>2018</v>
      </c>
      <c r="D53">
        <v>9</v>
      </c>
      <c r="E53" t="s">
        <v>111</v>
      </c>
      <c r="F53" t="s">
        <v>108</v>
      </c>
      <c r="G53" t="s">
        <v>108</v>
      </c>
      <c r="H53" t="s">
        <v>25</v>
      </c>
      <c r="I53" t="s">
        <v>25</v>
      </c>
      <c r="J53" t="s">
        <v>138</v>
      </c>
      <c r="K53" t="s">
        <v>112</v>
      </c>
      <c r="L53" t="s">
        <v>140</v>
      </c>
      <c r="M53">
        <v>316.65874517999998</v>
      </c>
      <c r="N53">
        <v>0</v>
      </c>
      <c r="O53" t="s">
        <v>104</v>
      </c>
      <c r="P53" s="56">
        <v>44269.85110659722</v>
      </c>
      <c r="Q53">
        <v>1081732</v>
      </c>
      <c r="R53" t="s">
        <v>27</v>
      </c>
      <c r="S53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108</v>
      </c>
      <c r="AD53" s="56">
        <v>43344</v>
      </c>
    </row>
    <row r="54" spans="1:30" x14ac:dyDescent="0.3">
      <c r="A54">
        <v>443833</v>
      </c>
      <c r="B54" t="s">
        <v>153</v>
      </c>
      <c r="C54">
        <v>2018</v>
      </c>
      <c r="D54">
        <v>12</v>
      </c>
      <c r="E54" t="s">
        <v>113</v>
      </c>
      <c r="F54" t="s">
        <v>108</v>
      </c>
      <c r="G54" t="s">
        <v>108</v>
      </c>
      <c r="H54" t="s">
        <v>25</v>
      </c>
      <c r="I54" t="s">
        <v>25</v>
      </c>
      <c r="J54" t="s">
        <v>138</v>
      </c>
      <c r="K54" t="s">
        <v>114</v>
      </c>
      <c r="L54" t="s">
        <v>140</v>
      </c>
      <c r="M54">
        <v>1153.4816149200001</v>
      </c>
      <c r="N54">
        <v>0</v>
      </c>
      <c r="O54" t="s">
        <v>104</v>
      </c>
      <c r="P54" s="56">
        <v>44284.51458221065</v>
      </c>
      <c r="Q54">
        <v>4215483</v>
      </c>
      <c r="R54" t="s">
        <v>27</v>
      </c>
      <c r="S5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108</v>
      </c>
      <c r="AD54" s="56">
        <v>43435</v>
      </c>
    </row>
    <row r="55" spans="1:30" x14ac:dyDescent="0.3">
      <c r="A55">
        <v>443785</v>
      </c>
      <c r="B55" t="s">
        <v>153</v>
      </c>
      <c r="C55">
        <v>2018</v>
      </c>
      <c r="D55">
        <v>12</v>
      </c>
      <c r="E55" t="s">
        <v>109</v>
      </c>
      <c r="F55" t="s">
        <v>108</v>
      </c>
      <c r="G55" t="s">
        <v>108</v>
      </c>
      <c r="H55" t="s">
        <v>25</v>
      </c>
      <c r="I55" t="s">
        <v>25</v>
      </c>
      <c r="J55" t="s">
        <v>138</v>
      </c>
      <c r="K55" t="s">
        <v>110</v>
      </c>
      <c r="L55" t="s">
        <v>140</v>
      </c>
      <c r="M55">
        <v>3041.3129330199999</v>
      </c>
      <c r="N55">
        <v>0</v>
      </c>
      <c r="O55" t="s">
        <v>104</v>
      </c>
      <c r="P55" s="56">
        <v>44284.514579629627</v>
      </c>
      <c r="Q55">
        <v>4215243</v>
      </c>
      <c r="R55" t="s">
        <v>27</v>
      </c>
      <c r="S55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108</v>
      </c>
      <c r="AD55" s="56">
        <v>43435</v>
      </c>
    </row>
    <row r="56" spans="1:30" x14ac:dyDescent="0.3">
      <c r="A56">
        <v>130342</v>
      </c>
      <c r="B56" t="s">
        <v>151</v>
      </c>
      <c r="C56">
        <v>2018</v>
      </c>
      <c r="D56">
        <v>10</v>
      </c>
      <c r="E56" t="s">
        <v>113</v>
      </c>
      <c r="F56" t="s">
        <v>108</v>
      </c>
      <c r="G56" t="s">
        <v>108</v>
      </c>
      <c r="H56" t="s">
        <v>25</v>
      </c>
      <c r="I56" t="s">
        <v>25</v>
      </c>
      <c r="J56" t="s">
        <v>138</v>
      </c>
      <c r="K56" t="s">
        <v>114</v>
      </c>
      <c r="L56" t="s">
        <v>140</v>
      </c>
      <c r="M56">
        <v>879.43208655000001</v>
      </c>
      <c r="N56">
        <v>0</v>
      </c>
      <c r="O56" t="s">
        <v>104</v>
      </c>
      <c r="P56" s="56">
        <v>44269.852574803241</v>
      </c>
      <c r="Q56">
        <v>1193224</v>
      </c>
      <c r="R56" t="s">
        <v>27</v>
      </c>
      <c r="S56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108</v>
      </c>
      <c r="AD56" s="56">
        <v>43374</v>
      </c>
    </row>
    <row r="57" spans="1:30" x14ac:dyDescent="0.3">
      <c r="A57">
        <v>130318</v>
      </c>
      <c r="B57" t="s">
        <v>151</v>
      </c>
      <c r="C57">
        <v>2018</v>
      </c>
      <c r="D57">
        <v>10</v>
      </c>
      <c r="E57" t="s">
        <v>111</v>
      </c>
      <c r="F57" t="s">
        <v>108</v>
      </c>
      <c r="G57" t="s">
        <v>108</v>
      </c>
      <c r="H57" t="s">
        <v>25</v>
      </c>
      <c r="I57" t="s">
        <v>25</v>
      </c>
      <c r="J57" t="s">
        <v>138</v>
      </c>
      <c r="K57" t="s">
        <v>112</v>
      </c>
      <c r="L57" t="s">
        <v>140</v>
      </c>
      <c r="M57">
        <v>333.40243543999998</v>
      </c>
      <c r="N57">
        <v>0</v>
      </c>
      <c r="O57" t="s">
        <v>104</v>
      </c>
      <c r="P57" s="56">
        <v>44269.852573611111</v>
      </c>
      <c r="Q57">
        <v>1193104</v>
      </c>
      <c r="R57" t="s">
        <v>27</v>
      </c>
      <c r="S57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108</v>
      </c>
      <c r="AD57" s="56">
        <v>43374</v>
      </c>
    </row>
    <row r="58" spans="1:30" x14ac:dyDescent="0.3">
      <c r="A58">
        <v>144856</v>
      </c>
      <c r="B58" t="s">
        <v>152</v>
      </c>
      <c r="C58">
        <v>2018</v>
      </c>
      <c r="D58">
        <v>11</v>
      </c>
      <c r="E58" t="s">
        <v>111</v>
      </c>
      <c r="F58" t="s">
        <v>108</v>
      </c>
      <c r="G58" t="s">
        <v>108</v>
      </c>
      <c r="H58" t="s">
        <v>25</v>
      </c>
      <c r="I58" t="s">
        <v>25</v>
      </c>
      <c r="J58" t="s">
        <v>138</v>
      </c>
      <c r="K58" t="s">
        <v>112</v>
      </c>
      <c r="L58" t="s">
        <v>140</v>
      </c>
      <c r="M58">
        <v>527.43779992999998</v>
      </c>
      <c r="N58">
        <v>0</v>
      </c>
      <c r="O58" t="s">
        <v>104</v>
      </c>
      <c r="P58" s="56">
        <v>44269.854263738423</v>
      </c>
      <c r="Q58">
        <v>1337064</v>
      </c>
      <c r="R58" t="s">
        <v>27</v>
      </c>
      <c r="S58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108</v>
      </c>
      <c r="AD58" s="56">
        <v>43405</v>
      </c>
    </row>
    <row r="59" spans="1:30" x14ac:dyDescent="0.3">
      <c r="A59">
        <v>63558</v>
      </c>
      <c r="B59" t="s">
        <v>155</v>
      </c>
      <c r="C59">
        <v>2018</v>
      </c>
      <c r="D59">
        <v>3</v>
      </c>
      <c r="E59" t="s">
        <v>109</v>
      </c>
      <c r="F59" t="s">
        <v>108</v>
      </c>
      <c r="G59" t="s">
        <v>108</v>
      </c>
      <c r="H59" t="s">
        <v>25</v>
      </c>
      <c r="I59" t="s">
        <v>25</v>
      </c>
      <c r="J59" t="s">
        <v>138</v>
      </c>
      <c r="K59" t="s">
        <v>110</v>
      </c>
      <c r="L59" t="s">
        <v>140</v>
      </c>
      <c r="M59">
        <v>2918.7091952800001</v>
      </c>
      <c r="N59">
        <v>0</v>
      </c>
      <c r="O59" t="s">
        <v>103</v>
      </c>
      <c r="P59" s="56">
        <v>44269.844469872682</v>
      </c>
      <c r="Q59">
        <v>560913</v>
      </c>
      <c r="R59" t="s">
        <v>98</v>
      </c>
      <c r="S59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108</v>
      </c>
      <c r="AD59" s="56">
        <v>43160</v>
      </c>
    </row>
    <row r="60" spans="1:30" x14ac:dyDescent="0.3">
      <c r="A60">
        <v>63604</v>
      </c>
      <c r="B60" t="s">
        <v>155</v>
      </c>
      <c r="C60">
        <v>2018</v>
      </c>
      <c r="D60">
        <v>3</v>
      </c>
      <c r="E60" t="s">
        <v>113</v>
      </c>
      <c r="F60" t="s">
        <v>108</v>
      </c>
      <c r="G60" t="s">
        <v>108</v>
      </c>
      <c r="H60" t="s">
        <v>25</v>
      </c>
      <c r="I60" t="s">
        <v>25</v>
      </c>
      <c r="J60" t="s">
        <v>138</v>
      </c>
      <c r="K60" t="s">
        <v>114</v>
      </c>
      <c r="L60" t="s">
        <v>140</v>
      </c>
      <c r="M60">
        <v>1101.95310419</v>
      </c>
      <c r="N60">
        <v>0</v>
      </c>
      <c r="O60" t="s">
        <v>103</v>
      </c>
      <c r="P60" s="56">
        <v>44269.844471643519</v>
      </c>
      <c r="Q60">
        <v>561005</v>
      </c>
      <c r="R60" t="s">
        <v>98</v>
      </c>
      <c r="S60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108</v>
      </c>
      <c r="AD60" s="56">
        <v>43160</v>
      </c>
    </row>
    <row r="61" spans="1:30" x14ac:dyDescent="0.3">
      <c r="A61">
        <v>63581</v>
      </c>
      <c r="B61" t="s">
        <v>155</v>
      </c>
      <c r="C61">
        <v>2018</v>
      </c>
      <c r="D61">
        <v>3</v>
      </c>
      <c r="E61" t="s">
        <v>111</v>
      </c>
      <c r="F61" t="s">
        <v>108</v>
      </c>
      <c r="G61" t="s">
        <v>108</v>
      </c>
      <c r="H61" t="s">
        <v>25</v>
      </c>
      <c r="I61" t="s">
        <v>25</v>
      </c>
      <c r="J61" t="s">
        <v>138</v>
      </c>
      <c r="K61" t="s">
        <v>112</v>
      </c>
      <c r="L61" t="s">
        <v>140</v>
      </c>
      <c r="M61">
        <v>681.39686511000002</v>
      </c>
      <c r="N61">
        <v>0</v>
      </c>
      <c r="O61" t="s">
        <v>103</v>
      </c>
      <c r="P61" s="56">
        <v>44269.844470682867</v>
      </c>
      <c r="Q61">
        <v>560959</v>
      </c>
      <c r="R61" t="s">
        <v>98</v>
      </c>
      <c r="S61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108</v>
      </c>
      <c r="AD61" s="56">
        <v>43160</v>
      </c>
    </row>
    <row r="62" spans="1:30" x14ac:dyDescent="0.3">
      <c r="A62">
        <v>38545</v>
      </c>
      <c r="B62" t="s">
        <v>156</v>
      </c>
      <c r="C62">
        <v>2018</v>
      </c>
      <c r="D62">
        <v>1</v>
      </c>
      <c r="E62" t="s">
        <v>109</v>
      </c>
      <c r="F62" t="s">
        <v>108</v>
      </c>
      <c r="G62" t="s">
        <v>108</v>
      </c>
      <c r="H62" t="s">
        <v>25</v>
      </c>
      <c r="I62" t="s">
        <v>25</v>
      </c>
      <c r="J62" t="s">
        <v>138</v>
      </c>
      <c r="K62" t="s">
        <v>110</v>
      </c>
      <c r="L62" t="s">
        <v>140</v>
      </c>
      <c r="M62">
        <v>2934.8747129799999</v>
      </c>
      <c r="N62">
        <v>0</v>
      </c>
      <c r="O62" t="s">
        <v>103</v>
      </c>
      <c r="P62" s="56">
        <v>44269.841712766203</v>
      </c>
      <c r="Q62">
        <v>327738</v>
      </c>
      <c r="R62" t="s">
        <v>98</v>
      </c>
      <c r="S62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108</v>
      </c>
      <c r="AD62" s="56">
        <v>43101</v>
      </c>
    </row>
    <row r="63" spans="1:30" x14ac:dyDescent="0.3">
      <c r="A63">
        <v>38568</v>
      </c>
      <c r="B63" t="s">
        <v>156</v>
      </c>
      <c r="C63">
        <v>2018</v>
      </c>
      <c r="D63">
        <v>1</v>
      </c>
      <c r="E63" t="s">
        <v>111</v>
      </c>
      <c r="F63" t="s">
        <v>108</v>
      </c>
      <c r="G63" t="s">
        <v>108</v>
      </c>
      <c r="H63" t="s">
        <v>25</v>
      </c>
      <c r="I63" t="s">
        <v>25</v>
      </c>
      <c r="J63" t="s">
        <v>138</v>
      </c>
      <c r="K63" t="s">
        <v>112</v>
      </c>
      <c r="L63" t="s">
        <v>140</v>
      </c>
      <c r="M63">
        <v>892.08334261000005</v>
      </c>
      <c r="N63">
        <v>0</v>
      </c>
      <c r="O63" t="s">
        <v>103</v>
      </c>
      <c r="P63" s="56">
        <v>44269.841713576388</v>
      </c>
      <c r="Q63">
        <v>327784</v>
      </c>
      <c r="R63" t="s">
        <v>98</v>
      </c>
      <c r="S63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108</v>
      </c>
      <c r="AD63" s="56">
        <v>43101</v>
      </c>
    </row>
    <row r="64" spans="1:30" x14ac:dyDescent="0.3">
      <c r="A64">
        <v>38591</v>
      </c>
      <c r="B64" t="s">
        <v>156</v>
      </c>
      <c r="C64">
        <v>2018</v>
      </c>
      <c r="D64">
        <v>1</v>
      </c>
      <c r="E64" t="s">
        <v>113</v>
      </c>
      <c r="F64" t="s">
        <v>108</v>
      </c>
      <c r="G64" t="s">
        <v>108</v>
      </c>
      <c r="H64" t="s">
        <v>25</v>
      </c>
      <c r="I64" t="s">
        <v>25</v>
      </c>
      <c r="J64" t="s">
        <v>138</v>
      </c>
      <c r="K64" t="s">
        <v>114</v>
      </c>
      <c r="L64" t="s">
        <v>140</v>
      </c>
      <c r="M64">
        <v>1063.1400695499999</v>
      </c>
      <c r="N64">
        <v>0</v>
      </c>
      <c r="O64" t="s">
        <v>103</v>
      </c>
      <c r="P64" s="56">
        <v>44269.841714548609</v>
      </c>
      <c r="Q64">
        <v>327830</v>
      </c>
      <c r="R64" t="s">
        <v>98</v>
      </c>
      <c r="S6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108</v>
      </c>
      <c r="AD64" s="56">
        <v>43101</v>
      </c>
    </row>
    <row r="65" spans="1:30" x14ac:dyDescent="0.3">
      <c r="A65">
        <v>352684</v>
      </c>
      <c r="B65" t="s">
        <v>157</v>
      </c>
      <c r="C65">
        <v>2018</v>
      </c>
      <c r="D65">
        <v>5</v>
      </c>
      <c r="E65" t="s">
        <v>109</v>
      </c>
      <c r="F65" t="s">
        <v>108</v>
      </c>
      <c r="G65" t="s">
        <v>108</v>
      </c>
      <c r="H65" t="s">
        <v>25</v>
      </c>
      <c r="I65" t="s">
        <v>25</v>
      </c>
      <c r="J65" t="s">
        <v>138</v>
      </c>
      <c r="K65" t="s">
        <v>110</v>
      </c>
      <c r="L65" t="s">
        <v>140</v>
      </c>
      <c r="M65">
        <v>2108.0789959600002</v>
      </c>
      <c r="N65">
        <v>0</v>
      </c>
      <c r="O65" t="s">
        <v>103</v>
      </c>
      <c r="P65" s="56">
        <v>44269.884373807872</v>
      </c>
      <c r="Q65">
        <v>3336167</v>
      </c>
      <c r="R65" t="s">
        <v>98</v>
      </c>
      <c r="S65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108</v>
      </c>
      <c r="AD65" s="56">
        <v>43221</v>
      </c>
    </row>
    <row r="66" spans="1:30" x14ac:dyDescent="0.3">
      <c r="A66">
        <v>352730</v>
      </c>
      <c r="B66" t="s">
        <v>157</v>
      </c>
      <c r="C66">
        <v>2018</v>
      </c>
      <c r="D66">
        <v>5</v>
      </c>
      <c r="E66" t="s">
        <v>113</v>
      </c>
      <c r="F66" t="s">
        <v>108</v>
      </c>
      <c r="G66" t="s">
        <v>108</v>
      </c>
      <c r="H66" t="s">
        <v>25</v>
      </c>
      <c r="I66" t="s">
        <v>25</v>
      </c>
      <c r="J66" t="s">
        <v>138</v>
      </c>
      <c r="K66" t="s">
        <v>114</v>
      </c>
      <c r="L66" t="s">
        <v>140</v>
      </c>
      <c r="M66">
        <v>932.17317322999997</v>
      </c>
      <c r="N66">
        <v>0</v>
      </c>
      <c r="O66" t="s">
        <v>103</v>
      </c>
      <c r="P66" s="56">
        <v>44269.884375000001</v>
      </c>
      <c r="Q66">
        <v>3336259</v>
      </c>
      <c r="R66" t="s">
        <v>98</v>
      </c>
      <c r="S66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108</v>
      </c>
      <c r="AD66" s="56">
        <v>43221</v>
      </c>
    </row>
    <row r="67" spans="1:30" x14ac:dyDescent="0.3">
      <c r="A67">
        <v>352707</v>
      </c>
      <c r="B67" t="s">
        <v>157</v>
      </c>
      <c r="C67">
        <v>2018</v>
      </c>
      <c r="D67">
        <v>5</v>
      </c>
      <c r="E67" t="s">
        <v>111</v>
      </c>
      <c r="F67" t="s">
        <v>108</v>
      </c>
      <c r="G67" t="s">
        <v>108</v>
      </c>
      <c r="H67" t="s">
        <v>25</v>
      </c>
      <c r="I67" t="s">
        <v>25</v>
      </c>
      <c r="J67" t="s">
        <v>138</v>
      </c>
      <c r="K67" t="s">
        <v>112</v>
      </c>
      <c r="L67" t="s">
        <v>140</v>
      </c>
      <c r="M67">
        <v>393.55599067000003</v>
      </c>
      <c r="N67">
        <v>0</v>
      </c>
      <c r="O67" t="s">
        <v>103</v>
      </c>
      <c r="P67" s="56">
        <v>44269.884374386573</v>
      </c>
      <c r="Q67">
        <v>3336213</v>
      </c>
      <c r="R67" t="s">
        <v>98</v>
      </c>
      <c r="S67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108</v>
      </c>
      <c r="AD67" s="56">
        <v>43221</v>
      </c>
    </row>
    <row r="68" spans="1:30" x14ac:dyDescent="0.3">
      <c r="A68">
        <v>23</v>
      </c>
      <c r="B68" t="s">
        <v>158</v>
      </c>
      <c r="C68">
        <v>2017</v>
      </c>
      <c r="D68">
        <v>9</v>
      </c>
      <c r="E68" t="s">
        <v>111</v>
      </c>
      <c r="F68" t="s">
        <v>108</v>
      </c>
      <c r="G68" t="s">
        <v>108</v>
      </c>
      <c r="H68" t="s">
        <v>25</v>
      </c>
      <c r="I68" t="s">
        <v>25</v>
      </c>
      <c r="J68" t="s">
        <v>138</v>
      </c>
      <c r="K68" t="s">
        <v>112</v>
      </c>
      <c r="L68" t="s">
        <v>140</v>
      </c>
      <c r="M68">
        <v>317.51694221999998</v>
      </c>
      <c r="N68">
        <v>0</v>
      </c>
      <c r="O68" t="s">
        <v>103</v>
      </c>
      <c r="P68" s="56">
        <v>44269.837767013887</v>
      </c>
      <c r="Q68">
        <v>46</v>
      </c>
      <c r="R68" t="s">
        <v>98</v>
      </c>
      <c r="S68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108</v>
      </c>
      <c r="AD68" s="56">
        <v>42979</v>
      </c>
    </row>
    <row r="69" spans="1:30" x14ac:dyDescent="0.3">
      <c r="A69">
        <v>2</v>
      </c>
      <c r="B69" t="s">
        <v>158</v>
      </c>
      <c r="C69">
        <v>2017</v>
      </c>
      <c r="D69">
        <v>9</v>
      </c>
      <c r="E69" t="s">
        <v>109</v>
      </c>
      <c r="F69" t="s">
        <v>108</v>
      </c>
      <c r="G69" t="s">
        <v>108</v>
      </c>
      <c r="H69" t="s">
        <v>25</v>
      </c>
      <c r="I69" t="s">
        <v>25</v>
      </c>
      <c r="J69" t="s">
        <v>138</v>
      </c>
      <c r="K69" t="s">
        <v>110</v>
      </c>
      <c r="L69" t="s">
        <v>140</v>
      </c>
      <c r="M69">
        <v>1525.35760676</v>
      </c>
      <c r="N69">
        <v>0</v>
      </c>
      <c r="O69" t="s">
        <v>103</v>
      </c>
      <c r="P69" s="56">
        <v>44269.837765891207</v>
      </c>
      <c r="Q69">
        <v>4</v>
      </c>
      <c r="R69" t="s">
        <v>98</v>
      </c>
      <c r="S69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108</v>
      </c>
      <c r="AD69" s="56">
        <v>42979</v>
      </c>
    </row>
    <row r="70" spans="1:30" x14ac:dyDescent="0.3">
      <c r="A70">
        <v>44</v>
      </c>
      <c r="B70" t="s">
        <v>158</v>
      </c>
      <c r="C70">
        <v>2017</v>
      </c>
      <c r="D70">
        <v>9</v>
      </c>
      <c r="E70" t="s">
        <v>113</v>
      </c>
      <c r="F70" t="s">
        <v>108</v>
      </c>
      <c r="G70" t="s">
        <v>108</v>
      </c>
      <c r="H70" t="s">
        <v>25</v>
      </c>
      <c r="I70" t="s">
        <v>25</v>
      </c>
      <c r="J70" t="s">
        <v>138</v>
      </c>
      <c r="K70" t="s">
        <v>114</v>
      </c>
      <c r="L70" t="s">
        <v>140</v>
      </c>
      <c r="M70">
        <v>1160.3236436</v>
      </c>
      <c r="N70">
        <v>0</v>
      </c>
      <c r="O70" t="s">
        <v>103</v>
      </c>
      <c r="P70" s="56">
        <v>44269.837768090278</v>
      </c>
      <c r="Q70">
        <v>88</v>
      </c>
      <c r="R70" t="s">
        <v>98</v>
      </c>
      <c r="S70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108</v>
      </c>
      <c r="AD70" s="56">
        <v>42979</v>
      </c>
    </row>
    <row r="71" spans="1:30" x14ac:dyDescent="0.3">
      <c r="A71">
        <v>655461</v>
      </c>
      <c r="B71" t="s">
        <v>159</v>
      </c>
      <c r="C71">
        <v>2017</v>
      </c>
      <c r="D71">
        <v>1</v>
      </c>
      <c r="E71" t="s">
        <v>63</v>
      </c>
      <c r="F71" t="s">
        <v>108</v>
      </c>
      <c r="G71" t="s">
        <v>108</v>
      </c>
      <c r="H71" t="s">
        <v>25</v>
      </c>
      <c r="I71" t="s">
        <v>25</v>
      </c>
      <c r="J71" t="s">
        <v>160</v>
      </c>
      <c r="K71" t="s">
        <v>143</v>
      </c>
      <c r="L71" t="s">
        <v>140</v>
      </c>
      <c r="M71">
        <v>1996.11345764</v>
      </c>
      <c r="N71">
        <v>0</v>
      </c>
      <c r="O71" t="s">
        <v>103</v>
      </c>
      <c r="P71" s="56">
        <v>44334.054137187501</v>
      </c>
      <c r="Q71">
        <v>5805247</v>
      </c>
      <c r="R71" t="s">
        <v>98</v>
      </c>
      <c r="S71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108</v>
      </c>
      <c r="AD71" s="56">
        <v>42736</v>
      </c>
    </row>
    <row r="72" spans="1:30" x14ac:dyDescent="0.3">
      <c r="A72">
        <v>655417</v>
      </c>
      <c r="B72" t="s">
        <v>159</v>
      </c>
      <c r="C72">
        <v>2017</v>
      </c>
      <c r="D72">
        <v>1</v>
      </c>
      <c r="E72" t="s">
        <v>109</v>
      </c>
      <c r="F72" t="s">
        <v>108</v>
      </c>
      <c r="G72" t="s">
        <v>108</v>
      </c>
      <c r="H72" t="s">
        <v>25</v>
      </c>
      <c r="I72" t="s">
        <v>25</v>
      </c>
      <c r="J72" t="s">
        <v>160</v>
      </c>
      <c r="K72" t="s">
        <v>139</v>
      </c>
      <c r="L72" t="s">
        <v>140</v>
      </c>
      <c r="M72">
        <v>4925.9076084899998</v>
      </c>
      <c r="N72">
        <v>0</v>
      </c>
      <c r="O72" t="s">
        <v>103</v>
      </c>
      <c r="P72" s="56">
        <v>44334.054136030092</v>
      </c>
      <c r="Q72">
        <v>5805159</v>
      </c>
      <c r="R72" t="s">
        <v>98</v>
      </c>
      <c r="S72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108</v>
      </c>
      <c r="AD72" s="56">
        <v>42736</v>
      </c>
    </row>
    <row r="73" spans="1:30" x14ac:dyDescent="0.3">
      <c r="A73">
        <v>655439</v>
      </c>
      <c r="B73" t="s">
        <v>159</v>
      </c>
      <c r="C73">
        <v>2017</v>
      </c>
      <c r="D73">
        <v>1</v>
      </c>
      <c r="E73" t="s">
        <v>111</v>
      </c>
      <c r="F73" t="s">
        <v>108</v>
      </c>
      <c r="G73" t="s">
        <v>108</v>
      </c>
      <c r="H73" t="s">
        <v>25</v>
      </c>
      <c r="I73" t="s">
        <v>25</v>
      </c>
      <c r="J73" t="s">
        <v>160</v>
      </c>
      <c r="K73" t="s">
        <v>141</v>
      </c>
      <c r="L73" t="s">
        <v>140</v>
      </c>
      <c r="M73">
        <v>1242.4683375</v>
      </c>
      <c r="N73">
        <v>0</v>
      </c>
      <c r="O73" t="s">
        <v>103</v>
      </c>
      <c r="P73" s="56">
        <v>44334.054136608793</v>
      </c>
      <c r="Q73">
        <v>5805203</v>
      </c>
      <c r="R73" t="s">
        <v>98</v>
      </c>
      <c r="S73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108</v>
      </c>
      <c r="AD73" s="56">
        <v>42736</v>
      </c>
    </row>
    <row r="74" spans="1:30" x14ac:dyDescent="0.3">
      <c r="A74">
        <v>520721</v>
      </c>
      <c r="B74" t="s">
        <v>161</v>
      </c>
      <c r="C74">
        <v>2017</v>
      </c>
      <c r="D74">
        <v>2</v>
      </c>
      <c r="E74" t="s">
        <v>111</v>
      </c>
      <c r="F74" t="s">
        <v>108</v>
      </c>
      <c r="G74" t="s">
        <v>108</v>
      </c>
      <c r="H74" t="s">
        <v>25</v>
      </c>
      <c r="I74" t="s">
        <v>25</v>
      </c>
      <c r="J74" t="s">
        <v>138</v>
      </c>
      <c r="K74" t="s">
        <v>112</v>
      </c>
      <c r="L74" t="s">
        <v>140</v>
      </c>
      <c r="M74">
        <v>1561.42030755</v>
      </c>
      <c r="N74">
        <v>0</v>
      </c>
      <c r="O74" t="s">
        <v>103</v>
      </c>
      <c r="P74" s="56">
        <v>44330.100813923607</v>
      </c>
      <c r="Q74">
        <v>4802848</v>
      </c>
      <c r="R74" t="s">
        <v>98</v>
      </c>
      <c r="S7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108</v>
      </c>
      <c r="AD74" s="56">
        <v>42767</v>
      </c>
    </row>
    <row r="75" spans="1:30" x14ac:dyDescent="0.3">
      <c r="A75">
        <v>530744</v>
      </c>
      <c r="B75" t="s">
        <v>162</v>
      </c>
      <c r="C75">
        <v>2017</v>
      </c>
      <c r="D75">
        <v>3</v>
      </c>
      <c r="E75" t="s">
        <v>111</v>
      </c>
      <c r="F75" t="s">
        <v>108</v>
      </c>
      <c r="G75" t="s">
        <v>108</v>
      </c>
      <c r="H75" t="s">
        <v>25</v>
      </c>
      <c r="I75" t="s">
        <v>25</v>
      </c>
      <c r="J75" t="s">
        <v>138</v>
      </c>
      <c r="K75" t="s">
        <v>112</v>
      </c>
      <c r="L75" t="s">
        <v>140</v>
      </c>
      <c r="M75">
        <v>1611.96951592</v>
      </c>
      <c r="N75">
        <v>0</v>
      </c>
      <c r="O75" t="s">
        <v>103</v>
      </c>
      <c r="P75" s="56">
        <v>44330.101799884258</v>
      </c>
      <c r="Q75">
        <v>4888357</v>
      </c>
      <c r="R75" t="s">
        <v>98</v>
      </c>
      <c r="S75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108</v>
      </c>
      <c r="AD75" s="56">
        <v>42795</v>
      </c>
    </row>
    <row r="76" spans="1:30" x14ac:dyDescent="0.3">
      <c r="A76">
        <v>520699</v>
      </c>
      <c r="B76" t="s">
        <v>161</v>
      </c>
      <c r="C76">
        <v>2017</v>
      </c>
      <c r="D76">
        <v>2</v>
      </c>
      <c r="E76" t="s">
        <v>109</v>
      </c>
      <c r="F76" t="s">
        <v>108</v>
      </c>
      <c r="G76" t="s">
        <v>108</v>
      </c>
      <c r="H76" t="s">
        <v>25</v>
      </c>
      <c r="I76" t="s">
        <v>25</v>
      </c>
      <c r="J76" t="s">
        <v>138</v>
      </c>
      <c r="K76" t="s">
        <v>110</v>
      </c>
      <c r="L76" t="s">
        <v>140</v>
      </c>
      <c r="M76">
        <v>5836.6764009500002</v>
      </c>
      <c r="N76">
        <v>0</v>
      </c>
      <c r="O76" t="s">
        <v>103</v>
      </c>
      <c r="P76" s="56">
        <v>44330.100813229168</v>
      </c>
      <c r="Q76">
        <v>4802804</v>
      </c>
      <c r="R76" t="s">
        <v>98</v>
      </c>
      <c r="S76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108</v>
      </c>
      <c r="AD76" s="56">
        <v>42767</v>
      </c>
    </row>
    <row r="77" spans="1:30" x14ac:dyDescent="0.3">
      <c r="A77">
        <v>520743</v>
      </c>
      <c r="B77" t="s">
        <v>161</v>
      </c>
      <c r="C77">
        <v>2017</v>
      </c>
      <c r="D77">
        <v>2</v>
      </c>
      <c r="E77" t="s">
        <v>113</v>
      </c>
      <c r="F77" t="s">
        <v>108</v>
      </c>
      <c r="G77" t="s">
        <v>108</v>
      </c>
      <c r="H77" t="s">
        <v>25</v>
      </c>
      <c r="I77" t="s">
        <v>25</v>
      </c>
      <c r="J77" t="s">
        <v>138</v>
      </c>
      <c r="K77" t="s">
        <v>114</v>
      </c>
      <c r="L77" t="s">
        <v>140</v>
      </c>
      <c r="M77">
        <v>1936.6982957099999</v>
      </c>
      <c r="N77">
        <v>0</v>
      </c>
      <c r="O77" t="s">
        <v>103</v>
      </c>
      <c r="P77" s="56">
        <v>44330.100814583333</v>
      </c>
      <c r="Q77">
        <v>4802892</v>
      </c>
      <c r="R77" t="s">
        <v>98</v>
      </c>
      <c r="S77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108</v>
      </c>
      <c r="AD77" s="56">
        <v>42767</v>
      </c>
    </row>
    <row r="78" spans="1:30" x14ac:dyDescent="0.3">
      <c r="A78">
        <v>530722</v>
      </c>
      <c r="B78" t="s">
        <v>162</v>
      </c>
      <c r="C78">
        <v>2017</v>
      </c>
      <c r="D78">
        <v>3</v>
      </c>
      <c r="E78" t="s">
        <v>109</v>
      </c>
      <c r="F78" t="s">
        <v>108</v>
      </c>
      <c r="G78" t="s">
        <v>108</v>
      </c>
      <c r="H78" t="s">
        <v>25</v>
      </c>
      <c r="I78" t="s">
        <v>25</v>
      </c>
      <c r="J78" t="s">
        <v>138</v>
      </c>
      <c r="K78" t="s">
        <v>110</v>
      </c>
      <c r="L78" t="s">
        <v>140</v>
      </c>
      <c r="M78">
        <v>6064.1041034099999</v>
      </c>
      <c r="N78">
        <v>0</v>
      </c>
      <c r="O78" t="s">
        <v>103</v>
      </c>
      <c r="P78" s="56">
        <v>44330.101799189812</v>
      </c>
      <c r="Q78">
        <v>4888313</v>
      </c>
      <c r="R78" t="s">
        <v>98</v>
      </c>
      <c r="S78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108</v>
      </c>
      <c r="AD78" s="56">
        <v>42795</v>
      </c>
    </row>
    <row r="79" spans="1:30" x14ac:dyDescent="0.3">
      <c r="A79">
        <v>530766</v>
      </c>
      <c r="B79" t="s">
        <v>162</v>
      </c>
      <c r="C79">
        <v>2017</v>
      </c>
      <c r="D79">
        <v>3</v>
      </c>
      <c r="E79" t="s">
        <v>113</v>
      </c>
      <c r="F79" t="s">
        <v>108</v>
      </c>
      <c r="G79" t="s">
        <v>108</v>
      </c>
      <c r="H79" t="s">
        <v>25</v>
      </c>
      <c r="I79" t="s">
        <v>25</v>
      </c>
      <c r="J79" t="s">
        <v>138</v>
      </c>
      <c r="K79" t="s">
        <v>114</v>
      </c>
      <c r="L79" t="s">
        <v>140</v>
      </c>
      <c r="M79">
        <v>1971.01751208</v>
      </c>
      <c r="N79">
        <v>0</v>
      </c>
      <c r="O79" t="s">
        <v>103</v>
      </c>
      <c r="P79" s="56">
        <v>44330.101800497687</v>
      </c>
      <c r="Q79">
        <v>4888401</v>
      </c>
      <c r="R79" t="s">
        <v>98</v>
      </c>
      <c r="S79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108</v>
      </c>
      <c r="AD79" s="56">
        <v>42795</v>
      </c>
    </row>
    <row r="80" spans="1:30" x14ac:dyDescent="0.3">
      <c r="A80">
        <v>51320</v>
      </c>
      <c r="B80" t="s">
        <v>154</v>
      </c>
      <c r="C80">
        <v>2018</v>
      </c>
      <c r="D80">
        <v>2</v>
      </c>
      <c r="E80" t="s">
        <v>109</v>
      </c>
      <c r="F80" t="s">
        <v>108</v>
      </c>
      <c r="G80" t="s">
        <v>108</v>
      </c>
      <c r="H80" t="s">
        <v>25</v>
      </c>
      <c r="I80" t="s">
        <v>25</v>
      </c>
      <c r="J80" t="s">
        <v>138</v>
      </c>
      <c r="K80" t="s">
        <v>110</v>
      </c>
      <c r="L80" t="s">
        <v>140</v>
      </c>
      <c r="M80">
        <v>2992.3278786400001</v>
      </c>
      <c r="N80">
        <v>0</v>
      </c>
      <c r="O80" t="s">
        <v>103</v>
      </c>
      <c r="P80" s="56">
        <v>44269.843124270832</v>
      </c>
      <c r="Q80">
        <v>446369</v>
      </c>
      <c r="R80" t="s">
        <v>106</v>
      </c>
      <c r="S80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108</v>
      </c>
      <c r="AD80" s="56">
        <v>43132</v>
      </c>
    </row>
    <row r="81" spans="1:30" x14ac:dyDescent="0.3">
      <c r="A81">
        <v>51364</v>
      </c>
      <c r="B81" t="s">
        <v>154</v>
      </c>
      <c r="C81">
        <v>2018</v>
      </c>
      <c r="D81">
        <v>2</v>
      </c>
      <c r="E81" t="s">
        <v>113</v>
      </c>
      <c r="F81" t="s">
        <v>108</v>
      </c>
      <c r="G81" t="s">
        <v>108</v>
      </c>
      <c r="H81" t="s">
        <v>25</v>
      </c>
      <c r="I81" t="s">
        <v>25</v>
      </c>
      <c r="J81" t="s">
        <v>138</v>
      </c>
      <c r="K81" t="s">
        <v>114</v>
      </c>
      <c r="L81" t="s">
        <v>140</v>
      </c>
      <c r="M81">
        <v>1043.8948492300001</v>
      </c>
      <c r="N81">
        <v>0</v>
      </c>
      <c r="O81" t="s">
        <v>103</v>
      </c>
      <c r="P81" s="56">
        <v>44269.843125613428</v>
      </c>
      <c r="Q81">
        <v>446457</v>
      </c>
      <c r="R81" t="s">
        <v>106</v>
      </c>
      <c r="S81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108</v>
      </c>
      <c r="AD81" s="56">
        <v>43132</v>
      </c>
    </row>
    <row r="82" spans="1:30" x14ac:dyDescent="0.3">
      <c r="A82">
        <v>51342</v>
      </c>
      <c r="B82" t="s">
        <v>154</v>
      </c>
      <c r="C82">
        <v>2018</v>
      </c>
      <c r="D82">
        <v>2</v>
      </c>
      <c r="E82" t="s">
        <v>111</v>
      </c>
      <c r="F82" t="s">
        <v>108</v>
      </c>
      <c r="G82" t="s">
        <v>108</v>
      </c>
      <c r="H82" t="s">
        <v>25</v>
      </c>
      <c r="I82" t="s">
        <v>25</v>
      </c>
      <c r="J82" t="s">
        <v>138</v>
      </c>
      <c r="K82" t="s">
        <v>112</v>
      </c>
      <c r="L82" t="s">
        <v>140</v>
      </c>
      <c r="M82">
        <v>828.89142677999996</v>
      </c>
      <c r="N82">
        <v>0</v>
      </c>
      <c r="O82" t="s">
        <v>103</v>
      </c>
      <c r="P82" s="56">
        <v>44269.843124965279</v>
      </c>
      <c r="Q82">
        <v>446413</v>
      </c>
      <c r="R82" t="s">
        <v>106</v>
      </c>
      <c r="S82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108</v>
      </c>
      <c r="AD82" s="56">
        <v>43132</v>
      </c>
    </row>
    <row r="83" spans="1:30" x14ac:dyDescent="0.3">
      <c r="A83">
        <v>86397</v>
      </c>
      <c r="B83" t="s">
        <v>163</v>
      </c>
      <c r="C83">
        <v>2018</v>
      </c>
      <c r="D83">
        <v>6</v>
      </c>
      <c r="E83" t="s">
        <v>113</v>
      </c>
      <c r="F83" t="s">
        <v>108</v>
      </c>
      <c r="G83" t="s">
        <v>108</v>
      </c>
      <c r="H83" t="s">
        <v>25</v>
      </c>
      <c r="I83" t="s">
        <v>25</v>
      </c>
      <c r="J83" t="s">
        <v>138</v>
      </c>
      <c r="K83" t="s">
        <v>114</v>
      </c>
      <c r="L83" t="s">
        <v>140</v>
      </c>
      <c r="M83">
        <v>915.94283647999998</v>
      </c>
      <c r="N83">
        <v>0</v>
      </c>
      <c r="O83" t="s">
        <v>103</v>
      </c>
      <c r="P83" s="56">
        <v>44269.847218599527</v>
      </c>
      <c r="Q83">
        <v>783298</v>
      </c>
      <c r="R83" t="s">
        <v>98</v>
      </c>
      <c r="S83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108</v>
      </c>
      <c r="AD83" s="56">
        <v>43252</v>
      </c>
    </row>
    <row r="84" spans="1:30" x14ac:dyDescent="0.3">
      <c r="A84">
        <v>86373</v>
      </c>
      <c r="B84" t="s">
        <v>163</v>
      </c>
      <c r="C84">
        <v>2018</v>
      </c>
      <c r="D84">
        <v>6</v>
      </c>
      <c r="E84" t="s">
        <v>111</v>
      </c>
      <c r="F84" t="s">
        <v>108</v>
      </c>
      <c r="G84" t="s">
        <v>108</v>
      </c>
      <c r="H84" t="s">
        <v>25</v>
      </c>
      <c r="I84" t="s">
        <v>25</v>
      </c>
      <c r="J84" t="s">
        <v>138</v>
      </c>
      <c r="K84" t="s">
        <v>112</v>
      </c>
      <c r="L84" t="s">
        <v>140</v>
      </c>
      <c r="M84">
        <v>349.81857975999998</v>
      </c>
      <c r="N84">
        <v>0</v>
      </c>
      <c r="O84" t="s">
        <v>103</v>
      </c>
      <c r="P84" s="56">
        <v>44269.847217708331</v>
      </c>
      <c r="Q84">
        <v>783250</v>
      </c>
      <c r="R84" t="s">
        <v>98</v>
      </c>
      <c r="S8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108</v>
      </c>
      <c r="AD84" s="56">
        <v>43252</v>
      </c>
    </row>
    <row r="85" spans="1:30" x14ac:dyDescent="0.3">
      <c r="A85">
        <v>86349</v>
      </c>
      <c r="B85" t="s">
        <v>163</v>
      </c>
      <c r="C85">
        <v>2018</v>
      </c>
      <c r="D85">
        <v>6</v>
      </c>
      <c r="E85" t="s">
        <v>109</v>
      </c>
      <c r="F85" t="s">
        <v>108</v>
      </c>
      <c r="G85" t="s">
        <v>108</v>
      </c>
      <c r="H85" t="s">
        <v>25</v>
      </c>
      <c r="I85" t="s">
        <v>25</v>
      </c>
      <c r="J85" t="s">
        <v>138</v>
      </c>
      <c r="K85" t="s">
        <v>110</v>
      </c>
      <c r="L85" t="s">
        <v>140</v>
      </c>
      <c r="M85">
        <v>1943.0653741900001</v>
      </c>
      <c r="N85">
        <v>0</v>
      </c>
      <c r="O85" t="s">
        <v>103</v>
      </c>
      <c r="P85" s="56">
        <v>44269.847216898153</v>
      </c>
      <c r="Q85">
        <v>783202</v>
      </c>
      <c r="R85" t="s">
        <v>98</v>
      </c>
      <c r="S85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108</v>
      </c>
      <c r="AD85" s="56">
        <v>43252</v>
      </c>
    </row>
    <row r="86" spans="1:30" x14ac:dyDescent="0.3">
      <c r="A86">
        <v>352730</v>
      </c>
      <c r="B86" t="s">
        <v>157</v>
      </c>
      <c r="C86">
        <v>2018</v>
      </c>
      <c r="D86">
        <v>5</v>
      </c>
      <c r="E86" t="s">
        <v>113</v>
      </c>
      <c r="F86" t="s">
        <v>108</v>
      </c>
      <c r="G86" t="s">
        <v>108</v>
      </c>
      <c r="H86" t="s">
        <v>25</v>
      </c>
      <c r="I86" t="s">
        <v>25</v>
      </c>
      <c r="J86" t="s">
        <v>138</v>
      </c>
      <c r="K86" t="s">
        <v>114</v>
      </c>
      <c r="L86" t="s">
        <v>140</v>
      </c>
      <c r="M86">
        <v>932.17317322999997</v>
      </c>
      <c r="N86">
        <v>0</v>
      </c>
      <c r="O86" t="s">
        <v>103</v>
      </c>
      <c r="P86" s="56">
        <v>44269.884375000001</v>
      </c>
      <c r="Q86">
        <v>3336258</v>
      </c>
      <c r="R86" t="s">
        <v>106</v>
      </c>
      <c r="S86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108</v>
      </c>
      <c r="AD86" s="56">
        <v>43221</v>
      </c>
    </row>
    <row r="87" spans="1:30" x14ac:dyDescent="0.3">
      <c r="A87">
        <v>352707</v>
      </c>
      <c r="B87" t="s">
        <v>157</v>
      </c>
      <c r="C87">
        <v>2018</v>
      </c>
      <c r="D87">
        <v>5</v>
      </c>
      <c r="E87" t="s">
        <v>111</v>
      </c>
      <c r="F87" t="s">
        <v>108</v>
      </c>
      <c r="G87" t="s">
        <v>108</v>
      </c>
      <c r="H87" t="s">
        <v>25</v>
      </c>
      <c r="I87" t="s">
        <v>25</v>
      </c>
      <c r="J87" t="s">
        <v>138</v>
      </c>
      <c r="K87" t="s">
        <v>112</v>
      </c>
      <c r="L87" t="s">
        <v>140</v>
      </c>
      <c r="M87">
        <v>393.55599067000003</v>
      </c>
      <c r="N87">
        <v>0</v>
      </c>
      <c r="O87" t="s">
        <v>103</v>
      </c>
      <c r="P87" s="56">
        <v>44269.884374386573</v>
      </c>
      <c r="Q87">
        <v>3336212</v>
      </c>
      <c r="R87" t="s">
        <v>106</v>
      </c>
      <c r="S87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108</v>
      </c>
      <c r="AD87" s="56">
        <v>43221</v>
      </c>
    </row>
    <row r="88" spans="1:30" x14ac:dyDescent="0.3">
      <c r="A88">
        <v>352684</v>
      </c>
      <c r="B88" t="s">
        <v>157</v>
      </c>
      <c r="C88">
        <v>2018</v>
      </c>
      <c r="D88">
        <v>5</v>
      </c>
      <c r="E88" t="s">
        <v>109</v>
      </c>
      <c r="F88" t="s">
        <v>108</v>
      </c>
      <c r="G88" t="s">
        <v>108</v>
      </c>
      <c r="H88" t="s">
        <v>25</v>
      </c>
      <c r="I88" t="s">
        <v>25</v>
      </c>
      <c r="J88" t="s">
        <v>138</v>
      </c>
      <c r="K88" t="s">
        <v>110</v>
      </c>
      <c r="L88" t="s">
        <v>140</v>
      </c>
      <c r="M88">
        <v>2108.0789959600002</v>
      </c>
      <c r="N88">
        <v>0</v>
      </c>
      <c r="O88" t="s">
        <v>103</v>
      </c>
      <c r="P88" s="56">
        <v>44269.884373807872</v>
      </c>
      <c r="Q88">
        <v>3336166</v>
      </c>
      <c r="R88" t="s">
        <v>106</v>
      </c>
      <c r="S88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108</v>
      </c>
      <c r="AD88" s="56">
        <v>43221</v>
      </c>
    </row>
    <row r="89" spans="1:30" x14ac:dyDescent="0.3">
      <c r="A89">
        <v>144856</v>
      </c>
      <c r="B89" t="s">
        <v>152</v>
      </c>
      <c r="C89">
        <v>2018</v>
      </c>
      <c r="D89">
        <v>11</v>
      </c>
      <c r="E89" t="s">
        <v>111</v>
      </c>
      <c r="F89" t="s">
        <v>108</v>
      </c>
      <c r="G89" t="s">
        <v>108</v>
      </c>
      <c r="H89" t="s">
        <v>25</v>
      </c>
      <c r="I89" t="s">
        <v>25</v>
      </c>
      <c r="J89" t="s">
        <v>138</v>
      </c>
      <c r="K89" t="s">
        <v>112</v>
      </c>
      <c r="L89" t="s">
        <v>140</v>
      </c>
      <c r="M89">
        <v>527.43779992999998</v>
      </c>
      <c r="N89">
        <v>0</v>
      </c>
      <c r="O89" t="s">
        <v>104</v>
      </c>
      <c r="P89" s="56">
        <v>44269.854263738423</v>
      </c>
      <c r="Q89">
        <v>1337062</v>
      </c>
      <c r="R89" t="s">
        <v>26</v>
      </c>
      <c r="S89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108</v>
      </c>
      <c r="AD89" s="56">
        <v>43405</v>
      </c>
    </row>
    <row r="90" spans="1:30" x14ac:dyDescent="0.3">
      <c r="A90">
        <v>144832</v>
      </c>
      <c r="B90" t="s">
        <v>152</v>
      </c>
      <c r="C90">
        <v>2018</v>
      </c>
      <c r="D90">
        <v>11</v>
      </c>
      <c r="E90" t="s">
        <v>109</v>
      </c>
      <c r="F90" t="s">
        <v>108</v>
      </c>
      <c r="G90" t="s">
        <v>108</v>
      </c>
      <c r="H90" t="s">
        <v>25</v>
      </c>
      <c r="I90" t="s">
        <v>25</v>
      </c>
      <c r="J90" t="s">
        <v>138</v>
      </c>
      <c r="K90" t="s">
        <v>110</v>
      </c>
      <c r="L90" t="s">
        <v>140</v>
      </c>
      <c r="M90">
        <v>1939.5207746900001</v>
      </c>
      <c r="N90">
        <v>0</v>
      </c>
      <c r="O90" t="s">
        <v>104</v>
      </c>
      <c r="P90" s="56">
        <v>44269.854262534733</v>
      </c>
      <c r="Q90">
        <v>1336942</v>
      </c>
      <c r="R90" t="s">
        <v>26</v>
      </c>
      <c r="S90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108</v>
      </c>
      <c r="AD90" s="56">
        <v>43405</v>
      </c>
    </row>
    <row r="91" spans="1:30" x14ac:dyDescent="0.3">
      <c r="A91">
        <v>119662</v>
      </c>
      <c r="B91" t="s">
        <v>150</v>
      </c>
      <c r="C91">
        <v>2018</v>
      </c>
      <c r="D91">
        <v>9</v>
      </c>
      <c r="E91" t="s">
        <v>113</v>
      </c>
      <c r="F91" t="s">
        <v>108</v>
      </c>
      <c r="G91" t="s">
        <v>108</v>
      </c>
      <c r="H91" t="s">
        <v>25</v>
      </c>
      <c r="I91" t="s">
        <v>25</v>
      </c>
      <c r="J91" t="s">
        <v>138</v>
      </c>
      <c r="K91" t="s">
        <v>114</v>
      </c>
      <c r="L91" t="s">
        <v>140</v>
      </c>
      <c r="M91">
        <v>843.05591856000001</v>
      </c>
      <c r="N91">
        <v>0</v>
      </c>
      <c r="O91" t="s">
        <v>104</v>
      </c>
      <c r="P91" s="56">
        <v>44269.851107986113</v>
      </c>
      <c r="Q91">
        <v>1081850</v>
      </c>
      <c r="R91" t="s">
        <v>26</v>
      </c>
      <c r="S91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108</v>
      </c>
      <c r="AD91" s="56">
        <v>43344</v>
      </c>
    </row>
    <row r="92" spans="1:30" x14ac:dyDescent="0.3">
      <c r="A92">
        <v>119614</v>
      </c>
      <c r="B92" t="s">
        <v>150</v>
      </c>
      <c r="C92">
        <v>2018</v>
      </c>
      <c r="D92">
        <v>9</v>
      </c>
      <c r="E92" t="s">
        <v>109</v>
      </c>
      <c r="F92" t="s">
        <v>108</v>
      </c>
      <c r="G92" t="s">
        <v>108</v>
      </c>
      <c r="H92" t="s">
        <v>25</v>
      </c>
      <c r="I92" t="s">
        <v>25</v>
      </c>
      <c r="J92" t="s">
        <v>138</v>
      </c>
      <c r="K92" t="s">
        <v>110</v>
      </c>
      <c r="L92" t="s">
        <v>140</v>
      </c>
      <c r="M92">
        <v>1439.52704135</v>
      </c>
      <c r="N92">
        <v>0</v>
      </c>
      <c r="O92" t="s">
        <v>104</v>
      </c>
      <c r="P92" s="56">
        <v>44269.851105011578</v>
      </c>
      <c r="Q92">
        <v>1081610</v>
      </c>
      <c r="R92" t="s">
        <v>26</v>
      </c>
      <c r="S92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108</v>
      </c>
      <c r="AD92" s="56">
        <v>43344</v>
      </c>
    </row>
    <row r="93" spans="1:30" x14ac:dyDescent="0.3">
      <c r="A93">
        <v>119638</v>
      </c>
      <c r="B93" t="s">
        <v>150</v>
      </c>
      <c r="C93">
        <v>2018</v>
      </c>
      <c r="D93">
        <v>9</v>
      </c>
      <c r="E93" t="s">
        <v>111</v>
      </c>
      <c r="F93" t="s">
        <v>108</v>
      </c>
      <c r="G93" t="s">
        <v>108</v>
      </c>
      <c r="H93" t="s">
        <v>25</v>
      </c>
      <c r="I93" t="s">
        <v>25</v>
      </c>
      <c r="J93" t="s">
        <v>138</v>
      </c>
      <c r="K93" t="s">
        <v>112</v>
      </c>
      <c r="L93" t="s">
        <v>140</v>
      </c>
      <c r="M93">
        <v>316.65874517999998</v>
      </c>
      <c r="N93">
        <v>0</v>
      </c>
      <c r="O93" t="s">
        <v>104</v>
      </c>
      <c r="P93" s="56">
        <v>44269.85110659722</v>
      </c>
      <c r="Q93">
        <v>1081730</v>
      </c>
      <c r="R93" t="s">
        <v>26</v>
      </c>
      <c r="S93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108</v>
      </c>
      <c r="AD93" s="56">
        <v>43344</v>
      </c>
    </row>
    <row r="94" spans="1:30" x14ac:dyDescent="0.3">
      <c r="A94">
        <v>130318</v>
      </c>
      <c r="B94" t="s">
        <v>151</v>
      </c>
      <c r="C94">
        <v>2018</v>
      </c>
      <c r="D94">
        <v>10</v>
      </c>
      <c r="E94" t="s">
        <v>111</v>
      </c>
      <c r="F94" t="s">
        <v>108</v>
      </c>
      <c r="G94" t="s">
        <v>108</v>
      </c>
      <c r="H94" t="s">
        <v>25</v>
      </c>
      <c r="I94" t="s">
        <v>25</v>
      </c>
      <c r="J94" t="s">
        <v>138</v>
      </c>
      <c r="K94" t="s">
        <v>112</v>
      </c>
      <c r="L94" t="s">
        <v>140</v>
      </c>
      <c r="M94">
        <v>333.40243543999998</v>
      </c>
      <c r="N94">
        <v>0</v>
      </c>
      <c r="O94" t="s">
        <v>104</v>
      </c>
      <c r="P94" s="56">
        <v>44269.852573611111</v>
      </c>
      <c r="Q94">
        <v>1193102</v>
      </c>
      <c r="R94" t="s">
        <v>26</v>
      </c>
      <c r="S9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108</v>
      </c>
      <c r="AD94" s="56">
        <v>43374</v>
      </c>
    </row>
    <row r="95" spans="1:30" x14ac:dyDescent="0.3">
      <c r="A95">
        <v>144880</v>
      </c>
      <c r="B95" t="s">
        <v>152</v>
      </c>
      <c r="C95">
        <v>2018</v>
      </c>
      <c r="D95">
        <v>11</v>
      </c>
      <c r="E95" t="s">
        <v>113</v>
      </c>
      <c r="F95" t="s">
        <v>108</v>
      </c>
      <c r="G95" t="s">
        <v>108</v>
      </c>
      <c r="H95" t="s">
        <v>25</v>
      </c>
      <c r="I95" t="s">
        <v>25</v>
      </c>
      <c r="J95" t="s">
        <v>138</v>
      </c>
      <c r="K95" t="s">
        <v>114</v>
      </c>
      <c r="L95" t="s">
        <v>140</v>
      </c>
      <c r="M95">
        <v>1036.3887642100001</v>
      </c>
      <c r="N95">
        <v>0</v>
      </c>
      <c r="O95" t="s">
        <v>104</v>
      </c>
      <c r="P95" s="56">
        <v>44269.854264965281</v>
      </c>
      <c r="Q95">
        <v>1337182</v>
      </c>
      <c r="R95" t="s">
        <v>26</v>
      </c>
      <c r="S95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108</v>
      </c>
      <c r="AD95" s="56">
        <v>43405</v>
      </c>
    </row>
    <row r="96" spans="1:30" x14ac:dyDescent="0.3">
      <c r="A96">
        <v>443785</v>
      </c>
      <c r="B96" t="s">
        <v>153</v>
      </c>
      <c r="C96">
        <v>2018</v>
      </c>
      <c r="D96">
        <v>12</v>
      </c>
      <c r="E96" t="s">
        <v>109</v>
      </c>
      <c r="F96" t="s">
        <v>108</v>
      </c>
      <c r="G96" t="s">
        <v>108</v>
      </c>
      <c r="H96" t="s">
        <v>25</v>
      </c>
      <c r="I96" t="s">
        <v>25</v>
      </c>
      <c r="J96" t="s">
        <v>138</v>
      </c>
      <c r="K96" t="s">
        <v>110</v>
      </c>
      <c r="L96" t="s">
        <v>140</v>
      </c>
      <c r="M96">
        <v>3041.3129330199999</v>
      </c>
      <c r="N96">
        <v>0</v>
      </c>
      <c r="O96" t="s">
        <v>104</v>
      </c>
      <c r="P96" s="56">
        <v>44284.514579629627</v>
      </c>
      <c r="Q96">
        <v>4215241</v>
      </c>
      <c r="R96" t="s">
        <v>26</v>
      </c>
      <c r="S96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108</v>
      </c>
      <c r="AD96" s="56">
        <v>43435</v>
      </c>
    </row>
    <row r="97" spans="1:30" x14ac:dyDescent="0.3">
      <c r="A97">
        <v>130294</v>
      </c>
      <c r="B97" t="s">
        <v>151</v>
      </c>
      <c r="C97">
        <v>2018</v>
      </c>
      <c r="D97">
        <v>10</v>
      </c>
      <c r="E97" t="s">
        <v>109</v>
      </c>
      <c r="F97" t="s">
        <v>108</v>
      </c>
      <c r="G97" t="s">
        <v>108</v>
      </c>
      <c r="H97" t="s">
        <v>25</v>
      </c>
      <c r="I97" t="s">
        <v>25</v>
      </c>
      <c r="J97" t="s">
        <v>138</v>
      </c>
      <c r="K97" t="s">
        <v>110</v>
      </c>
      <c r="L97" t="s">
        <v>140</v>
      </c>
      <c r="M97">
        <v>1428.8615156599999</v>
      </c>
      <c r="N97">
        <v>0</v>
      </c>
      <c r="O97" t="s">
        <v>104</v>
      </c>
      <c r="P97" s="56">
        <v>44269.8525723727</v>
      </c>
      <c r="Q97">
        <v>1192982</v>
      </c>
      <c r="R97" t="s">
        <v>26</v>
      </c>
      <c r="S97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108</v>
      </c>
      <c r="AD97" s="56">
        <v>43374</v>
      </c>
    </row>
    <row r="98" spans="1:30" x14ac:dyDescent="0.3">
      <c r="A98">
        <v>443833</v>
      </c>
      <c r="B98" t="s">
        <v>153</v>
      </c>
      <c r="C98">
        <v>2018</v>
      </c>
      <c r="D98">
        <v>12</v>
      </c>
      <c r="E98" t="s">
        <v>113</v>
      </c>
      <c r="F98" t="s">
        <v>108</v>
      </c>
      <c r="G98" t="s">
        <v>108</v>
      </c>
      <c r="H98" t="s">
        <v>25</v>
      </c>
      <c r="I98" t="s">
        <v>25</v>
      </c>
      <c r="J98" t="s">
        <v>138</v>
      </c>
      <c r="K98" t="s">
        <v>114</v>
      </c>
      <c r="L98" t="s">
        <v>140</v>
      </c>
      <c r="M98">
        <v>1153.4816149200001</v>
      </c>
      <c r="N98">
        <v>0</v>
      </c>
      <c r="O98" t="s">
        <v>104</v>
      </c>
      <c r="P98" s="56">
        <v>44284.51458221065</v>
      </c>
      <c r="Q98">
        <v>4215481</v>
      </c>
      <c r="R98" t="s">
        <v>26</v>
      </c>
      <c r="S98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108</v>
      </c>
      <c r="AD98" s="56">
        <v>43435</v>
      </c>
    </row>
    <row r="99" spans="1:30" x14ac:dyDescent="0.3">
      <c r="A99">
        <v>130342</v>
      </c>
      <c r="B99" t="s">
        <v>151</v>
      </c>
      <c r="C99">
        <v>2018</v>
      </c>
      <c r="D99">
        <v>10</v>
      </c>
      <c r="E99" t="s">
        <v>113</v>
      </c>
      <c r="F99" t="s">
        <v>108</v>
      </c>
      <c r="G99" t="s">
        <v>108</v>
      </c>
      <c r="H99" t="s">
        <v>25</v>
      </c>
      <c r="I99" t="s">
        <v>25</v>
      </c>
      <c r="J99" t="s">
        <v>138</v>
      </c>
      <c r="K99" t="s">
        <v>114</v>
      </c>
      <c r="L99" t="s">
        <v>140</v>
      </c>
      <c r="M99">
        <v>879.43208655000001</v>
      </c>
      <c r="N99">
        <v>0</v>
      </c>
      <c r="O99" t="s">
        <v>104</v>
      </c>
      <c r="P99" s="56">
        <v>44269.852574803241</v>
      </c>
      <c r="Q99">
        <v>1193222</v>
      </c>
      <c r="R99" t="s">
        <v>26</v>
      </c>
      <c r="S99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108</v>
      </c>
      <c r="AD99" s="56">
        <v>43374</v>
      </c>
    </row>
    <row r="100" spans="1:30" x14ac:dyDescent="0.3">
      <c r="A100">
        <v>443809</v>
      </c>
      <c r="B100" t="s">
        <v>153</v>
      </c>
      <c r="C100">
        <v>2018</v>
      </c>
      <c r="D100">
        <v>12</v>
      </c>
      <c r="E100" t="s">
        <v>111</v>
      </c>
      <c r="F100" t="s">
        <v>108</v>
      </c>
      <c r="G100" t="s">
        <v>108</v>
      </c>
      <c r="H100" t="s">
        <v>25</v>
      </c>
      <c r="I100" t="s">
        <v>25</v>
      </c>
      <c r="J100" t="s">
        <v>138</v>
      </c>
      <c r="K100" t="s">
        <v>112</v>
      </c>
      <c r="L100" t="s">
        <v>140</v>
      </c>
      <c r="M100">
        <v>824.95046656</v>
      </c>
      <c r="N100">
        <v>0</v>
      </c>
      <c r="O100" t="s">
        <v>104</v>
      </c>
      <c r="P100" s="56">
        <v>44284.514580937503</v>
      </c>
      <c r="Q100">
        <v>4215361</v>
      </c>
      <c r="R100" t="s">
        <v>26</v>
      </c>
      <c r="S100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108</v>
      </c>
      <c r="AD100" s="56">
        <v>43435</v>
      </c>
    </row>
    <row r="101" spans="1:30" x14ac:dyDescent="0.3">
      <c r="A101">
        <v>63558</v>
      </c>
      <c r="B101" t="s">
        <v>155</v>
      </c>
      <c r="C101">
        <v>2018</v>
      </c>
      <c r="D101">
        <v>3</v>
      </c>
      <c r="E101" t="s">
        <v>109</v>
      </c>
      <c r="F101" t="s">
        <v>108</v>
      </c>
      <c r="G101" t="s">
        <v>108</v>
      </c>
      <c r="H101" t="s">
        <v>25</v>
      </c>
      <c r="I101" t="s">
        <v>25</v>
      </c>
      <c r="J101" t="s">
        <v>138</v>
      </c>
      <c r="K101" t="s">
        <v>110</v>
      </c>
      <c r="L101" t="s">
        <v>140</v>
      </c>
      <c r="M101">
        <v>2918.7091952800001</v>
      </c>
      <c r="N101">
        <v>0</v>
      </c>
      <c r="O101" t="s">
        <v>103</v>
      </c>
      <c r="P101" s="56">
        <v>44269.844469872682</v>
      </c>
      <c r="Q101">
        <v>560912</v>
      </c>
      <c r="R101" t="s">
        <v>106</v>
      </c>
      <c r="S101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108</v>
      </c>
      <c r="AD101" s="56">
        <v>43160</v>
      </c>
    </row>
    <row r="102" spans="1:30" x14ac:dyDescent="0.3">
      <c r="A102">
        <v>63604</v>
      </c>
      <c r="B102" t="s">
        <v>155</v>
      </c>
      <c r="C102">
        <v>2018</v>
      </c>
      <c r="D102">
        <v>3</v>
      </c>
      <c r="E102" t="s">
        <v>113</v>
      </c>
      <c r="F102" t="s">
        <v>108</v>
      </c>
      <c r="G102" t="s">
        <v>108</v>
      </c>
      <c r="H102" t="s">
        <v>25</v>
      </c>
      <c r="I102" t="s">
        <v>25</v>
      </c>
      <c r="J102" t="s">
        <v>138</v>
      </c>
      <c r="K102" t="s">
        <v>114</v>
      </c>
      <c r="L102" t="s">
        <v>140</v>
      </c>
      <c r="M102">
        <v>1101.95310419</v>
      </c>
      <c r="N102">
        <v>0</v>
      </c>
      <c r="O102" t="s">
        <v>103</v>
      </c>
      <c r="P102" s="56">
        <v>44269.844471643519</v>
      </c>
      <c r="Q102">
        <v>561004</v>
      </c>
      <c r="R102" t="s">
        <v>106</v>
      </c>
      <c r="S102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108</v>
      </c>
      <c r="AD102" s="56">
        <v>43160</v>
      </c>
    </row>
    <row r="103" spans="1:30" x14ac:dyDescent="0.3">
      <c r="A103">
        <v>63581</v>
      </c>
      <c r="B103" t="s">
        <v>155</v>
      </c>
      <c r="C103">
        <v>2018</v>
      </c>
      <c r="D103">
        <v>3</v>
      </c>
      <c r="E103" t="s">
        <v>111</v>
      </c>
      <c r="F103" t="s">
        <v>108</v>
      </c>
      <c r="G103" t="s">
        <v>108</v>
      </c>
      <c r="H103" t="s">
        <v>25</v>
      </c>
      <c r="I103" t="s">
        <v>25</v>
      </c>
      <c r="J103" t="s">
        <v>138</v>
      </c>
      <c r="K103" t="s">
        <v>112</v>
      </c>
      <c r="L103" t="s">
        <v>140</v>
      </c>
      <c r="M103">
        <v>681.39686511000002</v>
      </c>
      <c r="N103">
        <v>0</v>
      </c>
      <c r="O103" t="s">
        <v>103</v>
      </c>
      <c r="P103" s="56">
        <v>44269.844470682867</v>
      </c>
      <c r="Q103">
        <v>560958</v>
      </c>
      <c r="R103" t="s">
        <v>106</v>
      </c>
      <c r="S103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108</v>
      </c>
      <c r="AD103" s="56">
        <v>43160</v>
      </c>
    </row>
    <row r="104" spans="1:30" x14ac:dyDescent="0.3">
      <c r="A104">
        <v>9842</v>
      </c>
      <c r="B104" t="s">
        <v>164</v>
      </c>
      <c r="C104">
        <v>2017</v>
      </c>
      <c r="D104">
        <v>10</v>
      </c>
      <c r="E104" t="s">
        <v>113</v>
      </c>
      <c r="F104" t="s">
        <v>108</v>
      </c>
      <c r="G104" t="s">
        <v>108</v>
      </c>
      <c r="H104" t="s">
        <v>25</v>
      </c>
      <c r="I104" t="s">
        <v>25</v>
      </c>
      <c r="J104" t="s">
        <v>138</v>
      </c>
      <c r="K104" t="s">
        <v>114</v>
      </c>
      <c r="L104" t="s">
        <v>140</v>
      </c>
      <c r="M104">
        <v>1325.6322066800001</v>
      </c>
      <c r="N104">
        <v>0</v>
      </c>
      <c r="O104" t="s">
        <v>103</v>
      </c>
      <c r="P104" s="56">
        <v>44269.838788229157</v>
      </c>
      <c r="Q104">
        <v>83969</v>
      </c>
      <c r="R104" t="s">
        <v>98</v>
      </c>
      <c r="S10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108</v>
      </c>
      <c r="AD104" s="56">
        <v>43009</v>
      </c>
    </row>
    <row r="105" spans="1:30" x14ac:dyDescent="0.3">
      <c r="A105">
        <v>9800</v>
      </c>
      <c r="B105" t="s">
        <v>164</v>
      </c>
      <c r="C105">
        <v>2017</v>
      </c>
      <c r="D105">
        <v>10</v>
      </c>
      <c r="E105" t="s">
        <v>109</v>
      </c>
      <c r="F105" t="s">
        <v>108</v>
      </c>
      <c r="G105" t="s">
        <v>108</v>
      </c>
      <c r="H105" t="s">
        <v>25</v>
      </c>
      <c r="I105" t="s">
        <v>25</v>
      </c>
      <c r="J105" t="s">
        <v>138</v>
      </c>
      <c r="K105" t="s">
        <v>110</v>
      </c>
      <c r="L105" t="s">
        <v>140</v>
      </c>
      <c r="M105">
        <v>1690.9131185399999</v>
      </c>
      <c r="N105">
        <v>0</v>
      </c>
      <c r="O105" t="s">
        <v>103</v>
      </c>
      <c r="P105" s="56">
        <v>44269.83878622685</v>
      </c>
      <c r="Q105">
        <v>83885</v>
      </c>
      <c r="R105" t="s">
        <v>98</v>
      </c>
      <c r="S105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108</v>
      </c>
      <c r="AD105" s="56">
        <v>43009</v>
      </c>
    </row>
    <row r="106" spans="1:30" x14ac:dyDescent="0.3">
      <c r="A106">
        <v>9821</v>
      </c>
      <c r="B106" t="s">
        <v>164</v>
      </c>
      <c r="C106">
        <v>2017</v>
      </c>
      <c r="D106">
        <v>10</v>
      </c>
      <c r="E106" t="s">
        <v>111</v>
      </c>
      <c r="F106" t="s">
        <v>108</v>
      </c>
      <c r="G106" t="s">
        <v>108</v>
      </c>
      <c r="H106" t="s">
        <v>25</v>
      </c>
      <c r="I106" t="s">
        <v>25</v>
      </c>
      <c r="J106" t="s">
        <v>138</v>
      </c>
      <c r="K106" t="s">
        <v>112</v>
      </c>
      <c r="L106" t="s">
        <v>140</v>
      </c>
      <c r="M106">
        <v>345.79406583999997</v>
      </c>
      <c r="N106">
        <v>0</v>
      </c>
      <c r="O106" t="s">
        <v>103</v>
      </c>
      <c r="P106" s="56">
        <v>44269.83878726852</v>
      </c>
      <c r="Q106">
        <v>83927</v>
      </c>
      <c r="R106" t="s">
        <v>98</v>
      </c>
      <c r="S106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108</v>
      </c>
      <c r="AD106" s="56">
        <v>43009</v>
      </c>
    </row>
    <row r="107" spans="1:30" x14ac:dyDescent="0.3">
      <c r="A107">
        <v>38545</v>
      </c>
      <c r="B107" t="s">
        <v>156</v>
      </c>
      <c r="C107">
        <v>2018</v>
      </c>
      <c r="D107">
        <v>1</v>
      </c>
      <c r="E107" t="s">
        <v>109</v>
      </c>
      <c r="F107" t="s">
        <v>108</v>
      </c>
      <c r="G107" t="s">
        <v>108</v>
      </c>
      <c r="H107" t="s">
        <v>25</v>
      </c>
      <c r="I107" t="s">
        <v>25</v>
      </c>
      <c r="J107" t="s">
        <v>138</v>
      </c>
      <c r="K107" t="s">
        <v>110</v>
      </c>
      <c r="L107" t="s">
        <v>140</v>
      </c>
      <c r="M107">
        <v>2934.8747129799999</v>
      </c>
      <c r="N107">
        <v>0</v>
      </c>
      <c r="O107" t="s">
        <v>103</v>
      </c>
      <c r="P107" s="56">
        <v>44269.841712766203</v>
      </c>
      <c r="Q107">
        <v>327737</v>
      </c>
      <c r="R107" t="s">
        <v>106</v>
      </c>
      <c r="S107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108</v>
      </c>
      <c r="AD107" s="56">
        <v>43101</v>
      </c>
    </row>
    <row r="108" spans="1:30" x14ac:dyDescent="0.3">
      <c r="A108">
        <v>38591</v>
      </c>
      <c r="B108" t="s">
        <v>156</v>
      </c>
      <c r="C108">
        <v>2018</v>
      </c>
      <c r="D108">
        <v>1</v>
      </c>
      <c r="E108" t="s">
        <v>113</v>
      </c>
      <c r="F108" t="s">
        <v>108</v>
      </c>
      <c r="G108" t="s">
        <v>108</v>
      </c>
      <c r="H108" t="s">
        <v>25</v>
      </c>
      <c r="I108" t="s">
        <v>25</v>
      </c>
      <c r="J108" t="s">
        <v>138</v>
      </c>
      <c r="K108" t="s">
        <v>114</v>
      </c>
      <c r="L108" t="s">
        <v>140</v>
      </c>
      <c r="M108">
        <v>1063.1400695499999</v>
      </c>
      <c r="N108">
        <v>0</v>
      </c>
      <c r="O108" t="s">
        <v>103</v>
      </c>
      <c r="P108" s="56">
        <v>44269.841714548609</v>
      </c>
      <c r="Q108">
        <v>327829</v>
      </c>
      <c r="R108" t="s">
        <v>106</v>
      </c>
      <c r="S108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108</v>
      </c>
      <c r="AD108" s="56">
        <v>43101</v>
      </c>
    </row>
    <row r="109" spans="1:30" x14ac:dyDescent="0.3">
      <c r="A109">
        <v>38568</v>
      </c>
      <c r="B109" t="s">
        <v>156</v>
      </c>
      <c r="C109">
        <v>2018</v>
      </c>
      <c r="D109">
        <v>1</v>
      </c>
      <c r="E109" t="s">
        <v>111</v>
      </c>
      <c r="F109" t="s">
        <v>108</v>
      </c>
      <c r="G109" t="s">
        <v>108</v>
      </c>
      <c r="H109" t="s">
        <v>25</v>
      </c>
      <c r="I109" t="s">
        <v>25</v>
      </c>
      <c r="J109" t="s">
        <v>138</v>
      </c>
      <c r="K109" t="s">
        <v>112</v>
      </c>
      <c r="L109" t="s">
        <v>140</v>
      </c>
      <c r="M109">
        <v>892.08334261000005</v>
      </c>
      <c r="N109">
        <v>0</v>
      </c>
      <c r="O109" t="s">
        <v>103</v>
      </c>
      <c r="P109" s="56">
        <v>44269.841713576388</v>
      </c>
      <c r="Q109">
        <v>327783</v>
      </c>
      <c r="R109" t="s">
        <v>106</v>
      </c>
      <c r="S109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108</v>
      </c>
      <c r="AD109" s="56">
        <v>43101</v>
      </c>
    </row>
    <row r="110" spans="1:30" x14ac:dyDescent="0.3">
      <c r="A110">
        <v>119614</v>
      </c>
      <c r="B110" t="s">
        <v>150</v>
      </c>
      <c r="C110">
        <v>2018</v>
      </c>
      <c r="D110">
        <v>9</v>
      </c>
      <c r="E110" t="s">
        <v>109</v>
      </c>
      <c r="F110" t="s">
        <v>108</v>
      </c>
      <c r="G110" t="s">
        <v>108</v>
      </c>
      <c r="H110" t="s">
        <v>25</v>
      </c>
      <c r="I110" t="s">
        <v>25</v>
      </c>
      <c r="J110" t="s">
        <v>138</v>
      </c>
      <c r="K110" t="s">
        <v>110</v>
      </c>
      <c r="L110" t="s">
        <v>140</v>
      </c>
      <c r="M110">
        <v>1439.52704135</v>
      </c>
      <c r="N110">
        <v>0</v>
      </c>
      <c r="O110" t="s">
        <v>104</v>
      </c>
      <c r="P110" s="56">
        <v>44269.851105011578</v>
      </c>
      <c r="Q110">
        <v>1081611</v>
      </c>
      <c r="R110" t="s">
        <v>28</v>
      </c>
      <c r="S110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108</v>
      </c>
      <c r="AD110" s="56">
        <v>43344</v>
      </c>
    </row>
    <row r="111" spans="1:30" x14ac:dyDescent="0.3">
      <c r="A111">
        <v>119662</v>
      </c>
      <c r="B111" t="s">
        <v>150</v>
      </c>
      <c r="C111">
        <v>2018</v>
      </c>
      <c r="D111">
        <v>9</v>
      </c>
      <c r="E111" t="s">
        <v>113</v>
      </c>
      <c r="F111" t="s">
        <v>108</v>
      </c>
      <c r="G111" t="s">
        <v>108</v>
      </c>
      <c r="H111" t="s">
        <v>25</v>
      </c>
      <c r="I111" t="s">
        <v>25</v>
      </c>
      <c r="J111" t="s">
        <v>138</v>
      </c>
      <c r="K111" t="s">
        <v>114</v>
      </c>
      <c r="L111" t="s">
        <v>140</v>
      </c>
      <c r="M111">
        <v>843.05591856000001</v>
      </c>
      <c r="N111">
        <v>0</v>
      </c>
      <c r="O111" t="s">
        <v>104</v>
      </c>
      <c r="P111" s="56">
        <v>44269.851107986113</v>
      </c>
      <c r="Q111">
        <v>1081851</v>
      </c>
      <c r="R111" t="s">
        <v>28</v>
      </c>
      <c r="S111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108</v>
      </c>
      <c r="AD111" s="56">
        <v>43344</v>
      </c>
    </row>
    <row r="112" spans="1:30" x14ac:dyDescent="0.3">
      <c r="A112">
        <v>443785</v>
      </c>
      <c r="B112" t="s">
        <v>153</v>
      </c>
      <c r="C112">
        <v>2018</v>
      </c>
      <c r="D112">
        <v>12</v>
      </c>
      <c r="E112" t="s">
        <v>109</v>
      </c>
      <c r="F112" t="s">
        <v>108</v>
      </c>
      <c r="G112" t="s">
        <v>108</v>
      </c>
      <c r="H112" t="s">
        <v>25</v>
      </c>
      <c r="I112" t="s">
        <v>25</v>
      </c>
      <c r="J112" t="s">
        <v>138</v>
      </c>
      <c r="K112" t="s">
        <v>110</v>
      </c>
      <c r="L112" t="s">
        <v>140</v>
      </c>
      <c r="M112">
        <v>3041.3129330199999</v>
      </c>
      <c r="N112">
        <v>0</v>
      </c>
      <c r="O112" t="s">
        <v>104</v>
      </c>
      <c r="P112" s="56">
        <v>44284.514579629627</v>
      </c>
      <c r="Q112">
        <v>4215242</v>
      </c>
      <c r="R112" t="s">
        <v>28</v>
      </c>
      <c r="S112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108</v>
      </c>
      <c r="AD112" s="56">
        <v>43435</v>
      </c>
    </row>
    <row r="113" spans="1:30" x14ac:dyDescent="0.3">
      <c r="A113">
        <v>144832</v>
      </c>
      <c r="B113" t="s">
        <v>152</v>
      </c>
      <c r="C113">
        <v>2018</v>
      </c>
      <c r="D113">
        <v>11</v>
      </c>
      <c r="E113" t="s">
        <v>109</v>
      </c>
      <c r="F113" t="s">
        <v>108</v>
      </c>
      <c r="G113" t="s">
        <v>108</v>
      </c>
      <c r="H113" t="s">
        <v>25</v>
      </c>
      <c r="I113" t="s">
        <v>25</v>
      </c>
      <c r="J113" t="s">
        <v>138</v>
      </c>
      <c r="K113" t="s">
        <v>110</v>
      </c>
      <c r="L113" t="s">
        <v>140</v>
      </c>
      <c r="M113">
        <v>1939.5207746900001</v>
      </c>
      <c r="N113">
        <v>0</v>
      </c>
      <c r="O113" t="s">
        <v>104</v>
      </c>
      <c r="P113" s="56">
        <v>44269.854262534733</v>
      </c>
      <c r="Q113">
        <v>1336943</v>
      </c>
      <c r="R113" t="s">
        <v>28</v>
      </c>
      <c r="S113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108</v>
      </c>
      <c r="AD113" s="56">
        <v>43405</v>
      </c>
    </row>
    <row r="114" spans="1:30" x14ac:dyDescent="0.3">
      <c r="A114">
        <v>119638</v>
      </c>
      <c r="B114" t="s">
        <v>150</v>
      </c>
      <c r="C114">
        <v>2018</v>
      </c>
      <c r="D114">
        <v>9</v>
      </c>
      <c r="E114" t="s">
        <v>111</v>
      </c>
      <c r="F114" t="s">
        <v>108</v>
      </c>
      <c r="G114" t="s">
        <v>108</v>
      </c>
      <c r="H114" t="s">
        <v>25</v>
      </c>
      <c r="I114" t="s">
        <v>25</v>
      </c>
      <c r="J114" t="s">
        <v>138</v>
      </c>
      <c r="K114" t="s">
        <v>112</v>
      </c>
      <c r="L114" t="s">
        <v>140</v>
      </c>
      <c r="M114">
        <v>316.65874517999998</v>
      </c>
      <c r="N114">
        <v>0</v>
      </c>
      <c r="O114" t="s">
        <v>104</v>
      </c>
      <c r="P114" s="56">
        <v>44269.85110659722</v>
      </c>
      <c r="Q114">
        <v>1081731</v>
      </c>
      <c r="R114" t="s">
        <v>28</v>
      </c>
      <c r="S11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108</v>
      </c>
      <c r="AD114" s="56">
        <v>43344</v>
      </c>
    </row>
    <row r="115" spans="1:30" x14ac:dyDescent="0.3">
      <c r="A115">
        <v>130342</v>
      </c>
      <c r="B115" t="s">
        <v>151</v>
      </c>
      <c r="C115">
        <v>2018</v>
      </c>
      <c r="D115">
        <v>10</v>
      </c>
      <c r="E115" t="s">
        <v>113</v>
      </c>
      <c r="F115" t="s">
        <v>108</v>
      </c>
      <c r="G115" t="s">
        <v>108</v>
      </c>
      <c r="H115" t="s">
        <v>25</v>
      </c>
      <c r="I115" t="s">
        <v>25</v>
      </c>
      <c r="J115" t="s">
        <v>138</v>
      </c>
      <c r="K115" t="s">
        <v>114</v>
      </c>
      <c r="L115" t="s">
        <v>140</v>
      </c>
      <c r="M115">
        <v>879.43208655000001</v>
      </c>
      <c r="N115">
        <v>0</v>
      </c>
      <c r="O115" t="s">
        <v>104</v>
      </c>
      <c r="P115" s="56">
        <v>44269.852574803241</v>
      </c>
      <c r="Q115">
        <v>1193223</v>
      </c>
      <c r="R115" t="s">
        <v>28</v>
      </c>
      <c r="S115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108</v>
      </c>
      <c r="AD115" s="56">
        <v>43374</v>
      </c>
    </row>
    <row r="116" spans="1:30" x14ac:dyDescent="0.3">
      <c r="A116">
        <v>130318</v>
      </c>
      <c r="B116" t="s">
        <v>151</v>
      </c>
      <c r="C116">
        <v>2018</v>
      </c>
      <c r="D116">
        <v>10</v>
      </c>
      <c r="E116" t="s">
        <v>111</v>
      </c>
      <c r="F116" t="s">
        <v>108</v>
      </c>
      <c r="G116" t="s">
        <v>108</v>
      </c>
      <c r="H116" t="s">
        <v>25</v>
      </c>
      <c r="I116" t="s">
        <v>25</v>
      </c>
      <c r="J116" t="s">
        <v>138</v>
      </c>
      <c r="K116" t="s">
        <v>112</v>
      </c>
      <c r="L116" t="s">
        <v>140</v>
      </c>
      <c r="M116">
        <v>333.40243543999998</v>
      </c>
      <c r="N116">
        <v>0</v>
      </c>
      <c r="O116" t="s">
        <v>104</v>
      </c>
      <c r="P116" s="56">
        <v>44269.852573611111</v>
      </c>
      <c r="Q116">
        <v>1193103</v>
      </c>
      <c r="R116" t="s">
        <v>28</v>
      </c>
      <c r="S116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108</v>
      </c>
      <c r="AD116" s="56">
        <v>43374</v>
      </c>
    </row>
    <row r="117" spans="1:30" x14ac:dyDescent="0.3">
      <c r="A117">
        <v>144856</v>
      </c>
      <c r="B117" t="s">
        <v>152</v>
      </c>
      <c r="C117">
        <v>2018</v>
      </c>
      <c r="D117">
        <v>11</v>
      </c>
      <c r="E117" t="s">
        <v>111</v>
      </c>
      <c r="F117" t="s">
        <v>108</v>
      </c>
      <c r="G117" t="s">
        <v>108</v>
      </c>
      <c r="H117" t="s">
        <v>25</v>
      </c>
      <c r="I117" t="s">
        <v>25</v>
      </c>
      <c r="J117" t="s">
        <v>138</v>
      </c>
      <c r="K117" t="s">
        <v>112</v>
      </c>
      <c r="L117" t="s">
        <v>140</v>
      </c>
      <c r="M117">
        <v>527.43779992999998</v>
      </c>
      <c r="N117">
        <v>0</v>
      </c>
      <c r="O117" t="s">
        <v>104</v>
      </c>
      <c r="P117" s="56">
        <v>44269.854263738423</v>
      </c>
      <c r="Q117">
        <v>1337063</v>
      </c>
      <c r="R117" t="s">
        <v>28</v>
      </c>
      <c r="S117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108</v>
      </c>
      <c r="AD117" s="56">
        <v>43405</v>
      </c>
    </row>
    <row r="118" spans="1:30" x14ac:dyDescent="0.3">
      <c r="A118">
        <v>130294</v>
      </c>
      <c r="B118" t="s">
        <v>151</v>
      </c>
      <c r="C118">
        <v>2018</v>
      </c>
      <c r="D118">
        <v>10</v>
      </c>
      <c r="E118" t="s">
        <v>109</v>
      </c>
      <c r="F118" t="s">
        <v>108</v>
      </c>
      <c r="G118" t="s">
        <v>108</v>
      </c>
      <c r="H118" t="s">
        <v>25</v>
      </c>
      <c r="I118" t="s">
        <v>25</v>
      </c>
      <c r="J118" t="s">
        <v>138</v>
      </c>
      <c r="K118" t="s">
        <v>110</v>
      </c>
      <c r="L118" t="s">
        <v>140</v>
      </c>
      <c r="M118">
        <v>1428.8615156599999</v>
      </c>
      <c r="N118">
        <v>0</v>
      </c>
      <c r="O118" t="s">
        <v>104</v>
      </c>
      <c r="P118" s="56">
        <v>44269.8525723727</v>
      </c>
      <c r="Q118">
        <v>1192983</v>
      </c>
      <c r="R118" t="s">
        <v>28</v>
      </c>
      <c r="S118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108</v>
      </c>
      <c r="AD118" s="56">
        <v>43374</v>
      </c>
    </row>
    <row r="119" spans="1:30" x14ac:dyDescent="0.3">
      <c r="A119">
        <v>443833</v>
      </c>
      <c r="B119" t="s">
        <v>153</v>
      </c>
      <c r="C119">
        <v>2018</v>
      </c>
      <c r="D119">
        <v>12</v>
      </c>
      <c r="E119" t="s">
        <v>113</v>
      </c>
      <c r="F119" t="s">
        <v>108</v>
      </c>
      <c r="G119" t="s">
        <v>108</v>
      </c>
      <c r="H119" t="s">
        <v>25</v>
      </c>
      <c r="I119" t="s">
        <v>25</v>
      </c>
      <c r="J119" t="s">
        <v>138</v>
      </c>
      <c r="K119" t="s">
        <v>114</v>
      </c>
      <c r="L119" t="s">
        <v>140</v>
      </c>
      <c r="M119">
        <v>1153.4816149200001</v>
      </c>
      <c r="N119">
        <v>0</v>
      </c>
      <c r="O119" t="s">
        <v>104</v>
      </c>
      <c r="P119" s="56">
        <v>44284.51458221065</v>
      </c>
      <c r="Q119">
        <v>4215482</v>
      </c>
      <c r="R119" t="s">
        <v>28</v>
      </c>
      <c r="S119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108</v>
      </c>
      <c r="AD119" s="56">
        <v>43435</v>
      </c>
    </row>
    <row r="120" spans="1:30" x14ac:dyDescent="0.3">
      <c r="A120">
        <v>443809</v>
      </c>
      <c r="B120" t="s">
        <v>153</v>
      </c>
      <c r="C120">
        <v>2018</v>
      </c>
      <c r="D120">
        <v>12</v>
      </c>
      <c r="E120" t="s">
        <v>111</v>
      </c>
      <c r="F120" t="s">
        <v>108</v>
      </c>
      <c r="G120" t="s">
        <v>108</v>
      </c>
      <c r="H120" t="s">
        <v>25</v>
      </c>
      <c r="I120" t="s">
        <v>25</v>
      </c>
      <c r="J120" t="s">
        <v>138</v>
      </c>
      <c r="K120" t="s">
        <v>112</v>
      </c>
      <c r="L120" t="s">
        <v>140</v>
      </c>
      <c r="M120">
        <v>824.95046656</v>
      </c>
      <c r="N120">
        <v>0</v>
      </c>
      <c r="O120" t="s">
        <v>104</v>
      </c>
      <c r="P120" s="56">
        <v>44284.514580937503</v>
      </c>
      <c r="Q120">
        <v>4215362</v>
      </c>
      <c r="R120" t="s">
        <v>28</v>
      </c>
      <c r="S120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108</v>
      </c>
      <c r="AD120" s="56">
        <v>43435</v>
      </c>
    </row>
    <row r="121" spans="1:30" x14ac:dyDescent="0.3">
      <c r="A121">
        <v>144880</v>
      </c>
      <c r="B121" t="s">
        <v>152</v>
      </c>
      <c r="C121">
        <v>2018</v>
      </c>
      <c r="D121">
        <v>11</v>
      </c>
      <c r="E121" t="s">
        <v>113</v>
      </c>
      <c r="F121" t="s">
        <v>108</v>
      </c>
      <c r="G121" t="s">
        <v>108</v>
      </c>
      <c r="H121" t="s">
        <v>25</v>
      </c>
      <c r="I121" t="s">
        <v>25</v>
      </c>
      <c r="J121" t="s">
        <v>138</v>
      </c>
      <c r="K121" t="s">
        <v>114</v>
      </c>
      <c r="L121" t="s">
        <v>140</v>
      </c>
      <c r="M121">
        <v>1036.3887642100001</v>
      </c>
      <c r="N121">
        <v>0</v>
      </c>
      <c r="O121" t="s">
        <v>104</v>
      </c>
      <c r="P121" s="56">
        <v>44269.854264965281</v>
      </c>
      <c r="Q121">
        <v>1337183</v>
      </c>
      <c r="R121" t="s">
        <v>28</v>
      </c>
      <c r="S121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108</v>
      </c>
      <c r="AD121" s="56">
        <v>43405</v>
      </c>
    </row>
    <row r="122" spans="1:30" x14ac:dyDescent="0.3">
      <c r="A122">
        <v>446664</v>
      </c>
      <c r="B122" t="s">
        <v>165</v>
      </c>
      <c r="C122">
        <v>2017</v>
      </c>
      <c r="D122">
        <v>11</v>
      </c>
      <c r="E122" t="s">
        <v>109</v>
      </c>
      <c r="F122" t="s">
        <v>108</v>
      </c>
      <c r="G122" t="s">
        <v>108</v>
      </c>
      <c r="H122" t="s">
        <v>25</v>
      </c>
      <c r="I122" t="s">
        <v>25</v>
      </c>
      <c r="J122" t="s">
        <v>138</v>
      </c>
      <c r="K122" t="s">
        <v>110</v>
      </c>
      <c r="L122" t="s">
        <v>140</v>
      </c>
      <c r="M122">
        <v>2041.4187845900001</v>
      </c>
      <c r="N122">
        <v>0</v>
      </c>
      <c r="O122" t="s">
        <v>103</v>
      </c>
      <c r="P122" s="56">
        <v>44284.5259379977</v>
      </c>
      <c r="Q122">
        <v>4237044</v>
      </c>
      <c r="R122" t="s">
        <v>98</v>
      </c>
      <c r="S122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108</v>
      </c>
      <c r="AD122" s="56">
        <v>43040</v>
      </c>
    </row>
    <row r="123" spans="1:30" x14ac:dyDescent="0.3">
      <c r="A123">
        <v>446686</v>
      </c>
      <c r="B123" t="s">
        <v>165</v>
      </c>
      <c r="C123">
        <v>2017</v>
      </c>
      <c r="D123">
        <v>11</v>
      </c>
      <c r="E123" t="s">
        <v>111</v>
      </c>
      <c r="F123" t="s">
        <v>108</v>
      </c>
      <c r="G123" t="s">
        <v>108</v>
      </c>
      <c r="H123" t="s">
        <v>25</v>
      </c>
      <c r="I123" t="s">
        <v>25</v>
      </c>
      <c r="J123" t="s">
        <v>138</v>
      </c>
      <c r="K123" t="s">
        <v>112</v>
      </c>
      <c r="L123" t="s">
        <v>140</v>
      </c>
      <c r="M123">
        <v>547.58038690000001</v>
      </c>
      <c r="N123">
        <v>0</v>
      </c>
      <c r="O123" t="s">
        <v>103</v>
      </c>
      <c r="P123" s="56">
        <v>44284.525938576393</v>
      </c>
      <c r="Q123">
        <v>4237088</v>
      </c>
      <c r="R123" t="s">
        <v>98</v>
      </c>
      <c r="S123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108</v>
      </c>
      <c r="AD123" s="56">
        <v>43040</v>
      </c>
    </row>
    <row r="124" spans="1:30" x14ac:dyDescent="0.3">
      <c r="A124">
        <v>446708</v>
      </c>
      <c r="B124" t="s">
        <v>165</v>
      </c>
      <c r="C124">
        <v>2017</v>
      </c>
      <c r="D124">
        <v>11</v>
      </c>
      <c r="E124" t="s">
        <v>113</v>
      </c>
      <c r="F124" t="s">
        <v>108</v>
      </c>
      <c r="G124" t="s">
        <v>108</v>
      </c>
      <c r="H124" t="s">
        <v>25</v>
      </c>
      <c r="I124" t="s">
        <v>25</v>
      </c>
      <c r="J124" t="s">
        <v>138</v>
      </c>
      <c r="K124" t="s">
        <v>114</v>
      </c>
      <c r="L124" t="s">
        <v>140</v>
      </c>
      <c r="M124">
        <v>1364.6638703399999</v>
      </c>
      <c r="N124">
        <v>0</v>
      </c>
      <c r="O124" t="s">
        <v>103</v>
      </c>
      <c r="P124" s="56">
        <v>44284.525939120373</v>
      </c>
      <c r="Q124">
        <v>4237132</v>
      </c>
      <c r="R124" t="s">
        <v>98</v>
      </c>
      <c r="S12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108</v>
      </c>
      <c r="AD124" s="56">
        <v>43040</v>
      </c>
    </row>
    <row r="125" spans="1:30" x14ac:dyDescent="0.3">
      <c r="A125">
        <v>714746</v>
      </c>
      <c r="B125" t="s">
        <v>166</v>
      </c>
      <c r="C125">
        <v>2016</v>
      </c>
      <c r="D125">
        <v>8</v>
      </c>
      <c r="E125" t="s">
        <v>111</v>
      </c>
      <c r="F125" t="s">
        <v>108</v>
      </c>
      <c r="G125" t="s">
        <v>108</v>
      </c>
      <c r="H125" t="s">
        <v>25</v>
      </c>
      <c r="I125" t="s">
        <v>25</v>
      </c>
      <c r="J125" t="s">
        <v>160</v>
      </c>
      <c r="K125" t="s">
        <v>141</v>
      </c>
      <c r="L125" t="s">
        <v>140</v>
      </c>
      <c r="M125">
        <v>935.63531867999995</v>
      </c>
      <c r="N125">
        <v>0</v>
      </c>
      <c r="O125" t="s">
        <v>103</v>
      </c>
      <c r="P125" s="56">
        <v>44334.103428159717</v>
      </c>
      <c r="Q125">
        <v>6248098</v>
      </c>
      <c r="R125" t="s">
        <v>98</v>
      </c>
      <c r="S125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108</v>
      </c>
      <c r="AD125" s="56">
        <v>42583</v>
      </c>
    </row>
    <row r="126" spans="1:30" x14ac:dyDescent="0.3">
      <c r="A126">
        <v>714728</v>
      </c>
      <c r="B126" t="s">
        <v>166</v>
      </c>
      <c r="C126">
        <v>2016</v>
      </c>
      <c r="D126">
        <v>8</v>
      </c>
      <c r="E126" t="s">
        <v>109</v>
      </c>
      <c r="F126" t="s">
        <v>108</v>
      </c>
      <c r="G126" t="s">
        <v>108</v>
      </c>
      <c r="H126" t="s">
        <v>25</v>
      </c>
      <c r="I126" t="s">
        <v>25</v>
      </c>
      <c r="J126" t="s">
        <v>160</v>
      </c>
      <c r="K126" t="s">
        <v>139</v>
      </c>
      <c r="L126" t="s">
        <v>140</v>
      </c>
      <c r="M126">
        <v>2647.0276601700002</v>
      </c>
      <c r="N126">
        <v>0</v>
      </c>
      <c r="O126" t="s">
        <v>103</v>
      </c>
      <c r="P126" s="56">
        <v>44334.103427696762</v>
      </c>
      <c r="Q126">
        <v>6248062</v>
      </c>
      <c r="R126" t="s">
        <v>98</v>
      </c>
      <c r="S126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108</v>
      </c>
      <c r="AD126" s="56">
        <v>42583</v>
      </c>
    </row>
    <row r="127" spans="1:30" x14ac:dyDescent="0.3">
      <c r="A127">
        <v>714764</v>
      </c>
      <c r="B127" t="s">
        <v>166</v>
      </c>
      <c r="C127">
        <v>2016</v>
      </c>
      <c r="D127">
        <v>8</v>
      </c>
      <c r="E127" t="s">
        <v>63</v>
      </c>
      <c r="F127" t="s">
        <v>108</v>
      </c>
      <c r="G127" t="s">
        <v>108</v>
      </c>
      <c r="H127" t="s">
        <v>25</v>
      </c>
      <c r="I127" t="s">
        <v>25</v>
      </c>
      <c r="J127" t="s">
        <v>160</v>
      </c>
      <c r="K127" t="s">
        <v>143</v>
      </c>
      <c r="L127" t="s">
        <v>140</v>
      </c>
      <c r="M127">
        <v>1612.5415291500001</v>
      </c>
      <c r="N127">
        <v>0</v>
      </c>
      <c r="O127" t="s">
        <v>103</v>
      </c>
      <c r="P127" s="56">
        <v>44334.103428622693</v>
      </c>
      <c r="Q127">
        <v>6248134</v>
      </c>
      <c r="R127" t="s">
        <v>98</v>
      </c>
      <c r="S127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108</v>
      </c>
      <c r="AD127" s="56">
        <v>42583</v>
      </c>
    </row>
    <row r="128" spans="1:30" x14ac:dyDescent="0.3">
      <c r="A128">
        <v>505299</v>
      </c>
      <c r="B128" t="s">
        <v>167</v>
      </c>
      <c r="C128">
        <v>2016</v>
      </c>
      <c r="D128">
        <v>11</v>
      </c>
      <c r="E128" t="s">
        <v>111</v>
      </c>
      <c r="F128" t="s">
        <v>108</v>
      </c>
      <c r="G128" t="s">
        <v>108</v>
      </c>
      <c r="H128" t="s">
        <v>25</v>
      </c>
      <c r="I128" t="s">
        <v>25</v>
      </c>
      <c r="J128" t="s">
        <v>138</v>
      </c>
      <c r="K128" t="s">
        <v>112</v>
      </c>
      <c r="L128" t="s">
        <v>140</v>
      </c>
      <c r="M128">
        <v>3.0402221699999998</v>
      </c>
      <c r="N128">
        <v>0</v>
      </c>
      <c r="O128" t="s">
        <v>103</v>
      </c>
      <c r="P128" s="56">
        <v>44330.099023298608</v>
      </c>
      <c r="Q128">
        <v>4677104</v>
      </c>
      <c r="R128" t="s">
        <v>98</v>
      </c>
      <c r="S128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108</v>
      </c>
      <c r="AD128" s="56">
        <v>42675</v>
      </c>
    </row>
    <row r="129" spans="1:30" x14ac:dyDescent="0.3">
      <c r="A129">
        <v>490499</v>
      </c>
      <c r="B129" t="s">
        <v>168</v>
      </c>
      <c r="C129">
        <v>2016</v>
      </c>
      <c r="D129">
        <v>9</v>
      </c>
      <c r="E129" t="s">
        <v>111</v>
      </c>
      <c r="F129" t="s">
        <v>108</v>
      </c>
      <c r="G129" t="s">
        <v>108</v>
      </c>
      <c r="H129" t="s">
        <v>25</v>
      </c>
      <c r="I129" t="s">
        <v>25</v>
      </c>
      <c r="J129" t="s">
        <v>138</v>
      </c>
      <c r="K129" t="s">
        <v>141</v>
      </c>
      <c r="L129" t="s">
        <v>140</v>
      </c>
      <c r="M129">
        <v>672.74702771</v>
      </c>
      <c r="N129">
        <v>0</v>
      </c>
      <c r="O129" t="s">
        <v>103</v>
      </c>
      <c r="P129" s="56">
        <v>44330.097784641213</v>
      </c>
      <c r="Q129">
        <v>4588298</v>
      </c>
      <c r="R129" t="s">
        <v>98</v>
      </c>
      <c r="S129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108</v>
      </c>
      <c r="AD129" s="56">
        <v>42614</v>
      </c>
    </row>
    <row r="130" spans="1:30" x14ac:dyDescent="0.3">
      <c r="A130">
        <v>518451</v>
      </c>
      <c r="B130" t="s">
        <v>169</v>
      </c>
      <c r="C130">
        <v>2016</v>
      </c>
      <c r="D130">
        <v>12</v>
      </c>
      <c r="E130" t="s">
        <v>111</v>
      </c>
      <c r="F130" t="s">
        <v>108</v>
      </c>
      <c r="G130" t="s">
        <v>108</v>
      </c>
      <c r="H130" t="s">
        <v>25</v>
      </c>
      <c r="I130" t="s">
        <v>25</v>
      </c>
      <c r="J130" t="s">
        <v>138</v>
      </c>
      <c r="K130" t="s">
        <v>112</v>
      </c>
      <c r="L130" t="s">
        <v>140</v>
      </c>
      <c r="M130">
        <v>5.24655E-3</v>
      </c>
      <c r="N130">
        <v>0</v>
      </c>
      <c r="O130" t="s">
        <v>103</v>
      </c>
      <c r="P130" s="56">
        <v>44330.100235682869</v>
      </c>
      <c r="Q130">
        <v>4792710</v>
      </c>
      <c r="R130" t="s">
        <v>98</v>
      </c>
      <c r="S130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108</v>
      </c>
      <c r="AD130" s="56">
        <v>42705</v>
      </c>
    </row>
    <row r="131" spans="1:30" x14ac:dyDescent="0.3">
      <c r="A131">
        <v>490481</v>
      </c>
      <c r="B131" t="s">
        <v>168</v>
      </c>
      <c r="C131">
        <v>2016</v>
      </c>
      <c r="D131">
        <v>9</v>
      </c>
      <c r="E131" t="s">
        <v>109</v>
      </c>
      <c r="F131" t="s">
        <v>108</v>
      </c>
      <c r="G131" t="s">
        <v>108</v>
      </c>
      <c r="H131" t="s">
        <v>25</v>
      </c>
      <c r="I131" t="s">
        <v>25</v>
      </c>
      <c r="J131" t="s">
        <v>138</v>
      </c>
      <c r="K131" t="s">
        <v>110</v>
      </c>
      <c r="L131" t="s">
        <v>140</v>
      </c>
      <c r="M131">
        <v>2263.3159081700001</v>
      </c>
      <c r="N131">
        <v>0</v>
      </c>
      <c r="O131" t="s">
        <v>103</v>
      </c>
      <c r="P131" s="56">
        <v>44330.097784143523</v>
      </c>
      <c r="Q131">
        <v>4588262</v>
      </c>
      <c r="R131" t="s">
        <v>98</v>
      </c>
      <c r="S131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108</v>
      </c>
      <c r="AD131" s="56">
        <v>42614</v>
      </c>
    </row>
    <row r="132" spans="1:30" x14ac:dyDescent="0.3">
      <c r="A132">
        <v>490517</v>
      </c>
      <c r="B132" t="s">
        <v>168</v>
      </c>
      <c r="C132">
        <v>2016</v>
      </c>
      <c r="D132">
        <v>9</v>
      </c>
      <c r="E132" t="s">
        <v>113</v>
      </c>
      <c r="F132" t="s">
        <v>108</v>
      </c>
      <c r="G132" t="s">
        <v>108</v>
      </c>
      <c r="H132" t="s">
        <v>25</v>
      </c>
      <c r="I132" t="s">
        <v>25</v>
      </c>
      <c r="J132" t="s">
        <v>138</v>
      </c>
      <c r="K132" t="s">
        <v>114</v>
      </c>
      <c r="L132" t="s">
        <v>140</v>
      </c>
      <c r="M132">
        <v>1264.39372551</v>
      </c>
      <c r="N132">
        <v>0</v>
      </c>
      <c r="O132" t="s">
        <v>103</v>
      </c>
      <c r="P132" s="56">
        <v>44330.097785150458</v>
      </c>
      <c r="Q132">
        <v>4588334</v>
      </c>
      <c r="R132" t="s">
        <v>98</v>
      </c>
      <c r="S132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108</v>
      </c>
      <c r="AD132" s="56">
        <v>42614</v>
      </c>
    </row>
    <row r="133" spans="1:30" x14ac:dyDescent="0.3">
      <c r="A133">
        <v>505281</v>
      </c>
      <c r="B133" t="s">
        <v>167</v>
      </c>
      <c r="C133">
        <v>2016</v>
      </c>
      <c r="D133">
        <v>11</v>
      </c>
      <c r="E133" t="s">
        <v>109</v>
      </c>
      <c r="F133" t="s">
        <v>108</v>
      </c>
      <c r="G133" t="s">
        <v>108</v>
      </c>
      <c r="H133" t="s">
        <v>25</v>
      </c>
      <c r="I133" t="s">
        <v>25</v>
      </c>
      <c r="J133" t="s">
        <v>138</v>
      </c>
      <c r="K133" t="s">
        <v>110</v>
      </c>
      <c r="L133" t="s">
        <v>140</v>
      </c>
      <c r="M133">
        <v>10.93651025</v>
      </c>
      <c r="N133">
        <v>0</v>
      </c>
      <c r="O133" t="s">
        <v>103</v>
      </c>
      <c r="P133" s="56">
        <v>44330.09902276619</v>
      </c>
      <c r="Q133">
        <v>4677068</v>
      </c>
      <c r="R133" t="s">
        <v>98</v>
      </c>
      <c r="S133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108</v>
      </c>
      <c r="AD133" s="56">
        <v>42675</v>
      </c>
    </row>
    <row r="134" spans="1:30" x14ac:dyDescent="0.3">
      <c r="A134">
        <v>496212</v>
      </c>
      <c r="B134" t="s">
        <v>170</v>
      </c>
      <c r="C134">
        <v>2016</v>
      </c>
      <c r="D134">
        <v>10</v>
      </c>
      <c r="E134" t="s">
        <v>113</v>
      </c>
      <c r="F134" t="s">
        <v>108</v>
      </c>
      <c r="G134" t="s">
        <v>108</v>
      </c>
      <c r="H134" t="s">
        <v>25</v>
      </c>
      <c r="I134" t="s">
        <v>25</v>
      </c>
      <c r="J134" t="s">
        <v>138</v>
      </c>
      <c r="K134" t="s">
        <v>114</v>
      </c>
      <c r="L134" t="s">
        <v>140</v>
      </c>
      <c r="M134">
        <v>717.31728549000002</v>
      </c>
      <c r="N134">
        <v>0</v>
      </c>
      <c r="O134" t="s">
        <v>103</v>
      </c>
      <c r="P134" s="56">
        <v>44330.098264814813</v>
      </c>
      <c r="Q134">
        <v>4615654</v>
      </c>
      <c r="R134" t="s">
        <v>98</v>
      </c>
      <c r="S13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108</v>
      </c>
      <c r="AD134" s="56">
        <v>42644</v>
      </c>
    </row>
    <row r="135" spans="1:30" x14ac:dyDescent="0.3">
      <c r="A135">
        <v>518469</v>
      </c>
      <c r="B135" t="s">
        <v>169</v>
      </c>
      <c r="C135">
        <v>2016</v>
      </c>
      <c r="D135">
        <v>12</v>
      </c>
      <c r="E135" t="s">
        <v>113</v>
      </c>
      <c r="F135" t="s">
        <v>108</v>
      </c>
      <c r="G135" t="s">
        <v>108</v>
      </c>
      <c r="H135" t="s">
        <v>25</v>
      </c>
      <c r="I135" t="s">
        <v>25</v>
      </c>
      <c r="J135" t="s">
        <v>138</v>
      </c>
      <c r="K135" t="s">
        <v>114</v>
      </c>
      <c r="L135" t="s">
        <v>140</v>
      </c>
      <c r="M135">
        <v>7.6207699999999998E-3</v>
      </c>
      <c r="N135">
        <v>0</v>
      </c>
      <c r="O135" t="s">
        <v>103</v>
      </c>
      <c r="P135" s="56">
        <v>44330.100236226863</v>
      </c>
      <c r="Q135">
        <v>4792746</v>
      </c>
      <c r="R135" t="s">
        <v>98</v>
      </c>
      <c r="S135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108</v>
      </c>
      <c r="AD135" s="56">
        <v>42705</v>
      </c>
    </row>
    <row r="136" spans="1:30" x14ac:dyDescent="0.3">
      <c r="A136">
        <v>672470</v>
      </c>
      <c r="B136" t="s">
        <v>171</v>
      </c>
      <c r="C136">
        <v>2016</v>
      </c>
      <c r="D136">
        <v>5</v>
      </c>
      <c r="E136" t="s">
        <v>111</v>
      </c>
      <c r="F136" t="s">
        <v>108</v>
      </c>
      <c r="G136" t="s">
        <v>108</v>
      </c>
      <c r="H136" t="s">
        <v>25</v>
      </c>
      <c r="I136" t="s">
        <v>25</v>
      </c>
      <c r="J136" t="s">
        <v>138</v>
      </c>
      <c r="K136" t="s">
        <v>141</v>
      </c>
      <c r="L136" t="s">
        <v>140</v>
      </c>
      <c r="M136">
        <v>1352.1891427099999</v>
      </c>
      <c r="N136">
        <v>0</v>
      </c>
      <c r="O136" t="s">
        <v>103</v>
      </c>
      <c r="P136" s="56">
        <v>44334.07016489582</v>
      </c>
      <c r="Q136">
        <v>5939551</v>
      </c>
      <c r="R136" t="s">
        <v>98</v>
      </c>
      <c r="S136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108</v>
      </c>
      <c r="AD136" s="56">
        <v>42491</v>
      </c>
    </row>
    <row r="137" spans="1:30" x14ac:dyDescent="0.3">
      <c r="A137">
        <v>518433</v>
      </c>
      <c r="B137" t="s">
        <v>169</v>
      </c>
      <c r="C137">
        <v>2016</v>
      </c>
      <c r="D137">
        <v>12</v>
      </c>
      <c r="E137" t="s">
        <v>109</v>
      </c>
      <c r="F137" t="s">
        <v>108</v>
      </c>
      <c r="G137" t="s">
        <v>108</v>
      </c>
      <c r="H137" t="s">
        <v>25</v>
      </c>
      <c r="I137" t="s">
        <v>25</v>
      </c>
      <c r="J137" t="s">
        <v>138</v>
      </c>
      <c r="K137" t="s">
        <v>110</v>
      </c>
      <c r="L137" t="s">
        <v>140</v>
      </c>
      <c r="M137">
        <v>2.1233140000000001E-2</v>
      </c>
      <c r="N137">
        <v>0</v>
      </c>
      <c r="O137" t="s">
        <v>103</v>
      </c>
      <c r="P137" s="56">
        <v>44330.1002351852</v>
      </c>
      <c r="Q137">
        <v>4792674</v>
      </c>
      <c r="R137" t="s">
        <v>98</v>
      </c>
      <c r="S137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108</v>
      </c>
      <c r="AD137" s="56">
        <v>42705</v>
      </c>
    </row>
    <row r="138" spans="1:30" x14ac:dyDescent="0.3">
      <c r="A138">
        <v>672452</v>
      </c>
      <c r="B138" t="s">
        <v>171</v>
      </c>
      <c r="C138">
        <v>2016</v>
      </c>
      <c r="D138">
        <v>5</v>
      </c>
      <c r="E138" t="s">
        <v>109</v>
      </c>
      <c r="F138" t="s">
        <v>108</v>
      </c>
      <c r="G138" t="s">
        <v>108</v>
      </c>
      <c r="H138" t="s">
        <v>25</v>
      </c>
      <c r="I138" t="s">
        <v>25</v>
      </c>
      <c r="J138" t="s">
        <v>138</v>
      </c>
      <c r="K138" t="s">
        <v>139</v>
      </c>
      <c r="L138" t="s">
        <v>140</v>
      </c>
      <c r="M138">
        <v>4669.0953959799999</v>
      </c>
      <c r="N138">
        <v>0</v>
      </c>
      <c r="O138" t="s">
        <v>103</v>
      </c>
      <c r="P138" s="56">
        <v>44334.070164432873</v>
      </c>
      <c r="Q138">
        <v>5939515</v>
      </c>
      <c r="R138" t="s">
        <v>98</v>
      </c>
      <c r="S138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108</v>
      </c>
      <c r="AD138" s="56">
        <v>42491</v>
      </c>
    </row>
    <row r="139" spans="1:30" x14ac:dyDescent="0.3">
      <c r="A139">
        <v>730808</v>
      </c>
      <c r="B139" t="s">
        <v>172</v>
      </c>
      <c r="C139">
        <v>2016</v>
      </c>
      <c r="D139">
        <v>7</v>
      </c>
      <c r="E139" t="s">
        <v>63</v>
      </c>
      <c r="F139" t="s">
        <v>108</v>
      </c>
      <c r="G139" t="s">
        <v>108</v>
      </c>
      <c r="H139" t="s">
        <v>25</v>
      </c>
      <c r="I139" t="s">
        <v>25</v>
      </c>
      <c r="J139" t="s">
        <v>138</v>
      </c>
      <c r="K139" t="s">
        <v>143</v>
      </c>
      <c r="L139" t="s">
        <v>140</v>
      </c>
      <c r="M139">
        <v>2027.083069</v>
      </c>
      <c r="N139">
        <v>0</v>
      </c>
      <c r="O139" t="s">
        <v>103</v>
      </c>
      <c r="P139" s="56">
        <v>44334.10707554398</v>
      </c>
      <c r="Q139">
        <v>6360147</v>
      </c>
      <c r="R139" t="s">
        <v>98</v>
      </c>
      <c r="S139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108</v>
      </c>
      <c r="AD139" s="56">
        <v>42552</v>
      </c>
    </row>
    <row r="140" spans="1:30" x14ac:dyDescent="0.3">
      <c r="A140">
        <v>496176</v>
      </c>
      <c r="B140" t="s">
        <v>170</v>
      </c>
      <c r="C140">
        <v>2016</v>
      </c>
      <c r="D140">
        <v>10</v>
      </c>
      <c r="E140" t="s">
        <v>109</v>
      </c>
      <c r="F140" t="s">
        <v>108</v>
      </c>
      <c r="G140" t="s">
        <v>108</v>
      </c>
      <c r="H140" t="s">
        <v>25</v>
      </c>
      <c r="I140" t="s">
        <v>25</v>
      </c>
      <c r="J140" t="s">
        <v>138</v>
      </c>
      <c r="K140" t="s">
        <v>110</v>
      </c>
      <c r="L140" t="s">
        <v>140</v>
      </c>
      <c r="M140">
        <v>1382.4463402700001</v>
      </c>
      <c r="N140">
        <v>0</v>
      </c>
      <c r="O140" t="s">
        <v>103</v>
      </c>
      <c r="P140" s="56">
        <v>44330.098263807871</v>
      </c>
      <c r="Q140">
        <v>4615582</v>
      </c>
      <c r="R140" t="s">
        <v>98</v>
      </c>
      <c r="S140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108</v>
      </c>
      <c r="AD140" s="56">
        <v>42644</v>
      </c>
    </row>
    <row r="141" spans="1:30" x14ac:dyDescent="0.3">
      <c r="A141">
        <v>505317</v>
      </c>
      <c r="B141" t="s">
        <v>167</v>
      </c>
      <c r="C141">
        <v>2016</v>
      </c>
      <c r="D141">
        <v>11</v>
      </c>
      <c r="E141" t="s">
        <v>113</v>
      </c>
      <c r="F141" t="s">
        <v>108</v>
      </c>
      <c r="G141" t="s">
        <v>108</v>
      </c>
      <c r="H141" t="s">
        <v>25</v>
      </c>
      <c r="I141" t="s">
        <v>25</v>
      </c>
      <c r="J141" t="s">
        <v>138</v>
      </c>
      <c r="K141" t="s">
        <v>114</v>
      </c>
      <c r="L141" t="s">
        <v>140</v>
      </c>
      <c r="M141">
        <v>4.6410682200000002</v>
      </c>
      <c r="N141">
        <v>0</v>
      </c>
      <c r="O141" t="s">
        <v>103</v>
      </c>
      <c r="P141" s="56">
        <v>44330.099023842587</v>
      </c>
      <c r="Q141">
        <v>4677140</v>
      </c>
      <c r="R141" t="s">
        <v>98</v>
      </c>
      <c r="S141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108</v>
      </c>
      <c r="AD141" s="56">
        <v>42675</v>
      </c>
    </row>
    <row r="142" spans="1:30" x14ac:dyDescent="0.3">
      <c r="A142">
        <v>672488</v>
      </c>
      <c r="B142" t="s">
        <v>171</v>
      </c>
      <c r="C142">
        <v>2016</v>
      </c>
      <c r="D142">
        <v>5</v>
      </c>
      <c r="E142" t="s">
        <v>63</v>
      </c>
      <c r="F142" t="s">
        <v>108</v>
      </c>
      <c r="G142" t="s">
        <v>108</v>
      </c>
      <c r="H142" t="s">
        <v>25</v>
      </c>
      <c r="I142" t="s">
        <v>25</v>
      </c>
      <c r="J142" t="s">
        <v>138</v>
      </c>
      <c r="K142" t="s">
        <v>143</v>
      </c>
      <c r="L142" t="s">
        <v>140</v>
      </c>
      <c r="M142">
        <v>2057.3166490100002</v>
      </c>
      <c r="N142">
        <v>0</v>
      </c>
      <c r="O142" t="s">
        <v>103</v>
      </c>
      <c r="P142" s="56">
        <v>44334.070165358797</v>
      </c>
      <c r="Q142">
        <v>5939587</v>
      </c>
      <c r="R142" t="s">
        <v>98</v>
      </c>
      <c r="S142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108</v>
      </c>
      <c r="AD142" s="56">
        <v>42491</v>
      </c>
    </row>
    <row r="143" spans="1:30" x14ac:dyDescent="0.3">
      <c r="A143">
        <v>723860</v>
      </c>
      <c r="B143" t="s">
        <v>173</v>
      </c>
      <c r="C143">
        <v>2016</v>
      </c>
      <c r="D143">
        <v>6</v>
      </c>
      <c r="E143" t="s">
        <v>111</v>
      </c>
      <c r="F143" t="s">
        <v>108</v>
      </c>
      <c r="G143" t="s">
        <v>108</v>
      </c>
      <c r="H143" t="s">
        <v>25</v>
      </c>
      <c r="I143" t="s">
        <v>25</v>
      </c>
      <c r="J143" t="s">
        <v>138</v>
      </c>
      <c r="K143" t="s">
        <v>141</v>
      </c>
      <c r="L143" t="s">
        <v>140</v>
      </c>
      <c r="M143">
        <v>1074.09600742</v>
      </c>
      <c r="N143">
        <v>0</v>
      </c>
      <c r="O143" t="s">
        <v>103</v>
      </c>
      <c r="P143" s="56">
        <v>44334.10644262733</v>
      </c>
      <c r="Q143">
        <v>6309599</v>
      </c>
      <c r="R143" t="s">
        <v>98</v>
      </c>
      <c r="S143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108</v>
      </c>
      <c r="AD143" s="56">
        <v>42522</v>
      </c>
    </row>
    <row r="144" spans="1:30" x14ac:dyDescent="0.3">
      <c r="A144">
        <v>723842</v>
      </c>
      <c r="B144" t="s">
        <v>173</v>
      </c>
      <c r="C144">
        <v>2016</v>
      </c>
      <c r="D144">
        <v>6</v>
      </c>
      <c r="E144" t="s">
        <v>109</v>
      </c>
      <c r="F144" t="s">
        <v>108</v>
      </c>
      <c r="G144" t="s">
        <v>108</v>
      </c>
      <c r="H144" t="s">
        <v>25</v>
      </c>
      <c r="I144" t="s">
        <v>25</v>
      </c>
      <c r="J144" t="s">
        <v>138</v>
      </c>
      <c r="K144" t="s">
        <v>139</v>
      </c>
      <c r="L144" t="s">
        <v>140</v>
      </c>
      <c r="M144">
        <v>3755.8750081799999</v>
      </c>
      <c r="N144">
        <v>0</v>
      </c>
      <c r="O144" t="s">
        <v>103</v>
      </c>
      <c r="P144" s="56">
        <v>44334.106442164353</v>
      </c>
      <c r="Q144">
        <v>6309563</v>
      </c>
      <c r="R144" t="s">
        <v>98</v>
      </c>
      <c r="S14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108</v>
      </c>
      <c r="AD144" s="56">
        <v>42522</v>
      </c>
    </row>
    <row r="145" spans="1:30" x14ac:dyDescent="0.3">
      <c r="A145">
        <v>496194</v>
      </c>
      <c r="B145" t="s">
        <v>170</v>
      </c>
      <c r="C145">
        <v>2016</v>
      </c>
      <c r="D145">
        <v>10</v>
      </c>
      <c r="E145" t="s">
        <v>111</v>
      </c>
      <c r="F145" t="s">
        <v>108</v>
      </c>
      <c r="G145" t="s">
        <v>108</v>
      </c>
      <c r="H145" t="s">
        <v>25</v>
      </c>
      <c r="I145" t="s">
        <v>25</v>
      </c>
      <c r="J145" t="s">
        <v>138</v>
      </c>
      <c r="K145" t="s">
        <v>112</v>
      </c>
      <c r="L145" t="s">
        <v>140</v>
      </c>
      <c r="M145">
        <v>420.24133938</v>
      </c>
      <c r="N145">
        <v>0</v>
      </c>
      <c r="O145" t="s">
        <v>103</v>
      </c>
      <c r="P145" s="56">
        <v>44330.098264351851</v>
      </c>
      <c r="Q145">
        <v>4615618</v>
      </c>
      <c r="R145" t="s">
        <v>98</v>
      </c>
      <c r="S145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108</v>
      </c>
      <c r="AD145" s="56">
        <v>42644</v>
      </c>
    </row>
    <row r="146" spans="1:30" x14ac:dyDescent="0.3">
      <c r="A146">
        <v>723878</v>
      </c>
      <c r="B146" t="s">
        <v>173</v>
      </c>
      <c r="C146">
        <v>2016</v>
      </c>
      <c r="D146">
        <v>6</v>
      </c>
      <c r="E146" t="s">
        <v>63</v>
      </c>
      <c r="F146" t="s">
        <v>108</v>
      </c>
      <c r="G146" t="s">
        <v>108</v>
      </c>
      <c r="H146" t="s">
        <v>25</v>
      </c>
      <c r="I146" t="s">
        <v>25</v>
      </c>
      <c r="J146" t="s">
        <v>138</v>
      </c>
      <c r="K146" t="s">
        <v>143</v>
      </c>
      <c r="L146" t="s">
        <v>140</v>
      </c>
      <c r="M146">
        <v>1810.25289694</v>
      </c>
      <c r="N146">
        <v>0</v>
      </c>
      <c r="O146" t="s">
        <v>103</v>
      </c>
      <c r="P146" s="56">
        <v>44334.106443090277</v>
      </c>
      <c r="Q146">
        <v>6309635</v>
      </c>
      <c r="R146" t="s">
        <v>98</v>
      </c>
      <c r="S146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108</v>
      </c>
      <c r="AD146" s="56">
        <v>42522</v>
      </c>
    </row>
    <row r="147" spans="1:30" x14ac:dyDescent="0.3">
      <c r="A147">
        <v>730772</v>
      </c>
      <c r="B147" t="s">
        <v>172</v>
      </c>
      <c r="C147">
        <v>2016</v>
      </c>
      <c r="D147">
        <v>7</v>
      </c>
      <c r="E147" t="s">
        <v>109</v>
      </c>
      <c r="F147" t="s">
        <v>108</v>
      </c>
      <c r="G147" t="s">
        <v>108</v>
      </c>
      <c r="H147" t="s">
        <v>25</v>
      </c>
      <c r="I147" t="s">
        <v>25</v>
      </c>
      <c r="J147" t="s">
        <v>138</v>
      </c>
      <c r="K147" t="s">
        <v>139</v>
      </c>
      <c r="L147" t="s">
        <v>140</v>
      </c>
      <c r="M147">
        <v>3778.6930292400002</v>
      </c>
      <c r="N147">
        <v>0</v>
      </c>
      <c r="O147" t="s">
        <v>103</v>
      </c>
      <c r="P147" s="56">
        <v>44334.107074571759</v>
      </c>
      <c r="Q147">
        <v>6360075</v>
      </c>
      <c r="R147" t="s">
        <v>98</v>
      </c>
      <c r="S147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108</v>
      </c>
      <c r="AD147" s="56">
        <v>42552</v>
      </c>
    </row>
    <row r="148" spans="1:30" x14ac:dyDescent="0.3">
      <c r="A148">
        <v>730790</v>
      </c>
      <c r="B148" t="s">
        <v>172</v>
      </c>
      <c r="C148">
        <v>2016</v>
      </c>
      <c r="D148">
        <v>7</v>
      </c>
      <c r="E148" t="s">
        <v>111</v>
      </c>
      <c r="F148" t="s">
        <v>108</v>
      </c>
      <c r="G148" t="s">
        <v>108</v>
      </c>
      <c r="H148" t="s">
        <v>25</v>
      </c>
      <c r="I148" t="s">
        <v>25</v>
      </c>
      <c r="J148" t="s">
        <v>138</v>
      </c>
      <c r="K148" t="s">
        <v>141</v>
      </c>
      <c r="L148" t="s">
        <v>140</v>
      </c>
      <c r="M148">
        <v>1169.0560399599999</v>
      </c>
      <c r="N148">
        <v>0</v>
      </c>
      <c r="O148" t="s">
        <v>103</v>
      </c>
      <c r="P148" s="56">
        <v>44334.107075081018</v>
      </c>
      <c r="Q148">
        <v>6360111</v>
      </c>
      <c r="R148" t="s">
        <v>98</v>
      </c>
      <c r="S148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108</v>
      </c>
      <c r="AD148" s="56">
        <v>42552</v>
      </c>
    </row>
    <row r="149" spans="1:30" x14ac:dyDescent="0.3">
      <c r="A149">
        <v>580771</v>
      </c>
      <c r="B149" t="s">
        <v>174</v>
      </c>
      <c r="C149">
        <v>2017</v>
      </c>
      <c r="D149">
        <v>8</v>
      </c>
      <c r="E149" t="s">
        <v>109</v>
      </c>
      <c r="F149" t="s">
        <v>108</v>
      </c>
      <c r="G149" t="s">
        <v>108</v>
      </c>
      <c r="H149" t="s">
        <v>25</v>
      </c>
      <c r="I149" t="s">
        <v>25</v>
      </c>
      <c r="J149" t="s">
        <v>138</v>
      </c>
      <c r="K149" t="s">
        <v>110</v>
      </c>
      <c r="L149" t="s">
        <v>140</v>
      </c>
      <c r="M149">
        <v>1825.75210223</v>
      </c>
      <c r="N149">
        <v>0</v>
      </c>
      <c r="O149" t="s">
        <v>103</v>
      </c>
      <c r="P149" s="56">
        <v>44330.106720752323</v>
      </c>
      <c r="Q149">
        <v>5313253</v>
      </c>
      <c r="R149" t="s">
        <v>98</v>
      </c>
      <c r="S149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108</v>
      </c>
      <c r="AD149" s="56">
        <v>42948</v>
      </c>
    </row>
    <row r="150" spans="1:30" x14ac:dyDescent="0.3">
      <c r="A150">
        <v>580793</v>
      </c>
      <c r="B150" t="s">
        <v>174</v>
      </c>
      <c r="C150">
        <v>2017</v>
      </c>
      <c r="D150">
        <v>8</v>
      </c>
      <c r="E150" t="s">
        <v>111</v>
      </c>
      <c r="F150" t="s">
        <v>108</v>
      </c>
      <c r="G150" t="s">
        <v>108</v>
      </c>
      <c r="H150" t="s">
        <v>25</v>
      </c>
      <c r="I150" t="s">
        <v>25</v>
      </c>
      <c r="J150" t="s">
        <v>138</v>
      </c>
      <c r="K150" t="s">
        <v>112</v>
      </c>
      <c r="L150" t="s">
        <v>140</v>
      </c>
      <c r="M150">
        <v>317.95009379999999</v>
      </c>
      <c r="N150">
        <v>0</v>
      </c>
      <c r="O150" t="s">
        <v>103</v>
      </c>
      <c r="P150" s="56">
        <v>44330.106721331023</v>
      </c>
      <c r="Q150">
        <v>5313297</v>
      </c>
      <c r="R150" t="s">
        <v>98</v>
      </c>
      <c r="S150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108</v>
      </c>
      <c r="AD150" s="56">
        <v>42948</v>
      </c>
    </row>
    <row r="151" spans="1:30" x14ac:dyDescent="0.3">
      <c r="A151">
        <v>580815</v>
      </c>
      <c r="B151" t="s">
        <v>174</v>
      </c>
      <c r="C151">
        <v>2017</v>
      </c>
      <c r="D151">
        <v>8</v>
      </c>
      <c r="E151" t="s">
        <v>113</v>
      </c>
      <c r="F151" t="s">
        <v>108</v>
      </c>
      <c r="G151" t="s">
        <v>108</v>
      </c>
      <c r="H151" t="s">
        <v>25</v>
      </c>
      <c r="I151" t="s">
        <v>25</v>
      </c>
      <c r="J151" t="s">
        <v>138</v>
      </c>
      <c r="K151" t="s">
        <v>114</v>
      </c>
      <c r="L151" t="s">
        <v>140</v>
      </c>
      <c r="M151">
        <v>1252.6346749899999</v>
      </c>
      <c r="N151">
        <v>0</v>
      </c>
      <c r="O151" t="s">
        <v>103</v>
      </c>
      <c r="P151" s="56">
        <v>44330.106721909717</v>
      </c>
      <c r="Q151">
        <v>5313341</v>
      </c>
      <c r="R151" t="s">
        <v>98</v>
      </c>
      <c r="S151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108</v>
      </c>
      <c r="AD151" s="56">
        <v>42948</v>
      </c>
    </row>
    <row r="152" spans="1:30" x14ac:dyDescent="0.3">
      <c r="A152">
        <v>456438</v>
      </c>
      <c r="B152" t="s">
        <v>175</v>
      </c>
      <c r="C152">
        <v>2017</v>
      </c>
      <c r="D152">
        <v>12</v>
      </c>
      <c r="E152" t="s">
        <v>111</v>
      </c>
      <c r="F152" t="s">
        <v>108</v>
      </c>
      <c r="G152" t="s">
        <v>108</v>
      </c>
      <c r="H152" t="s">
        <v>25</v>
      </c>
      <c r="I152" t="s">
        <v>25</v>
      </c>
      <c r="J152" t="s">
        <v>138</v>
      </c>
      <c r="K152" t="s">
        <v>112</v>
      </c>
      <c r="L152" t="s">
        <v>140</v>
      </c>
      <c r="M152">
        <v>326.92489831</v>
      </c>
      <c r="N152">
        <v>0</v>
      </c>
      <c r="O152" t="s">
        <v>103</v>
      </c>
      <c r="P152" s="56">
        <v>44284.5268440625</v>
      </c>
      <c r="Q152">
        <v>4320961</v>
      </c>
      <c r="R152" t="s">
        <v>98</v>
      </c>
      <c r="S152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108</v>
      </c>
      <c r="AD152" s="56">
        <v>43070</v>
      </c>
    </row>
    <row r="153" spans="1:30" x14ac:dyDescent="0.3">
      <c r="A153">
        <v>456416</v>
      </c>
      <c r="B153" t="s">
        <v>175</v>
      </c>
      <c r="C153">
        <v>2017</v>
      </c>
      <c r="D153">
        <v>12</v>
      </c>
      <c r="E153" t="s">
        <v>109</v>
      </c>
      <c r="F153" t="s">
        <v>108</v>
      </c>
      <c r="G153" t="s">
        <v>108</v>
      </c>
      <c r="H153" t="s">
        <v>25</v>
      </c>
      <c r="I153" t="s">
        <v>25</v>
      </c>
      <c r="J153" t="s">
        <v>138</v>
      </c>
      <c r="K153" t="s">
        <v>110</v>
      </c>
      <c r="L153" t="s">
        <v>140</v>
      </c>
      <c r="M153">
        <v>1221.88235865</v>
      </c>
      <c r="N153">
        <v>0</v>
      </c>
      <c r="O153" t="s">
        <v>103</v>
      </c>
      <c r="P153" s="56">
        <v>44284.526843402768</v>
      </c>
      <c r="Q153">
        <v>4320917</v>
      </c>
      <c r="R153" t="s">
        <v>98</v>
      </c>
      <c r="S153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108</v>
      </c>
      <c r="AD153" s="56">
        <v>43070</v>
      </c>
    </row>
    <row r="154" spans="1:30" x14ac:dyDescent="0.3">
      <c r="A154">
        <v>456460</v>
      </c>
      <c r="B154" t="s">
        <v>175</v>
      </c>
      <c r="C154">
        <v>2017</v>
      </c>
      <c r="D154">
        <v>12</v>
      </c>
      <c r="E154" t="s">
        <v>113</v>
      </c>
      <c r="F154" t="s">
        <v>108</v>
      </c>
      <c r="G154" t="s">
        <v>108</v>
      </c>
      <c r="H154" t="s">
        <v>25</v>
      </c>
      <c r="I154" t="s">
        <v>25</v>
      </c>
      <c r="J154" t="s">
        <v>138</v>
      </c>
      <c r="K154" t="s">
        <v>114</v>
      </c>
      <c r="L154" t="s">
        <v>140</v>
      </c>
      <c r="M154">
        <v>577.39533010000002</v>
      </c>
      <c r="N154">
        <v>0</v>
      </c>
      <c r="O154" t="s">
        <v>103</v>
      </c>
      <c r="P154" s="56">
        <v>44284.52684471065</v>
      </c>
      <c r="Q154">
        <v>4321005</v>
      </c>
      <c r="R154" t="s">
        <v>98</v>
      </c>
      <c r="S15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108</v>
      </c>
      <c r="AD154" s="56">
        <v>43070</v>
      </c>
    </row>
    <row r="155" spans="1:30" x14ac:dyDescent="0.3">
      <c r="A155">
        <v>86397</v>
      </c>
      <c r="B155" t="s">
        <v>163</v>
      </c>
      <c r="C155">
        <v>2018</v>
      </c>
      <c r="D155">
        <v>6</v>
      </c>
      <c r="E155" t="s">
        <v>113</v>
      </c>
      <c r="F155" t="s">
        <v>108</v>
      </c>
      <c r="G155" t="s">
        <v>108</v>
      </c>
      <c r="H155" t="s">
        <v>25</v>
      </c>
      <c r="I155" t="s">
        <v>25</v>
      </c>
      <c r="J155" t="s">
        <v>138</v>
      </c>
      <c r="K155" t="s">
        <v>114</v>
      </c>
      <c r="L155" t="s">
        <v>140</v>
      </c>
      <c r="M155">
        <v>915.94283647999998</v>
      </c>
      <c r="N155">
        <v>0</v>
      </c>
      <c r="O155" t="s">
        <v>103</v>
      </c>
      <c r="P155" s="56">
        <v>44269.847218599527</v>
      </c>
      <c r="Q155">
        <v>783297</v>
      </c>
      <c r="R155" t="s">
        <v>106</v>
      </c>
      <c r="S155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108</v>
      </c>
      <c r="AD155" s="56">
        <v>43252</v>
      </c>
    </row>
    <row r="156" spans="1:30" x14ac:dyDescent="0.3">
      <c r="A156">
        <v>86373</v>
      </c>
      <c r="B156" t="s">
        <v>163</v>
      </c>
      <c r="C156">
        <v>2018</v>
      </c>
      <c r="D156">
        <v>6</v>
      </c>
      <c r="E156" t="s">
        <v>111</v>
      </c>
      <c r="F156" t="s">
        <v>108</v>
      </c>
      <c r="G156" t="s">
        <v>108</v>
      </c>
      <c r="H156" t="s">
        <v>25</v>
      </c>
      <c r="I156" t="s">
        <v>25</v>
      </c>
      <c r="J156" t="s">
        <v>138</v>
      </c>
      <c r="K156" t="s">
        <v>112</v>
      </c>
      <c r="L156" t="s">
        <v>140</v>
      </c>
      <c r="M156">
        <v>349.81857975999998</v>
      </c>
      <c r="N156">
        <v>0</v>
      </c>
      <c r="O156" t="s">
        <v>103</v>
      </c>
      <c r="P156" s="56">
        <v>44269.847217708331</v>
      </c>
      <c r="Q156">
        <v>783249</v>
      </c>
      <c r="R156" t="s">
        <v>106</v>
      </c>
      <c r="S156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108</v>
      </c>
      <c r="AD156" s="56">
        <v>43252</v>
      </c>
    </row>
    <row r="157" spans="1:30" x14ac:dyDescent="0.3">
      <c r="A157">
        <v>86349</v>
      </c>
      <c r="B157" t="s">
        <v>163</v>
      </c>
      <c r="C157">
        <v>2018</v>
      </c>
      <c r="D157">
        <v>6</v>
      </c>
      <c r="E157" t="s">
        <v>109</v>
      </c>
      <c r="F157" t="s">
        <v>108</v>
      </c>
      <c r="G157" t="s">
        <v>108</v>
      </c>
      <c r="H157" t="s">
        <v>25</v>
      </c>
      <c r="I157" t="s">
        <v>25</v>
      </c>
      <c r="J157" t="s">
        <v>138</v>
      </c>
      <c r="K157" t="s">
        <v>110</v>
      </c>
      <c r="L157" t="s">
        <v>140</v>
      </c>
      <c r="M157">
        <v>1943.0653741900001</v>
      </c>
      <c r="N157">
        <v>0</v>
      </c>
      <c r="O157" t="s">
        <v>103</v>
      </c>
      <c r="P157" s="56">
        <v>44269.847216898153</v>
      </c>
      <c r="Q157">
        <v>783201</v>
      </c>
      <c r="R157" t="s">
        <v>106</v>
      </c>
      <c r="S157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108</v>
      </c>
      <c r="AD157" s="56">
        <v>43252</v>
      </c>
    </row>
    <row r="158" spans="1:30" x14ac:dyDescent="0.3">
      <c r="A158">
        <v>100242</v>
      </c>
      <c r="B158" t="s">
        <v>176</v>
      </c>
      <c r="C158">
        <v>2018</v>
      </c>
      <c r="D158">
        <v>7</v>
      </c>
      <c r="E158" t="s">
        <v>113</v>
      </c>
      <c r="F158" t="s">
        <v>108</v>
      </c>
      <c r="G158" t="s">
        <v>108</v>
      </c>
      <c r="H158" t="s">
        <v>25</v>
      </c>
      <c r="I158" t="s">
        <v>25</v>
      </c>
      <c r="J158" t="s">
        <v>138</v>
      </c>
      <c r="K158" t="s">
        <v>114</v>
      </c>
      <c r="L158" t="s">
        <v>140</v>
      </c>
      <c r="M158">
        <v>953.47078386999999</v>
      </c>
      <c r="N158">
        <v>0</v>
      </c>
      <c r="O158" t="s">
        <v>104</v>
      </c>
      <c r="P158" s="56">
        <v>44269.848710416663</v>
      </c>
      <c r="Q158">
        <v>913753</v>
      </c>
      <c r="R158" t="s">
        <v>105</v>
      </c>
      <c r="S158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108</v>
      </c>
      <c r="AD158" s="56">
        <v>43282</v>
      </c>
    </row>
    <row r="159" spans="1:30" x14ac:dyDescent="0.3">
      <c r="A159">
        <v>100218</v>
      </c>
      <c r="B159" t="s">
        <v>176</v>
      </c>
      <c r="C159">
        <v>2018</v>
      </c>
      <c r="D159">
        <v>7</v>
      </c>
      <c r="E159" t="s">
        <v>111</v>
      </c>
      <c r="F159" t="s">
        <v>108</v>
      </c>
      <c r="G159" t="s">
        <v>108</v>
      </c>
      <c r="H159" t="s">
        <v>25</v>
      </c>
      <c r="I159" t="s">
        <v>25</v>
      </c>
      <c r="J159" t="s">
        <v>138</v>
      </c>
      <c r="K159" t="s">
        <v>112</v>
      </c>
      <c r="L159" t="s">
        <v>140</v>
      </c>
      <c r="M159">
        <v>347.46938798999997</v>
      </c>
      <c r="N159">
        <v>0</v>
      </c>
      <c r="O159" t="s">
        <v>104</v>
      </c>
      <c r="P159" s="56">
        <v>44269.848709224527</v>
      </c>
      <c r="Q159">
        <v>913633</v>
      </c>
      <c r="R159" t="s">
        <v>105</v>
      </c>
      <c r="S159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108</v>
      </c>
      <c r="AD159" s="56">
        <v>43282</v>
      </c>
    </row>
    <row r="160" spans="1:30" x14ac:dyDescent="0.3">
      <c r="A160">
        <v>100194</v>
      </c>
      <c r="B160" t="s">
        <v>176</v>
      </c>
      <c r="C160">
        <v>2018</v>
      </c>
      <c r="D160">
        <v>7</v>
      </c>
      <c r="E160" t="s">
        <v>109</v>
      </c>
      <c r="F160" t="s">
        <v>108</v>
      </c>
      <c r="G160" t="s">
        <v>108</v>
      </c>
      <c r="H160" t="s">
        <v>25</v>
      </c>
      <c r="I160" t="s">
        <v>25</v>
      </c>
      <c r="J160" t="s">
        <v>138</v>
      </c>
      <c r="K160" t="s">
        <v>110</v>
      </c>
      <c r="L160" t="s">
        <v>140</v>
      </c>
      <c r="M160">
        <v>1870.62563673</v>
      </c>
      <c r="N160">
        <v>0</v>
      </c>
      <c r="O160" t="s">
        <v>104</v>
      </c>
      <c r="P160" s="56">
        <v>44269.848707986108</v>
      </c>
      <c r="Q160">
        <v>913513</v>
      </c>
      <c r="R160" t="s">
        <v>105</v>
      </c>
      <c r="S160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108</v>
      </c>
      <c r="AD160" s="56">
        <v>43282</v>
      </c>
    </row>
    <row r="161" spans="1:30" x14ac:dyDescent="0.3">
      <c r="A161">
        <v>130342</v>
      </c>
      <c r="B161" t="s">
        <v>151</v>
      </c>
      <c r="C161">
        <v>2018</v>
      </c>
      <c r="D161">
        <v>10</v>
      </c>
      <c r="E161" t="s">
        <v>113</v>
      </c>
      <c r="F161" t="s">
        <v>108</v>
      </c>
      <c r="G161" t="s">
        <v>108</v>
      </c>
      <c r="H161" t="s">
        <v>25</v>
      </c>
      <c r="I161" t="s">
        <v>25</v>
      </c>
      <c r="J161" t="s">
        <v>138</v>
      </c>
      <c r="K161" t="s">
        <v>114</v>
      </c>
      <c r="L161" t="s">
        <v>140</v>
      </c>
      <c r="M161">
        <v>879.43208655000001</v>
      </c>
      <c r="N161">
        <v>0</v>
      </c>
      <c r="O161" t="s">
        <v>104</v>
      </c>
      <c r="P161" s="56">
        <v>44269.852574803241</v>
      </c>
      <c r="Q161">
        <v>1193221</v>
      </c>
      <c r="R161" t="s">
        <v>115</v>
      </c>
      <c r="S161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108</v>
      </c>
      <c r="AD161" s="56">
        <v>43374</v>
      </c>
    </row>
    <row r="162" spans="1:30" x14ac:dyDescent="0.3">
      <c r="A162">
        <v>130318</v>
      </c>
      <c r="B162" t="s">
        <v>151</v>
      </c>
      <c r="C162">
        <v>2018</v>
      </c>
      <c r="D162">
        <v>10</v>
      </c>
      <c r="E162" t="s">
        <v>111</v>
      </c>
      <c r="F162" t="s">
        <v>108</v>
      </c>
      <c r="G162" t="s">
        <v>108</v>
      </c>
      <c r="H162" t="s">
        <v>25</v>
      </c>
      <c r="I162" t="s">
        <v>25</v>
      </c>
      <c r="J162" t="s">
        <v>138</v>
      </c>
      <c r="K162" t="s">
        <v>112</v>
      </c>
      <c r="L162" t="s">
        <v>140</v>
      </c>
      <c r="M162">
        <v>333.40243543999998</v>
      </c>
      <c r="N162">
        <v>0</v>
      </c>
      <c r="O162" t="s">
        <v>104</v>
      </c>
      <c r="P162" s="56">
        <v>44269.852573611111</v>
      </c>
      <c r="Q162">
        <v>1193101</v>
      </c>
      <c r="R162" t="s">
        <v>115</v>
      </c>
      <c r="S162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108</v>
      </c>
      <c r="AD162" s="56">
        <v>43374</v>
      </c>
    </row>
    <row r="163" spans="1:30" x14ac:dyDescent="0.3">
      <c r="A163">
        <v>144880</v>
      </c>
      <c r="B163" t="s">
        <v>152</v>
      </c>
      <c r="C163">
        <v>2018</v>
      </c>
      <c r="D163">
        <v>11</v>
      </c>
      <c r="E163" t="s">
        <v>113</v>
      </c>
      <c r="F163" t="s">
        <v>108</v>
      </c>
      <c r="G163" t="s">
        <v>108</v>
      </c>
      <c r="H163" t="s">
        <v>25</v>
      </c>
      <c r="I163" t="s">
        <v>25</v>
      </c>
      <c r="J163" t="s">
        <v>138</v>
      </c>
      <c r="K163" t="s">
        <v>114</v>
      </c>
      <c r="L163" t="s">
        <v>140</v>
      </c>
      <c r="M163">
        <v>1036.3887642100001</v>
      </c>
      <c r="N163">
        <v>0</v>
      </c>
      <c r="O163" t="s">
        <v>104</v>
      </c>
      <c r="P163" s="56">
        <v>44269.854264965281</v>
      </c>
      <c r="Q163">
        <v>1337181</v>
      </c>
      <c r="R163" t="s">
        <v>115</v>
      </c>
      <c r="S163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108</v>
      </c>
      <c r="AD163" s="56">
        <v>43405</v>
      </c>
    </row>
    <row r="164" spans="1:30" x14ac:dyDescent="0.3">
      <c r="A164">
        <v>144832</v>
      </c>
      <c r="B164" t="s">
        <v>152</v>
      </c>
      <c r="C164">
        <v>2018</v>
      </c>
      <c r="D164">
        <v>11</v>
      </c>
      <c r="E164" t="s">
        <v>109</v>
      </c>
      <c r="F164" t="s">
        <v>108</v>
      </c>
      <c r="G164" t="s">
        <v>108</v>
      </c>
      <c r="H164" t="s">
        <v>25</v>
      </c>
      <c r="I164" t="s">
        <v>25</v>
      </c>
      <c r="J164" t="s">
        <v>138</v>
      </c>
      <c r="K164" t="s">
        <v>110</v>
      </c>
      <c r="L164" t="s">
        <v>140</v>
      </c>
      <c r="M164">
        <v>1939.5207746900001</v>
      </c>
      <c r="N164">
        <v>0</v>
      </c>
      <c r="O164" t="s">
        <v>104</v>
      </c>
      <c r="P164" s="56">
        <v>44269.854262534733</v>
      </c>
      <c r="Q164">
        <v>1336941</v>
      </c>
      <c r="R164" t="s">
        <v>115</v>
      </c>
      <c r="S16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108</v>
      </c>
      <c r="AD164" s="56">
        <v>43405</v>
      </c>
    </row>
    <row r="165" spans="1:30" x14ac:dyDescent="0.3">
      <c r="A165">
        <v>119638</v>
      </c>
      <c r="B165" t="s">
        <v>150</v>
      </c>
      <c r="C165">
        <v>2018</v>
      </c>
      <c r="D165">
        <v>9</v>
      </c>
      <c r="E165" t="s">
        <v>111</v>
      </c>
      <c r="F165" t="s">
        <v>108</v>
      </c>
      <c r="G165" t="s">
        <v>108</v>
      </c>
      <c r="H165" t="s">
        <v>25</v>
      </c>
      <c r="I165" t="s">
        <v>25</v>
      </c>
      <c r="J165" t="s">
        <v>138</v>
      </c>
      <c r="K165" t="s">
        <v>112</v>
      </c>
      <c r="L165" t="s">
        <v>140</v>
      </c>
      <c r="M165">
        <v>316.65874517999998</v>
      </c>
      <c r="N165">
        <v>0</v>
      </c>
      <c r="O165" t="s">
        <v>104</v>
      </c>
      <c r="P165" s="56">
        <v>44269.85110659722</v>
      </c>
      <c r="Q165">
        <v>1081729</v>
      </c>
      <c r="R165" t="s">
        <v>115</v>
      </c>
      <c r="S165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108</v>
      </c>
      <c r="AD165" s="56">
        <v>43344</v>
      </c>
    </row>
    <row r="166" spans="1:30" x14ac:dyDescent="0.3">
      <c r="A166">
        <v>130294</v>
      </c>
      <c r="B166" t="s">
        <v>151</v>
      </c>
      <c r="C166">
        <v>2018</v>
      </c>
      <c r="D166">
        <v>10</v>
      </c>
      <c r="E166" t="s">
        <v>109</v>
      </c>
      <c r="F166" t="s">
        <v>108</v>
      </c>
      <c r="G166" t="s">
        <v>108</v>
      </c>
      <c r="H166" t="s">
        <v>25</v>
      </c>
      <c r="I166" t="s">
        <v>25</v>
      </c>
      <c r="J166" t="s">
        <v>138</v>
      </c>
      <c r="K166" t="s">
        <v>110</v>
      </c>
      <c r="L166" t="s">
        <v>140</v>
      </c>
      <c r="M166">
        <v>1428.8615156599999</v>
      </c>
      <c r="N166">
        <v>0</v>
      </c>
      <c r="O166" t="s">
        <v>104</v>
      </c>
      <c r="P166" s="56">
        <v>44269.8525723727</v>
      </c>
      <c r="Q166">
        <v>1192981</v>
      </c>
      <c r="R166" t="s">
        <v>115</v>
      </c>
      <c r="S166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108</v>
      </c>
      <c r="AD166" s="56">
        <v>43374</v>
      </c>
    </row>
    <row r="167" spans="1:30" x14ac:dyDescent="0.3">
      <c r="A167">
        <v>443833</v>
      </c>
      <c r="B167" t="s">
        <v>153</v>
      </c>
      <c r="C167">
        <v>2018</v>
      </c>
      <c r="D167">
        <v>12</v>
      </c>
      <c r="E167" t="s">
        <v>113</v>
      </c>
      <c r="F167" t="s">
        <v>108</v>
      </c>
      <c r="G167" t="s">
        <v>108</v>
      </c>
      <c r="H167" t="s">
        <v>25</v>
      </c>
      <c r="I167" t="s">
        <v>25</v>
      </c>
      <c r="J167" t="s">
        <v>138</v>
      </c>
      <c r="K167" t="s">
        <v>114</v>
      </c>
      <c r="L167" t="s">
        <v>140</v>
      </c>
      <c r="M167">
        <v>1153.4816149200001</v>
      </c>
      <c r="N167">
        <v>0</v>
      </c>
      <c r="O167" t="s">
        <v>104</v>
      </c>
      <c r="P167" s="56">
        <v>44284.51458221065</v>
      </c>
      <c r="Q167">
        <v>4215480</v>
      </c>
      <c r="R167" t="s">
        <v>115</v>
      </c>
      <c r="S167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108</v>
      </c>
      <c r="AD167" s="56">
        <v>43435</v>
      </c>
    </row>
    <row r="168" spans="1:30" x14ac:dyDescent="0.3">
      <c r="A168">
        <v>119614</v>
      </c>
      <c r="B168" t="s">
        <v>150</v>
      </c>
      <c r="C168">
        <v>2018</v>
      </c>
      <c r="D168">
        <v>9</v>
      </c>
      <c r="E168" t="s">
        <v>109</v>
      </c>
      <c r="F168" t="s">
        <v>108</v>
      </c>
      <c r="G168" t="s">
        <v>108</v>
      </c>
      <c r="H168" t="s">
        <v>25</v>
      </c>
      <c r="I168" t="s">
        <v>25</v>
      </c>
      <c r="J168" t="s">
        <v>138</v>
      </c>
      <c r="K168" t="s">
        <v>110</v>
      </c>
      <c r="L168" t="s">
        <v>140</v>
      </c>
      <c r="M168">
        <v>1439.52704135</v>
      </c>
      <c r="N168">
        <v>0</v>
      </c>
      <c r="O168" t="s">
        <v>104</v>
      </c>
      <c r="P168" s="56">
        <v>44269.851105011578</v>
      </c>
      <c r="Q168">
        <v>1081609</v>
      </c>
      <c r="R168" t="s">
        <v>115</v>
      </c>
      <c r="S168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108</v>
      </c>
      <c r="AD168" s="56">
        <v>43344</v>
      </c>
    </row>
    <row r="169" spans="1:30" x14ac:dyDescent="0.3">
      <c r="A169">
        <v>119662</v>
      </c>
      <c r="B169" t="s">
        <v>150</v>
      </c>
      <c r="C169">
        <v>2018</v>
      </c>
      <c r="D169">
        <v>9</v>
      </c>
      <c r="E169" t="s">
        <v>113</v>
      </c>
      <c r="F169" t="s">
        <v>108</v>
      </c>
      <c r="G169" t="s">
        <v>108</v>
      </c>
      <c r="H169" t="s">
        <v>25</v>
      </c>
      <c r="I169" t="s">
        <v>25</v>
      </c>
      <c r="J169" t="s">
        <v>138</v>
      </c>
      <c r="K169" t="s">
        <v>114</v>
      </c>
      <c r="L169" t="s">
        <v>140</v>
      </c>
      <c r="M169">
        <v>843.05591856000001</v>
      </c>
      <c r="N169">
        <v>0</v>
      </c>
      <c r="O169" t="s">
        <v>104</v>
      </c>
      <c r="P169" s="56">
        <v>44269.851107986113</v>
      </c>
      <c r="Q169">
        <v>1081849</v>
      </c>
      <c r="R169" t="s">
        <v>115</v>
      </c>
      <c r="S169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108</v>
      </c>
      <c r="AD169" s="56">
        <v>43344</v>
      </c>
    </row>
    <row r="170" spans="1:30" x14ac:dyDescent="0.3">
      <c r="A170">
        <v>443809</v>
      </c>
      <c r="B170" t="s">
        <v>153</v>
      </c>
      <c r="C170">
        <v>2018</v>
      </c>
      <c r="D170">
        <v>12</v>
      </c>
      <c r="E170" t="s">
        <v>111</v>
      </c>
      <c r="F170" t="s">
        <v>108</v>
      </c>
      <c r="G170" t="s">
        <v>108</v>
      </c>
      <c r="H170" t="s">
        <v>25</v>
      </c>
      <c r="I170" t="s">
        <v>25</v>
      </c>
      <c r="J170" t="s">
        <v>138</v>
      </c>
      <c r="K170" t="s">
        <v>112</v>
      </c>
      <c r="L170" t="s">
        <v>140</v>
      </c>
      <c r="M170">
        <v>824.95046656</v>
      </c>
      <c r="N170">
        <v>0</v>
      </c>
      <c r="O170" t="s">
        <v>104</v>
      </c>
      <c r="P170" s="56">
        <v>44284.514580937503</v>
      </c>
      <c r="Q170">
        <v>4215360</v>
      </c>
      <c r="R170" t="s">
        <v>115</v>
      </c>
      <c r="S170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108</v>
      </c>
      <c r="AD170" s="56">
        <v>43435</v>
      </c>
    </row>
    <row r="171" spans="1:30" x14ac:dyDescent="0.3">
      <c r="A171">
        <v>144856</v>
      </c>
      <c r="B171" t="s">
        <v>152</v>
      </c>
      <c r="C171">
        <v>2018</v>
      </c>
      <c r="D171">
        <v>11</v>
      </c>
      <c r="E171" t="s">
        <v>111</v>
      </c>
      <c r="F171" t="s">
        <v>108</v>
      </c>
      <c r="G171" t="s">
        <v>108</v>
      </c>
      <c r="H171" t="s">
        <v>25</v>
      </c>
      <c r="I171" t="s">
        <v>25</v>
      </c>
      <c r="J171" t="s">
        <v>138</v>
      </c>
      <c r="K171" t="s">
        <v>112</v>
      </c>
      <c r="L171" t="s">
        <v>140</v>
      </c>
      <c r="M171">
        <v>527.43779992999998</v>
      </c>
      <c r="N171">
        <v>0</v>
      </c>
      <c r="O171" t="s">
        <v>104</v>
      </c>
      <c r="P171" s="56">
        <v>44269.854263738423</v>
      </c>
      <c r="Q171">
        <v>1337061</v>
      </c>
      <c r="R171" t="s">
        <v>115</v>
      </c>
      <c r="S171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108</v>
      </c>
      <c r="AD171" s="56">
        <v>43405</v>
      </c>
    </row>
    <row r="172" spans="1:30" x14ac:dyDescent="0.3">
      <c r="A172">
        <v>443785</v>
      </c>
      <c r="B172" t="s">
        <v>153</v>
      </c>
      <c r="C172">
        <v>2018</v>
      </c>
      <c r="D172">
        <v>12</v>
      </c>
      <c r="E172" t="s">
        <v>109</v>
      </c>
      <c r="F172" t="s">
        <v>108</v>
      </c>
      <c r="G172" t="s">
        <v>108</v>
      </c>
      <c r="H172" t="s">
        <v>25</v>
      </c>
      <c r="I172" t="s">
        <v>25</v>
      </c>
      <c r="J172" t="s">
        <v>138</v>
      </c>
      <c r="K172" t="s">
        <v>110</v>
      </c>
      <c r="L172" t="s">
        <v>140</v>
      </c>
      <c r="M172">
        <v>3041.3129330199999</v>
      </c>
      <c r="N172">
        <v>0</v>
      </c>
      <c r="O172" t="s">
        <v>104</v>
      </c>
      <c r="P172" s="56">
        <v>44284.514579629627</v>
      </c>
      <c r="Q172">
        <v>4215240</v>
      </c>
      <c r="R172" t="s">
        <v>115</v>
      </c>
      <c r="S172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108</v>
      </c>
      <c r="AD172" s="56">
        <v>43435</v>
      </c>
    </row>
    <row r="173" spans="1:30" x14ac:dyDescent="0.3">
      <c r="A173">
        <v>113076</v>
      </c>
      <c r="B173" t="s">
        <v>177</v>
      </c>
      <c r="C173">
        <v>2018</v>
      </c>
      <c r="D173">
        <v>8</v>
      </c>
      <c r="E173" t="s">
        <v>111</v>
      </c>
      <c r="F173" t="s">
        <v>108</v>
      </c>
      <c r="G173" t="s">
        <v>108</v>
      </c>
      <c r="H173" t="s">
        <v>25</v>
      </c>
      <c r="I173" t="s">
        <v>25</v>
      </c>
      <c r="J173" t="s">
        <v>138</v>
      </c>
      <c r="K173" t="s">
        <v>112</v>
      </c>
      <c r="L173" t="s">
        <v>140</v>
      </c>
      <c r="M173">
        <v>336.78904151</v>
      </c>
      <c r="N173">
        <v>0</v>
      </c>
      <c r="O173" t="s">
        <v>104</v>
      </c>
      <c r="P173" s="56">
        <v>44269.850222337962</v>
      </c>
      <c r="Q173">
        <v>1042162</v>
      </c>
      <c r="R173" t="s">
        <v>105</v>
      </c>
      <c r="S173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108</v>
      </c>
      <c r="AD173" s="56">
        <v>43313</v>
      </c>
    </row>
    <row r="174" spans="1:30" x14ac:dyDescent="0.3">
      <c r="A174">
        <v>113100</v>
      </c>
      <c r="B174" t="s">
        <v>177</v>
      </c>
      <c r="C174">
        <v>2018</v>
      </c>
      <c r="D174">
        <v>8</v>
      </c>
      <c r="E174" t="s">
        <v>113</v>
      </c>
      <c r="F174" t="s">
        <v>108</v>
      </c>
      <c r="G174" t="s">
        <v>108</v>
      </c>
      <c r="H174" t="s">
        <v>25</v>
      </c>
      <c r="I174" t="s">
        <v>25</v>
      </c>
      <c r="J174" t="s">
        <v>138</v>
      </c>
      <c r="K174" t="s">
        <v>114</v>
      </c>
      <c r="L174" t="s">
        <v>140</v>
      </c>
      <c r="M174">
        <v>901.42463836000002</v>
      </c>
      <c r="N174">
        <v>0</v>
      </c>
      <c r="O174" t="s">
        <v>104</v>
      </c>
      <c r="P174" s="56">
        <v>44269.850223530091</v>
      </c>
      <c r="Q174">
        <v>1042282</v>
      </c>
      <c r="R174" t="s">
        <v>105</v>
      </c>
      <c r="S17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108</v>
      </c>
      <c r="AD174" s="56">
        <v>43313</v>
      </c>
    </row>
    <row r="175" spans="1:30" x14ac:dyDescent="0.3">
      <c r="A175">
        <v>113052</v>
      </c>
      <c r="B175" t="s">
        <v>177</v>
      </c>
      <c r="C175">
        <v>2018</v>
      </c>
      <c r="D175">
        <v>8</v>
      </c>
      <c r="E175" t="s">
        <v>109</v>
      </c>
      <c r="F175" t="s">
        <v>108</v>
      </c>
      <c r="G175" t="s">
        <v>108</v>
      </c>
      <c r="H175" t="s">
        <v>25</v>
      </c>
      <c r="I175" t="s">
        <v>25</v>
      </c>
      <c r="J175" t="s">
        <v>138</v>
      </c>
      <c r="K175" t="s">
        <v>110</v>
      </c>
      <c r="L175" t="s">
        <v>140</v>
      </c>
      <c r="M175">
        <v>1702.89201288</v>
      </c>
      <c r="N175">
        <v>0</v>
      </c>
      <c r="O175" t="s">
        <v>104</v>
      </c>
      <c r="P175" s="56">
        <v>44269.85022109955</v>
      </c>
      <c r="Q175">
        <v>1042042</v>
      </c>
      <c r="R175" t="s">
        <v>105</v>
      </c>
      <c r="S175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108</v>
      </c>
      <c r="AD175" s="56">
        <v>43313</v>
      </c>
    </row>
    <row r="176" spans="1:30" x14ac:dyDescent="0.3">
      <c r="A176">
        <v>628657</v>
      </c>
      <c r="B176" t="s">
        <v>178</v>
      </c>
      <c r="C176">
        <v>2017</v>
      </c>
      <c r="D176">
        <v>4</v>
      </c>
      <c r="E176" t="s">
        <v>113</v>
      </c>
      <c r="F176" t="s">
        <v>108</v>
      </c>
      <c r="G176" t="s">
        <v>108</v>
      </c>
      <c r="H176" t="s">
        <v>25</v>
      </c>
      <c r="I176" t="s">
        <v>25</v>
      </c>
      <c r="J176" t="s">
        <v>138</v>
      </c>
      <c r="K176" t="s">
        <v>114</v>
      </c>
      <c r="L176" t="s">
        <v>140</v>
      </c>
      <c r="M176">
        <v>1712.75377718</v>
      </c>
      <c r="N176">
        <v>0</v>
      </c>
      <c r="O176" t="s">
        <v>103</v>
      </c>
      <c r="P176" s="56">
        <v>44334.047875810182</v>
      </c>
      <c r="Q176">
        <v>5584410</v>
      </c>
      <c r="R176" t="s">
        <v>98</v>
      </c>
      <c r="S176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108</v>
      </c>
      <c r="AD176" s="56">
        <v>42826</v>
      </c>
    </row>
    <row r="177" spans="1:30" x14ac:dyDescent="0.3">
      <c r="A177">
        <v>628613</v>
      </c>
      <c r="B177" t="s">
        <v>178</v>
      </c>
      <c r="C177">
        <v>2017</v>
      </c>
      <c r="D177">
        <v>4</v>
      </c>
      <c r="E177" t="s">
        <v>109</v>
      </c>
      <c r="F177" t="s">
        <v>108</v>
      </c>
      <c r="G177" t="s">
        <v>108</v>
      </c>
      <c r="H177" t="s">
        <v>25</v>
      </c>
      <c r="I177" t="s">
        <v>25</v>
      </c>
      <c r="J177" t="s">
        <v>138</v>
      </c>
      <c r="K177" t="s">
        <v>110</v>
      </c>
      <c r="L177" t="s">
        <v>140</v>
      </c>
      <c r="M177">
        <v>4420.2930050699997</v>
      </c>
      <c r="N177">
        <v>0</v>
      </c>
      <c r="O177" t="s">
        <v>103</v>
      </c>
      <c r="P177" s="56">
        <v>44334.04787422454</v>
      </c>
      <c r="Q177">
        <v>5584322</v>
      </c>
      <c r="R177" t="s">
        <v>98</v>
      </c>
      <c r="S177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108</v>
      </c>
      <c r="AD177" s="56">
        <v>42826</v>
      </c>
    </row>
    <row r="178" spans="1:30" x14ac:dyDescent="0.3">
      <c r="A178">
        <v>628635</v>
      </c>
      <c r="B178" t="s">
        <v>178</v>
      </c>
      <c r="C178">
        <v>2017</v>
      </c>
      <c r="D178">
        <v>4</v>
      </c>
      <c r="E178" t="s">
        <v>111</v>
      </c>
      <c r="F178" t="s">
        <v>108</v>
      </c>
      <c r="G178" t="s">
        <v>108</v>
      </c>
      <c r="H178" t="s">
        <v>25</v>
      </c>
      <c r="I178" t="s">
        <v>25</v>
      </c>
      <c r="J178" t="s">
        <v>138</v>
      </c>
      <c r="K178" t="s">
        <v>112</v>
      </c>
      <c r="L178" t="s">
        <v>140</v>
      </c>
      <c r="M178">
        <v>1117.7193056399999</v>
      </c>
      <c r="N178">
        <v>0</v>
      </c>
      <c r="O178" t="s">
        <v>103</v>
      </c>
      <c r="P178" s="56">
        <v>44334.047875034717</v>
      </c>
      <c r="Q178">
        <v>5584366</v>
      </c>
      <c r="R178" t="s">
        <v>98</v>
      </c>
      <c r="S178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108</v>
      </c>
      <c r="AD178" s="56">
        <v>42826</v>
      </c>
    </row>
    <row r="179" spans="1:30" x14ac:dyDescent="0.3">
      <c r="A179">
        <v>570927</v>
      </c>
      <c r="B179" t="s">
        <v>179</v>
      </c>
      <c r="C179">
        <v>2017</v>
      </c>
      <c r="D179">
        <v>7</v>
      </c>
      <c r="E179" t="s">
        <v>113</v>
      </c>
      <c r="F179" t="s">
        <v>108</v>
      </c>
      <c r="G179" t="s">
        <v>108</v>
      </c>
      <c r="H179" t="s">
        <v>25</v>
      </c>
      <c r="I179" t="s">
        <v>25</v>
      </c>
      <c r="J179" t="s">
        <v>138</v>
      </c>
      <c r="K179" t="s">
        <v>114</v>
      </c>
      <c r="L179" t="s">
        <v>140</v>
      </c>
      <c r="M179">
        <v>1241.0892522700001</v>
      </c>
      <c r="N179">
        <v>0</v>
      </c>
      <c r="O179" t="s">
        <v>103</v>
      </c>
      <c r="P179" s="56">
        <v>44330.105698263891</v>
      </c>
      <c r="Q179">
        <v>5229297</v>
      </c>
      <c r="R179" t="s">
        <v>98</v>
      </c>
      <c r="S179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108</v>
      </c>
      <c r="AD179" s="56">
        <v>42917</v>
      </c>
    </row>
    <row r="180" spans="1:30" x14ac:dyDescent="0.3">
      <c r="A180">
        <v>570906</v>
      </c>
      <c r="B180" t="s">
        <v>179</v>
      </c>
      <c r="C180">
        <v>2017</v>
      </c>
      <c r="D180">
        <v>7</v>
      </c>
      <c r="E180" t="s">
        <v>111</v>
      </c>
      <c r="F180" t="s">
        <v>108</v>
      </c>
      <c r="G180" t="s">
        <v>108</v>
      </c>
      <c r="H180" t="s">
        <v>25</v>
      </c>
      <c r="I180" t="s">
        <v>25</v>
      </c>
      <c r="J180" t="s">
        <v>138</v>
      </c>
      <c r="K180" t="s">
        <v>112</v>
      </c>
      <c r="L180" t="s">
        <v>140</v>
      </c>
      <c r="M180">
        <v>331.86459323999998</v>
      </c>
      <c r="N180">
        <v>0</v>
      </c>
      <c r="O180" t="s">
        <v>103</v>
      </c>
      <c r="P180" s="56">
        <v>44330.105697719897</v>
      </c>
      <c r="Q180">
        <v>5229255</v>
      </c>
      <c r="R180" t="s">
        <v>98</v>
      </c>
      <c r="S180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108</v>
      </c>
      <c r="AD180" s="56">
        <v>42917</v>
      </c>
    </row>
    <row r="181" spans="1:30" x14ac:dyDescent="0.3">
      <c r="A181">
        <v>570885</v>
      </c>
      <c r="B181" t="s">
        <v>179</v>
      </c>
      <c r="C181">
        <v>2017</v>
      </c>
      <c r="D181">
        <v>7</v>
      </c>
      <c r="E181" t="s">
        <v>109</v>
      </c>
      <c r="F181" t="s">
        <v>108</v>
      </c>
      <c r="G181" t="s">
        <v>108</v>
      </c>
      <c r="H181" t="s">
        <v>25</v>
      </c>
      <c r="I181" t="s">
        <v>25</v>
      </c>
      <c r="J181" t="s">
        <v>138</v>
      </c>
      <c r="K181" t="s">
        <v>110</v>
      </c>
      <c r="L181" t="s">
        <v>140</v>
      </c>
      <c r="M181">
        <v>2146.3813947499998</v>
      </c>
      <c r="N181">
        <v>0</v>
      </c>
      <c r="O181" t="s">
        <v>103</v>
      </c>
      <c r="P181" s="56">
        <v>44330.105697106483</v>
      </c>
      <c r="Q181">
        <v>5229213</v>
      </c>
      <c r="R181" t="s">
        <v>98</v>
      </c>
      <c r="S181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108</v>
      </c>
      <c r="AD181" s="56">
        <v>42917</v>
      </c>
    </row>
    <row r="182" spans="1:30" x14ac:dyDescent="0.3">
      <c r="A182">
        <v>44</v>
      </c>
      <c r="B182" t="s">
        <v>158</v>
      </c>
      <c r="C182">
        <v>2017</v>
      </c>
      <c r="D182">
        <v>9</v>
      </c>
      <c r="E182" t="s">
        <v>113</v>
      </c>
      <c r="F182" t="s">
        <v>108</v>
      </c>
      <c r="G182" t="s">
        <v>108</v>
      </c>
      <c r="H182" t="s">
        <v>25</v>
      </c>
      <c r="I182" t="s">
        <v>25</v>
      </c>
      <c r="J182" t="s">
        <v>138</v>
      </c>
      <c r="K182" t="s">
        <v>114</v>
      </c>
      <c r="L182" t="s">
        <v>140</v>
      </c>
      <c r="M182">
        <v>1160.3236436</v>
      </c>
      <c r="N182">
        <v>0</v>
      </c>
      <c r="O182" t="s">
        <v>103</v>
      </c>
      <c r="P182" s="56">
        <v>44269.837768090278</v>
      </c>
      <c r="Q182">
        <v>87</v>
      </c>
      <c r="R182" t="s">
        <v>106</v>
      </c>
      <c r="S182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108</v>
      </c>
      <c r="AD182" s="56">
        <v>42979</v>
      </c>
    </row>
    <row r="183" spans="1:30" x14ac:dyDescent="0.3">
      <c r="A183">
        <v>2</v>
      </c>
      <c r="B183" t="s">
        <v>158</v>
      </c>
      <c r="C183">
        <v>2017</v>
      </c>
      <c r="D183">
        <v>9</v>
      </c>
      <c r="E183" t="s">
        <v>109</v>
      </c>
      <c r="F183" t="s">
        <v>108</v>
      </c>
      <c r="G183" t="s">
        <v>108</v>
      </c>
      <c r="H183" t="s">
        <v>25</v>
      </c>
      <c r="I183" t="s">
        <v>25</v>
      </c>
      <c r="J183" t="s">
        <v>138</v>
      </c>
      <c r="K183" t="s">
        <v>110</v>
      </c>
      <c r="L183" t="s">
        <v>140</v>
      </c>
      <c r="M183">
        <v>1525.35760676</v>
      </c>
      <c r="N183">
        <v>0</v>
      </c>
      <c r="O183" t="s">
        <v>103</v>
      </c>
      <c r="P183" s="56">
        <v>44269.837765891207</v>
      </c>
      <c r="Q183">
        <v>3</v>
      </c>
      <c r="R183" t="s">
        <v>106</v>
      </c>
      <c r="S183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108</v>
      </c>
      <c r="AD183" s="56">
        <v>42979</v>
      </c>
    </row>
    <row r="184" spans="1:30" x14ac:dyDescent="0.3">
      <c r="A184">
        <v>23</v>
      </c>
      <c r="B184" t="s">
        <v>158</v>
      </c>
      <c r="C184">
        <v>2017</v>
      </c>
      <c r="D184">
        <v>9</v>
      </c>
      <c r="E184" t="s">
        <v>111</v>
      </c>
      <c r="F184" t="s">
        <v>108</v>
      </c>
      <c r="G184" t="s">
        <v>108</v>
      </c>
      <c r="H184" t="s">
        <v>25</v>
      </c>
      <c r="I184" t="s">
        <v>25</v>
      </c>
      <c r="J184" t="s">
        <v>138</v>
      </c>
      <c r="K184" t="s">
        <v>112</v>
      </c>
      <c r="L184" t="s">
        <v>140</v>
      </c>
      <c r="M184">
        <v>317.51694221999998</v>
      </c>
      <c r="N184">
        <v>0</v>
      </c>
      <c r="O184" t="s">
        <v>103</v>
      </c>
      <c r="P184" s="56">
        <v>44269.837767013887</v>
      </c>
      <c r="Q184">
        <v>45</v>
      </c>
      <c r="R184" t="s">
        <v>106</v>
      </c>
      <c r="S18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108</v>
      </c>
      <c r="AD184" s="56">
        <v>42979</v>
      </c>
    </row>
    <row r="185" spans="1:30" x14ac:dyDescent="0.3">
      <c r="A185">
        <v>100242</v>
      </c>
      <c r="B185" t="s">
        <v>176</v>
      </c>
      <c r="C185">
        <v>2018</v>
      </c>
      <c r="D185">
        <v>7</v>
      </c>
      <c r="E185" t="s">
        <v>113</v>
      </c>
      <c r="F185" t="s">
        <v>108</v>
      </c>
      <c r="G185" t="s">
        <v>108</v>
      </c>
      <c r="H185" t="s">
        <v>25</v>
      </c>
      <c r="I185" t="s">
        <v>25</v>
      </c>
      <c r="J185" t="s">
        <v>138</v>
      </c>
      <c r="K185" t="s">
        <v>114</v>
      </c>
      <c r="L185" t="s">
        <v>140</v>
      </c>
      <c r="M185">
        <v>953.47078386999999</v>
      </c>
      <c r="N185">
        <v>0</v>
      </c>
      <c r="O185" t="s">
        <v>104</v>
      </c>
      <c r="P185" s="56">
        <v>44269.848710416663</v>
      </c>
      <c r="Q185">
        <v>913752</v>
      </c>
      <c r="R185" t="s">
        <v>27</v>
      </c>
      <c r="S185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108</v>
      </c>
      <c r="AD185" s="56">
        <v>43282</v>
      </c>
    </row>
    <row r="186" spans="1:30" x14ac:dyDescent="0.3">
      <c r="A186">
        <v>100194</v>
      </c>
      <c r="B186" t="s">
        <v>176</v>
      </c>
      <c r="C186">
        <v>2018</v>
      </c>
      <c r="D186">
        <v>7</v>
      </c>
      <c r="E186" t="s">
        <v>109</v>
      </c>
      <c r="F186" t="s">
        <v>108</v>
      </c>
      <c r="G186" t="s">
        <v>108</v>
      </c>
      <c r="H186" t="s">
        <v>25</v>
      </c>
      <c r="I186" t="s">
        <v>25</v>
      </c>
      <c r="J186" t="s">
        <v>138</v>
      </c>
      <c r="K186" t="s">
        <v>110</v>
      </c>
      <c r="L186" t="s">
        <v>140</v>
      </c>
      <c r="M186">
        <v>1870.62563673</v>
      </c>
      <c r="N186">
        <v>0</v>
      </c>
      <c r="O186" t="s">
        <v>104</v>
      </c>
      <c r="P186" s="56">
        <v>44269.848707986108</v>
      </c>
      <c r="Q186">
        <v>913512</v>
      </c>
      <c r="R186" t="s">
        <v>27</v>
      </c>
      <c r="S186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108</v>
      </c>
      <c r="AD186" s="56">
        <v>43282</v>
      </c>
    </row>
    <row r="187" spans="1:30" x14ac:dyDescent="0.3">
      <c r="A187">
        <v>100218</v>
      </c>
      <c r="B187" t="s">
        <v>176</v>
      </c>
      <c r="C187">
        <v>2018</v>
      </c>
      <c r="D187">
        <v>7</v>
      </c>
      <c r="E187" t="s">
        <v>111</v>
      </c>
      <c r="F187" t="s">
        <v>108</v>
      </c>
      <c r="G187" t="s">
        <v>108</v>
      </c>
      <c r="H187" t="s">
        <v>25</v>
      </c>
      <c r="I187" t="s">
        <v>25</v>
      </c>
      <c r="J187" t="s">
        <v>138</v>
      </c>
      <c r="K187" t="s">
        <v>112</v>
      </c>
      <c r="L187" t="s">
        <v>140</v>
      </c>
      <c r="M187">
        <v>347.46938798999997</v>
      </c>
      <c r="N187">
        <v>0</v>
      </c>
      <c r="O187" t="s">
        <v>104</v>
      </c>
      <c r="P187" s="56">
        <v>44269.848709224527</v>
      </c>
      <c r="Q187">
        <v>913632</v>
      </c>
      <c r="R187" t="s">
        <v>27</v>
      </c>
      <c r="S187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108</v>
      </c>
      <c r="AD187" s="56">
        <v>43282</v>
      </c>
    </row>
    <row r="188" spans="1:30" x14ac:dyDescent="0.3">
      <c r="A188">
        <v>560936</v>
      </c>
      <c r="B188" t="s">
        <v>180</v>
      </c>
      <c r="C188">
        <v>2017</v>
      </c>
      <c r="D188">
        <v>6</v>
      </c>
      <c r="E188" t="s">
        <v>111</v>
      </c>
      <c r="F188" t="s">
        <v>108</v>
      </c>
      <c r="G188" t="s">
        <v>108</v>
      </c>
      <c r="H188" t="s">
        <v>25</v>
      </c>
      <c r="I188" t="s">
        <v>25</v>
      </c>
      <c r="J188" t="s">
        <v>138</v>
      </c>
      <c r="K188" t="s">
        <v>112</v>
      </c>
      <c r="L188" t="s">
        <v>140</v>
      </c>
      <c r="M188">
        <v>850.28490937000004</v>
      </c>
      <c r="N188">
        <v>0</v>
      </c>
      <c r="O188" t="s">
        <v>103</v>
      </c>
      <c r="P188" s="56">
        <v>44330.104736226851</v>
      </c>
      <c r="Q188">
        <v>5144551</v>
      </c>
      <c r="R188" t="s">
        <v>98</v>
      </c>
      <c r="S188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108</v>
      </c>
      <c r="AD188" s="56">
        <v>42887</v>
      </c>
    </row>
    <row r="189" spans="1:30" x14ac:dyDescent="0.3">
      <c r="A189">
        <v>560915</v>
      </c>
      <c r="B189" t="s">
        <v>180</v>
      </c>
      <c r="C189">
        <v>2017</v>
      </c>
      <c r="D189">
        <v>6</v>
      </c>
      <c r="E189" t="s">
        <v>109</v>
      </c>
      <c r="F189" t="s">
        <v>108</v>
      </c>
      <c r="G189" t="s">
        <v>108</v>
      </c>
      <c r="H189" t="s">
        <v>25</v>
      </c>
      <c r="I189" t="s">
        <v>25</v>
      </c>
      <c r="J189" t="s">
        <v>138</v>
      </c>
      <c r="K189" t="s">
        <v>110</v>
      </c>
      <c r="L189" t="s">
        <v>140</v>
      </c>
      <c r="M189">
        <v>2370.0725542700002</v>
      </c>
      <c r="N189">
        <v>0</v>
      </c>
      <c r="O189" t="s">
        <v>103</v>
      </c>
      <c r="P189" s="56">
        <v>44330.104735567133</v>
      </c>
      <c r="Q189">
        <v>5144509</v>
      </c>
      <c r="R189" t="s">
        <v>98</v>
      </c>
      <c r="S189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108</v>
      </c>
      <c r="AD189" s="56">
        <v>42887</v>
      </c>
    </row>
    <row r="190" spans="1:30" x14ac:dyDescent="0.3">
      <c r="A190">
        <v>560957</v>
      </c>
      <c r="B190" t="s">
        <v>180</v>
      </c>
      <c r="C190">
        <v>2017</v>
      </c>
      <c r="D190">
        <v>6</v>
      </c>
      <c r="E190" t="s">
        <v>113</v>
      </c>
      <c r="F190" t="s">
        <v>108</v>
      </c>
      <c r="G190" t="s">
        <v>108</v>
      </c>
      <c r="H190" t="s">
        <v>25</v>
      </c>
      <c r="I190" t="s">
        <v>25</v>
      </c>
      <c r="J190" t="s">
        <v>138</v>
      </c>
      <c r="K190" t="s">
        <v>114</v>
      </c>
      <c r="L190" t="s">
        <v>140</v>
      </c>
      <c r="M190">
        <v>1321.58655047</v>
      </c>
      <c r="N190">
        <v>0</v>
      </c>
      <c r="O190" t="s">
        <v>103</v>
      </c>
      <c r="P190" s="56">
        <v>44330.104736770831</v>
      </c>
      <c r="Q190">
        <v>5144593</v>
      </c>
      <c r="R190" t="s">
        <v>98</v>
      </c>
      <c r="S190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108</v>
      </c>
      <c r="AD190" s="56">
        <v>42887</v>
      </c>
    </row>
    <row r="191" spans="1:30" x14ac:dyDescent="0.3">
      <c r="A191">
        <v>113100</v>
      </c>
      <c r="B191" t="s">
        <v>177</v>
      </c>
      <c r="C191">
        <v>2018</v>
      </c>
      <c r="D191">
        <v>8</v>
      </c>
      <c r="E191" t="s">
        <v>113</v>
      </c>
      <c r="F191" t="s">
        <v>108</v>
      </c>
      <c r="G191" t="s">
        <v>108</v>
      </c>
      <c r="H191" t="s">
        <v>25</v>
      </c>
      <c r="I191" t="s">
        <v>25</v>
      </c>
      <c r="J191" t="s">
        <v>138</v>
      </c>
      <c r="K191" t="s">
        <v>114</v>
      </c>
      <c r="L191" t="s">
        <v>140</v>
      </c>
      <c r="M191">
        <v>901.42463836000002</v>
      </c>
      <c r="N191">
        <v>0</v>
      </c>
      <c r="O191" t="s">
        <v>104</v>
      </c>
      <c r="P191" s="56">
        <v>44269.850223530091</v>
      </c>
      <c r="Q191">
        <v>1042281</v>
      </c>
      <c r="R191" t="s">
        <v>27</v>
      </c>
      <c r="S191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108</v>
      </c>
      <c r="AD191" s="56">
        <v>43313</v>
      </c>
    </row>
    <row r="192" spans="1:30" x14ac:dyDescent="0.3">
      <c r="A192">
        <v>113052</v>
      </c>
      <c r="B192" t="s">
        <v>177</v>
      </c>
      <c r="C192">
        <v>2018</v>
      </c>
      <c r="D192">
        <v>8</v>
      </c>
      <c r="E192" t="s">
        <v>109</v>
      </c>
      <c r="F192" t="s">
        <v>108</v>
      </c>
      <c r="G192" t="s">
        <v>108</v>
      </c>
      <c r="H192" t="s">
        <v>25</v>
      </c>
      <c r="I192" t="s">
        <v>25</v>
      </c>
      <c r="J192" t="s">
        <v>138</v>
      </c>
      <c r="K192" t="s">
        <v>110</v>
      </c>
      <c r="L192" t="s">
        <v>140</v>
      </c>
      <c r="M192">
        <v>1702.89201288</v>
      </c>
      <c r="N192">
        <v>0</v>
      </c>
      <c r="O192" t="s">
        <v>104</v>
      </c>
      <c r="P192" s="56">
        <v>44269.85022109955</v>
      </c>
      <c r="Q192">
        <v>1042041</v>
      </c>
      <c r="R192" t="s">
        <v>27</v>
      </c>
      <c r="S192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108</v>
      </c>
      <c r="AD192" s="56">
        <v>43313</v>
      </c>
    </row>
    <row r="193" spans="1:30" x14ac:dyDescent="0.3">
      <c r="A193">
        <v>113076</v>
      </c>
      <c r="B193" t="s">
        <v>177</v>
      </c>
      <c r="C193">
        <v>2018</v>
      </c>
      <c r="D193">
        <v>8</v>
      </c>
      <c r="E193" t="s">
        <v>111</v>
      </c>
      <c r="F193" t="s">
        <v>108</v>
      </c>
      <c r="G193" t="s">
        <v>108</v>
      </c>
      <c r="H193" t="s">
        <v>25</v>
      </c>
      <c r="I193" t="s">
        <v>25</v>
      </c>
      <c r="J193" t="s">
        <v>138</v>
      </c>
      <c r="K193" t="s">
        <v>112</v>
      </c>
      <c r="L193" t="s">
        <v>140</v>
      </c>
      <c r="M193">
        <v>336.78904151</v>
      </c>
      <c r="N193">
        <v>0</v>
      </c>
      <c r="O193" t="s">
        <v>104</v>
      </c>
      <c r="P193" s="56">
        <v>44269.850222337962</v>
      </c>
      <c r="Q193">
        <v>1042161</v>
      </c>
      <c r="R193" t="s">
        <v>27</v>
      </c>
      <c r="S193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108</v>
      </c>
      <c r="AD193" s="56">
        <v>43313</v>
      </c>
    </row>
    <row r="194" spans="1:30" x14ac:dyDescent="0.3">
      <c r="A194">
        <v>550961</v>
      </c>
      <c r="B194" t="s">
        <v>181</v>
      </c>
      <c r="C194">
        <v>2017</v>
      </c>
      <c r="D194">
        <v>5</v>
      </c>
      <c r="E194" t="s">
        <v>111</v>
      </c>
      <c r="F194" t="s">
        <v>108</v>
      </c>
      <c r="G194" t="s">
        <v>108</v>
      </c>
      <c r="H194" t="s">
        <v>25</v>
      </c>
      <c r="I194" t="s">
        <v>25</v>
      </c>
      <c r="J194" t="s">
        <v>138</v>
      </c>
      <c r="K194" t="s">
        <v>112</v>
      </c>
      <c r="L194" t="s">
        <v>140</v>
      </c>
      <c r="M194">
        <v>999.01457314000004</v>
      </c>
      <c r="N194">
        <v>0</v>
      </c>
      <c r="O194" t="s">
        <v>103</v>
      </c>
      <c r="P194" s="56">
        <v>44330.10375185185</v>
      </c>
      <c r="Q194">
        <v>5059817</v>
      </c>
      <c r="R194" t="s">
        <v>98</v>
      </c>
      <c r="S19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108</v>
      </c>
      <c r="AD194" s="56">
        <v>42856</v>
      </c>
    </row>
    <row r="195" spans="1:30" x14ac:dyDescent="0.3">
      <c r="A195">
        <v>550940</v>
      </c>
      <c r="B195" t="s">
        <v>181</v>
      </c>
      <c r="C195">
        <v>2017</v>
      </c>
      <c r="D195">
        <v>5</v>
      </c>
      <c r="E195" t="s">
        <v>109</v>
      </c>
      <c r="F195" t="s">
        <v>108</v>
      </c>
      <c r="G195" t="s">
        <v>108</v>
      </c>
      <c r="H195" t="s">
        <v>25</v>
      </c>
      <c r="I195" t="s">
        <v>25</v>
      </c>
      <c r="J195" t="s">
        <v>138</v>
      </c>
      <c r="K195" t="s">
        <v>110</v>
      </c>
      <c r="L195" t="s">
        <v>140</v>
      </c>
      <c r="M195">
        <v>2827.3129987100001</v>
      </c>
      <c r="N195">
        <v>0</v>
      </c>
      <c r="O195" t="s">
        <v>103</v>
      </c>
      <c r="P195" s="56">
        <v>44330.103751238428</v>
      </c>
      <c r="Q195">
        <v>5059775</v>
      </c>
      <c r="R195" t="s">
        <v>98</v>
      </c>
      <c r="S195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108</v>
      </c>
      <c r="AD195" s="56">
        <v>42856</v>
      </c>
    </row>
    <row r="196" spans="1:30" x14ac:dyDescent="0.3">
      <c r="A196">
        <v>550982</v>
      </c>
      <c r="B196" t="s">
        <v>181</v>
      </c>
      <c r="C196">
        <v>2017</v>
      </c>
      <c r="D196">
        <v>5</v>
      </c>
      <c r="E196" t="s">
        <v>113</v>
      </c>
      <c r="F196" t="s">
        <v>108</v>
      </c>
      <c r="G196" t="s">
        <v>108</v>
      </c>
      <c r="H196" t="s">
        <v>25</v>
      </c>
      <c r="I196" t="s">
        <v>25</v>
      </c>
      <c r="J196" t="s">
        <v>138</v>
      </c>
      <c r="K196" t="s">
        <v>114</v>
      </c>
      <c r="L196" t="s">
        <v>140</v>
      </c>
      <c r="M196">
        <v>1465.7128444299999</v>
      </c>
      <c r="N196">
        <v>0</v>
      </c>
      <c r="O196" t="s">
        <v>103</v>
      </c>
      <c r="P196" s="56">
        <v>44330.103752581017</v>
      </c>
      <c r="Q196">
        <v>5059859</v>
      </c>
      <c r="R196" t="s">
        <v>98</v>
      </c>
      <c r="S196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108</v>
      </c>
      <c r="AD196" s="56">
        <v>42856</v>
      </c>
    </row>
    <row r="197" spans="1:30" x14ac:dyDescent="0.3">
      <c r="A197">
        <v>9842</v>
      </c>
      <c r="B197" t="s">
        <v>164</v>
      </c>
      <c r="C197">
        <v>2017</v>
      </c>
      <c r="D197">
        <v>10</v>
      </c>
      <c r="E197" t="s">
        <v>113</v>
      </c>
      <c r="F197" t="s">
        <v>108</v>
      </c>
      <c r="G197" t="s">
        <v>108</v>
      </c>
      <c r="H197" t="s">
        <v>25</v>
      </c>
      <c r="I197" t="s">
        <v>25</v>
      </c>
      <c r="J197" t="s">
        <v>138</v>
      </c>
      <c r="K197" t="s">
        <v>114</v>
      </c>
      <c r="L197" t="s">
        <v>140</v>
      </c>
      <c r="M197">
        <v>1325.6322066800001</v>
      </c>
      <c r="N197">
        <v>0</v>
      </c>
      <c r="O197" t="s">
        <v>103</v>
      </c>
      <c r="P197" s="56">
        <v>44269.838788229157</v>
      </c>
      <c r="Q197">
        <v>83968</v>
      </c>
      <c r="R197" t="s">
        <v>106</v>
      </c>
      <c r="S197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108</v>
      </c>
      <c r="AD197" s="56">
        <v>43009</v>
      </c>
    </row>
    <row r="198" spans="1:30" x14ac:dyDescent="0.3">
      <c r="A198">
        <v>9821</v>
      </c>
      <c r="B198" t="s">
        <v>164</v>
      </c>
      <c r="C198">
        <v>2017</v>
      </c>
      <c r="D198">
        <v>10</v>
      </c>
      <c r="E198" t="s">
        <v>111</v>
      </c>
      <c r="F198" t="s">
        <v>108</v>
      </c>
      <c r="G198" t="s">
        <v>108</v>
      </c>
      <c r="H198" t="s">
        <v>25</v>
      </c>
      <c r="I198" t="s">
        <v>25</v>
      </c>
      <c r="J198" t="s">
        <v>138</v>
      </c>
      <c r="K198" t="s">
        <v>112</v>
      </c>
      <c r="L198" t="s">
        <v>140</v>
      </c>
      <c r="M198">
        <v>345.79406583999997</v>
      </c>
      <c r="N198">
        <v>0</v>
      </c>
      <c r="O198" t="s">
        <v>103</v>
      </c>
      <c r="P198" s="56">
        <v>44269.83878726852</v>
      </c>
      <c r="Q198">
        <v>83926</v>
      </c>
      <c r="R198" t="s">
        <v>106</v>
      </c>
      <c r="S198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108</v>
      </c>
      <c r="AD198" s="56">
        <v>43009</v>
      </c>
    </row>
    <row r="199" spans="1:30" x14ac:dyDescent="0.3">
      <c r="A199">
        <v>9800</v>
      </c>
      <c r="B199" t="s">
        <v>164</v>
      </c>
      <c r="C199">
        <v>2017</v>
      </c>
      <c r="D199">
        <v>10</v>
      </c>
      <c r="E199" t="s">
        <v>109</v>
      </c>
      <c r="F199" t="s">
        <v>108</v>
      </c>
      <c r="G199" t="s">
        <v>108</v>
      </c>
      <c r="H199" t="s">
        <v>25</v>
      </c>
      <c r="I199" t="s">
        <v>25</v>
      </c>
      <c r="J199" t="s">
        <v>138</v>
      </c>
      <c r="K199" t="s">
        <v>110</v>
      </c>
      <c r="L199" t="s">
        <v>140</v>
      </c>
      <c r="M199">
        <v>1690.9131185399999</v>
      </c>
      <c r="N199">
        <v>0</v>
      </c>
      <c r="O199" t="s">
        <v>103</v>
      </c>
      <c r="P199" s="56">
        <v>44269.83878622685</v>
      </c>
      <c r="Q199">
        <v>83884</v>
      </c>
      <c r="R199" t="s">
        <v>106</v>
      </c>
      <c r="S199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108</v>
      </c>
      <c r="AD199" s="56">
        <v>43009</v>
      </c>
    </row>
    <row r="200" spans="1:30" x14ac:dyDescent="0.3">
      <c r="A200">
        <v>174692</v>
      </c>
      <c r="B200" t="s">
        <v>182</v>
      </c>
      <c r="C200">
        <v>2019</v>
      </c>
      <c r="D200">
        <v>1</v>
      </c>
      <c r="E200" t="s">
        <v>114</v>
      </c>
      <c r="F200" t="s">
        <v>108</v>
      </c>
      <c r="G200" t="s">
        <v>108</v>
      </c>
      <c r="H200" t="s">
        <v>25</v>
      </c>
      <c r="I200" t="s">
        <v>25</v>
      </c>
      <c r="J200" t="s">
        <v>138</v>
      </c>
      <c r="K200" t="s">
        <v>114</v>
      </c>
      <c r="L200" t="s">
        <v>140</v>
      </c>
      <c r="M200">
        <v>1057.08780013</v>
      </c>
      <c r="N200">
        <v>0</v>
      </c>
      <c r="O200" t="s">
        <v>104</v>
      </c>
      <c r="P200" s="56">
        <v>44269.857912731481</v>
      </c>
      <c r="Q200">
        <v>1659736</v>
      </c>
      <c r="R200" t="s">
        <v>105</v>
      </c>
      <c r="S200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108</v>
      </c>
      <c r="AD200" s="56">
        <v>43466</v>
      </c>
    </row>
    <row r="201" spans="1:30" x14ac:dyDescent="0.3">
      <c r="A201">
        <v>257193</v>
      </c>
      <c r="B201" t="s">
        <v>183</v>
      </c>
      <c r="C201">
        <v>2019</v>
      </c>
      <c r="D201">
        <v>7</v>
      </c>
      <c r="E201" t="s">
        <v>112</v>
      </c>
      <c r="F201" t="s">
        <v>108</v>
      </c>
      <c r="G201" t="s">
        <v>108</v>
      </c>
      <c r="H201" t="s">
        <v>25</v>
      </c>
      <c r="I201" t="s">
        <v>25</v>
      </c>
      <c r="J201" t="s">
        <v>138</v>
      </c>
      <c r="K201" t="s">
        <v>112</v>
      </c>
      <c r="L201" t="s">
        <v>140</v>
      </c>
      <c r="M201">
        <v>259.70617061000002</v>
      </c>
      <c r="N201">
        <v>0</v>
      </c>
      <c r="O201" t="s">
        <v>104</v>
      </c>
      <c r="P201" s="56">
        <v>44269.868005127311</v>
      </c>
      <c r="Q201">
        <v>2439666</v>
      </c>
      <c r="R201" t="s">
        <v>105</v>
      </c>
      <c r="S201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108</v>
      </c>
      <c r="AD201" s="56">
        <v>43647</v>
      </c>
    </row>
    <row r="202" spans="1:30" x14ac:dyDescent="0.3">
      <c r="A202">
        <v>187283</v>
      </c>
      <c r="B202" t="s">
        <v>184</v>
      </c>
      <c r="C202">
        <v>2019</v>
      </c>
      <c r="D202">
        <v>2</v>
      </c>
      <c r="E202" t="s">
        <v>114</v>
      </c>
      <c r="F202" t="s">
        <v>108</v>
      </c>
      <c r="G202" t="s">
        <v>108</v>
      </c>
      <c r="H202" t="s">
        <v>25</v>
      </c>
      <c r="I202" t="s">
        <v>25</v>
      </c>
      <c r="J202" t="s">
        <v>138</v>
      </c>
      <c r="K202" t="s">
        <v>114</v>
      </c>
      <c r="L202" t="s">
        <v>140</v>
      </c>
      <c r="M202">
        <v>1177.9328353799999</v>
      </c>
      <c r="N202">
        <v>0</v>
      </c>
      <c r="O202" t="s">
        <v>104</v>
      </c>
      <c r="P202" s="56">
        <v>44269.859437847219</v>
      </c>
      <c r="Q202">
        <v>1779150</v>
      </c>
      <c r="R202" t="s">
        <v>105</v>
      </c>
      <c r="S202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108</v>
      </c>
      <c r="AD202" s="56">
        <v>43497</v>
      </c>
    </row>
    <row r="203" spans="1:30" x14ac:dyDescent="0.3">
      <c r="A203">
        <v>187229</v>
      </c>
      <c r="B203" t="s">
        <v>184</v>
      </c>
      <c r="C203">
        <v>2019</v>
      </c>
      <c r="D203">
        <v>2</v>
      </c>
      <c r="E203" t="s">
        <v>110</v>
      </c>
      <c r="F203" t="s">
        <v>108</v>
      </c>
      <c r="G203" t="s">
        <v>108</v>
      </c>
      <c r="H203" t="s">
        <v>25</v>
      </c>
      <c r="I203" t="s">
        <v>25</v>
      </c>
      <c r="J203" t="s">
        <v>138</v>
      </c>
      <c r="K203" t="s">
        <v>110</v>
      </c>
      <c r="L203" t="s">
        <v>140</v>
      </c>
      <c r="M203">
        <v>2097.42093987</v>
      </c>
      <c r="N203">
        <v>0</v>
      </c>
      <c r="O203" t="s">
        <v>104</v>
      </c>
      <c r="P203" s="56">
        <v>44269.859435266189</v>
      </c>
      <c r="Q203">
        <v>1778880</v>
      </c>
      <c r="R203" t="s">
        <v>105</v>
      </c>
      <c r="S203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108</v>
      </c>
      <c r="AD203" s="56">
        <v>43497</v>
      </c>
    </row>
    <row r="204" spans="1:30" x14ac:dyDescent="0.3">
      <c r="A204">
        <v>174638</v>
      </c>
      <c r="B204" t="s">
        <v>182</v>
      </c>
      <c r="C204">
        <v>2019</v>
      </c>
      <c r="D204">
        <v>1</v>
      </c>
      <c r="E204" t="s">
        <v>110</v>
      </c>
      <c r="F204" t="s">
        <v>108</v>
      </c>
      <c r="G204" t="s">
        <v>108</v>
      </c>
      <c r="H204" t="s">
        <v>25</v>
      </c>
      <c r="I204" t="s">
        <v>25</v>
      </c>
      <c r="J204" t="s">
        <v>138</v>
      </c>
      <c r="K204" t="s">
        <v>110</v>
      </c>
      <c r="L204" t="s">
        <v>140</v>
      </c>
      <c r="M204">
        <v>2213.9654676300001</v>
      </c>
      <c r="N204">
        <v>0</v>
      </c>
      <c r="O204" t="s">
        <v>104</v>
      </c>
      <c r="P204" s="56">
        <v>44269.857910185186</v>
      </c>
      <c r="Q204">
        <v>1659466</v>
      </c>
      <c r="R204" t="s">
        <v>105</v>
      </c>
      <c r="S20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108</v>
      </c>
      <c r="AD204" s="56">
        <v>43466</v>
      </c>
    </row>
    <row r="205" spans="1:30" x14ac:dyDescent="0.3">
      <c r="A205">
        <v>314988</v>
      </c>
      <c r="B205" t="s">
        <v>185</v>
      </c>
      <c r="C205">
        <v>2019</v>
      </c>
      <c r="D205">
        <v>12</v>
      </c>
      <c r="E205" t="s">
        <v>110</v>
      </c>
      <c r="F205" t="s">
        <v>108</v>
      </c>
      <c r="G205" t="s">
        <v>108</v>
      </c>
      <c r="H205" t="s">
        <v>25</v>
      </c>
      <c r="I205" t="s">
        <v>25</v>
      </c>
      <c r="J205" t="s">
        <v>138</v>
      </c>
      <c r="K205" t="s">
        <v>110</v>
      </c>
      <c r="L205" t="s">
        <v>140</v>
      </c>
      <c r="M205">
        <v>2155.3283754300001</v>
      </c>
      <c r="N205">
        <v>0</v>
      </c>
      <c r="O205" t="s">
        <v>104</v>
      </c>
      <c r="P205" s="56">
        <v>44269.875250428238</v>
      </c>
      <c r="Q205">
        <v>2979367</v>
      </c>
      <c r="R205" t="s">
        <v>105</v>
      </c>
      <c r="S205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108</v>
      </c>
      <c r="AD205" s="56">
        <v>43800</v>
      </c>
    </row>
    <row r="206" spans="1:30" x14ac:dyDescent="0.3">
      <c r="A206">
        <v>174665</v>
      </c>
      <c r="B206" t="s">
        <v>182</v>
      </c>
      <c r="C206">
        <v>2019</v>
      </c>
      <c r="D206">
        <v>1</v>
      </c>
      <c r="E206" t="s">
        <v>112</v>
      </c>
      <c r="F206" t="s">
        <v>108</v>
      </c>
      <c r="G206" t="s">
        <v>108</v>
      </c>
      <c r="H206" t="s">
        <v>25</v>
      </c>
      <c r="I206" t="s">
        <v>25</v>
      </c>
      <c r="J206" t="s">
        <v>138</v>
      </c>
      <c r="K206" t="s">
        <v>112</v>
      </c>
      <c r="L206" t="s">
        <v>140</v>
      </c>
      <c r="M206">
        <v>502.14165592000001</v>
      </c>
      <c r="N206">
        <v>0</v>
      </c>
      <c r="O206" t="s">
        <v>104</v>
      </c>
      <c r="P206" s="56">
        <v>44269.857911458334</v>
      </c>
      <c r="Q206">
        <v>1659601</v>
      </c>
      <c r="R206" t="s">
        <v>105</v>
      </c>
      <c r="S206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108</v>
      </c>
      <c r="AD206" s="56">
        <v>43466</v>
      </c>
    </row>
    <row r="207" spans="1:30" x14ac:dyDescent="0.3">
      <c r="A207">
        <v>190928</v>
      </c>
      <c r="B207" t="s">
        <v>186</v>
      </c>
      <c r="C207">
        <v>2019</v>
      </c>
      <c r="D207">
        <v>3</v>
      </c>
      <c r="E207" t="s">
        <v>110</v>
      </c>
      <c r="F207" t="s">
        <v>108</v>
      </c>
      <c r="G207" t="s">
        <v>108</v>
      </c>
      <c r="H207" t="s">
        <v>25</v>
      </c>
      <c r="I207" t="s">
        <v>25</v>
      </c>
      <c r="J207" t="s">
        <v>138</v>
      </c>
      <c r="K207" t="s">
        <v>110</v>
      </c>
      <c r="L207" t="s">
        <v>140</v>
      </c>
      <c r="M207">
        <v>1987.4110310900001</v>
      </c>
      <c r="N207">
        <v>0</v>
      </c>
      <c r="O207" t="s">
        <v>104</v>
      </c>
      <c r="P207" s="56">
        <v>44269.860194062501</v>
      </c>
      <c r="Q207">
        <v>1806286</v>
      </c>
      <c r="R207" t="s">
        <v>105</v>
      </c>
      <c r="S207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108</v>
      </c>
      <c r="AD207" s="56">
        <v>43525</v>
      </c>
    </row>
    <row r="208" spans="1:30" x14ac:dyDescent="0.3">
      <c r="A208">
        <v>215992</v>
      </c>
      <c r="B208" t="s">
        <v>187</v>
      </c>
      <c r="C208">
        <v>2019</v>
      </c>
      <c r="D208">
        <v>4</v>
      </c>
      <c r="E208" t="s">
        <v>114</v>
      </c>
      <c r="F208" t="s">
        <v>108</v>
      </c>
      <c r="G208" t="s">
        <v>108</v>
      </c>
      <c r="H208" t="s">
        <v>25</v>
      </c>
      <c r="I208" t="s">
        <v>25</v>
      </c>
      <c r="J208" t="s">
        <v>138</v>
      </c>
      <c r="K208" t="s">
        <v>114</v>
      </c>
      <c r="L208" t="s">
        <v>140</v>
      </c>
      <c r="M208">
        <v>807.94171081000002</v>
      </c>
      <c r="N208">
        <v>0</v>
      </c>
      <c r="O208" t="s">
        <v>104</v>
      </c>
      <c r="P208" s="56">
        <v>44269.862962037027</v>
      </c>
      <c r="Q208">
        <v>2049902</v>
      </c>
      <c r="R208" t="s">
        <v>105</v>
      </c>
      <c r="S208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108</v>
      </c>
      <c r="AD208" s="56">
        <v>43556</v>
      </c>
    </row>
    <row r="209" spans="1:30" x14ac:dyDescent="0.3">
      <c r="A209">
        <v>315042</v>
      </c>
      <c r="B209" t="s">
        <v>185</v>
      </c>
      <c r="C209">
        <v>2019</v>
      </c>
      <c r="D209">
        <v>12</v>
      </c>
      <c r="E209" t="s">
        <v>114</v>
      </c>
      <c r="F209" t="s">
        <v>108</v>
      </c>
      <c r="G209" t="s">
        <v>108</v>
      </c>
      <c r="H209" t="s">
        <v>25</v>
      </c>
      <c r="I209" t="s">
        <v>25</v>
      </c>
      <c r="J209" t="s">
        <v>138</v>
      </c>
      <c r="K209" t="s">
        <v>114</v>
      </c>
      <c r="L209" t="s">
        <v>140</v>
      </c>
      <c r="M209">
        <v>491.15728963999999</v>
      </c>
      <c r="N209">
        <v>0</v>
      </c>
      <c r="O209" t="s">
        <v>104</v>
      </c>
      <c r="P209" s="56">
        <v>44269.875253009261</v>
      </c>
      <c r="Q209">
        <v>2979637</v>
      </c>
      <c r="R209" t="s">
        <v>105</v>
      </c>
      <c r="S209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108</v>
      </c>
      <c r="AD209" s="56">
        <v>43800</v>
      </c>
    </row>
    <row r="210" spans="1:30" x14ac:dyDescent="0.3">
      <c r="A210">
        <v>270939</v>
      </c>
      <c r="B210" t="s">
        <v>188</v>
      </c>
      <c r="C210">
        <v>2019</v>
      </c>
      <c r="D210">
        <v>8</v>
      </c>
      <c r="E210" t="s">
        <v>110</v>
      </c>
      <c r="F210" t="s">
        <v>108</v>
      </c>
      <c r="G210" t="s">
        <v>108</v>
      </c>
      <c r="H210" t="s">
        <v>25</v>
      </c>
      <c r="I210" t="s">
        <v>25</v>
      </c>
      <c r="J210" t="s">
        <v>138</v>
      </c>
      <c r="K210" t="s">
        <v>110</v>
      </c>
      <c r="L210" t="s">
        <v>140</v>
      </c>
      <c r="M210">
        <v>1193.87028252</v>
      </c>
      <c r="N210">
        <v>0</v>
      </c>
      <c r="O210" t="s">
        <v>104</v>
      </c>
      <c r="P210" s="56">
        <v>44269.869630439818</v>
      </c>
      <c r="Q210">
        <v>2569923</v>
      </c>
      <c r="R210" t="s">
        <v>105</v>
      </c>
      <c r="S210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108</v>
      </c>
      <c r="AD210" s="56">
        <v>43678</v>
      </c>
    </row>
    <row r="211" spans="1:30" x14ac:dyDescent="0.3">
      <c r="A211">
        <v>190982</v>
      </c>
      <c r="B211" t="s">
        <v>186</v>
      </c>
      <c r="C211">
        <v>2019</v>
      </c>
      <c r="D211">
        <v>3</v>
      </c>
      <c r="E211" t="s">
        <v>114</v>
      </c>
      <c r="F211" t="s">
        <v>108</v>
      </c>
      <c r="G211" t="s">
        <v>108</v>
      </c>
      <c r="H211" t="s">
        <v>25</v>
      </c>
      <c r="I211" t="s">
        <v>25</v>
      </c>
      <c r="J211" t="s">
        <v>138</v>
      </c>
      <c r="K211" t="s">
        <v>114</v>
      </c>
      <c r="L211" t="s">
        <v>140</v>
      </c>
      <c r="M211">
        <v>1048.18988866</v>
      </c>
      <c r="N211">
        <v>0</v>
      </c>
      <c r="O211" t="s">
        <v>104</v>
      </c>
      <c r="P211" s="56">
        <v>44269.860196643524</v>
      </c>
      <c r="Q211">
        <v>1806556</v>
      </c>
      <c r="R211" t="s">
        <v>105</v>
      </c>
      <c r="S211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108</v>
      </c>
      <c r="AD211" s="56">
        <v>43525</v>
      </c>
    </row>
    <row r="212" spans="1:30" x14ac:dyDescent="0.3">
      <c r="A212">
        <v>187256</v>
      </c>
      <c r="B212" t="s">
        <v>184</v>
      </c>
      <c r="C212">
        <v>2019</v>
      </c>
      <c r="D212">
        <v>2</v>
      </c>
      <c r="E212" t="s">
        <v>112</v>
      </c>
      <c r="F212" t="s">
        <v>108</v>
      </c>
      <c r="G212" t="s">
        <v>108</v>
      </c>
      <c r="H212" t="s">
        <v>25</v>
      </c>
      <c r="I212" t="s">
        <v>25</v>
      </c>
      <c r="J212" t="s">
        <v>138</v>
      </c>
      <c r="K212" t="s">
        <v>112</v>
      </c>
      <c r="L212" t="s">
        <v>140</v>
      </c>
      <c r="M212">
        <v>483.50924042000003</v>
      </c>
      <c r="N212">
        <v>0</v>
      </c>
      <c r="O212" t="s">
        <v>104</v>
      </c>
      <c r="P212" s="56">
        <v>44269.859436574072</v>
      </c>
      <c r="Q212">
        <v>1779015</v>
      </c>
      <c r="R212" t="s">
        <v>105</v>
      </c>
      <c r="S212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108</v>
      </c>
      <c r="AD212" s="56">
        <v>43497</v>
      </c>
    </row>
    <row r="213" spans="1:30" x14ac:dyDescent="0.3">
      <c r="A213">
        <v>215965</v>
      </c>
      <c r="B213" t="s">
        <v>187</v>
      </c>
      <c r="C213">
        <v>2019</v>
      </c>
      <c r="D213">
        <v>4</v>
      </c>
      <c r="E213" t="s">
        <v>112</v>
      </c>
      <c r="F213" t="s">
        <v>108</v>
      </c>
      <c r="G213" t="s">
        <v>108</v>
      </c>
      <c r="H213" t="s">
        <v>25</v>
      </c>
      <c r="I213" t="s">
        <v>25</v>
      </c>
      <c r="J213" t="s">
        <v>138</v>
      </c>
      <c r="K213" t="s">
        <v>112</v>
      </c>
      <c r="L213" t="s">
        <v>140</v>
      </c>
      <c r="M213">
        <v>278.00060418999999</v>
      </c>
      <c r="N213">
        <v>0</v>
      </c>
      <c r="O213" t="s">
        <v>104</v>
      </c>
      <c r="P213" s="56">
        <v>44269.862960763887</v>
      </c>
      <c r="Q213">
        <v>2049767</v>
      </c>
      <c r="R213" t="s">
        <v>105</v>
      </c>
      <c r="S213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108</v>
      </c>
      <c r="AD213" s="56">
        <v>43556</v>
      </c>
    </row>
    <row r="214" spans="1:30" x14ac:dyDescent="0.3">
      <c r="A214">
        <v>190955</v>
      </c>
      <c r="B214" t="s">
        <v>186</v>
      </c>
      <c r="C214">
        <v>2019</v>
      </c>
      <c r="D214">
        <v>3</v>
      </c>
      <c r="E214" t="s">
        <v>112</v>
      </c>
      <c r="F214" t="s">
        <v>108</v>
      </c>
      <c r="G214" t="s">
        <v>108</v>
      </c>
      <c r="H214" t="s">
        <v>25</v>
      </c>
      <c r="I214" t="s">
        <v>25</v>
      </c>
      <c r="J214" t="s">
        <v>138</v>
      </c>
      <c r="K214" t="s">
        <v>112</v>
      </c>
      <c r="L214" t="s">
        <v>140</v>
      </c>
      <c r="M214">
        <v>548.80313799999999</v>
      </c>
      <c r="N214">
        <v>0</v>
      </c>
      <c r="O214" t="s">
        <v>104</v>
      </c>
      <c r="P214" s="56">
        <v>44269.86019540509</v>
      </c>
      <c r="Q214">
        <v>1806421</v>
      </c>
      <c r="R214" t="s">
        <v>105</v>
      </c>
      <c r="S21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108</v>
      </c>
      <c r="AD214" s="56">
        <v>43525</v>
      </c>
    </row>
    <row r="215" spans="1:30" x14ac:dyDescent="0.3">
      <c r="A215">
        <v>229684</v>
      </c>
      <c r="B215" t="s">
        <v>189</v>
      </c>
      <c r="C215">
        <v>2019</v>
      </c>
      <c r="D215">
        <v>5</v>
      </c>
      <c r="E215" t="s">
        <v>112</v>
      </c>
      <c r="F215" t="s">
        <v>108</v>
      </c>
      <c r="G215" t="s">
        <v>108</v>
      </c>
      <c r="H215" t="s">
        <v>25</v>
      </c>
      <c r="I215" t="s">
        <v>25</v>
      </c>
      <c r="J215" t="s">
        <v>138</v>
      </c>
      <c r="K215" t="s">
        <v>112</v>
      </c>
      <c r="L215" t="s">
        <v>140</v>
      </c>
      <c r="M215">
        <v>306.35749342000003</v>
      </c>
      <c r="N215">
        <v>0</v>
      </c>
      <c r="O215" t="s">
        <v>104</v>
      </c>
      <c r="P215" s="56">
        <v>44269.864759108787</v>
      </c>
      <c r="Q215">
        <v>2179644</v>
      </c>
      <c r="R215" t="s">
        <v>105</v>
      </c>
      <c r="S215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108</v>
      </c>
      <c r="AD215" s="56">
        <v>43586</v>
      </c>
    </row>
    <row r="216" spans="1:30" x14ac:dyDescent="0.3">
      <c r="A216">
        <v>243411</v>
      </c>
      <c r="B216" t="s">
        <v>190</v>
      </c>
      <c r="C216">
        <v>2019</v>
      </c>
      <c r="D216">
        <v>6</v>
      </c>
      <c r="E216" t="s">
        <v>110</v>
      </c>
      <c r="F216" t="s">
        <v>108</v>
      </c>
      <c r="G216" t="s">
        <v>108</v>
      </c>
      <c r="H216" t="s">
        <v>25</v>
      </c>
      <c r="I216" t="s">
        <v>25</v>
      </c>
      <c r="J216" t="s">
        <v>138</v>
      </c>
      <c r="K216" t="s">
        <v>110</v>
      </c>
      <c r="L216" t="s">
        <v>140</v>
      </c>
      <c r="M216">
        <v>1258.64819612</v>
      </c>
      <c r="N216">
        <v>0</v>
      </c>
      <c r="O216" t="s">
        <v>104</v>
      </c>
      <c r="P216" s="56">
        <v>44269.866383564811</v>
      </c>
      <c r="Q216">
        <v>2309503</v>
      </c>
      <c r="R216" t="s">
        <v>105</v>
      </c>
      <c r="S216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108</v>
      </c>
      <c r="AD216" s="56">
        <v>43617</v>
      </c>
    </row>
    <row r="217" spans="1:30" x14ac:dyDescent="0.3">
      <c r="A217">
        <v>229711</v>
      </c>
      <c r="B217" t="s">
        <v>189</v>
      </c>
      <c r="C217">
        <v>2019</v>
      </c>
      <c r="D217">
        <v>5</v>
      </c>
      <c r="E217" t="s">
        <v>114</v>
      </c>
      <c r="F217" t="s">
        <v>108</v>
      </c>
      <c r="G217" t="s">
        <v>108</v>
      </c>
      <c r="H217" t="s">
        <v>25</v>
      </c>
      <c r="I217" t="s">
        <v>25</v>
      </c>
      <c r="J217" t="s">
        <v>138</v>
      </c>
      <c r="K217" t="s">
        <v>114</v>
      </c>
      <c r="L217" t="s">
        <v>140</v>
      </c>
      <c r="M217">
        <v>761.62555524000004</v>
      </c>
      <c r="N217">
        <v>0</v>
      </c>
      <c r="O217" t="s">
        <v>104</v>
      </c>
      <c r="P217" s="56">
        <v>44269.864760335651</v>
      </c>
      <c r="Q217">
        <v>2179779</v>
      </c>
      <c r="R217" t="s">
        <v>105</v>
      </c>
      <c r="S217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108</v>
      </c>
      <c r="AD217" s="56">
        <v>43586</v>
      </c>
    </row>
    <row r="218" spans="1:30" x14ac:dyDescent="0.3">
      <c r="A218">
        <v>273507</v>
      </c>
      <c r="B218" t="s">
        <v>191</v>
      </c>
      <c r="C218">
        <v>2019</v>
      </c>
      <c r="D218">
        <v>9</v>
      </c>
      <c r="E218" t="s">
        <v>114</v>
      </c>
      <c r="F218" t="s">
        <v>108</v>
      </c>
      <c r="G218" t="s">
        <v>108</v>
      </c>
      <c r="H218" t="s">
        <v>25</v>
      </c>
      <c r="I218" t="s">
        <v>25</v>
      </c>
      <c r="J218" t="s">
        <v>138</v>
      </c>
      <c r="K218" t="s">
        <v>114</v>
      </c>
      <c r="L218" t="s">
        <v>140</v>
      </c>
      <c r="M218">
        <v>533.50070271000004</v>
      </c>
      <c r="N218">
        <v>0</v>
      </c>
      <c r="O218" t="s">
        <v>104</v>
      </c>
      <c r="P218" s="56">
        <v>44269.870334027779</v>
      </c>
      <c r="Q218">
        <v>2587012</v>
      </c>
      <c r="R218" t="s">
        <v>105</v>
      </c>
      <c r="S218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108</v>
      </c>
      <c r="AD218" s="56">
        <v>43709</v>
      </c>
    </row>
    <row r="219" spans="1:30" x14ac:dyDescent="0.3">
      <c r="A219">
        <v>243438</v>
      </c>
      <c r="B219" t="s">
        <v>190</v>
      </c>
      <c r="C219">
        <v>2019</v>
      </c>
      <c r="D219">
        <v>6</v>
      </c>
      <c r="E219" t="s">
        <v>112</v>
      </c>
      <c r="F219" t="s">
        <v>108</v>
      </c>
      <c r="G219" t="s">
        <v>108</v>
      </c>
      <c r="H219" t="s">
        <v>25</v>
      </c>
      <c r="I219" t="s">
        <v>25</v>
      </c>
      <c r="J219" t="s">
        <v>138</v>
      </c>
      <c r="K219" t="s">
        <v>112</v>
      </c>
      <c r="L219" t="s">
        <v>140</v>
      </c>
      <c r="M219">
        <v>251.84571108</v>
      </c>
      <c r="N219">
        <v>0</v>
      </c>
      <c r="O219" t="s">
        <v>104</v>
      </c>
      <c r="P219" s="56">
        <v>44269.86638498844</v>
      </c>
      <c r="Q219">
        <v>2309638</v>
      </c>
      <c r="R219" t="s">
        <v>105</v>
      </c>
      <c r="S219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108</v>
      </c>
      <c r="AD219" s="56">
        <v>43617</v>
      </c>
    </row>
    <row r="220" spans="1:30" x14ac:dyDescent="0.3">
      <c r="A220">
        <v>257166</v>
      </c>
      <c r="B220" t="s">
        <v>183</v>
      </c>
      <c r="C220">
        <v>2019</v>
      </c>
      <c r="D220">
        <v>7</v>
      </c>
      <c r="E220" t="s">
        <v>110</v>
      </c>
      <c r="F220" t="s">
        <v>108</v>
      </c>
      <c r="G220" t="s">
        <v>108</v>
      </c>
      <c r="H220" t="s">
        <v>25</v>
      </c>
      <c r="I220" t="s">
        <v>25</v>
      </c>
      <c r="J220" t="s">
        <v>138</v>
      </c>
      <c r="K220" t="s">
        <v>110</v>
      </c>
      <c r="L220" t="s">
        <v>140</v>
      </c>
      <c r="M220">
        <v>1240.59596756</v>
      </c>
      <c r="N220">
        <v>0</v>
      </c>
      <c r="O220" t="s">
        <v>104</v>
      </c>
      <c r="P220" s="56">
        <v>44269.868003854157</v>
      </c>
      <c r="Q220">
        <v>2439531</v>
      </c>
      <c r="R220" t="s">
        <v>105</v>
      </c>
      <c r="S220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108</v>
      </c>
      <c r="AD220" s="56">
        <v>43647</v>
      </c>
    </row>
    <row r="221" spans="1:30" x14ac:dyDescent="0.3">
      <c r="A221">
        <v>301116</v>
      </c>
      <c r="B221" t="s">
        <v>192</v>
      </c>
      <c r="C221">
        <v>2019</v>
      </c>
      <c r="D221">
        <v>11</v>
      </c>
      <c r="E221" t="s">
        <v>112</v>
      </c>
      <c r="F221" t="s">
        <v>108</v>
      </c>
      <c r="G221" t="s">
        <v>108</v>
      </c>
      <c r="H221" t="s">
        <v>25</v>
      </c>
      <c r="I221" t="s">
        <v>25</v>
      </c>
      <c r="J221" t="s">
        <v>138</v>
      </c>
      <c r="K221" t="s">
        <v>112</v>
      </c>
      <c r="L221" t="s">
        <v>140</v>
      </c>
      <c r="M221">
        <v>633.19527639</v>
      </c>
      <c r="N221">
        <v>0</v>
      </c>
      <c r="O221" t="s">
        <v>104</v>
      </c>
      <c r="P221" s="56">
        <v>44269.873618055557</v>
      </c>
      <c r="Q221">
        <v>2848291</v>
      </c>
      <c r="R221" t="s">
        <v>105</v>
      </c>
      <c r="S221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108</v>
      </c>
      <c r="AD221" s="56">
        <v>43770</v>
      </c>
    </row>
    <row r="222" spans="1:30" x14ac:dyDescent="0.3">
      <c r="A222">
        <v>215938</v>
      </c>
      <c r="B222" t="s">
        <v>187</v>
      </c>
      <c r="C222">
        <v>2019</v>
      </c>
      <c r="D222">
        <v>4</v>
      </c>
      <c r="E222" t="s">
        <v>110</v>
      </c>
      <c r="F222" t="s">
        <v>108</v>
      </c>
      <c r="G222" t="s">
        <v>108</v>
      </c>
      <c r="H222" t="s">
        <v>25</v>
      </c>
      <c r="I222" t="s">
        <v>25</v>
      </c>
      <c r="J222" t="s">
        <v>138</v>
      </c>
      <c r="K222" t="s">
        <v>110</v>
      </c>
      <c r="L222" t="s">
        <v>140</v>
      </c>
      <c r="M222">
        <v>1388.5089304200001</v>
      </c>
      <c r="N222">
        <v>0</v>
      </c>
      <c r="O222" t="s">
        <v>104</v>
      </c>
      <c r="P222" s="56">
        <v>44269.862959456019</v>
      </c>
      <c r="Q222">
        <v>2049632</v>
      </c>
      <c r="R222" t="s">
        <v>105</v>
      </c>
      <c r="S222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108</v>
      </c>
      <c r="AD222" s="56">
        <v>43556</v>
      </c>
    </row>
    <row r="223" spans="1:30" x14ac:dyDescent="0.3">
      <c r="A223">
        <v>257220</v>
      </c>
      <c r="B223" t="s">
        <v>183</v>
      </c>
      <c r="C223">
        <v>2019</v>
      </c>
      <c r="D223">
        <v>7</v>
      </c>
      <c r="E223" t="s">
        <v>114</v>
      </c>
      <c r="F223" t="s">
        <v>108</v>
      </c>
      <c r="G223" t="s">
        <v>108</v>
      </c>
      <c r="H223" t="s">
        <v>25</v>
      </c>
      <c r="I223" t="s">
        <v>25</v>
      </c>
      <c r="J223" t="s">
        <v>138</v>
      </c>
      <c r="K223" t="s">
        <v>114</v>
      </c>
      <c r="L223" t="s">
        <v>140</v>
      </c>
      <c r="M223">
        <v>665.56227894000006</v>
      </c>
      <c r="N223">
        <v>0</v>
      </c>
      <c r="O223" t="s">
        <v>104</v>
      </c>
      <c r="P223" s="56">
        <v>44269.868006446763</v>
      </c>
      <c r="Q223">
        <v>2439801</v>
      </c>
      <c r="R223" t="s">
        <v>105</v>
      </c>
      <c r="S223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108</v>
      </c>
      <c r="AD223" s="56">
        <v>43647</v>
      </c>
    </row>
    <row r="224" spans="1:30" x14ac:dyDescent="0.3">
      <c r="A224">
        <v>270966</v>
      </c>
      <c r="B224" t="s">
        <v>188</v>
      </c>
      <c r="C224">
        <v>2019</v>
      </c>
      <c r="D224">
        <v>8</v>
      </c>
      <c r="E224" t="s">
        <v>112</v>
      </c>
      <c r="F224" t="s">
        <v>108</v>
      </c>
      <c r="G224" t="s">
        <v>108</v>
      </c>
      <c r="H224" t="s">
        <v>25</v>
      </c>
      <c r="I224" t="s">
        <v>25</v>
      </c>
      <c r="J224" t="s">
        <v>138</v>
      </c>
      <c r="K224" t="s">
        <v>112</v>
      </c>
      <c r="L224" t="s">
        <v>140</v>
      </c>
      <c r="M224">
        <v>293.74292012000001</v>
      </c>
      <c r="N224">
        <v>0</v>
      </c>
      <c r="O224" t="s">
        <v>104</v>
      </c>
      <c r="P224" s="56">
        <v>44269.869631712972</v>
      </c>
      <c r="Q224">
        <v>2570058</v>
      </c>
      <c r="R224" t="s">
        <v>105</v>
      </c>
      <c r="S22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108</v>
      </c>
      <c r="AD224" s="56">
        <v>43678</v>
      </c>
    </row>
    <row r="225" spans="1:30" x14ac:dyDescent="0.3">
      <c r="A225">
        <v>270993</v>
      </c>
      <c r="B225" t="s">
        <v>188</v>
      </c>
      <c r="C225">
        <v>2019</v>
      </c>
      <c r="D225">
        <v>8</v>
      </c>
      <c r="E225" t="s">
        <v>114</v>
      </c>
      <c r="F225" t="s">
        <v>108</v>
      </c>
      <c r="G225" t="s">
        <v>108</v>
      </c>
      <c r="H225" t="s">
        <v>25</v>
      </c>
      <c r="I225" t="s">
        <v>25</v>
      </c>
      <c r="J225" t="s">
        <v>138</v>
      </c>
      <c r="K225" t="s">
        <v>114</v>
      </c>
      <c r="L225" t="s">
        <v>140</v>
      </c>
      <c r="M225">
        <v>553.34695345</v>
      </c>
      <c r="N225">
        <v>0</v>
      </c>
      <c r="O225" t="s">
        <v>104</v>
      </c>
      <c r="P225" s="56">
        <v>44269.869632986112</v>
      </c>
      <c r="Q225">
        <v>2570193</v>
      </c>
      <c r="R225" t="s">
        <v>105</v>
      </c>
      <c r="S225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108</v>
      </c>
      <c r="AD225" s="56">
        <v>43678</v>
      </c>
    </row>
    <row r="226" spans="1:30" x14ac:dyDescent="0.3">
      <c r="A226">
        <v>315015</v>
      </c>
      <c r="B226" t="s">
        <v>185</v>
      </c>
      <c r="C226">
        <v>2019</v>
      </c>
      <c r="D226">
        <v>12</v>
      </c>
      <c r="E226" t="s">
        <v>112</v>
      </c>
      <c r="F226" t="s">
        <v>108</v>
      </c>
      <c r="G226" t="s">
        <v>108</v>
      </c>
      <c r="H226" t="s">
        <v>25</v>
      </c>
      <c r="I226" t="s">
        <v>25</v>
      </c>
      <c r="J226" t="s">
        <v>138</v>
      </c>
      <c r="K226" t="s">
        <v>112</v>
      </c>
      <c r="L226" t="s">
        <v>140</v>
      </c>
      <c r="M226">
        <v>1168.3792061199999</v>
      </c>
      <c r="N226">
        <v>0</v>
      </c>
      <c r="O226" t="s">
        <v>104</v>
      </c>
      <c r="P226" s="56">
        <v>44269.875251701393</v>
      </c>
      <c r="Q226">
        <v>2979502</v>
      </c>
      <c r="R226" t="s">
        <v>105</v>
      </c>
      <c r="S226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108</v>
      </c>
      <c r="AD226" s="56">
        <v>43800</v>
      </c>
    </row>
    <row r="227" spans="1:30" x14ac:dyDescent="0.3">
      <c r="A227">
        <v>287325</v>
      </c>
      <c r="B227" t="s">
        <v>193</v>
      </c>
      <c r="C227">
        <v>2019</v>
      </c>
      <c r="D227">
        <v>10</v>
      </c>
      <c r="E227" t="s">
        <v>114</v>
      </c>
      <c r="F227" t="s">
        <v>108</v>
      </c>
      <c r="G227" t="s">
        <v>108</v>
      </c>
      <c r="H227" t="s">
        <v>25</v>
      </c>
      <c r="I227" t="s">
        <v>25</v>
      </c>
      <c r="J227" t="s">
        <v>138</v>
      </c>
      <c r="K227" t="s">
        <v>114</v>
      </c>
      <c r="L227" t="s">
        <v>140</v>
      </c>
      <c r="M227">
        <v>576.31545115999995</v>
      </c>
      <c r="N227">
        <v>0</v>
      </c>
      <c r="O227" t="s">
        <v>104</v>
      </c>
      <c r="P227" s="56">
        <v>44269.87196944443</v>
      </c>
      <c r="Q227">
        <v>2717719</v>
      </c>
      <c r="R227" t="s">
        <v>105</v>
      </c>
      <c r="S227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108</v>
      </c>
      <c r="AD227" s="56">
        <v>43739</v>
      </c>
    </row>
    <row r="228" spans="1:30" x14ac:dyDescent="0.3">
      <c r="A228">
        <v>273480</v>
      </c>
      <c r="B228" t="s">
        <v>191</v>
      </c>
      <c r="C228">
        <v>2019</v>
      </c>
      <c r="D228">
        <v>9</v>
      </c>
      <c r="E228" t="s">
        <v>112</v>
      </c>
      <c r="F228" t="s">
        <v>108</v>
      </c>
      <c r="G228" t="s">
        <v>108</v>
      </c>
      <c r="H228" t="s">
        <v>25</v>
      </c>
      <c r="I228" t="s">
        <v>25</v>
      </c>
      <c r="J228" t="s">
        <v>138</v>
      </c>
      <c r="K228" t="s">
        <v>112</v>
      </c>
      <c r="L228" t="s">
        <v>140</v>
      </c>
      <c r="M228">
        <v>254.44613530000001</v>
      </c>
      <c r="N228">
        <v>0</v>
      </c>
      <c r="O228" t="s">
        <v>104</v>
      </c>
      <c r="P228" s="56">
        <v>44269.870332719911</v>
      </c>
      <c r="Q228">
        <v>2586877</v>
      </c>
      <c r="R228" t="s">
        <v>105</v>
      </c>
      <c r="S228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108</v>
      </c>
      <c r="AD228" s="56">
        <v>43709</v>
      </c>
    </row>
    <row r="229" spans="1:30" x14ac:dyDescent="0.3">
      <c r="A229">
        <v>301143</v>
      </c>
      <c r="B229" t="s">
        <v>192</v>
      </c>
      <c r="C229">
        <v>2019</v>
      </c>
      <c r="D229">
        <v>11</v>
      </c>
      <c r="E229" t="s">
        <v>114</v>
      </c>
      <c r="F229" t="s">
        <v>108</v>
      </c>
      <c r="G229" t="s">
        <v>108</v>
      </c>
      <c r="H229" t="s">
        <v>25</v>
      </c>
      <c r="I229" t="s">
        <v>25</v>
      </c>
      <c r="J229" t="s">
        <v>138</v>
      </c>
      <c r="K229" t="s">
        <v>114</v>
      </c>
      <c r="L229" t="s">
        <v>140</v>
      </c>
      <c r="M229">
        <v>555.24552490999997</v>
      </c>
      <c r="N229">
        <v>0</v>
      </c>
      <c r="O229" t="s">
        <v>104</v>
      </c>
      <c r="P229" s="56">
        <v>44269.873619479164</v>
      </c>
      <c r="Q229">
        <v>2848426</v>
      </c>
      <c r="R229" t="s">
        <v>105</v>
      </c>
      <c r="S229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108</v>
      </c>
      <c r="AD229" s="56">
        <v>43770</v>
      </c>
    </row>
    <row r="230" spans="1:30" x14ac:dyDescent="0.3">
      <c r="A230">
        <v>229657</v>
      </c>
      <c r="B230" t="s">
        <v>189</v>
      </c>
      <c r="C230">
        <v>2019</v>
      </c>
      <c r="D230">
        <v>5</v>
      </c>
      <c r="E230" t="s">
        <v>110</v>
      </c>
      <c r="F230" t="s">
        <v>108</v>
      </c>
      <c r="G230" t="s">
        <v>108</v>
      </c>
      <c r="H230" t="s">
        <v>25</v>
      </c>
      <c r="I230" t="s">
        <v>25</v>
      </c>
      <c r="J230" t="s">
        <v>138</v>
      </c>
      <c r="K230" t="s">
        <v>110</v>
      </c>
      <c r="L230" t="s">
        <v>140</v>
      </c>
      <c r="M230">
        <v>1362.84439969</v>
      </c>
      <c r="N230">
        <v>0</v>
      </c>
      <c r="O230" t="s">
        <v>104</v>
      </c>
      <c r="P230" s="56">
        <v>44269.864757754629</v>
      </c>
      <c r="Q230">
        <v>2179509</v>
      </c>
      <c r="R230" t="s">
        <v>105</v>
      </c>
      <c r="S230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108</v>
      </c>
      <c r="AD230" s="56">
        <v>43586</v>
      </c>
    </row>
    <row r="231" spans="1:30" x14ac:dyDescent="0.3">
      <c r="A231">
        <v>287271</v>
      </c>
      <c r="B231" t="s">
        <v>193</v>
      </c>
      <c r="C231">
        <v>2019</v>
      </c>
      <c r="D231">
        <v>10</v>
      </c>
      <c r="E231" t="s">
        <v>110</v>
      </c>
      <c r="F231" t="s">
        <v>108</v>
      </c>
      <c r="G231" t="s">
        <v>108</v>
      </c>
      <c r="H231" t="s">
        <v>25</v>
      </c>
      <c r="I231" t="s">
        <v>25</v>
      </c>
      <c r="J231" t="s">
        <v>138</v>
      </c>
      <c r="K231" t="s">
        <v>110</v>
      </c>
      <c r="L231" t="s">
        <v>140</v>
      </c>
      <c r="M231">
        <v>1469.1859072899999</v>
      </c>
      <c r="N231">
        <v>0</v>
      </c>
      <c r="O231" t="s">
        <v>104</v>
      </c>
      <c r="P231" s="56">
        <v>44269.871966747683</v>
      </c>
      <c r="Q231">
        <v>2717449</v>
      </c>
      <c r="R231" t="s">
        <v>105</v>
      </c>
      <c r="S231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108</v>
      </c>
      <c r="AD231" s="56">
        <v>43739</v>
      </c>
    </row>
    <row r="232" spans="1:30" x14ac:dyDescent="0.3">
      <c r="A232">
        <v>243465</v>
      </c>
      <c r="B232" t="s">
        <v>190</v>
      </c>
      <c r="C232">
        <v>2019</v>
      </c>
      <c r="D232">
        <v>6</v>
      </c>
      <c r="E232" t="s">
        <v>114</v>
      </c>
      <c r="F232" t="s">
        <v>108</v>
      </c>
      <c r="G232" t="s">
        <v>108</v>
      </c>
      <c r="H232" t="s">
        <v>25</v>
      </c>
      <c r="I232" t="s">
        <v>25</v>
      </c>
      <c r="J232" t="s">
        <v>138</v>
      </c>
      <c r="K232" t="s">
        <v>114</v>
      </c>
      <c r="L232" t="s">
        <v>140</v>
      </c>
      <c r="M232">
        <v>676.21524277000003</v>
      </c>
      <c r="N232">
        <v>0</v>
      </c>
      <c r="O232" t="s">
        <v>104</v>
      </c>
      <c r="P232" s="56">
        <v>44269.866386307869</v>
      </c>
      <c r="Q232">
        <v>2309773</v>
      </c>
      <c r="R232" t="s">
        <v>105</v>
      </c>
      <c r="S232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108</v>
      </c>
      <c r="AD232" s="56">
        <v>43617</v>
      </c>
    </row>
    <row r="233" spans="1:30" x14ac:dyDescent="0.3">
      <c r="A233">
        <v>287298</v>
      </c>
      <c r="B233" t="s">
        <v>193</v>
      </c>
      <c r="C233">
        <v>2019</v>
      </c>
      <c r="D233">
        <v>10</v>
      </c>
      <c r="E233" t="s">
        <v>112</v>
      </c>
      <c r="F233" t="s">
        <v>108</v>
      </c>
      <c r="G233" t="s">
        <v>108</v>
      </c>
      <c r="H233" t="s">
        <v>25</v>
      </c>
      <c r="I233" t="s">
        <v>25</v>
      </c>
      <c r="J233" t="s">
        <v>138</v>
      </c>
      <c r="K233" t="s">
        <v>112</v>
      </c>
      <c r="L233" t="s">
        <v>140</v>
      </c>
      <c r="M233">
        <v>290.75618709000003</v>
      </c>
      <c r="N233">
        <v>0</v>
      </c>
      <c r="O233" t="s">
        <v>104</v>
      </c>
      <c r="P233" s="56">
        <v>44269.871968136576</v>
      </c>
      <c r="Q233">
        <v>2717584</v>
      </c>
      <c r="R233" t="s">
        <v>105</v>
      </c>
      <c r="S233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108</v>
      </c>
      <c r="AD233" s="56">
        <v>43739</v>
      </c>
    </row>
    <row r="234" spans="1:30" x14ac:dyDescent="0.3">
      <c r="A234">
        <v>273453</v>
      </c>
      <c r="B234" t="s">
        <v>191</v>
      </c>
      <c r="C234">
        <v>2019</v>
      </c>
      <c r="D234">
        <v>9</v>
      </c>
      <c r="E234" t="s">
        <v>110</v>
      </c>
      <c r="F234" t="s">
        <v>108</v>
      </c>
      <c r="G234" t="s">
        <v>108</v>
      </c>
      <c r="H234" t="s">
        <v>25</v>
      </c>
      <c r="I234" t="s">
        <v>25</v>
      </c>
      <c r="J234" t="s">
        <v>138</v>
      </c>
      <c r="K234" t="s">
        <v>110</v>
      </c>
      <c r="L234" t="s">
        <v>140</v>
      </c>
      <c r="M234">
        <v>1168.3183385699999</v>
      </c>
      <c r="N234">
        <v>0</v>
      </c>
      <c r="O234" t="s">
        <v>104</v>
      </c>
      <c r="P234" s="56">
        <v>44269.870331331018</v>
      </c>
      <c r="Q234">
        <v>2586742</v>
      </c>
      <c r="R234" t="s">
        <v>105</v>
      </c>
      <c r="S23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108</v>
      </c>
      <c r="AD234" s="56">
        <v>43709</v>
      </c>
    </row>
    <row r="235" spans="1:30" x14ac:dyDescent="0.3">
      <c r="A235">
        <v>301089</v>
      </c>
      <c r="B235" t="s">
        <v>192</v>
      </c>
      <c r="C235">
        <v>2019</v>
      </c>
      <c r="D235">
        <v>11</v>
      </c>
      <c r="E235" t="s">
        <v>110</v>
      </c>
      <c r="F235" t="s">
        <v>108</v>
      </c>
      <c r="G235" t="s">
        <v>108</v>
      </c>
      <c r="H235" t="s">
        <v>25</v>
      </c>
      <c r="I235" t="s">
        <v>25</v>
      </c>
      <c r="J235" t="s">
        <v>138</v>
      </c>
      <c r="K235" t="s">
        <v>110</v>
      </c>
      <c r="L235" t="s">
        <v>140</v>
      </c>
      <c r="M235">
        <v>1777.6837430800001</v>
      </c>
      <c r="N235">
        <v>0</v>
      </c>
      <c r="O235" t="s">
        <v>104</v>
      </c>
      <c r="P235" s="56">
        <v>44269.873616666657</v>
      </c>
      <c r="Q235">
        <v>2848156</v>
      </c>
      <c r="R235" t="s">
        <v>105</v>
      </c>
      <c r="S235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108</v>
      </c>
      <c r="AD235" s="56">
        <v>43770</v>
      </c>
    </row>
    <row r="236" spans="1:30" x14ac:dyDescent="0.3">
      <c r="B236" s="1"/>
    </row>
    <row r="237" spans="1:30" x14ac:dyDescent="0.3">
      <c r="B237" s="1"/>
    </row>
    <row r="238" spans="1:30" x14ac:dyDescent="0.3">
      <c r="B238" s="1"/>
    </row>
    <row r="239" spans="1:30" x14ac:dyDescent="0.3">
      <c r="B239" s="1"/>
    </row>
    <row r="240" spans="1:30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  <row r="512" spans="2:2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  <row r="999" spans="2:2" x14ac:dyDescent="0.3">
      <c r="B999" s="1"/>
    </row>
    <row r="1000" spans="2:2" x14ac:dyDescent="0.3">
      <c r="B1000" s="1"/>
    </row>
    <row r="1001" spans="2:2" x14ac:dyDescent="0.3">
      <c r="B1001" s="1"/>
    </row>
    <row r="1002" spans="2:2" x14ac:dyDescent="0.3">
      <c r="B1002" s="1"/>
    </row>
    <row r="1003" spans="2:2" x14ac:dyDescent="0.3">
      <c r="B1003" s="1"/>
    </row>
    <row r="1004" spans="2:2" x14ac:dyDescent="0.3">
      <c r="B1004" s="1"/>
    </row>
    <row r="1005" spans="2:2" x14ac:dyDescent="0.3">
      <c r="B1005" s="1"/>
    </row>
    <row r="1006" spans="2:2" x14ac:dyDescent="0.3">
      <c r="B1006" s="1"/>
    </row>
    <row r="1007" spans="2:2" x14ac:dyDescent="0.3">
      <c r="B1007" s="1"/>
    </row>
    <row r="1008" spans="2:2" x14ac:dyDescent="0.3">
      <c r="B1008" s="1"/>
    </row>
    <row r="1009" spans="2:2" x14ac:dyDescent="0.3">
      <c r="B1009" s="1"/>
    </row>
    <row r="1010" spans="2:2" x14ac:dyDescent="0.3">
      <c r="B1010" s="1"/>
    </row>
    <row r="1011" spans="2:2" x14ac:dyDescent="0.3">
      <c r="B1011" s="1"/>
    </row>
    <row r="1012" spans="2:2" x14ac:dyDescent="0.3">
      <c r="B1012" s="1"/>
    </row>
    <row r="1013" spans="2:2" x14ac:dyDescent="0.3">
      <c r="B1013" s="1"/>
    </row>
    <row r="1014" spans="2:2" x14ac:dyDescent="0.3">
      <c r="B1014" s="1"/>
    </row>
    <row r="1015" spans="2:2" x14ac:dyDescent="0.3">
      <c r="B1015" s="1"/>
    </row>
    <row r="1016" spans="2:2" x14ac:dyDescent="0.3">
      <c r="B1016" s="1"/>
    </row>
    <row r="1017" spans="2:2" x14ac:dyDescent="0.3">
      <c r="B1017" s="1"/>
    </row>
    <row r="1018" spans="2:2" x14ac:dyDescent="0.3">
      <c r="B1018" s="1"/>
    </row>
    <row r="1019" spans="2:2" x14ac:dyDescent="0.3">
      <c r="B1019" s="1"/>
    </row>
    <row r="1020" spans="2:2" x14ac:dyDescent="0.3">
      <c r="B1020" s="1"/>
    </row>
    <row r="1021" spans="2:2" x14ac:dyDescent="0.3">
      <c r="B1021" s="1"/>
    </row>
    <row r="1022" spans="2:2" x14ac:dyDescent="0.3">
      <c r="B1022" s="1"/>
    </row>
    <row r="1023" spans="2:2" x14ac:dyDescent="0.3">
      <c r="B1023" s="1"/>
    </row>
    <row r="1024" spans="2:2" x14ac:dyDescent="0.3">
      <c r="B1024" s="1"/>
    </row>
    <row r="1025" spans="2:2" x14ac:dyDescent="0.3">
      <c r="B1025" s="1"/>
    </row>
    <row r="1026" spans="2:2" x14ac:dyDescent="0.3">
      <c r="B1026" s="1"/>
    </row>
    <row r="1027" spans="2:2" x14ac:dyDescent="0.3">
      <c r="B1027" s="1"/>
    </row>
    <row r="1028" spans="2:2" x14ac:dyDescent="0.3">
      <c r="B1028" s="1"/>
    </row>
    <row r="1029" spans="2:2" x14ac:dyDescent="0.3">
      <c r="B1029" s="1"/>
    </row>
    <row r="1030" spans="2:2" x14ac:dyDescent="0.3">
      <c r="B1030" s="1"/>
    </row>
    <row r="1031" spans="2:2" x14ac:dyDescent="0.3">
      <c r="B1031" s="1"/>
    </row>
    <row r="1032" spans="2:2" x14ac:dyDescent="0.3">
      <c r="B1032" s="1"/>
    </row>
    <row r="1033" spans="2:2" x14ac:dyDescent="0.3">
      <c r="B1033" s="1"/>
    </row>
    <row r="1034" spans="2:2" x14ac:dyDescent="0.3">
      <c r="B1034" s="1"/>
    </row>
    <row r="1035" spans="2:2" x14ac:dyDescent="0.3">
      <c r="B1035" s="1"/>
    </row>
    <row r="1036" spans="2:2" x14ac:dyDescent="0.3">
      <c r="B1036" s="1"/>
    </row>
    <row r="1037" spans="2:2" x14ac:dyDescent="0.3">
      <c r="B1037" s="1"/>
    </row>
    <row r="1038" spans="2:2" x14ac:dyDescent="0.3">
      <c r="B1038" s="1"/>
    </row>
    <row r="1039" spans="2:2" x14ac:dyDescent="0.3">
      <c r="B1039" s="1"/>
    </row>
    <row r="1040" spans="2:2" x14ac:dyDescent="0.3">
      <c r="B1040" s="1"/>
    </row>
    <row r="1041" spans="2:2" x14ac:dyDescent="0.3">
      <c r="B1041" s="1"/>
    </row>
    <row r="1042" spans="2:2" x14ac:dyDescent="0.3">
      <c r="B1042" s="1"/>
    </row>
    <row r="1043" spans="2:2" x14ac:dyDescent="0.3">
      <c r="B1043" s="1"/>
    </row>
    <row r="1044" spans="2:2" x14ac:dyDescent="0.3">
      <c r="B1044" s="1"/>
    </row>
    <row r="1045" spans="2:2" x14ac:dyDescent="0.3">
      <c r="B1045" s="1"/>
    </row>
    <row r="1046" spans="2:2" x14ac:dyDescent="0.3">
      <c r="B1046" s="1"/>
    </row>
    <row r="1047" spans="2:2" x14ac:dyDescent="0.3">
      <c r="B1047" s="1"/>
    </row>
    <row r="1048" spans="2:2" x14ac:dyDescent="0.3">
      <c r="B1048" s="1"/>
    </row>
    <row r="1049" spans="2:2" x14ac:dyDescent="0.3">
      <c r="B1049" s="1"/>
    </row>
    <row r="1050" spans="2:2" x14ac:dyDescent="0.3">
      <c r="B1050" s="1"/>
    </row>
    <row r="1051" spans="2:2" x14ac:dyDescent="0.3">
      <c r="B1051" s="1"/>
    </row>
    <row r="1052" spans="2:2" x14ac:dyDescent="0.3">
      <c r="B1052" s="1"/>
    </row>
    <row r="1053" spans="2:2" x14ac:dyDescent="0.3">
      <c r="B1053" s="1"/>
    </row>
    <row r="1054" spans="2:2" x14ac:dyDescent="0.3">
      <c r="B1054" s="1"/>
    </row>
    <row r="1055" spans="2:2" x14ac:dyDescent="0.3">
      <c r="B1055" s="1"/>
    </row>
    <row r="1056" spans="2:2" x14ac:dyDescent="0.3">
      <c r="B1056" s="1"/>
    </row>
    <row r="1057" spans="2:2" x14ac:dyDescent="0.3">
      <c r="B1057" s="1"/>
    </row>
    <row r="1058" spans="2:2" x14ac:dyDescent="0.3">
      <c r="B1058" s="1"/>
    </row>
    <row r="1059" spans="2:2" x14ac:dyDescent="0.3">
      <c r="B1059" s="1"/>
    </row>
    <row r="1060" spans="2:2" x14ac:dyDescent="0.3">
      <c r="B1060" s="1"/>
    </row>
    <row r="1061" spans="2:2" x14ac:dyDescent="0.3">
      <c r="B1061" s="1"/>
    </row>
    <row r="1062" spans="2:2" x14ac:dyDescent="0.3">
      <c r="B1062" s="1"/>
    </row>
    <row r="1063" spans="2:2" x14ac:dyDescent="0.3">
      <c r="B1063" s="1"/>
    </row>
    <row r="1064" spans="2:2" x14ac:dyDescent="0.3">
      <c r="B1064" s="1"/>
    </row>
    <row r="1065" spans="2:2" x14ac:dyDescent="0.3">
      <c r="B1065" s="1"/>
    </row>
    <row r="1066" spans="2:2" x14ac:dyDescent="0.3">
      <c r="B1066" s="1"/>
    </row>
    <row r="1067" spans="2:2" x14ac:dyDescent="0.3">
      <c r="B1067" s="1"/>
    </row>
    <row r="1068" spans="2:2" x14ac:dyDescent="0.3">
      <c r="B1068" s="1"/>
    </row>
    <row r="1069" spans="2:2" x14ac:dyDescent="0.3">
      <c r="B1069" s="1"/>
    </row>
    <row r="1070" spans="2:2" x14ac:dyDescent="0.3">
      <c r="B1070" s="1"/>
    </row>
    <row r="1071" spans="2:2" x14ac:dyDescent="0.3">
      <c r="B1071" s="1"/>
    </row>
    <row r="1072" spans="2:2" x14ac:dyDescent="0.3">
      <c r="B1072" s="1"/>
    </row>
    <row r="1073" spans="2:2" x14ac:dyDescent="0.3">
      <c r="B1073" s="1"/>
    </row>
    <row r="1074" spans="2:2" x14ac:dyDescent="0.3">
      <c r="B1074" s="1"/>
    </row>
    <row r="1075" spans="2:2" x14ac:dyDescent="0.3">
      <c r="B1075" s="1"/>
    </row>
    <row r="1076" spans="2:2" x14ac:dyDescent="0.3">
      <c r="B1076" s="1"/>
    </row>
    <row r="1077" spans="2:2" x14ac:dyDescent="0.3">
      <c r="B1077" s="1"/>
    </row>
    <row r="1078" spans="2:2" x14ac:dyDescent="0.3">
      <c r="B1078" s="1"/>
    </row>
    <row r="1079" spans="2:2" x14ac:dyDescent="0.3">
      <c r="B1079" s="1"/>
    </row>
    <row r="1080" spans="2:2" x14ac:dyDescent="0.3">
      <c r="B1080" s="1"/>
    </row>
    <row r="1081" spans="2:2" x14ac:dyDescent="0.3">
      <c r="B1081" s="1"/>
    </row>
    <row r="1082" spans="2:2" x14ac:dyDescent="0.3">
      <c r="B1082" s="1"/>
    </row>
    <row r="1083" spans="2:2" x14ac:dyDescent="0.3">
      <c r="B1083" s="1"/>
    </row>
    <row r="1084" spans="2:2" x14ac:dyDescent="0.3">
      <c r="B1084" s="1"/>
    </row>
    <row r="1085" spans="2:2" x14ac:dyDescent="0.3">
      <c r="B1085" s="1"/>
    </row>
    <row r="1086" spans="2:2" x14ac:dyDescent="0.3">
      <c r="B1086" s="1"/>
    </row>
    <row r="1087" spans="2:2" x14ac:dyDescent="0.3">
      <c r="B1087" s="1"/>
    </row>
    <row r="1088" spans="2:2" x14ac:dyDescent="0.3">
      <c r="B1088" s="1"/>
    </row>
    <row r="1089" spans="2:2" x14ac:dyDescent="0.3">
      <c r="B1089" s="1"/>
    </row>
    <row r="1090" spans="2:2" x14ac:dyDescent="0.3">
      <c r="B1090" s="1"/>
    </row>
    <row r="1091" spans="2:2" x14ac:dyDescent="0.3">
      <c r="B1091" s="1"/>
    </row>
    <row r="1092" spans="2:2" x14ac:dyDescent="0.3">
      <c r="B1092" s="1"/>
    </row>
    <row r="1093" spans="2:2" x14ac:dyDescent="0.3">
      <c r="B1093" s="1"/>
    </row>
    <row r="1094" spans="2:2" x14ac:dyDescent="0.3">
      <c r="B1094" s="1"/>
    </row>
    <row r="1095" spans="2:2" x14ac:dyDescent="0.3">
      <c r="B1095" s="1"/>
    </row>
    <row r="1096" spans="2:2" x14ac:dyDescent="0.3">
      <c r="B1096" s="1"/>
    </row>
    <row r="1097" spans="2:2" x14ac:dyDescent="0.3">
      <c r="B1097" s="1"/>
    </row>
    <row r="1098" spans="2:2" x14ac:dyDescent="0.3">
      <c r="B1098" s="1"/>
    </row>
    <row r="1099" spans="2:2" x14ac:dyDescent="0.3">
      <c r="B1099" s="1"/>
    </row>
    <row r="1100" spans="2:2" x14ac:dyDescent="0.3">
      <c r="B1100" s="1"/>
    </row>
    <row r="1101" spans="2:2" x14ac:dyDescent="0.3">
      <c r="B1101" s="1"/>
    </row>
    <row r="1102" spans="2:2" x14ac:dyDescent="0.3">
      <c r="B1102" s="1"/>
    </row>
    <row r="1103" spans="2:2" x14ac:dyDescent="0.3">
      <c r="B1103" s="1"/>
    </row>
    <row r="1104" spans="2:2" x14ac:dyDescent="0.3">
      <c r="B1104" s="1"/>
    </row>
    <row r="1105" spans="2:2" x14ac:dyDescent="0.3">
      <c r="B1105" s="1"/>
    </row>
    <row r="1106" spans="2:2" x14ac:dyDescent="0.3">
      <c r="B1106" s="1"/>
    </row>
    <row r="1107" spans="2:2" x14ac:dyDescent="0.3">
      <c r="B1107" s="1"/>
    </row>
    <row r="1108" spans="2:2" x14ac:dyDescent="0.3">
      <c r="B1108" s="1"/>
    </row>
    <row r="1109" spans="2:2" x14ac:dyDescent="0.3">
      <c r="B1109" s="1"/>
    </row>
    <row r="1110" spans="2:2" x14ac:dyDescent="0.3">
      <c r="B1110" s="1"/>
    </row>
    <row r="1111" spans="2:2" x14ac:dyDescent="0.3">
      <c r="B1111" s="1"/>
    </row>
    <row r="1112" spans="2:2" x14ac:dyDescent="0.3">
      <c r="B1112" s="1"/>
    </row>
    <row r="1113" spans="2:2" x14ac:dyDescent="0.3">
      <c r="B1113" s="1"/>
    </row>
    <row r="1114" spans="2:2" x14ac:dyDescent="0.3">
      <c r="B1114" s="1"/>
    </row>
    <row r="1115" spans="2:2" x14ac:dyDescent="0.3">
      <c r="B1115" s="1"/>
    </row>
    <row r="1116" spans="2:2" x14ac:dyDescent="0.3">
      <c r="B1116" s="1"/>
    </row>
    <row r="1117" spans="2:2" x14ac:dyDescent="0.3">
      <c r="B1117" s="1"/>
    </row>
    <row r="1118" spans="2:2" x14ac:dyDescent="0.3">
      <c r="B1118" s="1"/>
    </row>
    <row r="1119" spans="2:2" x14ac:dyDescent="0.3">
      <c r="B1119" s="1"/>
    </row>
    <row r="1120" spans="2:2" x14ac:dyDescent="0.3">
      <c r="B1120" s="1"/>
    </row>
    <row r="1121" spans="2:2" x14ac:dyDescent="0.3">
      <c r="B1121" s="1"/>
    </row>
    <row r="1122" spans="2:2" x14ac:dyDescent="0.3">
      <c r="B1122" s="1"/>
    </row>
    <row r="1123" spans="2:2" x14ac:dyDescent="0.3">
      <c r="B1123" s="1"/>
    </row>
    <row r="1124" spans="2:2" x14ac:dyDescent="0.3">
      <c r="B1124" s="1"/>
    </row>
    <row r="1125" spans="2:2" x14ac:dyDescent="0.3">
      <c r="B1125" s="1"/>
    </row>
    <row r="1126" spans="2:2" x14ac:dyDescent="0.3">
      <c r="B1126" s="1"/>
    </row>
    <row r="1127" spans="2:2" x14ac:dyDescent="0.3">
      <c r="B1127" s="1"/>
    </row>
    <row r="1128" spans="2:2" x14ac:dyDescent="0.3">
      <c r="B1128" s="1"/>
    </row>
    <row r="1129" spans="2:2" x14ac:dyDescent="0.3">
      <c r="B1129" s="1"/>
    </row>
    <row r="1130" spans="2:2" x14ac:dyDescent="0.3">
      <c r="B1130" s="1"/>
    </row>
    <row r="1131" spans="2:2" x14ac:dyDescent="0.3">
      <c r="B1131" s="1"/>
    </row>
    <row r="1132" spans="2:2" x14ac:dyDescent="0.3">
      <c r="B1132" s="1"/>
    </row>
    <row r="1133" spans="2:2" x14ac:dyDescent="0.3">
      <c r="B1133" s="1"/>
    </row>
    <row r="1134" spans="2:2" x14ac:dyDescent="0.3">
      <c r="B1134" s="1"/>
    </row>
    <row r="1135" spans="2:2" x14ac:dyDescent="0.3">
      <c r="B1135" s="1"/>
    </row>
    <row r="1136" spans="2:2" x14ac:dyDescent="0.3">
      <c r="B1136" s="1"/>
    </row>
    <row r="1137" spans="2:2" x14ac:dyDescent="0.3">
      <c r="B1137" s="1"/>
    </row>
    <row r="1138" spans="2:2" x14ac:dyDescent="0.3">
      <c r="B1138" s="1"/>
    </row>
    <row r="1139" spans="2:2" x14ac:dyDescent="0.3">
      <c r="B1139" s="1"/>
    </row>
    <row r="1140" spans="2:2" x14ac:dyDescent="0.3">
      <c r="B1140" s="1"/>
    </row>
    <row r="1141" spans="2:2" x14ac:dyDescent="0.3">
      <c r="B1141" s="1"/>
    </row>
    <row r="1142" spans="2:2" x14ac:dyDescent="0.3">
      <c r="B1142" s="1"/>
    </row>
    <row r="1143" spans="2:2" x14ac:dyDescent="0.3">
      <c r="B1143" s="1"/>
    </row>
    <row r="1144" spans="2:2" x14ac:dyDescent="0.3">
      <c r="B1144" s="1"/>
    </row>
    <row r="1145" spans="2:2" x14ac:dyDescent="0.3">
      <c r="B1145" s="1"/>
    </row>
    <row r="1146" spans="2:2" x14ac:dyDescent="0.3">
      <c r="B1146" s="1"/>
    </row>
    <row r="1147" spans="2:2" x14ac:dyDescent="0.3">
      <c r="B1147" s="1"/>
    </row>
    <row r="1148" spans="2:2" x14ac:dyDescent="0.3">
      <c r="B1148" s="1"/>
    </row>
    <row r="1149" spans="2:2" x14ac:dyDescent="0.3">
      <c r="B1149" s="1"/>
    </row>
    <row r="1150" spans="2:2" x14ac:dyDescent="0.3">
      <c r="B1150" s="1"/>
    </row>
    <row r="1151" spans="2:2" x14ac:dyDescent="0.3">
      <c r="B1151" s="1"/>
    </row>
    <row r="1152" spans="2:2" x14ac:dyDescent="0.3">
      <c r="B1152" s="1"/>
    </row>
    <row r="1153" spans="2:2" x14ac:dyDescent="0.3">
      <c r="B1153" s="1"/>
    </row>
    <row r="1154" spans="2:2" x14ac:dyDescent="0.3">
      <c r="B1154" s="1"/>
    </row>
    <row r="1155" spans="2:2" x14ac:dyDescent="0.3">
      <c r="B1155" s="1"/>
    </row>
    <row r="1156" spans="2:2" x14ac:dyDescent="0.3">
      <c r="B1156" s="1"/>
    </row>
    <row r="1157" spans="2:2" x14ac:dyDescent="0.3">
      <c r="B1157" s="1"/>
    </row>
    <row r="1158" spans="2:2" x14ac:dyDescent="0.3">
      <c r="B1158" s="1"/>
    </row>
    <row r="1159" spans="2:2" x14ac:dyDescent="0.3">
      <c r="B1159" s="1"/>
    </row>
    <row r="1160" spans="2:2" x14ac:dyDescent="0.3">
      <c r="B1160" s="1"/>
    </row>
    <row r="1161" spans="2:2" x14ac:dyDescent="0.3">
      <c r="B1161" s="1"/>
    </row>
    <row r="1162" spans="2:2" x14ac:dyDescent="0.3">
      <c r="B1162" s="1"/>
    </row>
    <row r="1163" spans="2:2" x14ac:dyDescent="0.3">
      <c r="B1163" s="1"/>
    </row>
    <row r="1164" spans="2:2" x14ac:dyDescent="0.3">
      <c r="B1164" s="1"/>
    </row>
    <row r="1165" spans="2:2" x14ac:dyDescent="0.3">
      <c r="B1165" s="1"/>
    </row>
    <row r="1166" spans="2:2" x14ac:dyDescent="0.3">
      <c r="B1166" s="1"/>
    </row>
    <row r="1167" spans="2:2" x14ac:dyDescent="0.3">
      <c r="B1167" s="1"/>
    </row>
    <row r="1168" spans="2:2" x14ac:dyDescent="0.3">
      <c r="B1168" s="1"/>
    </row>
    <row r="1169" spans="2:2" x14ac:dyDescent="0.3">
      <c r="B1169" s="1"/>
    </row>
    <row r="1170" spans="2:2" x14ac:dyDescent="0.3">
      <c r="B1170" s="1"/>
    </row>
    <row r="1171" spans="2:2" x14ac:dyDescent="0.3">
      <c r="B1171" s="1"/>
    </row>
    <row r="1172" spans="2:2" x14ac:dyDescent="0.3">
      <c r="B1172" s="1"/>
    </row>
    <row r="1173" spans="2:2" x14ac:dyDescent="0.3">
      <c r="B1173" s="1"/>
    </row>
    <row r="1174" spans="2:2" x14ac:dyDescent="0.3">
      <c r="B1174" s="1"/>
    </row>
    <row r="1175" spans="2:2" x14ac:dyDescent="0.3">
      <c r="B1175" s="1"/>
    </row>
    <row r="1176" spans="2:2" x14ac:dyDescent="0.3">
      <c r="B1176" s="1"/>
    </row>
    <row r="1177" spans="2:2" x14ac:dyDescent="0.3">
      <c r="B1177" s="1"/>
    </row>
    <row r="1178" spans="2:2" x14ac:dyDescent="0.3">
      <c r="B1178" s="1"/>
    </row>
    <row r="1179" spans="2:2" x14ac:dyDescent="0.3">
      <c r="B1179" s="1"/>
    </row>
    <row r="1180" spans="2:2" x14ac:dyDescent="0.3">
      <c r="B1180" s="1"/>
    </row>
    <row r="1181" spans="2:2" x14ac:dyDescent="0.3">
      <c r="B1181" s="1"/>
    </row>
    <row r="1182" spans="2:2" x14ac:dyDescent="0.3">
      <c r="B1182" s="1"/>
    </row>
    <row r="1183" spans="2:2" x14ac:dyDescent="0.3">
      <c r="B1183" s="1"/>
    </row>
    <row r="1184" spans="2:2" x14ac:dyDescent="0.3">
      <c r="B1184" s="1"/>
    </row>
    <row r="1185" spans="2:2" x14ac:dyDescent="0.3">
      <c r="B1185" s="1"/>
    </row>
    <row r="1186" spans="2:2" x14ac:dyDescent="0.3">
      <c r="B1186" s="1"/>
    </row>
    <row r="1187" spans="2:2" x14ac:dyDescent="0.3">
      <c r="B1187" s="1"/>
    </row>
    <row r="1188" spans="2:2" x14ac:dyDescent="0.3">
      <c r="B1188" s="1"/>
    </row>
    <row r="1189" spans="2:2" x14ac:dyDescent="0.3">
      <c r="B1189" s="1"/>
    </row>
    <row r="1190" spans="2:2" x14ac:dyDescent="0.3">
      <c r="B1190" s="1"/>
    </row>
    <row r="1191" spans="2:2" x14ac:dyDescent="0.3">
      <c r="B1191" s="1"/>
    </row>
    <row r="1192" spans="2:2" x14ac:dyDescent="0.3">
      <c r="B1192" s="1"/>
    </row>
    <row r="1193" spans="2:2" x14ac:dyDescent="0.3">
      <c r="B1193" s="1"/>
    </row>
    <row r="1194" spans="2:2" x14ac:dyDescent="0.3">
      <c r="B1194" s="1"/>
    </row>
    <row r="1195" spans="2:2" x14ac:dyDescent="0.3">
      <c r="B1195" s="1"/>
    </row>
    <row r="1196" spans="2:2" x14ac:dyDescent="0.3">
      <c r="B1196" s="1"/>
    </row>
    <row r="1197" spans="2:2" x14ac:dyDescent="0.3">
      <c r="B1197" s="1"/>
    </row>
    <row r="1198" spans="2:2" x14ac:dyDescent="0.3">
      <c r="B1198" s="1"/>
    </row>
    <row r="1199" spans="2:2" x14ac:dyDescent="0.3">
      <c r="B1199" s="1"/>
    </row>
    <row r="1200" spans="2:2" x14ac:dyDescent="0.3">
      <c r="B1200" s="1"/>
    </row>
    <row r="1201" spans="2:2" x14ac:dyDescent="0.3">
      <c r="B1201" s="1"/>
    </row>
    <row r="1202" spans="2:2" x14ac:dyDescent="0.3">
      <c r="B1202" s="1"/>
    </row>
    <row r="1203" spans="2:2" x14ac:dyDescent="0.3">
      <c r="B1203" s="1"/>
    </row>
    <row r="1204" spans="2:2" x14ac:dyDescent="0.3">
      <c r="B1204" s="1"/>
    </row>
    <row r="1205" spans="2:2" x14ac:dyDescent="0.3">
      <c r="B1205" s="1"/>
    </row>
    <row r="1206" spans="2:2" x14ac:dyDescent="0.3">
      <c r="B1206" s="1"/>
    </row>
    <row r="1207" spans="2:2" x14ac:dyDescent="0.3">
      <c r="B1207" s="1"/>
    </row>
    <row r="1208" spans="2:2" x14ac:dyDescent="0.3">
      <c r="B1208" s="1"/>
    </row>
    <row r="1209" spans="2:2" x14ac:dyDescent="0.3">
      <c r="B1209" s="1"/>
    </row>
    <row r="1210" spans="2:2" x14ac:dyDescent="0.3">
      <c r="B1210" s="1"/>
    </row>
    <row r="1211" spans="2:2" x14ac:dyDescent="0.3">
      <c r="B1211" s="1"/>
    </row>
    <row r="1212" spans="2:2" x14ac:dyDescent="0.3">
      <c r="B1212" s="1"/>
    </row>
    <row r="1213" spans="2:2" x14ac:dyDescent="0.3">
      <c r="B1213" s="1"/>
    </row>
    <row r="1214" spans="2:2" x14ac:dyDescent="0.3">
      <c r="B1214" s="1"/>
    </row>
    <row r="1215" spans="2:2" x14ac:dyDescent="0.3">
      <c r="B1215" s="1"/>
    </row>
    <row r="1216" spans="2:2" x14ac:dyDescent="0.3">
      <c r="B1216" s="1"/>
    </row>
    <row r="1217" spans="2:2" x14ac:dyDescent="0.3">
      <c r="B1217" s="1"/>
    </row>
    <row r="1218" spans="2:2" x14ac:dyDescent="0.3">
      <c r="B1218" s="1"/>
    </row>
    <row r="1219" spans="2:2" x14ac:dyDescent="0.3">
      <c r="B1219" s="1"/>
    </row>
    <row r="1220" spans="2:2" x14ac:dyDescent="0.3">
      <c r="B1220" s="1"/>
    </row>
    <row r="1221" spans="2:2" x14ac:dyDescent="0.3">
      <c r="B1221" s="1"/>
    </row>
    <row r="1222" spans="2:2" x14ac:dyDescent="0.3">
      <c r="B1222" s="1"/>
    </row>
    <row r="1223" spans="2:2" x14ac:dyDescent="0.3">
      <c r="B1223" s="1"/>
    </row>
    <row r="1224" spans="2:2" x14ac:dyDescent="0.3">
      <c r="B1224" s="1"/>
    </row>
    <row r="1225" spans="2:2" x14ac:dyDescent="0.3">
      <c r="B1225" s="1"/>
    </row>
    <row r="1226" spans="2:2" x14ac:dyDescent="0.3">
      <c r="B1226" s="1"/>
    </row>
    <row r="1227" spans="2:2" x14ac:dyDescent="0.3">
      <c r="B1227" s="1"/>
    </row>
    <row r="1228" spans="2:2" x14ac:dyDescent="0.3">
      <c r="B1228" s="1"/>
    </row>
    <row r="1229" spans="2:2" x14ac:dyDescent="0.3">
      <c r="B1229" s="1"/>
    </row>
    <row r="1230" spans="2:2" x14ac:dyDescent="0.3">
      <c r="B1230" s="1"/>
    </row>
    <row r="1231" spans="2:2" x14ac:dyDescent="0.3">
      <c r="B1231" s="1"/>
    </row>
    <row r="1232" spans="2:2" x14ac:dyDescent="0.3">
      <c r="B1232" s="1"/>
    </row>
    <row r="1233" spans="2:2" x14ac:dyDescent="0.3">
      <c r="B1233" s="1"/>
    </row>
    <row r="1234" spans="2:2" x14ac:dyDescent="0.3">
      <c r="B1234" s="1"/>
    </row>
    <row r="1235" spans="2:2" x14ac:dyDescent="0.3">
      <c r="B1235" s="1"/>
    </row>
    <row r="1236" spans="2:2" x14ac:dyDescent="0.3">
      <c r="B1236" s="1"/>
    </row>
    <row r="1237" spans="2:2" x14ac:dyDescent="0.3">
      <c r="B1237" s="1"/>
    </row>
    <row r="1238" spans="2:2" x14ac:dyDescent="0.3">
      <c r="B1238" s="1"/>
    </row>
    <row r="1239" spans="2:2" x14ac:dyDescent="0.3">
      <c r="B1239" s="1"/>
    </row>
    <row r="1240" spans="2:2" x14ac:dyDescent="0.3">
      <c r="B1240" s="1"/>
    </row>
    <row r="1241" spans="2:2" x14ac:dyDescent="0.3">
      <c r="B1241" s="1"/>
    </row>
    <row r="1242" spans="2:2" x14ac:dyDescent="0.3">
      <c r="B1242" s="1"/>
    </row>
    <row r="1243" spans="2:2" x14ac:dyDescent="0.3">
      <c r="B1243" s="1"/>
    </row>
    <row r="1244" spans="2:2" x14ac:dyDescent="0.3">
      <c r="B1244" s="1"/>
    </row>
    <row r="1245" spans="2:2" x14ac:dyDescent="0.3">
      <c r="B1245" s="1"/>
    </row>
    <row r="1246" spans="2:2" x14ac:dyDescent="0.3">
      <c r="B1246" s="1"/>
    </row>
    <row r="1247" spans="2:2" x14ac:dyDescent="0.3">
      <c r="B1247" s="1"/>
    </row>
    <row r="1248" spans="2:2" x14ac:dyDescent="0.3">
      <c r="B1248" s="1"/>
    </row>
    <row r="1249" spans="2:2" x14ac:dyDescent="0.3">
      <c r="B1249" s="1"/>
    </row>
    <row r="1250" spans="2:2" x14ac:dyDescent="0.3">
      <c r="B1250" s="1"/>
    </row>
    <row r="1251" spans="2:2" x14ac:dyDescent="0.3">
      <c r="B1251" s="1"/>
    </row>
    <row r="1252" spans="2:2" x14ac:dyDescent="0.3">
      <c r="B1252" s="1"/>
    </row>
    <row r="1253" spans="2:2" x14ac:dyDescent="0.3">
      <c r="B1253" s="1"/>
    </row>
    <row r="1254" spans="2:2" x14ac:dyDescent="0.3">
      <c r="B1254" s="1"/>
    </row>
    <row r="1255" spans="2:2" x14ac:dyDescent="0.3">
      <c r="B1255" s="1"/>
    </row>
    <row r="1256" spans="2:2" x14ac:dyDescent="0.3">
      <c r="B1256" s="1"/>
    </row>
    <row r="1257" spans="2:2" x14ac:dyDescent="0.3">
      <c r="B1257" s="1"/>
    </row>
    <row r="1258" spans="2:2" x14ac:dyDescent="0.3">
      <c r="B1258" s="1"/>
    </row>
    <row r="1259" spans="2:2" x14ac:dyDescent="0.3">
      <c r="B1259" s="1"/>
    </row>
    <row r="1260" spans="2:2" x14ac:dyDescent="0.3">
      <c r="B1260" s="1"/>
    </row>
    <row r="1261" spans="2:2" x14ac:dyDescent="0.3">
      <c r="B1261" s="1"/>
    </row>
    <row r="1262" spans="2:2" x14ac:dyDescent="0.3">
      <c r="B1262" s="1"/>
    </row>
    <row r="1263" spans="2:2" x14ac:dyDescent="0.3">
      <c r="B1263" s="1"/>
    </row>
    <row r="1264" spans="2:2" x14ac:dyDescent="0.3">
      <c r="B1264" s="1"/>
    </row>
    <row r="1265" spans="2:2" x14ac:dyDescent="0.3">
      <c r="B1265" s="1"/>
    </row>
    <row r="1266" spans="2:2" x14ac:dyDescent="0.3">
      <c r="B1266" s="1"/>
    </row>
    <row r="1267" spans="2:2" x14ac:dyDescent="0.3">
      <c r="B1267" s="1"/>
    </row>
    <row r="1268" spans="2:2" x14ac:dyDescent="0.3">
      <c r="B1268" s="1"/>
    </row>
    <row r="1269" spans="2:2" x14ac:dyDescent="0.3">
      <c r="B1269" s="1"/>
    </row>
    <row r="1270" spans="2:2" x14ac:dyDescent="0.3">
      <c r="B1270" s="1"/>
    </row>
    <row r="1271" spans="2:2" x14ac:dyDescent="0.3">
      <c r="B1271" s="1"/>
    </row>
    <row r="1272" spans="2:2" x14ac:dyDescent="0.3">
      <c r="B1272" s="1"/>
    </row>
    <row r="1273" spans="2:2" x14ac:dyDescent="0.3">
      <c r="B1273" s="1"/>
    </row>
    <row r="1274" spans="2:2" x14ac:dyDescent="0.3">
      <c r="B1274" s="1"/>
    </row>
    <row r="1275" spans="2:2" x14ac:dyDescent="0.3">
      <c r="B1275" s="1"/>
    </row>
    <row r="1276" spans="2:2" x14ac:dyDescent="0.3">
      <c r="B1276" s="1"/>
    </row>
    <row r="1277" spans="2:2" x14ac:dyDescent="0.3">
      <c r="B1277" s="1"/>
    </row>
    <row r="1278" spans="2:2" x14ac:dyDescent="0.3">
      <c r="B1278" s="1"/>
    </row>
    <row r="1279" spans="2:2" x14ac:dyDescent="0.3">
      <c r="B1279" s="1"/>
    </row>
    <row r="1280" spans="2:2" x14ac:dyDescent="0.3">
      <c r="B1280" s="1"/>
    </row>
    <row r="1281" spans="2:2" x14ac:dyDescent="0.3">
      <c r="B1281" s="1"/>
    </row>
    <row r="1282" spans="2:2" x14ac:dyDescent="0.3">
      <c r="B1282" s="1"/>
    </row>
    <row r="1283" spans="2:2" x14ac:dyDescent="0.3">
      <c r="B1283" s="1"/>
    </row>
    <row r="1284" spans="2:2" x14ac:dyDescent="0.3">
      <c r="B1284" s="1"/>
    </row>
    <row r="1285" spans="2:2" x14ac:dyDescent="0.3">
      <c r="B1285" s="1"/>
    </row>
    <row r="1286" spans="2:2" x14ac:dyDescent="0.3">
      <c r="B1286" s="1"/>
    </row>
    <row r="1287" spans="2:2" x14ac:dyDescent="0.3">
      <c r="B1287" s="1"/>
    </row>
    <row r="1288" spans="2:2" x14ac:dyDescent="0.3">
      <c r="B1288" s="1"/>
    </row>
    <row r="1289" spans="2:2" x14ac:dyDescent="0.3">
      <c r="B1289" s="1"/>
    </row>
    <row r="1290" spans="2:2" x14ac:dyDescent="0.3">
      <c r="B1290" s="1"/>
    </row>
    <row r="1291" spans="2:2" x14ac:dyDescent="0.3">
      <c r="B1291" s="1"/>
    </row>
    <row r="1292" spans="2:2" x14ac:dyDescent="0.3">
      <c r="B1292" s="1"/>
    </row>
    <row r="1293" spans="2:2" x14ac:dyDescent="0.3">
      <c r="B1293" s="1"/>
    </row>
    <row r="1294" spans="2:2" x14ac:dyDescent="0.3">
      <c r="B1294" s="1"/>
    </row>
    <row r="1295" spans="2:2" x14ac:dyDescent="0.3">
      <c r="B1295" s="1"/>
    </row>
    <row r="1296" spans="2:2" x14ac:dyDescent="0.3">
      <c r="B1296" s="1"/>
    </row>
    <row r="1297" spans="2:2" x14ac:dyDescent="0.3">
      <c r="B1297" s="1"/>
    </row>
    <row r="1298" spans="2:2" x14ac:dyDescent="0.3">
      <c r="B1298" s="1"/>
    </row>
    <row r="1299" spans="2:2" x14ac:dyDescent="0.3">
      <c r="B1299" s="1"/>
    </row>
    <row r="1300" spans="2:2" x14ac:dyDescent="0.3">
      <c r="B1300" s="1"/>
    </row>
    <row r="1301" spans="2:2" x14ac:dyDescent="0.3">
      <c r="B1301" s="1"/>
    </row>
    <row r="1302" spans="2:2" x14ac:dyDescent="0.3">
      <c r="B1302" s="1"/>
    </row>
    <row r="1303" spans="2:2" x14ac:dyDescent="0.3">
      <c r="B1303" s="1"/>
    </row>
    <row r="1304" spans="2:2" x14ac:dyDescent="0.3">
      <c r="B1304" s="1"/>
    </row>
    <row r="1305" spans="2:2" x14ac:dyDescent="0.3">
      <c r="B1305" s="1"/>
    </row>
    <row r="1306" spans="2:2" x14ac:dyDescent="0.3">
      <c r="B1306" s="1"/>
    </row>
    <row r="1307" spans="2:2" x14ac:dyDescent="0.3">
      <c r="B1307" s="1"/>
    </row>
    <row r="1308" spans="2:2" x14ac:dyDescent="0.3">
      <c r="B1308" s="1"/>
    </row>
    <row r="1309" spans="2:2" x14ac:dyDescent="0.3">
      <c r="B1309" s="1"/>
    </row>
    <row r="1310" spans="2:2" x14ac:dyDescent="0.3">
      <c r="B1310" s="1"/>
    </row>
    <row r="1311" spans="2:2" x14ac:dyDescent="0.3">
      <c r="B1311" s="1"/>
    </row>
    <row r="1312" spans="2:2" x14ac:dyDescent="0.3">
      <c r="B1312" s="1"/>
    </row>
    <row r="1313" spans="2:2" x14ac:dyDescent="0.3">
      <c r="B1313" s="1"/>
    </row>
    <row r="1314" spans="2:2" x14ac:dyDescent="0.3">
      <c r="B1314" s="1"/>
    </row>
    <row r="1315" spans="2:2" x14ac:dyDescent="0.3">
      <c r="B1315" s="1"/>
    </row>
    <row r="1316" spans="2:2" x14ac:dyDescent="0.3">
      <c r="B1316" s="1"/>
    </row>
    <row r="1317" spans="2:2" x14ac:dyDescent="0.3">
      <c r="B1317" s="1"/>
    </row>
    <row r="1318" spans="2:2" x14ac:dyDescent="0.3">
      <c r="B1318" s="1"/>
    </row>
    <row r="1319" spans="2:2" x14ac:dyDescent="0.3">
      <c r="B1319" s="1"/>
    </row>
    <row r="1320" spans="2:2" x14ac:dyDescent="0.3">
      <c r="B1320" s="1"/>
    </row>
    <row r="1321" spans="2:2" x14ac:dyDescent="0.3">
      <c r="B1321" s="1"/>
    </row>
    <row r="1322" spans="2:2" x14ac:dyDescent="0.3">
      <c r="B1322" s="1"/>
    </row>
    <row r="1323" spans="2:2" x14ac:dyDescent="0.3">
      <c r="B1323" s="1"/>
    </row>
    <row r="1324" spans="2:2" x14ac:dyDescent="0.3">
      <c r="B1324" s="1"/>
    </row>
    <row r="1325" spans="2:2" x14ac:dyDescent="0.3">
      <c r="B1325" s="1"/>
    </row>
    <row r="1326" spans="2:2" x14ac:dyDescent="0.3">
      <c r="B1326" s="1"/>
    </row>
    <row r="1327" spans="2:2" x14ac:dyDescent="0.3">
      <c r="B1327" s="1"/>
    </row>
    <row r="1328" spans="2:2" x14ac:dyDescent="0.3">
      <c r="B1328" s="1"/>
    </row>
    <row r="1329" spans="2:2" x14ac:dyDescent="0.3">
      <c r="B1329" s="1"/>
    </row>
    <row r="1330" spans="2:2" x14ac:dyDescent="0.3">
      <c r="B1330" s="1"/>
    </row>
    <row r="1331" spans="2:2" x14ac:dyDescent="0.3">
      <c r="B1331" s="1"/>
    </row>
    <row r="1332" spans="2:2" x14ac:dyDescent="0.3">
      <c r="B1332" s="1"/>
    </row>
    <row r="1333" spans="2:2" x14ac:dyDescent="0.3">
      <c r="B1333" s="1"/>
    </row>
    <row r="1334" spans="2:2" x14ac:dyDescent="0.3">
      <c r="B1334" s="1"/>
    </row>
    <row r="1335" spans="2:2" x14ac:dyDescent="0.3">
      <c r="B1335" s="1"/>
    </row>
    <row r="1336" spans="2:2" x14ac:dyDescent="0.3">
      <c r="B1336" s="1"/>
    </row>
    <row r="1337" spans="2:2" x14ac:dyDescent="0.3">
      <c r="B1337" s="1"/>
    </row>
    <row r="1338" spans="2:2" x14ac:dyDescent="0.3">
      <c r="B1338" s="1"/>
    </row>
    <row r="1339" spans="2:2" x14ac:dyDescent="0.3">
      <c r="B1339" s="1"/>
    </row>
    <row r="1340" spans="2:2" x14ac:dyDescent="0.3">
      <c r="B1340" s="1"/>
    </row>
    <row r="1341" spans="2:2" x14ac:dyDescent="0.3">
      <c r="B1341" s="1"/>
    </row>
    <row r="1342" spans="2:2" x14ac:dyDescent="0.3">
      <c r="B1342" s="1"/>
    </row>
    <row r="1343" spans="2:2" x14ac:dyDescent="0.3">
      <c r="B1343" s="1"/>
    </row>
    <row r="1344" spans="2:2" x14ac:dyDescent="0.3">
      <c r="B1344" s="1"/>
    </row>
    <row r="1345" spans="2:2" x14ac:dyDescent="0.3">
      <c r="B1345" s="1"/>
    </row>
    <row r="1346" spans="2:2" x14ac:dyDescent="0.3">
      <c r="B1346" s="1"/>
    </row>
    <row r="1347" spans="2:2" x14ac:dyDescent="0.3">
      <c r="B1347" s="1"/>
    </row>
    <row r="1348" spans="2:2" x14ac:dyDescent="0.3">
      <c r="B1348" s="1"/>
    </row>
    <row r="1349" spans="2:2" x14ac:dyDescent="0.3">
      <c r="B1349" s="1"/>
    </row>
    <row r="1350" spans="2:2" x14ac:dyDescent="0.3">
      <c r="B1350" s="1"/>
    </row>
    <row r="1351" spans="2:2" x14ac:dyDescent="0.3">
      <c r="B1351" s="1"/>
    </row>
    <row r="1352" spans="2:2" x14ac:dyDescent="0.3">
      <c r="B1352" s="1"/>
    </row>
    <row r="1353" spans="2:2" x14ac:dyDescent="0.3">
      <c r="B1353" s="1"/>
    </row>
    <row r="1354" spans="2:2" x14ac:dyDescent="0.3">
      <c r="B1354" s="1"/>
    </row>
    <row r="1355" spans="2:2" x14ac:dyDescent="0.3">
      <c r="B1355" s="1"/>
    </row>
    <row r="1356" spans="2:2" x14ac:dyDescent="0.3">
      <c r="B1356" s="1"/>
    </row>
    <row r="1357" spans="2:2" x14ac:dyDescent="0.3">
      <c r="B1357" s="1"/>
    </row>
    <row r="1358" spans="2:2" x14ac:dyDescent="0.3">
      <c r="B1358" s="1"/>
    </row>
    <row r="1359" spans="2:2" x14ac:dyDescent="0.3">
      <c r="B1359" s="1"/>
    </row>
    <row r="1360" spans="2:2" x14ac:dyDescent="0.3">
      <c r="B1360" s="1"/>
    </row>
    <row r="1361" spans="2:2" x14ac:dyDescent="0.3">
      <c r="B1361" s="1"/>
    </row>
    <row r="1362" spans="2:2" x14ac:dyDescent="0.3">
      <c r="B1362" s="1"/>
    </row>
    <row r="1363" spans="2:2" x14ac:dyDescent="0.3">
      <c r="B1363" s="1"/>
    </row>
    <row r="1364" spans="2:2" x14ac:dyDescent="0.3">
      <c r="B1364" s="1"/>
    </row>
    <row r="1365" spans="2:2" x14ac:dyDescent="0.3">
      <c r="B1365" s="1"/>
    </row>
    <row r="1366" spans="2:2" x14ac:dyDescent="0.3">
      <c r="B1366" s="1"/>
    </row>
    <row r="1367" spans="2:2" x14ac:dyDescent="0.3">
      <c r="B1367" s="1"/>
    </row>
    <row r="1368" spans="2:2" x14ac:dyDescent="0.3">
      <c r="B1368" s="1"/>
    </row>
    <row r="1369" spans="2:2" x14ac:dyDescent="0.3">
      <c r="B1369" s="1"/>
    </row>
    <row r="1370" spans="2:2" x14ac:dyDescent="0.3">
      <c r="B1370" s="1"/>
    </row>
    <row r="1371" spans="2:2" x14ac:dyDescent="0.3">
      <c r="B1371" s="1"/>
    </row>
    <row r="1372" spans="2:2" x14ac:dyDescent="0.3">
      <c r="B1372" s="1"/>
    </row>
    <row r="1373" spans="2:2" x14ac:dyDescent="0.3">
      <c r="B1373" s="1"/>
    </row>
    <row r="1374" spans="2:2" x14ac:dyDescent="0.3">
      <c r="B1374" s="1"/>
    </row>
    <row r="1375" spans="2:2" x14ac:dyDescent="0.3">
      <c r="B1375" s="1"/>
    </row>
    <row r="1376" spans="2:2" x14ac:dyDescent="0.3">
      <c r="B1376" s="1"/>
    </row>
    <row r="1377" spans="2:2" x14ac:dyDescent="0.3">
      <c r="B1377" s="1"/>
    </row>
    <row r="1378" spans="2:2" x14ac:dyDescent="0.3">
      <c r="B1378" s="1"/>
    </row>
    <row r="1379" spans="2:2" x14ac:dyDescent="0.3">
      <c r="B1379" s="1"/>
    </row>
    <row r="1380" spans="2:2" x14ac:dyDescent="0.3">
      <c r="B1380" s="1"/>
    </row>
    <row r="1381" spans="2:2" x14ac:dyDescent="0.3">
      <c r="B1381" s="1"/>
    </row>
    <row r="1382" spans="2:2" x14ac:dyDescent="0.3">
      <c r="B1382" s="1"/>
    </row>
    <row r="1383" spans="2:2" x14ac:dyDescent="0.3">
      <c r="B1383" s="1"/>
    </row>
    <row r="1384" spans="2:2" x14ac:dyDescent="0.3">
      <c r="B1384" s="1"/>
    </row>
    <row r="1385" spans="2:2" x14ac:dyDescent="0.3">
      <c r="B1385" s="1"/>
    </row>
    <row r="1386" spans="2:2" x14ac:dyDescent="0.3">
      <c r="B1386" s="1"/>
    </row>
    <row r="1387" spans="2:2" x14ac:dyDescent="0.3">
      <c r="B1387" s="1"/>
    </row>
    <row r="1388" spans="2:2" x14ac:dyDescent="0.3">
      <c r="B1388" s="1"/>
    </row>
    <row r="1389" spans="2:2" x14ac:dyDescent="0.3">
      <c r="B1389" s="1"/>
    </row>
    <row r="1390" spans="2:2" x14ac:dyDescent="0.3">
      <c r="B1390" s="1"/>
    </row>
    <row r="1391" spans="2:2" x14ac:dyDescent="0.3">
      <c r="B1391" s="1"/>
    </row>
    <row r="1392" spans="2:2" x14ac:dyDescent="0.3">
      <c r="B1392" s="1"/>
    </row>
    <row r="1393" spans="2:2" x14ac:dyDescent="0.3">
      <c r="B1393" s="1"/>
    </row>
    <row r="1394" spans="2:2" x14ac:dyDescent="0.3">
      <c r="B1394" s="1"/>
    </row>
    <row r="1395" spans="2:2" x14ac:dyDescent="0.3">
      <c r="B1395" s="1"/>
    </row>
    <row r="1396" spans="2:2" x14ac:dyDescent="0.3">
      <c r="B1396" s="1"/>
    </row>
    <row r="1397" spans="2:2" x14ac:dyDescent="0.3">
      <c r="B1397" s="1"/>
    </row>
    <row r="1398" spans="2:2" x14ac:dyDescent="0.3">
      <c r="B1398" s="1"/>
    </row>
    <row r="1399" spans="2:2" x14ac:dyDescent="0.3">
      <c r="B1399" s="1"/>
    </row>
    <row r="1400" spans="2:2" x14ac:dyDescent="0.3">
      <c r="B1400" s="1"/>
    </row>
    <row r="1401" spans="2:2" x14ac:dyDescent="0.3">
      <c r="B1401" s="1"/>
    </row>
    <row r="1402" spans="2:2" x14ac:dyDescent="0.3">
      <c r="B1402" s="1"/>
    </row>
    <row r="1403" spans="2:2" x14ac:dyDescent="0.3">
      <c r="B1403" s="1"/>
    </row>
    <row r="1404" spans="2:2" x14ac:dyDescent="0.3">
      <c r="B1404" s="1"/>
    </row>
    <row r="1405" spans="2:2" x14ac:dyDescent="0.3">
      <c r="B1405" s="1"/>
    </row>
    <row r="1406" spans="2:2" x14ac:dyDescent="0.3">
      <c r="B1406" s="1"/>
    </row>
    <row r="1407" spans="2:2" x14ac:dyDescent="0.3">
      <c r="B1407" s="1"/>
    </row>
    <row r="1408" spans="2:2" x14ac:dyDescent="0.3">
      <c r="B1408" s="1"/>
    </row>
    <row r="1409" spans="2:2" x14ac:dyDescent="0.3">
      <c r="B1409" s="1"/>
    </row>
    <row r="1410" spans="2:2" x14ac:dyDescent="0.3">
      <c r="B1410" s="1"/>
    </row>
    <row r="1411" spans="2:2" x14ac:dyDescent="0.3">
      <c r="B1411" s="1"/>
    </row>
    <row r="1412" spans="2:2" x14ac:dyDescent="0.3">
      <c r="B1412" s="1"/>
    </row>
    <row r="1413" spans="2:2" x14ac:dyDescent="0.3">
      <c r="B1413" s="1"/>
    </row>
    <row r="1414" spans="2:2" x14ac:dyDescent="0.3">
      <c r="B1414" s="1"/>
    </row>
    <row r="1415" spans="2:2" x14ac:dyDescent="0.3">
      <c r="B1415" s="1"/>
    </row>
    <row r="1416" spans="2:2" x14ac:dyDescent="0.3">
      <c r="B1416" s="1"/>
    </row>
    <row r="1417" spans="2:2" x14ac:dyDescent="0.3">
      <c r="B1417" s="1"/>
    </row>
    <row r="1418" spans="2:2" x14ac:dyDescent="0.3">
      <c r="B1418" s="1"/>
    </row>
    <row r="1419" spans="2:2" x14ac:dyDescent="0.3">
      <c r="B1419" s="1"/>
    </row>
    <row r="1420" spans="2:2" x14ac:dyDescent="0.3">
      <c r="B1420" s="1"/>
    </row>
    <row r="1421" spans="2:2" x14ac:dyDescent="0.3">
      <c r="B1421" s="1"/>
    </row>
    <row r="1422" spans="2:2" x14ac:dyDescent="0.3">
      <c r="B1422" s="1"/>
    </row>
    <row r="1423" spans="2:2" x14ac:dyDescent="0.3">
      <c r="B1423" s="1"/>
    </row>
    <row r="1424" spans="2:2" x14ac:dyDescent="0.3">
      <c r="B1424" s="1"/>
    </row>
    <row r="1425" spans="2:2" x14ac:dyDescent="0.3">
      <c r="B1425" s="1"/>
    </row>
    <row r="1426" spans="2:2" x14ac:dyDescent="0.3">
      <c r="B1426" s="1"/>
    </row>
    <row r="1427" spans="2:2" x14ac:dyDescent="0.3">
      <c r="B1427" s="1"/>
    </row>
    <row r="1428" spans="2:2" x14ac:dyDescent="0.3">
      <c r="B1428" s="1"/>
    </row>
    <row r="1429" spans="2:2" x14ac:dyDescent="0.3">
      <c r="B1429" s="1"/>
    </row>
    <row r="1430" spans="2:2" x14ac:dyDescent="0.3">
      <c r="B1430" s="1"/>
    </row>
    <row r="1431" spans="2:2" x14ac:dyDescent="0.3">
      <c r="B1431" s="1"/>
    </row>
    <row r="1432" spans="2:2" x14ac:dyDescent="0.3">
      <c r="B1432" s="1"/>
    </row>
    <row r="1433" spans="2:2" x14ac:dyDescent="0.3">
      <c r="B1433" s="1"/>
    </row>
    <row r="1434" spans="2:2" x14ac:dyDescent="0.3">
      <c r="B1434" s="1"/>
    </row>
    <row r="1435" spans="2:2" x14ac:dyDescent="0.3">
      <c r="B1435" s="1"/>
    </row>
    <row r="1436" spans="2:2" x14ac:dyDescent="0.3">
      <c r="B1436" s="1"/>
    </row>
    <row r="1437" spans="2:2" x14ac:dyDescent="0.3">
      <c r="B1437" s="1"/>
    </row>
    <row r="1438" spans="2:2" x14ac:dyDescent="0.3">
      <c r="B1438" s="1"/>
    </row>
    <row r="1439" spans="2:2" x14ac:dyDescent="0.3">
      <c r="B1439" s="1"/>
    </row>
    <row r="1440" spans="2:2" x14ac:dyDescent="0.3">
      <c r="B1440" s="1"/>
    </row>
    <row r="1441" spans="2:2" x14ac:dyDescent="0.3">
      <c r="B1441" s="1"/>
    </row>
    <row r="1442" spans="2:2" x14ac:dyDescent="0.3">
      <c r="B1442" s="1"/>
    </row>
    <row r="1443" spans="2:2" x14ac:dyDescent="0.3">
      <c r="B1443" s="1"/>
    </row>
    <row r="1444" spans="2:2" x14ac:dyDescent="0.3">
      <c r="B1444" s="1"/>
    </row>
    <row r="1445" spans="2:2" x14ac:dyDescent="0.3">
      <c r="B1445" s="1"/>
    </row>
    <row r="1446" spans="2:2" x14ac:dyDescent="0.3">
      <c r="B1446" s="1"/>
    </row>
    <row r="1447" spans="2:2" x14ac:dyDescent="0.3">
      <c r="B1447" s="1"/>
    </row>
    <row r="1448" spans="2:2" x14ac:dyDescent="0.3">
      <c r="B1448" s="1"/>
    </row>
    <row r="1449" spans="2:2" x14ac:dyDescent="0.3">
      <c r="B1449" s="1"/>
    </row>
    <row r="1450" spans="2:2" x14ac:dyDescent="0.3">
      <c r="B1450" s="1"/>
    </row>
    <row r="1451" spans="2:2" x14ac:dyDescent="0.3">
      <c r="B1451" s="1"/>
    </row>
    <row r="1452" spans="2:2" x14ac:dyDescent="0.3">
      <c r="B1452" s="1"/>
    </row>
    <row r="1453" spans="2:2" x14ac:dyDescent="0.3">
      <c r="B1453" s="1"/>
    </row>
    <row r="1454" spans="2:2" x14ac:dyDescent="0.3">
      <c r="B1454" s="1"/>
    </row>
    <row r="1455" spans="2:2" x14ac:dyDescent="0.3">
      <c r="B1455" s="1"/>
    </row>
    <row r="1456" spans="2:2" x14ac:dyDescent="0.3">
      <c r="B1456" s="1"/>
    </row>
    <row r="1457" spans="2:2" x14ac:dyDescent="0.3">
      <c r="B1457" s="1"/>
    </row>
    <row r="1458" spans="2:2" x14ac:dyDescent="0.3">
      <c r="B1458" s="1"/>
    </row>
    <row r="1459" spans="2:2" x14ac:dyDescent="0.3">
      <c r="B1459" s="1"/>
    </row>
    <row r="1460" spans="2:2" x14ac:dyDescent="0.3">
      <c r="B1460" s="1"/>
    </row>
    <row r="1461" spans="2:2" x14ac:dyDescent="0.3">
      <c r="B1461" s="1"/>
    </row>
    <row r="1462" spans="2:2" x14ac:dyDescent="0.3">
      <c r="B1462" s="1"/>
    </row>
    <row r="1463" spans="2:2" x14ac:dyDescent="0.3">
      <c r="B1463" s="1"/>
    </row>
    <row r="1464" spans="2:2" x14ac:dyDescent="0.3">
      <c r="B1464" s="1"/>
    </row>
    <row r="1465" spans="2:2" x14ac:dyDescent="0.3">
      <c r="B1465" s="1"/>
    </row>
    <row r="1466" spans="2:2" x14ac:dyDescent="0.3">
      <c r="B1466" s="1"/>
    </row>
    <row r="1467" spans="2:2" x14ac:dyDescent="0.3">
      <c r="B1467" s="1"/>
    </row>
    <row r="1468" spans="2:2" x14ac:dyDescent="0.3">
      <c r="B1468" s="1"/>
    </row>
    <row r="1469" spans="2:2" x14ac:dyDescent="0.3">
      <c r="B1469" s="1"/>
    </row>
    <row r="1470" spans="2:2" x14ac:dyDescent="0.3">
      <c r="B1470" s="1"/>
    </row>
    <row r="1471" spans="2:2" x14ac:dyDescent="0.3">
      <c r="B1471" s="1"/>
    </row>
    <row r="1472" spans="2:2" x14ac:dyDescent="0.3">
      <c r="B1472" s="1"/>
    </row>
    <row r="1473" spans="2:2" x14ac:dyDescent="0.3">
      <c r="B1473" s="1"/>
    </row>
    <row r="1474" spans="2:2" x14ac:dyDescent="0.3">
      <c r="B1474" s="1"/>
    </row>
    <row r="1475" spans="2:2" x14ac:dyDescent="0.3">
      <c r="B1475" s="1"/>
    </row>
    <row r="1476" spans="2:2" x14ac:dyDescent="0.3">
      <c r="B1476" s="1"/>
    </row>
    <row r="1477" spans="2:2" x14ac:dyDescent="0.3">
      <c r="B1477" s="1"/>
    </row>
    <row r="1478" spans="2:2" x14ac:dyDescent="0.3">
      <c r="B1478" s="1"/>
    </row>
    <row r="1479" spans="2:2" x14ac:dyDescent="0.3">
      <c r="B1479" s="1"/>
    </row>
    <row r="1480" spans="2:2" x14ac:dyDescent="0.3">
      <c r="B1480" s="1"/>
    </row>
    <row r="1481" spans="2:2" x14ac:dyDescent="0.3">
      <c r="B1481" s="1"/>
    </row>
    <row r="1482" spans="2:2" x14ac:dyDescent="0.3">
      <c r="B1482" s="1"/>
    </row>
    <row r="1483" spans="2:2" x14ac:dyDescent="0.3">
      <c r="B1483" s="1"/>
    </row>
    <row r="1484" spans="2:2" x14ac:dyDescent="0.3">
      <c r="B1484" s="1"/>
    </row>
    <row r="1485" spans="2:2" x14ac:dyDescent="0.3">
      <c r="B1485" s="1"/>
    </row>
    <row r="1486" spans="2:2" x14ac:dyDescent="0.3">
      <c r="B1486" s="1"/>
    </row>
    <row r="1487" spans="2:2" x14ac:dyDescent="0.3">
      <c r="B1487" s="1"/>
    </row>
    <row r="1488" spans="2:2" x14ac:dyDescent="0.3">
      <c r="B1488" s="1"/>
    </row>
    <row r="1489" spans="2:2" x14ac:dyDescent="0.3">
      <c r="B1489" s="1"/>
    </row>
    <row r="1490" spans="2:2" x14ac:dyDescent="0.3">
      <c r="B1490" s="1"/>
    </row>
    <row r="1491" spans="2:2" x14ac:dyDescent="0.3">
      <c r="B1491" s="1"/>
    </row>
    <row r="1492" spans="2:2" x14ac:dyDescent="0.3">
      <c r="B1492" s="1"/>
    </row>
    <row r="1493" spans="2:2" x14ac:dyDescent="0.3">
      <c r="B1493" s="1"/>
    </row>
    <row r="1494" spans="2:2" x14ac:dyDescent="0.3">
      <c r="B1494" s="1"/>
    </row>
    <row r="1495" spans="2:2" x14ac:dyDescent="0.3">
      <c r="B1495" s="1"/>
    </row>
    <row r="1496" spans="2:2" x14ac:dyDescent="0.3">
      <c r="B1496" s="1"/>
    </row>
    <row r="1497" spans="2:2" x14ac:dyDescent="0.3">
      <c r="B1497" s="1"/>
    </row>
    <row r="1498" spans="2:2" x14ac:dyDescent="0.3">
      <c r="B1498" s="1"/>
    </row>
    <row r="1499" spans="2:2" x14ac:dyDescent="0.3">
      <c r="B1499" s="1"/>
    </row>
    <row r="1500" spans="2:2" x14ac:dyDescent="0.3">
      <c r="B1500" s="1"/>
    </row>
    <row r="1501" spans="2:2" x14ac:dyDescent="0.3">
      <c r="B1501" s="1"/>
    </row>
    <row r="1502" spans="2:2" x14ac:dyDescent="0.3">
      <c r="B1502" s="1"/>
    </row>
    <row r="1503" spans="2:2" x14ac:dyDescent="0.3">
      <c r="B1503" s="1"/>
    </row>
    <row r="1504" spans="2:2" x14ac:dyDescent="0.3">
      <c r="B1504" s="1"/>
    </row>
    <row r="1505" spans="2:2" x14ac:dyDescent="0.3">
      <c r="B1505" s="1"/>
    </row>
    <row r="1506" spans="2:2" x14ac:dyDescent="0.3">
      <c r="B1506" s="1"/>
    </row>
    <row r="1507" spans="2:2" x14ac:dyDescent="0.3">
      <c r="B1507" s="1"/>
    </row>
    <row r="1508" spans="2:2" x14ac:dyDescent="0.3">
      <c r="B1508" s="1"/>
    </row>
    <row r="1509" spans="2:2" x14ac:dyDescent="0.3">
      <c r="B1509" s="1"/>
    </row>
    <row r="1510" spans="2:2" x14ac:dyDescent="0.3">
      <c r="B1510" s="1"/>
    </row>
    <row r="1511" spans="2:2" x14ac:dyDescent="0.3">
      <c r="B1511" s="1"/>
    </row>
    <row r="1512" spans="2:2" x14ac:dyDescent="0.3">
      <c r="B1512" s="1"/>
    </row>
    <row r="1513" spans="2:2" x14ac:dyDescent="0.3">
      <c r="B1513" s="1"/>
    </row>
    <row r="1514" spans="2:2" x14ac:dyDescent="0.3">
      <c r="B1514" s="1"/>
    </row>
    <row r="1515" spans="2:2" x14ac:dyDescent="0.3">
      <c r="B1515" s="1"/>
    </row>
    <row r="1516" spans="2:2" x14ac:dyDescent="0.3">
      <c r="B1516" s="1"/>
    </row>
    <row r="1517" spans="2:2" x14ac:dyDescent="0.3">
      <c r="B1517" s="1"/>
    </row>
    <row r="1518" spans="2:2" x14ac:dyDescent="0.3">
      <c r="B1518" s="1"/>
    </row>
    <row r="1519" spans="2:2" x14ac:dyDescent="0.3">
      <c r="B1519" s="1"/>
    </row>
    <row r="1520" spans="2:2" x14ac:dyDescent="0.3">
      <c r="B1520" s="1"/>
    </row>
    <row r="1521" spans="2:2" x14ac:dyDescent="0.3">
      <c r="B1521" s="1"/>
    </row>
    <row r="1522" spans="2:2" x14ac:dyDescent="0.3">
      <c r="B1522" s="1"/>
    </row>
    <row r="1523" spans="2:2" x14ac:dyDescent="0.3">
      <c r="B1523" s="1"/>
    </row>
    <row r="1524" spans="2:2" x14ac:dyDescent="0.3">
      <c r="B1524" s="1"/>
    </row>
    <row r="1525" spans="2:2" x14ac:dyDescent="0.3">
      <c r="B1525" s="1"/>
    </row>
    <row r="1526" spans="2:2" x14ac:dyDescent="0.3">
      <c r="B1526" s="1"/>
    </row>
    <row r="1527" spans="2:2" x14ac:dyDescent="0.3">
      <c r="B1527" s="1"/>
    </row>
    <row r="1528" spans="2:2" x14ac:dyDescent="0.3">
      <c r="B1528" s="1"/>
    </row>
    <row r="1529" spans="2:2" x14ac:dyDescent="0.3">
      <c r="B1529" s="1"/>
    </row>
    <row r="1530" spans="2:2" x14ac:dyDescent="0.3">
      <c r="B1530" s="1"/>
    </row>
    <row r="1531" spans="2:2" x14ac:dyDescent="0.3">
      <c r="B1531" s="1"/>
    </row>
    <row r="1532" spans="2:2" x14ac:dyDescent="0.3">
      <c r="B1532" s="1"/>
    </row>
    <row r="1533" spans="2:2" x14ac:dyDescent="0.3">
      <c r="B1533" s="1"/>
    </row>
    <row r="1534" spans="2:2" x14ac:dyDescent="0.3">
      <c r="B1534" s="1"/>
    </row>
    <row r="1535" spans="2:2" x14ac:dyDescent="0.3">
      <c r="B1535" s="1"/>
    </row>
    <row r="1536" spans="2:2" x14ac:dyDescent="0.3">
      <c r="B1536" s="1"/>
    </row>
    <row r="1537" spans="2:2" x14ac:dyDescent="0.3">
      <c r="B1537" s="1"/>
    </row>
    <row r="1538" spans="2:2" x14ac:dyDescent="0.3">
      <c r="B1538" s="1"/>
    </row>
    <row r="1539" spans="2:2" x14ac:dyDescent="0.3">
      <c r="B1539" s="1"/>
    </row>
    <row r="1540" spans="2:2" x14ac:dyDescent="0.3">
      <c r="B1540" s="1"/>
    </row>
    <row r="1541" spans="2:2" x14ac:dyDescent="0.3">
      <c r="B1541" s="1"/>
    </row>
    <row r="1542" spans="2:2" x14ac:dyDescent="0.3">
      <c r="B1542" s="1"/>
    </row>
    <row r="1543" spans="2:2" x14ac:dyDescent="0.3">
      <c r="B1543" s="1"/>
    </row>
    <row r="1544" spans="2:2" x14ac:dyDescent="0.3">
      <c r="B1544" s="1"/>
    </row>
    <row r="1545" spans="2:2" x14ac:dyDescent="0.3">
      <c r="B1545" s="1"/>
    </row>
    <row r="1546" spans="2:2" x14ac:dyDescent="0.3">
      <c r="B1546" s="1"/>
    </row>
    <row r="1547" spans="2:2" x14ac:dyDescent="0.3">
      <c r="B1547" s="1"/>
    </row>
    <row r="1548" spans="2:2" x14ac:dyDescent="0.3">
      <c r="B1548" s="1"/>
    </row>
    <row r="1549" spans="2:2" x14ac:dyDescent="0.3">
      <c r="B1549" s="1"/>
    </row>
    <row r="1550" spans="2:2" x14ac:dyDescent="0.3">
      <c r="B1550" s="1"/>
    </row>
    <row r="1551" spans="2:2" x14ac:dyDescent="0.3">
      <c r="B1551" s="1"/>
    </row>
    <row r="1552" spans="2:2" x14ac:dyDescent="0.3">
      <c r="B1552" s="1"/>
    </row>
    <row r="1553" spans="2:2" x14ac:dyDescent="0.3">
      <c r="B1553" s="1"/>
    </row>
    <row r="1554" spans="2:2" x14ac:dyDescent="0.3">
      <c r="B1554" s="1"/>
    </row>
    <row r="1555" spans="2:2" x14ac:dyDescent="0.3">
      <c r="B1555" s="1"/>
    </row>
    <row r="1556" spans="2:2" x14ac:dyDescent="0.3">
      <c r="B1556" s="1"/>
    </row>
    <row r="1557" spans="2:2" x14ac:dyDescent="0.3">
      <c r="B1557" s="1"/>
    </row>
    <row r="1558" spans="2:2" x14ac:dyDescent="0.3">
      <c r="B1558" s="1"/>
    </row>
    <row r="1559" spans="2:2" x14ac:dyDescent="0.3">
      <c r="B1559" s="1"/>
    </row>
    <row r="1560" spans="2:2" x14ac:dyDescent="0.3">
      <c r="B1560" s="1"/>
    </row>
    <row r="1561" spans="2:2" x14ac:dyDescent="0.3">
      <c r="B1561" s="1"/>
    </row>
    <row r="1562" spans="2:2" x14ac:dyDescent="0.3">
      <c r="B1562" s="1"/>
    </row>
    <row r="1563" spans="2:2" x14ac:dyDescent="0.3">
      <c r="B1563" s="1"/>
    </row>
    <row r="1564" spans="2:2" x14ac:dyDescent="0.3">
      <c r="B1564" s="1"/>
    </row>
    <row r="1565" spans="2:2" x14ac:dyDescent="0.3">
      <c r="B1565" s="1"/>
    </row>
    <row r="1566" spans="2:2" x14ac:dyDescent="0.3">
      <c r="B1566" s="1"/>
    </row>
    <row r="1567" spans="2:2" x14ac:dyDescent="0.3">
      <c r="B1567" s="1"/>
    </row>
    <row r="1568" spans="2:2" x14ac:dyDescent="0.3">
      <c r="B1568" s="1"/>
    </row>
    <row r="1569" spans="2:2" x14ac:dyDescent="0.3">
      <c r="B1569" s="1"/>
    </row>
    <row r="1570" spans="2:2" x14ac:dyDescent="0.3">
      <c r="B1570" s="1"/>
    </row>
    <row r="1571" spans="2:2" x14ac:dyDescent="0.3">
      <c r="B1571" s="1"/>
    </row>
    <row r="1572" spans="2:2" x14ac:dyDescent="0.3">
      <c r="B1572" s="1"/>
    </row>
    <row r="1573" spans="2:2" x14ac:dyDescent="0.3">
      <c r="B1573" s="1"/>
    </row>
    <row r="1574" spans="2:2" x14ac:dyDescent="0.3">
      <c r="B1574" s="1"/>
    </row>
    <row r="1575" spans="2:2" x14ac:dyDescent="0.3">
      <c r="B1575" s="1"/>
    </row>
    <row r="1576" spans="2:2" x14ac:dyDescent="0.3">
      <c r="B1576" s="1"/>
    </row>
    <row r="1577" spans="2:2" x14ac:dyDescent="0.3">
      <c r="B1577" s="1"/>
    </row>
    <row r="1578" spans="2:2" x14ac:dyDescent="0.3">
      <c r="B1578" s="1"/>
    </row>
    <row r="1579" spans="2:2" x14ac:dyDescent="0.3">
      <c r="B1579" s="1"/>
    </row>
    <row r="1580" spans="2:2" x14ac:dyDescent="0.3">
      <c r="B1580" s="1"/>
    </row>
    <row r="1581" spans="2:2" x14ac:dyDescent="0.3">
      <c r="B1581" s="1"/>
    </row>
    <row r="1582" spans="2:2" x14ac:dyDescent="0.3">
      <c r="B1582" s="1"/>
    </row>
    <row r="1583" spans="2:2" x14ac:dyDescent="0.3">
      <c r="B1583" s="1"/>
    </row>
    <row r="1584" spans="2:2" x14ac:dyDescent="0.3">
      <c r="B1584" s="1"/>
    </row>
    <row r="1585" spans="2:2" x14ac:dyDescent="0.3">
      <c r="B1585" s="1"/>
    </row>
    <row r="1586" spans="2:2" x14ac:dyDescent="0.3">
      <c r="B1586" s="1"/>
    </row>
    <row r="1587" spans="2:2" x14ac:dyDescent="0.3">
      <c r="B1587" s="1"/>
    </row>
    <row r="1588" spans="2:2" x14ac:dyDescent="0.3">
      <c r="B1588" s="1"/>
    </row>
    <row r="1589" spans="2:2" x14ac:dyDescent="0.3">
      <c r="B1589" s="1"/>
    </row>
    <row r="1590" spans="2:2" x14ac:dyDescent="0.3">
      <c r="B1590" s="1"/>
    </row>
    <row r="1591" spans="2:2" x14ac:dyDescent="0.3">
      <c r="B1591" s="1"/>
    </row>
    <row r="1592" spans="2:2" x14ac:dyDescent="0.3">
      <c r="B1592" s="1"/>
    </row>
    <row r="1593" spans="2:2" x14ac:dyDescent="0.3">
      <c r="B1593" s="1"/>
    </row>
    <row r="1594" spans="2:2" x14ac:dyDescent="0.3">
      <c r="B1594" s="1"/>
    </row>
    <row r="1595" spans="2:2" x14ac:dyDescent="0.3">
      <c r="B1595" s="1"/>
    </row>
    <row r="1596" spans="2:2" x14ac:dyDescent="0.3">
      <c r="B1596" s="1"/>
    </row>
    <row r="1597" spans="2:2" x14ac:dyDescent="0.3">
      <c r="B1597" s="1"/>
    </row>
    <row r="1598" spans="2:2" x14ac:dyDescent="0.3">
      <c r="B1598" s="1"/>
    </row>
    <row r="1599" spans="2:2" x14ac:dyDescent="0.3">
      <c r="B1599" s="1"/>
    </row>
    <row r="1600" spans="2:2" x14ac:dyDescent="0.3">
      <c r="B1600" s="1"/>
    </row>
    <row r="1601" spans="2:2" x14ac:dyDescent="0.3">
      <c r="B1601" s="1"/>
    </row>
    <row r="1602" spans="2:2" x14ac:dyDescent="0.3">
      <c r="B1602" s="1"/>
    </row>
    <row r="1603" spans="2:2" x14ac:dyDescent="0.3">
      <c r="B1603" s="1"/>
    </row>
    <row r="1604" spans="2:2" x14ac:dyDescent="0.3">
      <c r="B1604" s="1"/>
    </row>
    <row r="1605" spans="2:2" x14ac:dyDescent="0.3">
      <c r="B1605" s="1"/>
    </row>
    <row r="1606" spans="2:2" x14ac:dyDescent="0.3">
      <c r="B1606" s="1"/>
    </row>
    <row r="1607" spans="2:2" x14ac:dyDescent="0.3">
      <c r="B1607" s="1"/>
    </row>
    <row r="1608" spans="2:2" x14ac:dyDescent="0.3">
      <c r="B1608" s="1"/>
    </row>
    <row r="1609" spans="2:2" x14ac:dyDescent="0.3">
      <c r="B1609" s="1"/>
    </row>
    <row r="1610" spans="2:2" x14ac:dyDescent="0.3">
      <c r="B1610" s="1"/>
    </row>
    <row r="1611" spans="2:2" x14ac:dyDescent="0.3">
      <c r="B1611" s="1"/>
    </row>
    <row r="1612" spans="2:2" x14ac:dyDescent="0.3">
      <c r="B1612" s="1"/>
    </row>
    <row r="1613" spans="2:2" x14ac:dyDescent="0.3">
      <c r="B1613" s="1"/>
    </row>
    <row r="1614" spans="2:2" x14ac:dyDescent="0.3">
      <c r="B1614" s="1"/>
    </row>
    <row r="1615" spans="2:2" x14ac:dyDescent="0.3">
      <c r="B1615" s="1"/>
    </row>
    <row r="1616" spans="2:2" x14ac:dyDescent="0.3">
      <c r="B1616" s="1"/>
    </row>
    <row r="1617" spans="2:2" x14ac:dyDescent="0.3">
      <c r="B1617" s="1"/>
    </row>
    <row r="1618" spans="2:2" x14ac:dyDescent="0.3">
      <c r="B1618" s="1"/>
    </row>
    <row r="1619" spans="2:2" x14ac:dyDescent="0.3">
      <c r="B1619" s="1"/>
    </row>
    <row r="1620" spans="2:2" x14ac:dyDescent="0.3">
      <c r="B1620" s="1"/>
    </row>
    <row r="1621" spans="2:2" x14ac:dyDescent="0.3">
      <c r="B1621" s="1"/>
    </row>
    <row r="1622" spans="2:2" x14ac:dyDescent="0.3">
      <c r="B1622" s="1"/>
    </row>
    <row r="1623" spans="2:2" x14ac:dyDescent="0.3">
      <c r="B1623" s="1"/>
    </row>
    <row r="1624" spans="2:2" x14ac:dyDescent="0.3">
      <c r="B1624" s="1"/>
    </row>
    <row r="1625" spans="2:2" x14ac:dyDescent="0.3">
      <c r="B1625" s="1"/>
    </row>
    <row r="1626" spans="2:2" x14ac:dyDescent="0.3">
      <c r="B1626" s="1"/>
    </row>
    <row r="1627" spans="2:2" x14ac:dyDescent="0.3">
      <c r="B1627" s="1"/>
    </row>
    <row r="1628" spans="2:2" x14ac:dyDescent="0.3">
      <c r="B1628" s="1"/>
    </row>
    <row r="1629" spans="2:2" x14ac:dyDescent="0.3">
      <c r="B1629" s="1"/>
    </row>
    <row r="1630" spans="2:2" x14ac:dyDescent="0.3">
      <c r="B1630" s="1"/>
    </row>
    <row r="1631" spans="2:2" x14ac:dyDescent="0.3">
      <c r="B1631" s="1"/>
    </row>
    <row r="1632" spans="2:2" x14ac:dyDescent="0.3">
      <c r="B1632" s="1"/>
    </row>
    <row r="1633" spans="2:2" x14ac:dyDescent="0.3">
      <c r="B1633" s="1"/>
    </row>
    <row r="1634" spans="2:2" x14ac:dyDescent="0.3">
      <c r="B1634" s="1"/>
    </row>
    <row r="1635" spans="2:2" x14ac:dyDescent="0.3">
      <c r="B1635" s="1"/>
    </row>
    <row r="1636" spans="2:2" x14ac:dyDescent="0.3">
      <c r="B1636" s="1"/>
    </row>
    <row r="1637" spans="2:2" x14ac:dyDescent="0.3">
      <c r="B1637" s="1"/>
    </row>
    <row r="1638" spans="2:2" x14ac:dyDescent="0.3">
      <c r="B1638" s="1"/>
    </row>
    <row r="1639" spans="2:2" x14ac:dyDescent="0.3">
      <c r="B1639" s="1"/>
    </row>
    <row r="1640" spans="2:2" x14ac:dyDescent="0.3">
      <c r="B1640" s="1"/>
    </row>
    <row r="1641" spans="2:2" x14ac:dyDescent="0.3">
      <c r="B1641" s="1"/>
    </row>
    <row r="1642" spans="2:2" x14ac:dyDescent="0.3">
      <c r="B1642" s="1"/>
    </row>
    <row r="1643" spans="2:2" x14ac:dyDescent="0.3">
      <c r="B1643" s="1"/>
    </row>
    <row r="1644" spans="2:2" x14ac:dyDescent="0.3">
      <c r="B1644" s="1"/>
    </row>
    <row r="1645" spans="2:2" x14ac:dyDescent="0.3">
      <c r="B1645" s="1"/>
    </row>
    <row r="1646" spans="2:2" x14ac:dyDescent="0.3">
      <c r="B1646" s="1"/>
    </row>
    <row r="1647" spans="2:2" x14ac:dyDescent="0.3">
      <c r="B1647" s="1"/>
    </row>
    <row r="1648" spans="2:2" x14ac:dyDescent="0.3">
      <c r="B1648" s="1"/>
    </row>
    <row r="1649" spans="2:2" x14ac:dyDescent="0.3">
      <c r="B1649" s="1"/>
    </row>
    <row r="1650" spans="2:2" x14ac:dyDescent="0.3">
      <c r="B1650" s="1"/>
    </row>
    <row r="1651" spans="2:2" x14ac:dyDescent="0.3">
      <c r="B1651" s="1"/>
    </row>
    <row r="1652" spans="2:2" x14ac:dyDescent="0.3">
      <c r="B1652" s="1"/>
    </row>
    <row r="1653" spans="2:2" x14ac:dyDescent="0.3">
      <c r="B1653" s="1"/>
    </row>
    <row r="1654" spans="2:2" x14ac:dyDescent="0.3">
      <c r="B1654" s="1"/>
    </row>
    <row r="1655" spans="2:2" x14ac:dyDescent="0.3">
      <c r="B1655" s="1"/>
    </row>
    <row r="1656" spans="2:2" x14ac:dyDescent="0.3">
      <c r="B1656" s="1"/>
    </row>
    <row r="1657" spans="2:2" x14ac:dyDescent="0.3">
      <c r="B1657" s="1"/>
    </row>
    <row r="1658" spans="2:2" x14ac:dyDescent="0.3">
      <c r="B1658" s="1"/>
    </row>
    <row r="1659" spans="2:2" x14ac:dyDescent="0.3">
      <c r="B1659" s="1"/>
    </row>
    <row r="1660" spans="2:2" x14ac:dyDescent="0.3">
      <c r="B1660" s="1"/>
    </row>
    <row r="1661" spans="2:2" x14ac:dyDescent="0.3">
      <c r="B1661" s="1"/>
    </row>
    <row r="1662" spans="2:2" x14ac:dyDescent="0.3">
      <c r="B1662" s="1"/>
    </row>
    <row r="1663" spans="2:2" x14ac:dyDescent="0.3">
      <c r="B1663" s="1"/>
    </row>
    <row r="1664" spans="2:2" x14ac:dyDescent="0.3">
      <c r="B1664" s="1"/>
    </row>
    <row r="1665" spans="2:2" x14ac:dyDescent="0.3">
      <c r="B1665" s="1"/>
    </row>
    <row r="1666" spans="2:2" x14ac:dyDescent="0.3">
      <c r="B1666" s="1"/>
    </row>
    <row r="1667" spans="2:2" x14ac:dyDescent="0.3">
      <c r="B1667" s="1"/>
    </row>
    <row r="1668" spans="2:2" x14ac:dyDescent="0.3">
      <c r="B1668" s="1"/>
    </row>
    <row r="1669" spans="2:2" x14ac:dyDescent="0.3">
      <c r="B1669" s="1"/>
    </row>
    <row r="1670" spans="2:2" x14ac:dyDescent="0.3">
      <c r="B1670" s="1"/>
    </row>
    <row r="1671" spans="2:2" x14ac:dyDescent="0.3">
      <c r="B1671" s="1"/>
    </row>
    <row r="1672" spans="2:2" x14ac:dyDescent="0.3">
      <c r="B1672" s="1"/>
    </row>
    <row r="1673" spans="2:2" x14ac:dyDescent="0.3">
      <c r="B1673" s="1"/>
    </row>
    <row r="1674" spans="2:2" x14ac:dyDescent="0.3">
      <c r="B1674" s="1"/>
    </row>
    <row r="1675" spans="2:2" x14ac:dyDescent="0.3">
      <c r="B1675" s="1"/>
    </row>
    <row r="1676" spans="2:2" x14ac:dyDescent="0.3">
      <c r="B1676" s="1"/>
    </row>
    <row r="1677" spans="2:2" x14ac:dyDescent="0.3">
      <c r="B1677" s="1"/>
    </row>
    <row r="1678" spans="2:2" x14ac:dyDescent="0.3">
      <c r="B1678" s="1"/>
    </row>
    <row r="1679" spans="2:2" x14ac:dyDescent="0.3">
      <c r="B1679" s="1"/>
    </row>
    <row r="1680" spans="2:2" x14ac:dyDescent="0.3">
      <c r="B1680" s="1"/>
    </row>
    <row r="1681" spans="2:2" x14ac:dyDescent="0.3">
      <c r="B1681" s="1"/>
    </row>
    <row r="1682" spans="2:2" x14ac:dyDescent="0.3">
      <c r="B1682" s="1"/>
    </row>
    <row r="1683" spans="2:2" x14ac:dyDescent="0.3">
      <c r="B1683" s="1"/>
    </row>
    <row r="1684" spans="2:2" x14ac:dyDescent="0.3">
      <c r="B1684" s="1"/>
    </row>
    <row r="1685" spans="2:2" x14ac:dyDescent="0.3">
      <c r="B1685" s="1"/>
    </row>
    <row r="1686" spans="2:2" x14ac:dyDescent="0.3">
      <c r="B1686" s="1"/>
    </row>
    <row r="1687" spans="2:2" x14ac:dyDescent="0.3">
      <c r="B1687" s="1"/>
    </row>
    <row r="1688" spans="2:2" x14ac:dyDescent="0.3">
      <c r="B1688" s="1"/>
    </row>
    <row r="1689" spans="2:2" x14ac:dyDescent="0.3">
      <c r="B1689" s="1"/>
    </row>
    <row r="1690" spans="2:2" x14ac:dyDescent="0.3">
      <c r="B1690" s="1"/>
    </row>
    <row r="1691" spans="2:2" x14ac:dyDescent="0.3">
      <c r="B1691" s="1"/>
    </row>
    <row r="1692" spans="2:2" x14ac:dyDescent="0.3">
      <c r="B1692" s="1"/>
    </row>
    <row r="1693" spans="2:2" x14ac:dyDescent="0.3">
      <c r="B1693" s="1"/>
    </row>
    <row r="1694" spans="2:2" x14ac:dyDescent="0.3">
      <c r="B1694" s="1"/>
    </row>
    <row r="1695" spans="2:2" x14ac:dyDescent="0.3">
      <c r="B1695" s="1"/>
    </row>
    <row r="1696" spans="2:2" x14ac:dyDescent="0.3">
      <c r="B1696" s="1"/>
    </row>
    <row r="1697" spans="2:2" x14ac:dyDescent="0.3">
      <c r="B1697" s="1"/>
    </row>
    <row r="1698" spans="2:2" x14ac:dyDescent="0.3">
      <c r="B1698" s="1"/>
    </row>
    <row r="1699" spans="2:2" x14ac:dyDescent="0.3">
      <c r="B1699" s="1"/>
    </row>
    <row r="1700" spans="2:2" x14ac:dyDescent="0.3">
      <c r="B1700" s="1"/>
    </row>
    <row r="1701" spans="2:2" x14ac:dyDescent="0.3">
      <c r="B1701" s="1"/>
    </row>
    <row r="1702" spans="2:2" x14ac:dyDescent="0.3">
      <c r="B1702" s="1"/>
    </row>
    <row r="1703" spans="2:2" x14ac:dyDescent="0.3">
      <c r="B1703" s="1"/>
    </row>
    <row r="1704" spans="2:2" x14ac:dyDescent="0.3">
      <c r="B1704" s="1"/>
    </row>
    <row r="1705" spans="2:2" x14ac:dyDescent="0.3">
      <c r="B1705" s="1"/>
    </row>
    <row r="1706" spans="2:2" x14ac:dyDescent="0.3">
      <c r="B1706" s="1"/>
    </row>
    <row r="1707" spans="2:2" x14ac:dyDescent="0.3">
      <c r="B1707" s="1"/>
    </row>
    <row r="1708" spans="2:2" x14ac:dyDescent="0.3">
      <c r="B1708" s="1"/>
    </row>
    <row r="1709" spans="2:2" x14ac:dyDescent="0.3">
      <c r="B1709" s="1"/>
    </row>
    <row r="1710" spans="2:2" x14ac:dyDescent="0.3">
      <c r="B1710" s="1"/>
    </row>
    <row r="1711" spans="2:2" x14ac:dyDescent="0.3">
      <c r="B1711" s="1"/>
    </row>
    <row r="1712" spans="2:2" x14ac:dyDescent="0.3">
      <c r="B1712" s="1"/>
    </row>
    <row r="1713" spans="2:2" x14ac:dyDescent="0.3">
      <c r="B1713" s="1"/>
    </row>
    <row r="1714" spans="2:2" x14ac:dyDescent="0.3">
      <c r="B1714" s="1"/>
    </row>
    <row r="1715" spans="2:2" x14ac:dyDescent="0.3">
      <c r="B1715" s="1"/>
    </row>
    <row r="1716" spans="2:2" x14ac:dyDescent="0.3">
      <c r="B1716" s="1"/>
    </row>
    <row r="1717" spans="2:2" x14ac:dyDescent="0.3">
      <c r="B1717" s="1"/>
    </row>
    <row r="1718" spans="2:2" x14ac:dyDescent="0.3">
      <c r="B1718" s="1"/>
    </row>
    <row r="1719" spans="2:2" x14ac:dyDescent="0.3">
      <c r="B1719" s="1"/>
    </row>
    <row r="1720" spans="2:2" x14ac:dyDescent="0.3">
      <c r="B1720" s="1"/>
    </row>
    <row r="1721" spans="2:2" x14ac:dyDescent="0.3">
      <c r="B1721" s="1"/>
    </row>
    <row r="1722" spans="2:2" x14ac:dyDescent="0.3">
      <c r="B1722" s="1"/>
    </row>
    <row r="1723" spans="2:2" x14ac:dyDescent="0.3">
      <c r="B1723" s="1"/>
    </row>
    <row r="1724" spans="2:2" x14ac:dyDescent="0.3">
      <c r="B1724" s="1"/>
    </row>
    <row r="1725" spans="2:2" x14ac:dyDescent="0.3">
      <c r="B1725" s="1"/>
    </row>
    <row r="1726" spans="2:2" x14ac:dyDescent="0.3">
      <c r="B1726" s="1"/>
    </row>
    <row r="1727" spans="2:2" x14ac:dyDescent="0.3">
      <c r="B1727" s="1"/>
    </row>
    <row r="1728" spans="2:2" x14ac:dyDescent="0.3">
      <c r="B1728" s="1"/>
    </row>
    <row r="1729" spans="2:2" x14ac:dyDescent="0.3">
      <c r="B1729" s="1"/>
    </row>
    <row r="1730" spans="2:2" x14ac:dyDescent="0.3">
      <c r="B1730" s="1"/>
    </row>
    <row r="1731" spans="2:2" x14ac:dyDescent="0.3">
      <c r="B1731" s="1"/>
    </row>
    <row r="1732" spans="2:2" x14ac:dyDescent="0.3">
      <c r="B1732" s="1"/>
    </row>
    <row r="1733" spans="2:2" x14ac:dyDescent="0.3">
      <c r="B1733" s="1"/>
    </row>
    <row r="1734" spans="2:2" x14ac:dyDescent="0.3">
      <c r="B1734" s="1"/>
    </row>
    <row r="1735" spans="2:2" x14ac:dyDescent="0.3">
      <c r="B1735" s="1"/>
    </row>
    <row r="1736" spans="2:2" x14ac:dyDescent="0.3">
      <c r="B1736" s="1"/>
    </row>
    <row r="1737" spans="2:2" x14ac:dyDescent="0.3">
      <c r="B1737" s="1"/>
    </row>
    <row r="1738" spans="2:2" x14ac:dyDescent="0.3">
      <c r="B1738" s="1"/>
    </row>
    <row r="1739" spans="2:2" x14ac:dyDescent="0.3">
      <c r="B1739" s="1"/>
    </row>
    <row r="1740" spans="2:2" x14ac:dyDescent="0.3">
      <c r="B1740" s="1"/>
    </row>
    <row r="1741" spans="2:2" x14ac:dyDescent="0.3">
      <c r="B1741" s="1"/>
    </row>
    <row r="1742" spans="2:2" x14ac:dyDescent="0.3">
      <c r="B1742" s="1"/>
    </row>
    <row r="1743" spans="2:2" x14ac:dyDescent="0.3">
      <c r="B1743" s="1"/>
    </row>
    <row r="1744" spans="2:2" x14ac:dyDescent="0.3">
      <c r="B1744" s="1"/>
    </row>
    <row r="1745" spans="2:2" x14ac:dyDescent="0.3">
      <c r="B1745" s="1"/>
    </row>
    <row r="1746" spans="2:2" x14ac:dyDescent="0.3">
      <c r="B1746" s="1"/>
    </row>
    <row r="1747" spans="2:2" x14ac:dyDescent="0.3">
      <c r="B1747" s="1"/>
    </row>
    <row r="1748" spans="2:2" x14ac:dyDescent="0.3">
      <c r="B1748" s="1"/>
    </row>
    <row r="1749" spans="2:2" x14ac:dyDescent="0.3">
      <c r="B1749" s="1"/>
    </row>
    <row r="1750" spans="2:2" x14ac:dyDescent="0.3">
      <c r="B1750" s="1"/>
    </row>
    <row r="1751" spans="2:2" x14ac:dyDescent="0.3">
      <c r="B1751" s="1"/>
    </row>
    <row r="1752" spans="2:2" x14ac:dyDescent="0.3">
      <c r="B1752" s="1"/>
    </row>
    <row r="1753" spans="2:2" x14ac:dyDescent="0.3">
      <c r="B1753" s="1"/>
    </row>
    <row r="1754" spans="2:2" x14ac:dyDescent="0.3">
      <c r="B1754" s="1"/>
    </row>
    <row r="1755" spans="2:2" x14ac:dyDescent="0.3">
      <c r="B1755" s="1"/>
    </row>
    <row r="1756" spans="2:2" x14ac:dyDescent="0.3">
      <c r="B1756" s="1"/>
    </row>
    <row r="1757" spans="2:2" x14ac:dyDescent="0.3">
      <c r="B1757" s="1"/>
    </row>
    <row r="1758" spans="2:2" x14ac:dyDescent="0.3">
      <c r="B1758" s="1"/>
    </row>
    <row r="1759" spans="2:2" x14ac:dyDescent="0.3">
      <c r="B1759" s="1"/>
    </row>
    <row r="1760" spans="2:2" x14ac:dyDescent="0.3">
      <c r="B1760" s="1"/>
    </row>
    <row r="1761" spans="2:2" x14ac:dyDescent="0.3">
      <c r="B1761" s="1"/>
    </row>
    <row r="1762" spans="2:2" x14ac:dyDescent="0.3">
      <c r="B1762" s="1"/>
    </row>
    <row r="1763" spans="2:2" x14ac:dyDescent="0.3">
      <c r="B1763" s="1"/>
    </row>
    <row r="1764" spans="2:2" x14ac:dyDescent="0.3">
      <c r="B1764" s="1"/>
    </row>
    <row r="1765" spans="2:2" x14ac:dyDescent="0.3">
      <c r="B1765" s="1"/>
    </row>
    <row r="1766" spans="2:2" x14ac:dyDescent="0.3">
      <c r="B1766" s="1"/>
    </row>
    <row r="1767" spans="2:2" x14ac:dyDescent="0.3">
      <c r="B1767" s="1"/>
    </row>
    <row r="1768" spans="2:2" x14ac:dyDescent="0.3">
      <c r="B1768" s="1"/>
    </row>
    <row r="1769" spans="2:2" x14ac:dyDescent="0.3">
      <c r="B1769" s="1"/>
    </row>
    <row r="1770" spans="2:2" x14ac:dyDescent="0.3">
      <c r="B1770" s="1"/>
    </row>
    <row r="1771" spans="2:2" x14ac:dyDescent="0.3">
      <c r="B1771" s="1"/>
    </row>
    <row r="1772" spans="2:2" x14ac:dyDescent="0.3">
      <c r="B1772" s="1"/>
    </row>
    <row r="1773" spans="2:2" x14ac:dyDescent="0.3">
      <c r="B1773" s="1"/>
    </row>
    <row r="1774" spans="2:2" x14ac:dyDescent="0.3">
      <c r="B1774" s="1"/>
    </row>
    <row r="1775" spans="2:2" x14ac:dyDescent="0.3">
      <c r="B1775" s="1"/>
    </row>
    <row r="1776" spans="2:2" x14ac:dyDescent="0.3">
      <c r="B1776" s="1"/>
    </row>
    <row r="1777" spans="2:2" x14ac:dyDescent="0.3">
      <c r="B1777" s="1"/>
    </row>
    <row r="1778" spans="2:2" x14ac:dyDescent="0.3">
      <c r="B1778" s="1"/>
    </row>
    <row r="1779" spans="2:2" x14ac:dyDescent="0.3">
      <c r="B1779" s="1"/>
    </row>
    <row r="1780" spans="2:2" x14ac:dyDescent="0.3">
      <c r="B1780" s="1"/>
    </row>
    <row r="1781" spans="2:2" x14ac:dyDescent="0.3">
      <c r="B1781" s="1"/>
    </row>
    <row r="1782" spans="2:2" x14ac:dyDescent="0.3">
      <c r="B1782" s="1"/>
    </row>
    <row r="1783" spans="2:2" x14ac:dyDescent="0.3">
      <c r="B1783" s="1"/>
    </row>
    <row r="1784" spans="2:2" x14ac:dyDescent="0.3">
      <c r="B1784" s="1"/>
    </row>
    <row r="1785" spans="2:2" x14ac:dyDescent="0.3">
      <c r="B1785" s="1"/>
    </row>
    <row r="1786" spans="2:2" x14ac:dyDescent="0.3">
      <c r="B1786" s="1"/>
    </row>
    <row r="1787" spans="2:2" x14ac:dyDescent="0.3">
      <c r="B1787" s="1"/>
    </row>
    <row r="1788" spans="2:2" x14ac:dyDescent="0.3">
      <c r="B1788" s="1"/>
    </row>
    <row r="1789" spans="2:2" x14ac:dyDescent="0.3">
      <c r="B1789" s="1"/>
    </row>
    <row r="1790" spans="2:2" x14ac:dyDescent="0.3">
      <c r="B1790" s="1"/>
    </row>
    <row r="1791" spans="2:2" x14ac:dyDescent="0.3">
      <c r="B1791" s="1"/>
    </row>
    <row r="1792" spans="2:2" x14ac:dyDescent="0.3">
      <c r="B1792" s="1"/>
    </row>
    <row r="1793" spans="2:2" x14ac:dyDescent="0.3">
      <c r="B1793" s="1"/>
    </row>
    <row r="1794" spans="2:2" x14ac:dyDescent="0.3">
      <c r="B1794" s="1"/>
    </row>
    <row r="1795" spans="2:2" x14ac:dyDescent="0.3">
      <c r="B1795" s="1"/>
    </row>
    <row r="1796" spans="2:2" x14ac:dyDescent="0.3">
      <c r="B1796" s="1"/>
    </row>
    <row r="1797" spans="2:2" x14ac:dyDescent="0.3">
      <c r="B1797" s="1"/>
    </row>
    <row r="1798" spans="2:2" x14ac:dyDescent="0.3">
      <c r="B1798" s="1"/>
    </row>
    <row r="1799" spans="2:2" x14ac:dyDescent="0.3">
      <c r="B1799" s="1"/>
    </row>
    <row r="1800" spans="2:2" x14ac:dyDescent="0.3">
      <c r="B1800" s="1"/>
    </row>
    <row r="1801" spans="2:2" x14ac:dyDescent="0.3">
      <c r="B1801" s="1"/>
    </row>
    <row r="1802" spans="2:2" x14ac:dyDescent="0.3">
      <c r="B1802" s="1"/>
    </row>
    <row r="1803" spans="2:2" x14ac:dyDescent="0.3">
      <c r="B1803" s="1"/>
    </row>
    <row r="1804" spans="2:2" x14ac:dyDescent="0.3">
      <c r="B1804" s="1"/>
    </row>
    <row r="1805" spans="2:2" x14ac:dyDescent="0.3">
      <c r="B1805" s="1"/>
    </row>
    <row r="1806" spans="2:2" x14ac:dyDescent="0.3">
      <c r="B1806" s="1"/>
    </row>
    <row r="1807" spans="2:2" x14ac:dyDescent="0.3">
      <c r="B1807" s="1"/>
    </row>
    <row r="1808" spans="2:2" x14ac:dyDescent="0.3">
      <c r="B1808" s="1"/>
    </row>
    <row r="1809" spans="2:2" x14ac:dyDescent="0.3">
      <c r="B1809" s="1"/>
    </row>
    <row r="1810" spans="2:2" x14ac:dyDescent="0.3">
      <c r="B1810" s="1"/>
    </row>
    <row r="1811" spans="2:2" x14ac:dyDescent="0.3">
      <c r="B1811" s="1"/>
    </row>
    <row r="1812" spans="2:2" x14ac:dyDescent="0.3">
      <c r="B1812" s="1"/>
    </row>
    <row r="1813" spans="2:2" x14ac:dyDescent="0.3">
      <c r="B1813" s="1"/>
    </row>
    <row r="1814" spans="2:2" x14ac:dyDescent="0.3">
      <c r="B1814" s="1"/>
    </row>
    <row r="1815" spans="2:2" x14ac:dyDescent="0.3">
      <c r="B1815" s="1"/>
    </row>
    <row r="1816" spans="2:2" x14ac:dyDescent="0.3">
      <c r="B1816" s="1"/>
    </row>
    <row r="1817" spans="2:2" x14ac:dyDescent="0.3">
      <c r="B1817" s="1"/>
    </row>
    <row r="1818" spans="2:2" x14ac:dyDescent="0.3">
      <c r="B1818" s="1"/>
    </row>
    <row r="1819" spans="2:2" x14ac:dyDescent="0.3">
      <c r="B1819" s="1"/>
    </row>
    <row r="1820" spans="2:2" x14ac:dyDescent="0.3">
      <c r="B1820" s="1"/>
    </row>
    <row r="1821" spans="2:2" x14ac:dyDescent="0.3">
      <c r="B1821" s="1"/>
    </row>
    <row r="1822" spans="2:2" x14ac:dyDescent="0.3">
      <c r="B1822" s="1"/>
    </row>
    <row r="1823" spans="2:2" x14ac:dyDescent="0.3">
      <c r="B1823" s="1"/>
    </row>
    <row r="1824" spans="2:2" x14ac:dyDescent="0.3">
      <c r="B1824" s="1"/>
    </row>
    <row r="1825" spans="2:2" x14ac:dyDescent="0.3">
      <c r="B1825" s="1"/>
    </row>
    <row r="1826" spans="2:2" x14ac:dyDescent="0.3">
      <c r="B1826" s="1"/>
    </row>
    <row r="1827" spans="2:2" x14ac:dyDescent="0.3">
      <c r="B1827" s="1"/>
    </row>
    <row r="1828" spans="2:2" x14ac:dyDescent="0.3">
      <c r="B1828" s="1"/>
    </row>
    <row r="1829" spans="2:2" x14ac:dyDescent="0.3">
      <c r="B1829" s="1"/>
    </row>
    <row r="1830" spans="2:2" x14ac:dyDescent="0.3">
      <c r="B1830" s="1"/>
    </row>
    <row r="1831" spans="2:2" x14ac:dyDescent="0.3">
      <c r="B1831" s="1"/>
    </row>
    <row r="1832" spans="2:2" x14ac:dyDescent="0.3">
      <c r="B1832" s="1"/>
    </row>
    <row r="1833" spans="2:2" x14ac:dyDescent="0.3">
      <c r="B1833" s="1"/>
    </row>
    <row r="1834" spans="2:2" x14ac:dyDescent="0.3">
      <c r="B1834" s="1"/>
    </row>
    <row r="1835" spans="2:2" x14ac:dyDescent="0.3">
      <c r="B1835" s="1"/>
    </row>
    <row r="1836" spans="2:2" x14ac:dyDescent="0.3">
      <c r="B1836" s="1"/>
    </row>
    <row r="1837" spans="2:2" x14ac:dyDescent="0.3">
      <c r="B1837" s="1"/>
    </row>
    <row r="1838" spans="2:2" x14ac:dyDescent="0.3">
      <c r="B1838" s="1"/>
    </row>
    <row r="1839" spans="2:2" x14ac:dyDescent="0.3">
      <c r="B1839" s="1"/>
    </row>
    <row r="1840" spans="2:2" x14ac:dyDescent="0.3">
      <c r="B1840" s="1"/>
    </row>
    <row r="1841" spans="2:2" x14ac:dyDescent="0.3">
      <c r="B1841" s="1"/>
    </row>
    <row r="1842" spans="2:2" x14ac:dyDescent="0.3">
      <c r="B1842" s="1"/>
    </row>
    <row r="1843" spans="2:2" x14ac:dyDescent="0.3">
      <c r="B1843" s="1"/>
    </row>
    <row r="1844" spans="2:2" x14ac:dyDescent="0.3">
      <c r="B1844" s="1"/>
    </row>
    <row r="1845" spans="2:2" x14ac:dyDescent="0.3">
      <c r="B1845" s="1"/>
    </row>
    <row r="1846" spans="2:2" x14ac:dyDescent="0.3">
      <c r="B1846" s="1"/>
    </row>
    <row r="1847" spans="2:2" x14ac:dyDescent="0.3">
      <c r="B1847" s="1"/>
    </row>
    <row r="1848" spans="2:2" x14ac:dyDescent="0.3">
      <c r="B1848" s="1"/>
    </row>
    <row r="1849" spans="2:2" x14ac:dyDescent="0.3">
      <c r="B1849" s="1"/>
    </row>
    <row r="1850" spans="2:2" x14ac:dyDescent="0.3">
      <c r="B1850" s="1"/>
    </row>
    <row r="1851" spans="2:2" x14ac:dyDescent="0.3">
      <c r="B1851" s="1"/>
    </row>
    <row r="1852" spans="2:2" x14ac:dyDescent="0.3">
      <c r="B1852" s="1"/>
    </row>
    <row r="1853" spans="2:2" x14ac:dyDescent="0.3">
      <c r="B1853" s="1"/>
    </row>
    <row r="1854" spans="2:2" x14ac:dyDescent="0.3">
      <c r="B1854" s="1"/>
    </row>
    <row r="1855" spans="2:2" x14ac:dyDescent="0.3">
      <c r="B1855" s="1"/>
    </row>
    <row r="1856" spans="2:2" x14ac:dyDescent="0.3">
      <c r="B1856" s="1"/>
    </row>
    <row r="1857" spans="2:2" x14ac:dyDescent="0.3">
      <c r="B1857" s="1"/>
    </row>
    <row r="1858" spans="2:2" x14ac:dyDescent="0.3">
      <c r="B1858" s="1"/>
    </row>
    <row r="1859" spans="2:2" x14ac:dyDescent="0.3">
      <c r="B1859" s="1"/>
    </row>
    <row r="1860" spans="2:2" x14ac:dyDescent="0.3">
      <c r="B1860" s="1"/>
    </row>
    <row r="1861" spans="2:2" x14ac:dyDescent="0.3">
      <c r="B1861" s="1"/>
    </row>
    <row r="1862" spans="2:2" x14ac:dyDescent="0.3">
      <c r="B1862" s="1"/>
    </row>
    <row r="1863" spans="2:2" x14ac:dyDescent="0.3">
      <c r="B1863" s="1"/>
    </row>
    <row r="1864" spans="2:2" x14ac:dyDescent="0.3">
      <c r="B1864" s="1"/>
    </row>
    <row r="1865" spans="2:2" x14ac:dyDescent="0.3">
      <c r="B1865" s="1"/>
    </row>
    <row r="1866" spans="2:2" x14ac:dyDescent="0.3">
      <c r="B1866" s="1"/>
    </row>
    <row r="1867" spans="2:2" x14ac:dyDescent="0.3">
      <c r="B1867" s="1"/>
    </row>
    <row r="1868" spans="2:2" x14ac:dyDescent="0.3">
      <c r="B1868" s="1"/>
    </row>
    <row r="1869" spans="2:2" x14ac:dyDescent="0.3">
      <c r="B1869" s="1"/>
    </row>
    <row r="1870" spans="2:2" x14ac:dyDescent="0.3">
      <c r="B1870" s="1"/>
    </row>
    <row r="1871" spans="2:2" x14ac:dyDescent="0.3">
      <c r="B1871" s="1"/>
    </row>
    <row r="1872" spans="2:2" x14ac:dyDescent="0.3">
      <c r="B1872" s="1"/>
    </row>
    <row r="1873" spans="2:2" x14ac:dyDescent="0.3">
      <c r="B1873" s="1"/>
    </row>
    <row r="1874" spans="2:2" x14ac:dyDescent="0.3">
      <c r="B1874" s="1"/>
    </row>
    <row r="1875" spans="2:2" x14ac:dyDescent="0.3">
      <c r="B1875" s="1"/>
    </row>
    <row r="1876" spans="2:2" x14ac:dyDescent="0.3">
      <c r="B1876" s="1"/>
    </row>
    <row r="1877" spans="2:2" x14ac:dyDescent="0.3">
      <c r="B1877" s="1"/>
    </row>
    <row r="1878" spans="2:2" x14ac:dyDescent="0.3">
      <c r="B1878" s="1"/>
    </row>
    <row r="1879" spans="2:2" x14ac:dyDescent="0.3">
      <c r="B1879" s="1"/>
    </row>
    <row r="1880" spans="2:2" x14ac:dyDescent="0.3">
      <c r="B1880" s="1"/>
    </row>
    <row r="1881" spans="2:2" x14ac:dyDescent="0.3">
      <c r="B1881" s="1"/>
    </row>
    <row r="1882" spans="2:2" x14ac:dyDescent="0.3">
      <c r="B1882" s="1"/>
    </row>
    <row r="1883" spans="2:2" x14ac:dyDescent="0.3">
      <c r="B1883" s="1"/>
    </row>
    <row r="1884" spans="2:2" x14ac:dyDescent="0.3">
      <c r="B1884" s="1"/>
    </row>
    <row r="1885" spans="2:2" x14ac:dyDescent="0.3">
      <c r="B1885" s="1"/>
    </row>
    <row r="1886" spans="2:2" x14ac:dyDescent="0.3">
      <c r="B1886" s="1"/>
    </row>
    <row r="1887" spans="2:2" x14ac:dyDescent="0.3">
      <c r="B1887" s="1"/>
    </row>
    <row r="1888" spans="2:2" x14ac:dyDescent="0.3">
      <c r="B1888" s="1"/>
    </row>
    <row r="1889" spans="2:2" x14ac:dyDescent="0.3">
      <c r="B1889" s="1"/>
    </row>
    <row r="1890" spans="2:2" x14ac:dyDescent="0.3">
      <c r="B1890" s="1"/>
    </row>
    <row r="1891" spans="2:2" x14ac:dyDescent="0.3">
      <c r="B1891" s="1"/>
    </row>
    <row r="1892" spans="2:2" x14ac:dyDescent="0.3">
      <c r="B1892" s="1"/>
    </row>
    <row r="1893" spans="2:2" x14ac:dyDescent="0.3">
      <c r="B1893" s="1"/>
    </row>
    <row r="1894" spans="2:2" x14ac:dyDescent="0.3">
      <c r="B1894" s="1"/>
    </row>
    <row r="1895" spans="2:2" x14ac:dyDescent="0.3">
      <c r="B1895" s="1"/>
    </row>
    <row r="1896" spans="2:2" x14ac:dyDescent="0.3">
      <c r="B1896" s="1"/>
    </row>
    <row r="1897" spans="2:2" x14ac:dyDescent="0.3">
      <c r="B1897" s="1"/>
    </row>
    <row r="1898" spans="2:2" x14ac:dyDescent="0.3">
      <c r="B1898" s="1"/>
    </row>
    <row r="1899" spans="2:2" x14ac:dyDescent="0.3">
      <c r="B1899" s="1"/>
    </row>
    <row r="1900" spans="2:2" x14ac:dyDescent="0.3">
      <c r="B1900" s="1"/>
    </row>
    <row r="1901" spans="2:2" x14ac:dyDescent="0.3">
      <c r="B1901" s="1"/>
    </row>
    <row r="1902" spans="2:2" x14ac:dyDescent="0.3">
      <c r="B1902" s="1"/>
    </row>
    <row r="1903" spans="2:2" x14ac:dyDescent="0.3">
      <c r="B1903" s="1"/>
    </row>
    <row r="1904" spans="2:2" x14ac:dyDescent="0.3">
      <c r="B1904" s="1"/>
    </row>
    <row r="1905" spans="2:2" x14ac:dyDescent="0.3">
      <c r="B1905" s="1"/>
    </row>
    <row r="1906" spans="2:2" x14ac:dyDescent="0.3">
      <c r="B1906" s="1"/>
    </row>
    <row r="1907" spans="2:2" x14ac:dyDescent="0.3">
      <c r="B1907" s="1"/>
    </row>
    <row r="1908" spans="2:2" x14ac:dyDescent="0.3">
      <c r="B1908" s="1"/>
    </row>
    <row r="1909" spans="2:2" x14ac:dyDescent="0.3">
      <c r="B1909" s="1"/>
    </row>
    <row r="1910" spans="2:2" x14ac:dyDescent="0.3">
      <c r="B1910" s="1"/>
    </row>
    <row r="1911" spans="2:2" x14ac:dyDescent="0.3">
      <c r="B1911" s="1"/>
    </row>
    <row r="1912" spans="2:2" x14ac:dyDescent="0.3">
      <c r="B1912" s="1"/>
    </row>
    <row r="1913" spans="2:2" x14ac:dyDescent="0.3">
      <c r="B1913" s="1"/>
    </row>
    <row r="1914" spans="2:2" x14ac:dyDescent="0.3">
      <c r="B1914" s="1"/>
    </row>
    <row r="1915" spans="2:2" x14ac:dyDescent="0.3">
      <c r="B1915" s="1"/>
    </row>
    <row r="1916" spans="2:2" x14ac:dyDescent="0.3">
      <c r="B1916" s="1"/>
    </row>
    <row r="1917" spans="2:2" x14ac:dyDescent="0.3">
      <c r="B1917" s="1"/>
    </row>
    <row r="1918" spans="2:2" x14ac:dyDescent="0.3">
      <c r="B1918" s="1"/>
    </row>
    <row r="1919" spans="2:2" x14ac:dyDescent="0.3">
      <c r="B1919" s="1"/>
    </row>
    <row r="1920" spans="2:2" x14ac:dyDescent="0.3">
      <c r="B1920" s="1"/>
    </row>
    <row r="1921" spans="2:2" x14ac:dyDescent="0.3">
      <c r="B1921" s="1"/>
    </row>
    <row r="1922" spans="2:2" x14ac:dyDescent="0.3">
      <c r="B1922" s="1"/>
    </row>
    <row r="1923" spans="2:2" x14ac:dyDescent="0.3">
      <c r="B1923" s="1"/>
    </row>
    <row r="1924" spans="2:2" x14ac:dyDescent="0.3">
      <c r="B1924" s="1"/>
    </row>
    <row r="1925" spans="2:2" x14ac:dyDescent="0.3">
      <c r="B1925" s="1"/>
    </row>
    <row r="1926" spans="2:2" x14ac:dyDescent="0.3">
      <c r="B1926" s="1"/>
    </row>
    <row r="1927" spans="2:2" x14ac:dyDescent="0.3">
      <c r="B1927" s="1"/>
    </row>
    <row r="1928" spans="2:2" x14ac:dyDescent="0.3">
      <c r="B1928" s="1"/>
    </row>
    <row r="1929" spans="2:2" x14ac:dyDescent="0.3">
      <c r="B1929" s="1"/>
    </row>
    <row r="1930" spans="2:2" x14ac:dyDescent="0.3">
      <c r="B1930" s="1"/>
    </row>
    <row r="1931" spans="2:2" x14ac:dyDescent="0.3">
      <c r="B1931" s="1"/>
    </row>
    <row r="1932" spans="2:2" x14ac:dyDescent="0.3">
      <c r="B1932" s="1"/>
    </row>
    <row r="1933" spans="2:2" x14ac:dyDescent="0.3">
      <c r="B1933" s="1"/>
    </row>
    <row r="1934" spans="2:2" x14ac:dyDescent="0.3">
      <c r="B1934" s="1"/>
    </row>
    <row r="1935" spans="2:2" x14ac:dyDescent="0.3">
      <c r="B1935" s="1"/>
    </row>
    <row r="1936" spans="2:2" x14ac:dyDescent="0.3">
      <c r="B1936" s="1"/>
    </row>
    <row r="1937" spans="2:2" x14ac:dyDescent="0.3">
      <c r="B1937" s="1"/>
    </row>
    <row r="1938" spans="2:2" x14ac:dyDescent="0.3">
      <c r="B1938" s="1"/>
    </row>
    <row r="1939" spans="2:2" x14ac:dyDescent="0.3">
      <c r="B1939" s="1"/>
    </row>
    <row r="1940" spans="2:2" x14ac:dyDescent="0.3">
      <c r="B1940" s="1"/>
    </row>
    <row r="1941" spans="2:2" x14ac:dyDescent="0.3">
      <c r="B1941" s="1"/>
    </row>
    <row r="1942" spans="2:2" x14ac:dyDescent="0.3">
      <c r="B1942" s="1"/>
    </row>
    <row r="1943" spans="2:2" x14ac:dyDescent="0.3">
      <c r="B1943" s="1"/>
    </row>
    <row r="1944" spans="2:2" x14ac:dyDescent="0.3">
      <c r="B1944" s="1"/>
    </row>
    <row r="1945" spans="2:2" x14ac:dyDescent="0.3">
      <c r="B1945" s="1"/>
    </row>
    <row r="1946" spans="2:2" x14ac:dyDescent="0.3">
      <c r="B1946" s="1"/>
    </row>
    <row r="1947" spans="2:2" x14ac:dyDescent="0.3">
      <c r="B1947" s="1"/>
    </row>
    <row r="1948" spans="2:2" x14ac:dyDescent="0.3">
      <c r="B1948" s="1"/>
    </row>
    <row r="1949" spans="2:2" x14ac:dyDescent="0.3">
      <c r="B1949" s="1"/>
    </row>
    <row r="1950" spans="2:2" x14ac:dyDescent="0.3">
      <c r="B1950" s="1"/>
    </row>
    <row r="1951" spans="2:2" x14ac:dyDescent="0.3">
      <c r="B1951" s="1"/>
    </row>
    <row r="1952" spans="2:2" x14ac:dyDescent="0.3">
      <c r="B1952" s="1"/>
    </row>
    <row r="1953" spans="2:2" x14ac:dyDescent="0.3">
      <c r="B1953" s="1"/>
    </row>
    <row r="1954" spans="2:2" x14ac:dyDescent="0.3">
      <c r="B1954" s="1"/>
    </row>
    <row r="1955" spans="2:2" x14ac:dyDescent="0.3">
      <c r="B1955" s="1"/>
    </row>
    <row r="1956" spans="2:2" x14ac:dyDescent="0.3">
      <c r="B1956" s="1"/>
    </row>
    <row r="1957" spans="2:2" x14ac:dyDescent="0.3">
      <c r="B1957" s="1"/>
    </row>
    <row r="1958" spans="2:2" x14ac:dyDescent="0.3">
      <c r="B1958" s="1"/>
    </row>
    <row r="1959" spans="2:2" x14ac:dyDescent="0.3">
      <c r="B1959" s="1"/>
    </row>
    <row r="1960" spans="2:2" x14ac:dyDescent="0.3">
      <c r="B1960" s="1"/>
    </row>
    <row r="1961" spans="2:2" x14ac:dyDescent="0.3">
      <c r="B1961" s="1"/>
    </row>
    <row r="1962" spans="2:2" x14ac:dyDescent="0.3">
      <c r="B1962" s="1"/>
    </row>
    <row r="1963" spans="2:2" x14ac:dyDescent="0.3">
      <c r="B1963" s="1"/>
    </row>
    <row r="1964" spans="2:2" x14ac:dyDescent="0.3">
      <c r="B1964" s="1"/>
    </row>
    <row r="1965" spans="2:2" x14ac:dyDescent="0.3">
      <c r="B1965" s="1"/>
    </row>
    <row r="1966" spans="2:2" x14ac:dyDescent="0.3">
      <c r="B1966" s="1"/>
    </row>
    <row r="1967" spans="2:2" x14ac:dyDescent="0.3">
      <c r="B1967" s="1"/>
    </row>
    <row r="1968" spans="2:2" x14ac:dyDescent="0.3">
      <c r="B1968" s="1"/>
    </row>
    <row r="1969" spans="2:2" x14ac:dyDescent="0.3">
      <c r="B1969" s="1"/>
    </row>
    <row r="1970" spans="2:2" x14ac:dyDescent="0.3">
      <c r="B1970" s="1"/>
    </row>
    <row r="1971" spans="2:2" x14ac:dyDescent="0.3">
      <c r="B1971" s="1"/>
    </row>
    <row r="1972" spans="2:2" x14ac:dyDescent="0.3">
      <c r="B1972" s="1"/>
    </row>
    <row r="1973" spans="2:2" x14ac:dyDescent="0.3">
      <c r="B1973" s="1"/>
    </row>
    <row r="1974" spans="2:2" x14ac:dyDescent="0.3">
      <c r="B1974" s="1"/>
    </row>
    <row r="1975" spans="2:2" x14ac:dyDescent="0.3">
      <c r="B1975" s="1"/>
    </row>
    <row r="1976" spans="2:2" x14ac:dyDescent="0.3">
      <c r="B1976" s="1"/>
    </row>
    <row r="1977" spans="2:2" x14ac:dyDescent="0.3">
      <c r="B1977" s="1"/>
    </row>
    <row r="1978" spans="2:2" x14ac:dyDescent="0.3">
      <c r="B1978" s="1"/>
    </row>
    <row r="1979" spans="2:2" x14ac:dyDescent="0.3">
      <c r="B1979" s="1"/>
    </row>
    <row r="1980" spans="2:2" x14ac:dyDescent="0.3">
      <c r="B1980" s="1"/>
    </row>
    <row r="1981" spans="2:2" x14ac:dyDescent="0.3">
      <c r="B1981" s="1"/>
    </row>
    <row r="1982" spans="2:2" x14ac:dyDescent="0.3">
      <c r="B1982" s="1"/>
    </row>
    <row r="1983" spans="2:2" x14ac:dyDescent="0.3">
      <c r="B1983" s="1"/>
    </row>
    <row r="1984" spans="2:2" x14ac:dyDescent="0.3">
      <c r="B1984" s="1"/>
    </row>
    <row r="1985" spans="2:2" x14ac:dyDescent="0.3">
      <c r="B1985" s="1"/>
    </row>
    <row r="1986" spans="2:2" x14ac:dyDescent="0.3">
      <c r="B1986" s="1"/>
    </row>
    <row r="1987" spans="2:2" x14ac:dyDescent="0.3">
      <c r="B1987" s="1"/>
    </row>
    <row r="1988" spans="2:2" x14ac:dyDescent="0.3">
      <c r="B1988" s="1"/>
    </row>
    <row r="1989" spans="2:2" x14ac:dyDescent="0.3">
      <c r="B1989" s="1"/>
    </row>
    <row r="1990" spans="2:2" x14ac:dyDescent="0.3">
      <c r="B1990" s="1"/>
    </row>
    <row r="1991" spans="2:2" x14ac:dyDescent="0.3">
      <c r="B1991" s="1"/>
    </row>
    <row r="1992" spans="2:2" x14ac:dyDescent="0.3">
      <c r="B1992" s="1"/>
    </row>
    <row r="1993" spans="2:2" x14ac:dyDescent="0.3">
      <c r="B1993" s="1"/>
    </row>
    <row r="1994" spans="2:2" x14ac:dyDescent="0.3">
      <c r="B1994" s="1"/>
    </row>
    <row r="1995" spans="2:2" x14ac:dyDescent="0.3">
      <c r="B1995" s="1"/>
    </row>
    <row r="1996" spans="2:2" x14ac:dyDescent="0.3">
      <c r="B1996" s="1"/>
    </row>
    <row r="1997" spans="2:2" x14ac:dyDescent="0.3">
      <c r="B1997" s="1"/>
    </row>
    <row r="1998" spans="2:2" x14ac:dyDescent="0.3">
      <c r="B1998" s="1"/>
    </row>
    <row r="1999" spans="2:2" x14ac:dyDescent="0.3">
      <c r="B1999" s="1"/>
    </row>
    <row r="2000" spans="2:2" x14ac:dyDescent="0.3">
      <c r="B2000" s="1"/>
    </row>
    <row r="2001" spans="2:2" x14ac:dyDescent="0.3">
      <c r="B2001" s="1"/>
    </row>
    <row r="2002" spans="2:2" x14ac:dyDescent="0.3">
      <c r="B2002" s="1"/>
    </row>
    <row r="2003" spans="2:2" x14ac:dyDescent="0.3">
      <c r="B2003" s="1"/>
    </row>
    <row r="2004" spans="2:2" x14ac:dyDescent="0.3">
      <c r="B2004" s="1"/>
    </row>
    <row r="2005" spans="2:2" x14ac:dyDescent="0.3">
      <c r="B2005" s="1"/>
    </row>
    <row r="2006" spans="2:2" x14ac:dyDescent="0.3">
      <c r="B2006" s="1"/>
    </row>
    <row r="2007" spans="2:2" x14ac:dyDescent="0.3">
      <c r="B2007" s="1"/>
    </row>
    <row r="2008" spans="2:2" x14ac:dyDescent="0.3">
      <c r="B2008" s="1"/>
    </row>
    <row r="2009" spans="2:2" x14ac:dyDescent="0.3">
      <c r="B2009" s="1"/>
    </row>
    <row r="2010" spans="2:2" x14ac:dyDescent="0.3">
      <c r="B2010" s="1"/>
    </row>
    <row r="2011" spans="2:2" x14ac:dyDescent="0.3">
      <c r="B2011" s="1"/>
    </row>
    <row r="2012" spans="2:2" x14ac:dyDescent="0.3">
      <c r="B2012" s="1"/>
    </row>
    <row r="2013" spans="2:2" x14ac:dyDescent="0.3">
      <c r="B2013" s="1"/>
    </row>
    <row r="2014" spans="2:2" x14ac:dyDescent="0.3">
      <c r="B2014" s="1"/>
    </row>
    <row r="2015" spans="2:2" x14ac:dyDescent="0.3">
      <c r="B2015" s="1"/>
    </row>
    <row r="2016" spans="2:2" x14ac:dyDescent="0.3">
      <c r="B2016" s="1"/>
    </row>
    <row r="2017" spans="2:2" x14ac:dyDescent="0.3">
      <c r="B2017" s="1"/>
    </row>
    <row r="2018" spans="2:2" x14ac:dyDescent="0.3">
      <c r="B2018" s="1"/>
    </row>
    <row r="2019" spans="2:2" x14ac:dyDescent="0.3">
      <c r="B2019" s="1"/>
    </row>
    <row r="2020" spans="2:2" x14ac:dyDescent="0.3">
      <c r="B2020" s="1"/>
    </row>
    <row r="2021" spans="2:2" x14ac:dyDescent="0.3">
      <c r="B2021" s="1"/>
    </row>
    <row r="2022" spans="2:2" x14ac:dyDescent="0.3">
      <c r="B2022" s="1"/>
    </row>
    <row r="2023" spans="2:2" x14ac:dyDescent="0.3">
      <c r="B2023" s="1"/>
    </row>
    <row r="2024" spans="2:2" x14ac:dyDescent="0.3">
      <c r="B2024" s="1"/>
    </row>
    <row r="2025" spans="2:2" x14ac:dyDescent="0.3">
      <c r="B2025" s="1"/>
    </row>
    <row r="2026" spans="2:2" x14ac:dyDescent="0.3">
      <c r="B2026" s="1"/>
    </row>
    <row r="2027" spans="2:2" x14ac:dyDescent="0.3">
      <c r="B2027" s="1"/>
    </row>
    <row r="2028" spans="2:2" x14ac:dyDescent="0.3">
      <c r="B2028" s="1"/>
    </row>
    <row r="2029" spans="2:2" x14ac:dyDescent="0.3">
      <c r="B2029" s="1"/>
    </row>
    <row r="2030" spans="2:2" x14ac:dyDescent="0.3">
      <c r="B2030" s="1"/>
    </row>
    <row r="2031" spans="2:2" x14ac:dyDescent="0.3">
      <c r="B2031" s="1"/>
    </row>
    <row r="2032" spans="2:2" x14ac:dyDescent="0.3">
      <c r="B2032" s="1"/>
    </row>
    <row r="2033" spans="2:2" x14ac:dyDescent="0.3">
      <c r="B2033" s="1"/>
    </row>
    <row r="2034" spans="2:2" x14ac:dyDescent="0.3">
      <c r="B2034" s="1"/>
    </row>
    <row r="2035" spans="2:2" x14ac:dyDescent="0.3">
      <c r="B2035" s="1"/>
    </row>
    <row r="2036" spans="2:2" x14ac:dyDescent="0.3">
      <c r="B2036" s="1"/>
    </row>
    <row r="2037" spans="2:2" x14ac:dyDescent="0.3">
      <c r="B2037" s="1"/>
    </row>
    <row r="2038" spans="2:2" x14ac:dyDescent="0.3">
      <c r="B2038" s="1"/>
    </row>
    <row r="2039" spans="2:2" x14ac:dyDescent="0.3">
      <c r="B2039" s="1"/>
    </row>
    <row r="2040" spans="2:2" x14ac:dyDescent="0.3">
      <c r="B2040" s="1"/>
    </row>
    <row r="2041" spans="2:2" x14ac:dyDescent="0.3">
      <c r="B2041" s="1"/>
    </row>
    <row r="2042" spans="2:2" x14ac:dyDescent="0.3">
      <c r="B2042" s="1"/>
    </row>
    <row r="2043" spans="2:2" x14ac:dyDescent="0.3">
      <c r="B2043" s="1"/>
    </row>
    <row r="2044" spans="2:2" x14ac:dyDescent="0.3">
      <c r="B2044" s="1"/>
    </row>
    <row r="2045" spans="2:2" x14ac:dyDescent="0.3">
      <c r="B2045" s="1"/>
    </row>
    <row r="2046" spans="2:2" x14ac:dyDescent="0.3">
      <c r="B2046" s="1"/>
    </row>
    <row r="2047" spans="2:2" x14ac:dyDescent="0.3">
      <c r="B2047" s="1"/>
    </row>
    <row r="2048" spans="2:2" x14ac:dyDescent="0.3">
      <c r="B2048" s="1"/>
    </row>
    <row r="2049" spans="2:2" x14ac:dyDescent="0.3">
      <c r="B2049" s="1"/>
    </row>
    <row r="2050" spans="2:2" x14ac:dyDescent="0.3">
      <c r="B2050" s="1"/>
    </row>
    <row r="2051" spans="2:2" x14ac:dyDescent="0.3">
      <c r="B2051" s="1"/>
    </row>
    <row r="2052" spans="2:2" x14ac:dyDescent="0.3">
      <c r="B2052" s="1"/>
    </row>
    <row r="2053" spans="2:2" x14ac:dyDescent="0.3">
      <c r="B2053" s="1"/>
    </row>
    <row r="2054" spans="2:2" x14ac:dyDescent="0.3">
      <c r="B2054" s="1"/>
    </row>
    <row r="2055" spans="2:2" x14ac:dyDescent="0.3">
      <c r="B2055" s="1"/>
    </row>
    <row r="2056" spans="2:2" x14ac:dyDescent="0.3">
      <c r="B2056" s="1"/>
    </row>
    <row r="2057" spans="2:2" x14ac:dyDescent="0.3">
      <c r="B2057" s="1"/>
    </row>
    <row r="2058" spans="2:2" x14ac:dyDescent="0.3">
      <c r="B2058" s="1"/>
    </row>
    <row r="2059" spans="2:2" x14ac:dyDescent="0.3">
      <c r="B2059" s="1"/>
    </row>
    <row r="2060" spans="2:2" x14ac:dyDescent="0.3">
      <c r="B2060" s="1"/>
    </row>
    <row r="2061" spans="2:2" x14ac:dyDescent="0.3">
      <c r="B2061" s="1"/>
    </row>
    <row r="2062" spans="2:2" x14ac:dyDescent="0.3">
      <c r="B2062" s="1"/>
    </row>
    <row r="2063" spans="2:2" x14ac:dyDescent="0.3">
      <c r="B2063" s="1"/>
    </row>
    <row r="2064" spans="2:2" x14ac:dyDescent="0.3">
      <c r="B2064" s="1"/>
    </row>
    <row r="2065" spans="2:2" x14ac:dyDescent="0.3">
      <c r="B2065" s="1"/>
    </row>
    <row r="2066" spans="2:2" x14ac:dyDescent="0.3">
      <c r="B2066" s="1"/>
    </row>
    <row r="2067" spans="2:2" x14ac:dyDescent="0.3">
      <c r="B2067" s="1"/>
    </row>
    <row r="2068" spans="2:2" x14ac:dyDescent="0.3">
      <c r="B2068" s="1"/>
    </row>
    <row r="2069" spans="2:2" x14ac:dyDescent="0.3">
      <c r="B2069" s="1"/>
    </row>
    <row r="2070" spans="2:2" x14ac:dyDescent="0.3">
      <c r="B2070" s="1"/>
    </row>
    <row r="2071" spans="2:2" x14ac:dyDescent="0.3">
      <c r="B2071" s="1"/>
    </row>
    <row r="2072" spans="2:2" x14ac:dyDescent="0.3">
      <c r="B2072" s="1"/>
    </row>
    <row r="2073" spans="2:2" x14ac:dyDescent="0.3">
      <c r="B2073" s="1"/>
    </row>
    <row r="2074" spans="2:2" x14ac:dyDescent="0.3">
      <c r="B2074" s="1"/>
    </row>
    <row r="2075" spans="2:2" x14ac:dyDescent="0.3">
      <c r="B2075" s="1"/>
    </row>
    <row r="2076" spans="2:2" x14ac:dyDescent="0.3">
      <c r="B2076" s="1"/>
    </row>
    <row r="2077" spans="2:2" x14ac:dyDescent="0.3">
      <c r="B2077" s="1"/>
    </row>
    <row r="2078" spans="2:2" x14ac:dyDescent="0.3">
      <c r="B2078" s="1"/>
    </row>
    <row r="2079" spans="2:2" x14ac:dyDescent="0.3">
      <c r="B2079" s="1"/>
    </row>
    <row r="2080" spans="2:2" x14ac:dyDescent="0.3">
      <c r="B2080" s="1"/>
    </row>
    <row r="2081" spans="2:2" x14ac:dyDescent="0.3">
      <c r="B2081" s="1"/>
    </row>
    <row r="2082" spans="2:2" x14ac:dyDescent="0.3">
      <c r="B2082" s="1"/>
    </row>
    <row r="2083" spans="2:2" x14ac:dyDescent="0.3">
      <c r="B2083" s="1"/>
    </row>
    <row r="2084" spans="2:2" x14ac:dyDescent="0.3">
      <c r="B2084" s="1"/>
    </row>
    <row r="2085" spans="2:2" x14ac:dyDescent="0.3">
      <c r="B2085" s="1"/>
    </row>
    <row r="2086" spans="2:2" x14ac:dyDescent="0.3">
      <c r="B2086" s="1"/>
    </row>
    <row r="2087" spans="2:2" x14ac:dyDescent="0.3">
      <c r="B2087" s="1"/>
    </row>
    <row r="2088" spans="2:2" x14ac:dyDescent="0.3">
      <c r="B2088" s="1"/>
    </row>
    <row r="2089" spans="2:2" x14ac:dyDescent="0.3">
      <c r="B2089" s="1"/>
    </row>
    <row r="2090" spans="2:2" x14ac:dyDescent="0.3">
      <c r="B2090" s="1"/>
    </row>
    <row r="2091" spans="2:2" x14ac:dyDescent="0.3">
      <c r="B2091" s="1"/>
    </row>
    <row r="2092" spans="2:2" x14ac:dyDescent="0.3">
      <c r="B2092" s="1"/>
    </row>
    <row r="2093" spans="2:2" x14ac:dyDescent="0.3">
      <c r="B2093" s="1"/>
    </row>
    <row r="2094" spans="2:2" x14ac:dyDescent="0.3">
      <c r="B2094" s="1"/>
    </row>
    <row r="2095" spans="2:2" x14ac:dyDescent="0.3">
      <c r="B2095" s="1"/>
    </row>
    <row r="2096" spans="2:2" x14ac:dyDescent="0.3">
      <c r="B2096" s="1"/>
    </row>
    <row r="2097" spans="2:2" x14ac:dyDescent="0.3">
      <c r="B2097" s="1"/>
    </row>
    <row r="2098" spans="2:2" x14ac:dyDescent="0.3">
      <c r="B2098" s="1"/>
    </row>
    <row r="2099" spans="2:2" x14ac:dyDescent="0.3">
      <c r="B2099" s="1"/>
    </row>
    <row r="2100" spans="2:2" x14ac:dyDescent="0.3">
      <c r="B2100" s="1"/>
    </row>
    <row r="2101" spans="2:2" x14ac:dyDescent="0.3">
      <c r="B2101" s="1"/>
    </row>
    <row r="2102" spans="2:2" x14ac:dyDescent="0.3">
      <c r="B2102" s="1"/>
    </row>
    <row r="2103" spans="2:2" x14ac:dyDescent="0.3">
      <c r="B2103" s="1"/>
    </row>
    <row r="2104" spans="2:2" x14ac:dyDescent="0.3">
      <c r="B2104" s="1"/>
    </row>
    <row r="2105" spans="2:2" x14ac:dyDescent="0.3">
      <c r="B2105" s="1"/>
    </row>
    <row r="2106" spans="2:2" x14ac:dyDescent="0.3">
      <c r="B2106" s="1"/>
    </row>
    <row r="2107" spans="2:2" x14ac:dyDescent="0.3">
      <c r="B2107" s="1"/>
    </row>
    <row r="2108" spans="2:2" x14ac:dyDescent="0.3">
      <c r="B2108" s="1"/>
    </row>
    <row r="2109" spans="2:2" x14ac:dyDescent="0.3">
      <c r="B2109" s="1"/>
    </row>
    <row r="2110" spans="2:2" x14ac:dyDescent="0.3">
      <c r="B2110" s="1"/>
    </row>
    <row r="2111" spans="2:2" x14ac:dyDescent="0.3">
      <c r="B2111" s="1"/>
    </row>
    <row r="2112" spans="2:2" x14ac:dyDescent="0.3">
      <c r="B2112" s="1"/>
    </row>
    <row r="2113" spans="2:2" x14ac:dyDescent="0.3">
      <c r="B2113" s="1"/>
    </row>
    <row r="2114" spans="2:2" x14ac:dyDescent="0.3">
      <c r="B2114" s="1"/>
    </row>
    <row r="2115" spans="2:2" x14ac:dyDescent="0.3">
      <c r="B2115" s="1"/>
    </row>
    <row r="2116" spans="2:2" x14ac:dyDescent="0.3">
      <c r="B2116" s="1"/>
    </row>
    <row r="2117" spans="2:2" x14ac:dyDescent="0.3">
      <c r="B2117" s="1"/>
    </row>
    <row r="2118" spans="2:2" x14ac:dyDescent="0.3">
      <c r="B2118" s="1"/>
    </row>
    <row r="2119" spans="2:2" x14ac:dyDescent="0.3">
      <c r="B2119" s="1"/>
    </row>
    <row r="2120" spans="2:2" x14ac:dyDescent="0.3">
      <c r="B2120" s="1"/>
    </row>
    <row r="2121" spans="2:2" x14ac:dyDescent="0.3">
      <c r="B2121" s="1"/>
    </row>
    <row r="2122" spans="2:2" x14ac:dyDescent="0.3">
      <c r="B2122" s="1"/>
    </row>
    <row r="2123" spans="2:2" x14ac:dyDescent="0.3">
      <c r="B2123" s="1"/>
    </row>
    <row r="2124" spans="2:2" x14ac:dyDescent="0.3">
      <c r="B2124" s="1"/>
    </row>
    <row r="2125" spans="2:2" x14ac:dyDescent="0.3">
      <c r="B2125" s="1"/>
    </row>
    <row r="2126" spans="2:2" x14ac:dyDescent="0.3">
      <c r="B2126" s="1"/>
    </row>
    <row r="2127" spans="2:2" x14ac:dyDescent="0.3">
      <c r="B2127" s="1"/>
    </row>
    <row r="2128" spans="2:2" x14ac:dyDescent="0.3">
      <c r="B2128" s="1"/>
    </row>
    <row r="2129" spans="2:2" x14ac:dyDescent="0.3">
      <c r="B2129" s="1"/>
    </row>
    <row r="2130" spans="2:2" x14ac:dyDescent="0.3">
      <c r="B2130" s="1"/>
    </row>
    <row r="2131" spans="2:2" x14ac:dyDescent="0.3">
      <c r="B2131" s="1"/>
    </row>
    <row r="2132" spans="2:2" x14ac:dyDescent="0.3">
      <c r="B2132" s="1"/>
    </row>
    <row r="2133" spans="2:2" x14ac:dyDescent="0.3">
      <c r="B2133" s="1"/>
    </row>
    <row r="2134" spans="2:2" x14ac:dyDescent="0.3">
      <c r="B2134" s="1"/>
    </row>
    <row r="2135" spans="2:2" x14ac:dyDescent="0.3">
      <c r="B2135" s="1"/>
    </row>
    <row r="2136" spans="2:2" x14ac:dyDescent="0.3">
      <c r="B2136" s="1"/>
    </row>
    <row r="2137" spans="2:2" x14ac:dyDescent="0.3">
      <c r="B2137" s="1"/>
    </row>
    <row r="2138" spans="2:2" x14ac:dyDescent="0.3">
      <c r="B2138" s="1"/>
    </row>
    <row r="2139" spans="2:2" x14ac:dyDescent="0.3">
      <c r="B2139" s="1"/>
    </row>
    <row r="2140" spans="2:2" x14ac:dyDescent="0.3">
      <c r="B2140" s="1"/>
    </row>
    <row r="2141" spans="2:2" x14ac:dyDescent="0.3">
      <c r="B2141" s="1"/>
    </row>
    <row r="2142" spans="2:2" x14ac:dyDescent="0.3">
      <c r="B2142" s="1"/>
    </row>
    <row r="2143" spans="2:2" x14ac:dyDescent="0.3">
      <c r="B2143" s="1"/>
    </row>
    <row r="2144" spans="2:2" x14ac:dyDescent="0.3">
      <c r="B2144" s="1"/>
    </row>
    <row r="2145" spans="2:2" x14ac:dyDescent="0.3">
      <c r="B2145" s="1"/>
    </row>
    <row r="2146" spans="2:2" x14ac:dyDescent="0.3">
      <c r="B2146" s="1"/>
    </row>
    <row r="2147" spans="2:2" x14ac:dyDescent="0.3">
      <c r="B2147" s="1"/>
    </row>
    <row r="2148" spans="2:2" x14ac:dyDescent="0.3">
      <c r="B2148" s="1"/>
    </row>
    <row r="2149" spans="2:2" x14ac:dyDescent="0.3">
      <c r="B2149" s="1"/>
    </row>
    <row r="2150" spans="2:2" x14ac:dyDescent="0.3">
      <c r="B2150" s="1"/>
    </row>
    <row r="2151" spans="2:2" x14ac:dyDescent="0.3">
      <c r="B2151" s="1"/>
    </row>
    <row r="2152" spans="2:2" x14ac:dyDescent="0.3">
      <c r="B2152" s="1"/>
    </row>
    <row r="2153" spans="2:2" x14ac:dyDescent="0.3">
      <c r="B2153" s="1"/>
    </row>
    <row r="2154" spans="2:2" x14ac:dyDescent="0.3">
      <c r="B2154" s="1"/>
    </row>
    <row r="2155" spans="2:2" x14ac:dyDescent="0.3">
      <c r="B2155" s="1"/>
    </row>
    <row r="2156" spans="2:2" x14ac:dyDescent="0.3">
      <c r="B2156" s="1"/>
    </row>
    <row r="2157" spans="2:2" x14ac:dyDescent="0.3">
      <c r="B2157" s="1"/>
    </row>
    <row r="2158" spans="2:2" x14ac:dyDescent="0.3">
      <c r="B2158" s="1"/>
    </row>
    <row r="2159" spans="2:2" x14ac:dyDescent="0.3">
      <c r="B2159" s="1"/>
    </row>
    <row r="2160" spans="2:2" x14ac:dyDescent="0.3">
      <c r="B2160" s="1"/>
    </row>
    <row r="2161" spans="2:2" x14ac:dyDescent="0.3">
      <c r="B2161" s="1"/>
    </row>
    <row r="2162" spans="2:2" x14ac:dyDescent="0.3">
      <c r="B2162" s="1"/>
    </row>
    <row r="2163" spans="2:2" x14ac:dyDescent="0.3">
      <c r="B2163" s="1"/>
    </row>
    <row r="2164" spans="2:2" x14ac:dyDescent="0.3">
      <c r="B2164" s="1"/>
    </row>
    <row r="2165" spans="2:2" x14ac:dyDescent="0.3">
      <c r="B2165" s="1"/>
    </row>
    <row r="2166" spans="2:2" x14ac:dyDescent="0.3">
      <c r="B2166" s="1"/>
    </row>
    <row r="2167" spans="2:2" x14ac:dyDescent="0.3">
      <c r="B2167" s="1"/>
    </row>
    <row r="2168" spans="2:2" x14ac:dyDescent="0.3">
      <c r="B2168" s="1"/>
    </row>
    <row r="2169" spans="2:2" x14ac:dyDescent="0.3">
      <c r="B2169" s="1"/>
    </row>
    <row r="2170" spans="2:2" x14ac:dyDescent="0.3">
      <c r="B2170" s="1"/>
    </row>
    <row r="2171" spans="2:2" x14ac:dyDescent="0.3">
      <c r="B2171" s="1"/>
    </row>
    <row r="2172" spans="2:2" x14ac:dyDescent="0.3">
      <c r="B2172" s="1"/>
    </row>
    <row r="2173" spans="2:2" x14ac:dyDescent="0.3">
      <c r="B2173" s="1"/>
    </row>
    <row r="2174" spans="2:2" x14ac:dyDescent="0.3">
      <c r="B2174" s="1"/>
    </row>
    <row r="2175" spans="2:2" x14ac:dyDescent="0.3">
      <c r="B2175" s="1"/>
    </row>
    <row r="2176" spans="2:2" x14ac:dyDescent="0.3">
      <c r="B2176" s="1"/>
    </row>
    <row r="2177" spans="2:2" x14ac:dyDescent="0.3">
      <c r="B2177" s="1"/>
    </row>
    <row r="2178" spans="2:2" x14ac:dyDescent="0.3">
      <c r="B2178" s="1"/>
    </row>
    <row r="2179" spans="2:2" x14ac:dyDescent="0.3">
      <c r="B2179" s="1"/>
    </row>
    <row r="2180" spans="2:2" x14ac:dyDescent="0.3">
      <c r="B2180" s="1"/>
    </row>
    <row r="2181" spans="2:2" x14ac:dyDescent="0.3">
      <c r="B2181" s="1"/>
    </row>
    <row r="2182" spans="2:2" x14ac:dyDescent="0.3">
      <c r="B2182" s="1"/>
    </row>
    <row r="2183" spans="2:2" x14ac:dyDescent="0.3">
      <c r="B2183" s="1"/>
    </row>
    <row r="2184" spans="2:2" x14ac:dyDescent="0.3">
      <c r="B2184" s="1"/>
    </row>
    <row r="2185" spans="2:2" x14ac:dyDescent="0.3">
      <c r="B2185" s="1"/>
    </row>
    <row r="2186" spans="2:2" x14ac:dyDescent="0.3">
      <c r="B2186" s="1"/>
    </row>
    <row r="2187" spans="2:2" x14ac:dyDescent="0.3">
      <c r="B2187" s="1"/>
    </row>
    <row r="2188" spans="2:2" x14ac:dyDescent="0.3">
      <c r="B2188" s="1"/>
    </row>
    <row r="2189" spans="2:2" x14ac:dyDescent="0.3">
      <c r="B2189" s="1"/>
    </row>
    <row r="2190" spans="2:2" x14ac:dyDescent="0.3">
      <c r="B2190" s="1"/>
    </row>
    <row r="2191" spans="2:2" x14ac:dyDescent="0.3">
      <c r="B2191" s="1"/>
    </row>
    <row r="2192" spans="2:2" x14ac:dyDescent="0.3">
      <c r="B2192" s="1"/>
    </row>
    <row r="2193" spans="2:2" x14ac:dyDescent="0.3">
      <c r="B2193" s="1"/>
    </row>
    <row r="2194" spans="2:2" x14ac:dyDescent="0.3">
      <c r="B2194" s="1"/>
    </row>
    <row r="2195" spans="2:2" x14ac:dyDescent="0.3">
      <c r="B2195" s="1"/>
    </row>
    <row r="2196" spans="2:2" x14ac:dyDescent="0.3">
      <c r="B2196" s="1"/>
    </row>
    <row r="2197" spans="2:2" x14ac:dyDescent="0.3">
      <c r="B2197" s="1"/>
    </row>
    <row r="2198" spans="2:2" x14ac:dyDescent="0.3">
      <c r="B2198" s="1"/>
    </row>
    <row r="2199" spans="2:2" x14ac:dyDescent="0.3">
      <c r="B2199" s="1"/>
    </row>
    <row r="2200" spans="2:2" x14ac:dyDescent="0.3">
      <c r="B2200" s="1"/>
    </row>
    <row r="2201" spans="2:2" x14ac:dyDescent="0.3">
      <c r="B2201" s="1"/>
    </row>
    <row r="2202" spans="2:2" x14ac:dyDescent="0.3">
      <c r="B2202" s="1"/>
    </row>
    <row r="2203" spans="2:2" x14ac:dyDescent="0.3">
      <c r="B2203" s="1"/>
    </row>
    <row r="2204" spans="2:2" x14ac:dyDescent="0.3">
      <c r="B2204" s="1"/>
    </row>
    <row r="2205" spans="2:2" x14ac:dyDescent="0.3">
      <c r="B2205" s="1"/>
    </row>
    <row r="2206" spans="2:2" x14ac:dyDescent="0.3">
      <c r="B2206" s="1"/>
    </row>
    <row r="2207" spans="2:2" x14ac:dyDescent="0.3">
      <c r="B2207" s="1"/>
    </row>
    <row r="2208" spans="2:2" x14ac:dyDescent="0.3">
      <c r="B2208" s="1"/>
    </row>
    <row r="2209" spans="2:2" x14ac:dyDescent="0.3">
      <c r="B2209" s="1"/>
    </row>
    <row r="2210" spans="2:2" x14ac:dyDescent="0.3">
      <c r="B2210" s="1"/>
    </row>
    <row r="2211" spans="2:2" x14ac:dyDescent="0.3">
      <c r="B2211" s="1"/>
    </row>
    <row r="2212" spans="2:2" x14ac:dyDescent="0.3">
      <c r="B2212" s="1"/>
    </row>
    <row r="2213" spans="2:2" x14ac:dyDescent="0.3">
      <c r="B2213" s="1"/>
    </row>
    <row r="2214" spans="2:2" x14ac:dyDescent="0.3">
      <c r="B2214" s="1"/>
    </row>
    <row r="2215" spans="2:2" x14ac:dyDescent="0.3">
      <c r="B2215" s="1"/>
    </row>
    <row r="2216" spans="2:2" x14ac:dyDescent="0.3">
      <c r="B2216" s="1"/>
    </row>
    <row r="2217" spans="2:2" x14ac:dyDescent="0.3">
      <c r="B2217" s="1"/>
    </row>
    <row r="2218" spans="2:2" x14ac:dyDescent="0.3">
      <c r="B2218" s="1"/>
    </row>
    <row r="2219" spans="2:2" x14ac:dyDescent="0.3">
      <c r="B2219" s="1"/>
    </row>
    <row r="2220" spans="2:2" x14ac:dyDescent="0.3">
      <c r="B2220" s="1"/>
    </row>
    <row r="2221" spans="2:2" x14ac:dyDescent="0.3">
      <c r="B2221" s="1"/>
    </row>
    <row r="2222" spans="2:2" x14ac:dyDescent="0.3">
      <c r="B2222" s="1"/>
    </row>
    <row r="2223" spans="2:2" x14ac:dyDescent="0.3">
      <c r="B2223" s="1"/>
    </row>
    <row r="2224" spans="2:2" x14ac:dyDescent="0.3">
      <c r="B2224" s="1"/>
    </row>
    <row r="2225" spans="2:2" x14ac:dyDescent="0.3">
      <c r="B2225" s="1"/>
    </row>
    <row r="2226" spans="2:2" x14ac:dyDescent="0.3">
      <c r="B2226" s="1"/>
    </row>
    <row r="2227" spans="2:2" x14ac:dyDescent="0.3">
      <c r="B2227" s="1"/>
    </row>
    <row r="2228" spans="2:2" x14ac:dyDescent="0.3">
      <c r="B2228" s="1"/>
    </row>
    <row r="2229" spans="2:2" x14ac:dyDescent="0.3">
      <c r="B2229" s="1"/>
    </row>
    <row r="2230" spans="2:2" x14ac:dyDescent="0.3">
      <c r="B2230" s="1"/>
    </row>
    <row r="2231" spans="2:2" x14ac:dyDescent="0.3">
      <c r="B2231" s="1"/>
    </row>
    <row r="2232" spans="2:2" x14ac:dyDescent="0.3">
      <c r="B2232" s="1"/>
    </row>
    <row r="2233" spans="2:2" x14ac:dyDescent="0.3">
      <c r="B2233" s="1"/>
    </row>
    <row r="2234" spans="2:2" x14ac:dyDescent="0.3">
      <c r="B2234" s="1"/>
    </row>
    <row r="2235" spans="2:2" x14ac:dyDescent="0.3">
      <c r="B2235" s="1"/>
    </row>
    <row r="2236" spans="2:2" x14ac:dyDescent="0.3">
      <c r="B2236" s="1"/>
    </row>
    <row r="2237" spans="2:2" x14ac:dyDescent="0.3">
      <c r="B2237" s="1"/>
    </row>
    <row r="2238" spans="2:2" x14ac:dyDescent="0.3">
      <c r="B2238" s="1"/>
    </row>
    <row r="2239" spans="2:2" x14ac:dyDescent="0.3">
      <c r="B2239" s="1"/>
    </row>
    <row r="2240" spans="2:2" x14ac:dyDescent="0.3">
      <c r="B2240" s="1"/>
    </row>
    <row r="2241" spans="2:2" x14ac:dyDescent="0.3">
      <c r="B2241" s="1"/>
    </row>
    <row r="2242" spans="2:2" x14ac:dyDescent="0.3">
      <c r="B2242" s="1"/>
    </row>
    <row r="2243" spans="2:2" x14ac:dyDescent="0.3">
      <c r="B2243" s="1"/>
    </row>
    <row r="2244" spans="2:2" x14ac:dyDescent="0.3">
      <c r="B2244" s="1"/>
    </row>
    <row r="2245" spans="2:2" x14ac:dyDescent="0.3">
      <c r="B2245" s="1"/>
    </row>
    <row r="2246" spans="2:2" x14ac:dyDescent="0.3">
      <c r="B2246" s="1"/>
    </row>
    <row r="2247" spans="2:2" x14ac:dyDescent="0.3">
      <c r="B2247" s="1"/>
    </row>
    <row r="2248" spans="2:2" x14ac:dyDescent="0.3">
      <c r="B2248" s="1"/>
    </row>
    <row r="2249" spans="2:2" x14ac:dyDescent="0.3">
      <c r="B2249" s="1"/>
    </row>
    <row r="2250" spans="2:2" x14ac:dyDescent="0.3">
      <c r="B2250" s="1"/>
    </row>
    <row r="2251" spans="2:2" x14ac:dyDescent="0.3">
      <c r="B2251" s="1"/>
    </row>
    <row r="2252" spans="2:2" x14ac:dyDescent="0.3">
      <c r="B2252" s="1"/>
    </row>
    <row r="2253" spans="2:2" x14ac:dyDescent="0.3">
      <c r="B2253" s="1"/>
    </row>
    <row r="2254" spans="2:2" x14ac:dyDescent="0.3">
      <c r="B2254" s="1"/>
    </row>
    <row r="2255" spans="2:2" x14ac:dyDescent="0.3">
      <c r="B2255" s="1"/>
    </row>
    <row r="2256" spans="2:2" x14ac:dyDescent="0.3">
      <c r="B2256" s="1"/>
    </row>
    <row r="2257" spans="2:2" x14ac:dyDescent="0.3">
      <c r="B2257" s="1"/>
    </row>
    <row r="2258" spans="2:2" x14ac:dyDescent="0.3">
      <c r="B2258" s="1"/>
    </row>
    <row r="2259" spans="2:2" x14ac:dyDescent="0.3">
      <c r="B2259" s="1"/>
    </row>
    <row r="2260" spans="2:2" x14ac:dyDescent="0.3">
      <c r="B2260" s="1"/>
    </row>
    <row r="2261" spans="2:2" x14ac:dyDescent="0.3">
      <c r="B2261" s="1"/>
    </row>
    <row r="2262" spans="2:2" x14ac:dyDescent="0.3">
      <c r="B2262" s="1"/>
    </row>
    <row r="2263" spans="2:2" x14ac:dyDescent="0.3">
      <c r="B2263" s="1"/>
    </row>
    <row r="2264" spans="2:2" x14ac:dyDescent="0.3">
      <c r="B2264" s="1"/>
    </row>
    <row r="2265" spans="2:2" x14ac:dyDescent="0.3">
      <c r="B2265" s="1"/>
    </row>
    <row r="2266" spans="2:2" x14ac:dyDescent="0.3">
      <c r="B2266" s="1"/>
    </row>
    <row r="2267" spans="2:2" x14ac:dyDescent="0.3">
      <c r="B2267" s="1"/>
    </row>
    <row r="2268" spans="2:2" x14ac:dyDescent="0.3">
      <c r="B2268" s="1"/>
    </row>
    <row r="2269" spans="2:2" x14ac:dyDescent="0.3">
      <c r="B2269" s="1"/>
    </row>
    <row r="2270" spans="2:2" x14ac:dyDescent="0.3">
      <c r="B2270" s="1"/>
    </row>
    <row r="2271" spans="2:2" x14ac:dyDescent="0.3">
      <c r="B2271" s="1"/>
    </row>
    <row r="2272" spans="2:2" x14ac:dyDescent="0.3">
      <c r="B2272" s="1"/>
    </row>
    <row r="2273" spans="2:2" x14ac:dyDescent="0.3">
      <c r="B2273" s="1"/>
    </row>
    <row r="2274" spans="2:2" x14ac:dyDescent="0.3">
      <c r="B2274" s="1"/>
    </row>
    <row r="2275" spans="2:2" x14ac:dyDescent="0.3">
      <c r="B2275" s="1"/>
    </row>
    <row r="2276" spans="2:2" x14ac:dyDescent="0.3">
      <c r="B2276" s="1"/>
    </row>
    <row r="2277" spans="2:2" x14ac:dyDescent="0.3">
      <c r="B2277" s="1"/>
    </row>
    <row r="2278" spans="2:2" x14ac:dyDescent="0.3">
      <c r="B2278" s="1"/>
    </row>
    <row r="2279" spans="2:2" x14ac:dyDescent="0.3">
      <c r="B2279" s="1"/>
    </row>
    <row r="2280" spans="2:2" x14ac:dyDescent="0.3">
      <c r="B2280" s="1"/>
    </row>
    <row r="2281" spans="2:2" x14ac:dyDescent="0.3">
      <c r="B2281" s="1"/>
    </row>
    <row r="2282" spans="2:2" x14ac:dyDescent="0.3">
      <c r="B2282" s="1"/>
    </row>
    <row r="2283" spans="2:2" x14ac:dyDescent="0.3">
      <c r="B2283" s="1"/>
    </row>
    <row r="2284" spans="2:2" x14ac:dyDescent="0.3">
      <c r="B2284" s="1"/>
    </row>
    <row r="2285" spans="2:2" x14ac:dyDescent="0.3">
      <c r="B2285" s="1"/>
    </row>
    <row r="2286" spans="2:2" x14ac:dyDescent="0.3">
      <c r="B2286" s="1"/>
    </row>
    <row r="2287" spans="2:2" x14ac:dyDescent="0.3">
      <c r="B2287" s="1"/>
    </row>
    <row r="2288" spans="2:2" x14ac:dyDescent="0.3">
      <c r="B2288" s="1"/>
    </row>
    <row r="2289" spans="2:2" x14ac:dyDescent="0.3">
      <c r="B2289" s="1"/>
    </row>
    <row r="2290" spans="2:2" x14ac:dyDescent="0.3">
      <c r="B2290" s="1"/>
    </row>
    <row r="2291" spans="2:2" x14ac:dyDescent="0.3">
      <c r="B2291" s="1"/>
    </row>
    <row r="2292" spans="2:2" x14ac:dyDescent="0.3">
      <c r="B2292" s="1"/>
    </row>
    <row r="2293" spans="2:2" x14ac:dyDescent="0.3">
      <c r="B2293" s="1"/>
    </row>
    <row r="2294" spans="2:2" x14ac:dyDescent="0.3">
      <c r="B2294" s="1"/>
    </row>
    <row r="2295" spans="2:2" x14ac:dyDescent="0.3">
      <c r="B2295" s="1"/>
    </row>
    <row r="2296" spans="2:2" x14ac:dyDescent="0.3">
      <c r="B2296" s="1"/>
    </row>
    <row r="2297" spans="2:2" x14ac:dyDescent="0.3">
      <c r="B2297" s="1"/>
    </row>
    <row r="2298" spans="2:2" x14ac:dyDescent="0.3">
      <c r="B2298" s="1"/>
    </row>
    <row r="2299" spans="2:2" x14ac:dyDescent="0.3">
      <c r="B2299" s="1"/>
    </row>
    <row r="2300" spans="2:2" x14ac:dyDescent="0.3">
      <c r="B2300" s="1"/>
    </row>
    <row r="2301" spans="2:2" x14ac:dyDescent="0.3">
      <c r="B2301" s="1"/>
    </row>
    <row r="2302" spans="2:2" x14ac:dyDescent="0.3">
      <c r="B2302" s="1"/>
    </row>
    <row r="2303" spans="2:2" x14ac:dyDescent="0.3">
      <c r="B2303" s="1"/>
    </row>
    <row r="2304" spans="2:2" x14ac:dyDescent="0.3">
      <c r="B2304" s="1"/>
    </row>
    <row r="2305" spans="2:2" x14ac:dyDescent="0.3">
      <c r="B2305" s="1"/>
    </row>
    <row r="2306" spans="2:2" x14ac:dyDescent="0.3">
      <c r="B2306" s="1"/>
    </row>
    <row r="2307" spans="2:2" x14ac:dyDescent="0.3">
      <c r="B2307" s="1"/>
    </row>
    <row r="2308" spans="2:2" x14ac:dyDescent="0.3">
      <c r="B2308" s="1"/>
    </row>
    <row r="2309" spans="2:2" x14ac:dyDescent="0.3">
      <c r="B2309" s="1"/>
    </row>
    <row r="2310" spans="2:2" x14ac:dyDescent="0.3">
      <c r="B2310" s="1"/>
    </row>
    <row r="2311" spans="2:2" x14ac:dyDescent="0.3">
      <c r="B2311" s="1"/>
    </row>
    <row r="2312" spans="2:2" x14ac:dyDescent="0.3">
      <c r="B2312" s="1"/>
    </row>
    <row r="2313" spans="2:2" x14ac:dyDescent="0.3">
      <c r="B2313" s="1"/>
    </row>
    <row r="2314" spans="2:2" x14ac:dyDescent="0.3">
      <c r="B2314" s="1"/>
    </row>
    <row r="2315" spans="2:2" x14ac:dyDescent="0.3">
      <c r="B2315" s="1"/>
    </row>
    <row r="2316" spans="2:2" x14ac:dyDescent="0.3">
      <c r="B2316" s="1"/>
    </row>
    <row r="2317" spans="2:2" x14ac:dyDescent="0.3">
      <c r="B2317" s="1"/>
    </row>
    <row r="2318" spans="2:2" x14ac:dyDescent="0.3">
      <c r="B2318" s="1"/>
    </row>
    <row r="2319" spans="2:2" x14ac:dyDescent="0.3">
      <c r="B2319" s="1"/>
    </row>
    <row r="2320" spans="2:2" x14ac:dyDescent="0.3">
      <c r="B2320" s="1"/>
    </row>
    <row r="2321" spans="2:2" x14ac:dyDescent="0.3">
      <c r="B2321" s="1"/>
    </row>
    <row r="2322" spans="2:2" x14ac:dyDescent="0.3">
      <c r="B2322" s="1"/>
    </row>
    <row r="2323" spans="2:2" x14ac:dyDescent="0.3">
      <c r="B2323" s="1"/>
    </row>
    <row r="2324" spans="2:2" x14ac:dyDescent="0.3">
      <c r="B2324" s="1"/>
    </row>
    <row r="2325" spans="2:2" x14ac:dyDescent="0.3">
      <c r="B2325" s="1"/>
    </row>
    <row r="2326" spans="2:2" x14ac:dyDescent="0.3">
      <c r="B2326" s="1"/>
    </row>
    <row r="2327" spans="2:2" x14ac:dyDescent="0.3">
      <c r="B2327" s="1"/>
    </row>
    <row r="2328" spans="2:2" x14ac:dyDescent="0.3">
      <c r="B2328" s="1"/>
    </row>
    <row r="2329" spans="2:2" x14ac:dyDescent="0.3">
      <c r="B2329" s="1"/>
    </row>
    <row r="2330" spans="2:2" x14ac:dyDescent="0.3">
      <c r="B2330" s="1"/>
    </row>
    <row r="2331" spans="2:2" x14ac:dyDescent="0.3">
      <c r="B2331" s="1"/>
    </row>
    <row r="2332" spans="2:2" x14ac:dyDescent="0.3">
      <c r="B2332" s="1"/>
    </row>
    <row r="2333" spans="2:2" x14ac:dyDescent="0.3">
      <c r="B2333" s="1"/>
    </row>
    <row r="2334" spans="2:2" x14ac:dyDescent="0.3">
      <c r="B2334" s="1"/>
    </row>
    <row r="2335" spans="2:2" x14ac:dyDescent="0.3">
      <c r="B2335" s="1"/>
    </row>
    <row r="2336" spans="2:2" x14ac:dyDescent="0.3">
      <c r="B2336" s="1"/>
    </row>
    <row r="2337" spans="2:2" x14ac:dyDescent="0.3">
      <c r="B2337" s="1"/>
    </row>
    <row r="2338" spans="2:2" x14ac:dyDescent="0.3">
      <c r="B2338" s="1"/>
    </row>
    <row r="2339" spans="2:2" x14ac:dyDescent="0.3">
      <c r="B2339" s="1"/>
    </row>
    <row r="2340" spans="2:2" x14ac:dyDescent="0.3">
      <c r="B2340" s="1"/>
    </row>
    <row r="2341" spans="2:2" x14ac:dyDescent="0.3">
      <c r="B2341" s="1"/>
    </row>
    <row r="2342" spans="2:2" x14ac:dyDescent="0.3">
      <c r="B2342" s="1"/>
    </row>
    <row r="2343" spans="2:2" x14ac:dyDescent="0.3">
      <c r="B2343" s="1"/>
    </row>
    <row r="2344" spans="2:2" x14ac:dyDescent="0.3">
      <c r="B2344" s="1"/>
    </row>
    <row r="2345" spans="2:2" x14ac:dyDescent="0.3">
      <c r="B2345" s="1"/>
    </row>
    <row r="2346" spans="2:2" x14ac:dyDescent="0.3">
      <c r="B2346" s="1"/>
    </row>
    <row r="2347" spans="2:2" x14ac:dyDescent="0.3">
      <c r="B2347" s="1"/>
    </row>
    <row r="2348" spans="2:2" x14ac:dyDescent="0.3">
      <c r="B2348" s="1"/>
    </row>
    <row r="2349" spans="2:2" x14ac:dyDescent="0.3">
      <c r="B2349" s="1"/>
    </row>
    <row r="2350" spans="2:2" x14ac:dyDescent="0.3">
      <c r="B2350" s="1"/>
    </row>
    <row r="2351" spans="2:2" x14ac:dyDescent="0.3">
      <c r="B2351" s="1"/>
    </row>
    <row r="2352" spans="2:2" x14ac:dyDescent="0.3">
      <c r="B2352" s="1"/>
    </row>
    <row r="2353" spans="2:2" x14ac:dyDescent="0.3">
      <c r="B2353" s="1"/>
    </row>
    <row r="2354" spans="2:2" x14ac:dyDescent="0.3">
      <c r="B2354" s="1"/>
    </row>
    <row r="2355" spans="2:2" x14ac:dyDescent="0.3">
      <c r="B2355" s="1"/>
    </row>
    <row r="2356" spans="2:2" x14ac:dyDescent="0.3">
      <c r="B2356" s="1"/>
    </row>
    <row r="2357" spans="2:2" x14ac:dyDescent="0.3">
      <c r="B2357" s="1"/>
    </row>
    <row r="2358" spans="2:2" x14ac:dyDescent="0.3">
      <c r="B2358" s="1"/>
    </row>
    <row r="2359" spans="2:2" x14ac:dyDescent="0.3">
      <c r="B2359" s="1"/>
    </row>
    <row r="2360" spans="2:2" x14ac:dyDescent="0.3">
      <c r="B2360" s="1"/>
    </row>
    <row r="2361" spans="2:2" x14ac:dyDescent="0.3">
      <c r="B2361" s="1"/>
    </row>
    <row r="2362" spans="2:2" x14ac:dyDescent="0.3">
      <c r="B2362" s="1"/>
    </row>
    <row r="2363" spans="2:2" x14ac:dyDescent="0.3">
      <c r="B2363" s="1"/>
    </row>
    <row r="2364" spans="2:2" x14ac:dyDescent="0.3">
      <c r="B2364" s="1"/>
    </row>
    <row r="2365" spans="2:2" x14ac:dyDescent="0.3">
      <c r="B2365" s="1"/>
    </row>
    <row r="2366" spans="2:2" x14ac:dyDescent="0.3">
      <c r="B2366" s="1"/>
    </row>
    <row r="2367" spans="2:2" x14ac:dyDescent="0.3">
      <c r="B2367" s="1"/>
    </row>
    <row r="2368" spans="2:2" x14ac:dyDescent="0.3">
      <c r="B2368" s="1"/>
    </row>
    <row r="2369" spans="2:2" x14ac:dyDescent="0.3">
      <c r="B2369" s="1"/>
    </row>
    <row r="2370" spans="2:2" x14ac:dyDescent="0.3">
      <c r="B2370" s="1"/>
    </row>
    <row r="2371" spans="2:2" x14ac:dyDescent="0.3">
      <c r="B2371" s="1"/>
    </row>
    <row r="2372" spans="2:2" x14ac:dyDescent="0.3">
      <c r="B2372" s="1"/>
    </row>
    <row r="2373" spans="2:2" x14ac:dyDescent="0.3">
      <c r="B2373" s="1"/>
    </row>
    <row r="2374" spans="2:2" x14ac:dyDescent="0.3">
      <c r="B2374" s="1"/>
    </row>
    <row r="2375" spans="2:2" x14ac:dyDescent="0.3">
      <c r="B2375" s="1"/>
    </row>
    <row r="2376" spans="2:2" x14ac:dyDescent="0.3">
      <c r="B2376" s="1"/>
    </row>
    <row r="2377" spans="2:2" x14ac:dyDescent="0.3">
      <c r="B2377" s="1"/>
    </row>
    <row r="2378" spans="2:2" x14ac:dyDescent="0.3">
      <c r="B2378" s="1"/>
    </row>
    <row r="2379" spans="2:2" x14ac:dyDescent="0.3">
      <c r="B2379" s="1"/>
    </row>
    <row r="2380" spans="2:2" x14ac:dyDescent="0.3">
      <c r="B2380" s="1"/>
    </row>
    <row r="2381" spans="2:2" x14ac:dyDescent="0.3">
      <c r="B2381" s="1"/>
    </row>
    <row r="2382" spans="2:2" x14ac:dyDescent="0.3">
      <c r="B2382" s="1"/>
    </row>
    <row r="2383" spans="2:2" x14ac:dyDescent="0.3">
      <c r="B2383" s="1"/>
    </row>
    <row r="2384" spans="2:2" x14ac:dyDescent="0.3">
      <c r="B2384" s="1"/>
    </row>
    <row r="2385" spans="2:2" x14ac:dyDescent="0.3">
      <c r="B2385" s="1"/>
    </row>
    <row r="2386" spans="2:2" x14ac:dyDescent="0.3">
      <c r="B2386" s="1"/>
    </row>
    <row r="2387" spans="2:2" x14ac:dyDescent="0.3">
      <c r="B2387" s="1"/>
    </row>
    <row r="2388" spans="2:2" x14ac:dyDescent="0.3">
      <c r="B2388" s="1"/>
    </row>
    <row r="2389" spans="2:2" x14ac:dyDescent="0.3">
      <c r="B2389" s="1"/>
    </row>
    <row r="2390" spans="2:2" x14ac:dyDescent="0.3">
      <c r="B2390" s="1"/>
    </row>
    <row r="2391" spans="2:2" x14ac:dyDescent="0.3">
      <c r="B2391" s="1"/>
    </row>
    <row r="2392" spans="2:2" x14ac:dyDescent="0.3">
      <c r="B2392" s="1"/>
    </row>
    <row r="2393" spans="2:2" x14ac:dyDescent="0.3">
      <c r="B2393" s="1"/>
    </row>
    <row r="2394" spans="2:2" x14ac:dyDescent="0.3">
      <c r="B2394" s="1"/>
    </row>
    <row r="2395" spans="2:2" x14ac:dyDescent="0.3">
      <c r="B2395" s="1"/>
    </row>
    <row r="2396" spans="2:2" x14ac:dyDescent="0.3">
      <c r="B2396" s="1"/>
    </row>
    <row r="2397" spans="2:2" x14ac:dyDescent="0.3">
      <c r="B2397" s="1"/>
    </row>
    <row r="2398" spans="2:2" x14ac:dyDescent="0.3">
      <c r="B2398" s="1"/>
    </row>
    <row r="2399" spans="2:2" x14ac:dyDescent="0.3">
      <c r="B2399" s="1"/>
    </row>
    <row r="2400" spans="2:2" x14ac:dyDescent="0.3">
      <c r="B2400" s="1"/>
    </row>
    <row r="2401" spans="2:2" x14ac:dyDescent="0.3">
      <c r="B2401" s="1"/>
    </row>
    <row r="2402" spans="2:2" x14ac:dyDescent="0.3">
      <c r="B2402" s="1"/>
    </row>
    <row r="2403" spans="2:2" x14ac:dyDescent="0.3">
      <c r="B2403" s="1"/>
    </row>
    <row r="2404" spans="2:2" x14ac:dyDescent="0.3">
      <c r="B2404" s="1"/>
    </row>
    <row r="2405" spans="2:2" x14ac:dyDescent="0.3">
      <c r="B2405" s="1"/>
    </row>
    <row r="2406" spans="2:2" x14ac:dyDescent="0.3">
      <c r="B2406" s="1"/>
    </row>
    <row r="2407" spans="2:2" x14ac:dyDescent="0.3">
      <c r="B2407" s="1"/>
    </row>
    <row r="2408" spans="2:2" x14ac:dyDescent="0.3">
      <c r="B2408" s="1"/>
    </row>
    <row r="2409" spans="2:2" x14ac:dyDescent="0.3">
      <c r="B2409" s="1"/>
    </row>
    <row r="2410" spans="2:2" x14ac:dyDescent="0.3">
      <c r="B2410" s="1"/>
    </row>
    <row r="2411" spans="2:2" x14ac:dyDescent="0.3">
      <c r="B2411" s="1"/>
    </row>
    <row r="2412" spans="2:2" x14ac:dyDescent="0.3">
      <c r="B2412" s="1"/>
    </row>
    <row r="2413" spans="2:2" x14ac:dyDescent="0.3">
      <c r="B2413" s="1"/>
    </row>
    <row r="2414" spans="2:2" x14ac:dyDescent="0.3">
      <c r="B2414" s="1"/>
    </row>
    <row r="2415" spans="2:2" x14ac:dyDescent="0.3">
      <c r="B2415" s="1"/>
    </row>
    <row r="2416" spans="2:2" x14ac:dyDescent="0.3">
      <c r="B2416" s="1"/>
    </row>
    <row r="2417" spans="2:2" x14ac:dyDescent="0.3">
      <c r="B2417" s="1"/>
    </row>
    <row r="2418" spans="2:2" x14ac:dyDescent="0.3">
      <c r="B2418" s="1"/>
    </row>
    <row r="2419" spans="2:2" x14ac:dyDescent="0.3">
      <c r="B2419" s="1"/>
    </row>
    <row r="2420" spans="2:2" x14ac:dyDescent="0.3">
      <c r="B2420" s="1"/>
    </row>
    <row r="2421" spans="2:2" x14ac:dyDescent="0.3">
      <c r="B2421" s="1"/>
    </row>
    <row r="2422" spans="2:2" x14ac:dyDescent="0.3">
      <c r="B2422" s="1"/>
    </row>
    <row r="2423" spans="2:2" x14ac:dyDescent="0.3">
      <c r="B2423" s="1"/>
    </row>
    <row r="2424" spans="2:2" x14ac:dyDescent="0.3">
      <c r="B2424" s="1"/>
    </row>
    <row r="2425" spans="2:2" x14ac:dyDescent="0.3">
      <c r="B2425" s="1"/>
    </row>
    <row r="2426" spans="2:2" x14ac:dyDescent="0.3">
      <c r="B2426" s="1"/>
    </row>
    <row r="2427" spans="2:2" x14ac:dyDescent="0.3">
      <c r="B2427" s="1"/>
    </row>
    <row r="2428" spans="2:2" x14ac:dyDescent="0.3">
      <c r="B2428" s="1"/>
    </row>
    <row r="2429" spans="2:2" x14ac:dyDescent="0.3">
      <c r="B2429" s="1"/>
    </row>
    <row r="2430" spans="2:2" x14ac:dyDescent="0.3">
      <c r="B2430" s="1"/>
    </row>
    <row r="2431" spans="2:2" x14ac:dyDescent="0.3">
      <c r="B2431" s="1"/>
    </row>
    <row r="2432" spans="2:2" x14ac:dyDescent="0.3">
      <c r="B2432" s="1"/>
    </row>
    <row r="2433" spans="2:2" x14ac:dyDescent="0.3">
      <c r="B2433" s="1"/>
    </row>
    <row r="2434" spans="2:2" x14ac:dyDescent="0.3">
      <c r="B2434" s="1"/>
    </row>
    <row r="2435" spans="2:2" x14ac:dyDescent="0.3">
      <c r="B2435" s="1"/>
    </row>
    <row r="2436" spans="2:2" x14ac:dyDescent="0.3">
      <c r="B2436" s="1"/>
    </row>
    <row r="2437" spans="2:2" x14ac:dyDescent="0.3">
      <c r="B2437" s="1"/>
    </row>
    <row r="2438" spans="2:2" x14ac:dyDescent="0.3">
      <c r="B2438" s="1"/>
    </row>
    <row r="2439" spans="2:2" x14ac:dyDescent="0.3">
      <c r="B2439" s="1"/>
    </row>
    <row r="2440" spans="2:2" x14ac:dyDescent="0.3">
      <c r="B2440" s="1"/>
    </row>
    <row r="2441" spans="2:2" x14ac:dyDescent="0.3">
      <c r="B2441" s="1"/>
    </row>
    <row r="2442" spans="2:2" x14ac:dyDescent="0.3">
      <c r="B2442" s="1"/>
    </row>
    <row r="2443" spans="2:2" x14ac:dyDescent="0.3">
      <c r="B2443" s="1"/>
    </row>
    <row r="2444" spans="2:2" x14ac:dyDescent="0.3">
      <c r="B2444" s="1"/>
    </row>
    <row r="2445" spans="2:2" x14ac:dyDescent="0.3">
      <c r="B2445" s="1"/>
    </row>
    <row r="2446" spans="2:2" x14ac:dyDescent="0.3">
      <c r="B2446" s="1"/>
    </row>
    <row r="2447" spans="2:2" x14ac:dyDescent="0.3">
      <c r="B2447" s="1"/>
    </row>
    <row r="2448" spans="2:2" x14ac:dyDescent="0.3">
      <c r="B2448" s="1"/>
    </row>
    <row r="2449" spans="2:2" x14ac:dyDescent="0.3">
      <c r="B2449" s="1"/>
    </row>
    <row r="2450" spans="2:2" x14ac:dyDescent="0.3">
      <c r="B2450" s="1"/>
    </row>
    <row r="2451" spans="2:2" x14ac:dyDescent="0.3">
      <c r="B2451" s="1"/>
    </row>
    <row r="2452" spans="2:2" x14ac:dyDescent="0.3">
      <c r="B2452" s="1"/>
    </row>
    <row r="2453" spans="2:2" x14ac:dyDescent="0.3">
      <c r="B2453" s="1"/>
    </row>
    <row r="2454" spans="2:2" x14ac:dyDescent="0.3">
      <c r="B2454" s="1"/>
    </row>
    <row r="2455" spans="2:2" x14ac:dyDescent="0.3">
      <c r="B2455" s="1"/>
    </row>
    <row r="2456" spans="2:2" x14ac:dyDescent="0.3">
      <c r="B2456" s="1"/>
    </row>
    <row r="2457" spans="2:2" x14ac:dyDescent="0.3">
      <c r="B2457" s="1"/>
    </row>
    <row r="2458" spans="2:2" x14ac:dyDescent="0.3">
      <c r="B2458" s="1"/>
    </row>
    <row r="2459" spans="2:2" x14ac:dyDescent="0.3">
      <c r="B2459" s="1"/>
    </row>
    <row r="2460" spans="2:2" x14ac:dyDescent="0.3">
      <c r="B2460" s="1"/>
    </row>
    <row r="2461" spans="2:2" x14ac:dyDescent="0.3">
      <c r="B2461" s="1"/>
    </row>
    <row r="2462" spans="2:2" x14ac:dyDescent="0.3">
      <c r="B2462" s="1"/>
    </row>
    <row r="2463" spans="2:2" x14ac:dyDescent="0.3">
      <c r="B2463" s="1"/>
    </row>
    <row r="2464" spans="2:2" x14ac:dyDescent="0.3">
      <c r="B2464" s="1"/>
    </row>
    <row r="2465" spans="2:2" x14ac:dyDescent="0.3">
      <c r="B2465" s="1"/>
    </row>
    <row r="2466" spans="2:2" x14ac:dyDescent="0.3">
      <c r="B2466" s="1"/>
    </row>
    <row r="2467" spans="2:2" x14ac:dyDescent="0.3">
      <c r="B2467" s="1"/>
    </row>
    <row r="2468" spans="2:2" x14ac:dyDescent="0.3">
      <c r="B2468" s="1"/>
    </row>
    <row r="2469" spans="2:2" x14ac:dyDescent="0.3">
      <c r="B2469" s="1"/>
    </row>
    <row r="2470" spans="2:2" x14ac:dyDescent="0.3">
      <c r="B2470" s="1"/>
    </row>
    <row r="2471" spans="2:2" x14ac:dyDescent="0.3">
      <c r="B2471" s="1"/>
    </row>
    <row r="2472" spans="2:2" x14ac:dyDescent="0.3">
      <c r="B2472" s="1"/>
    </row>
    <row r="2473" spans="2:2" x14ac:dyDescent="0.3">
      <c r="B2473" s="1"/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6" spans="2:2" x14ac:dyDescent="0.3">
      <c r="B2826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  <row r="2993" spans="2:2" x14ac:dyDescent="0.3">
      <c r="B2993" s="1"/>
    </row>
    <row r="2994" spans="2:2" x14ac:dyDescent="0.3">
      <c r="B2994" s="1"/>
    </row>
    <row r="2995" spans="2:2" x14ac:dyDescent="0.3">
      <c r="B2995" s="1"/>
    </row>
    <row r="2996" spans="2:2" x14ac:dyDescent="0.3">
      <c r="B2996" s="1"/>
    </row>
    <row r="2997" spans="2:2" x14ac:dyDescent="0.3">
      <c r="B2997" s="1"/>
    </row>
    <row r="2998" spans="2:2" x14ac:dyDescent="0.3">
      <c r="B2998" s="1"/>
    </row>
    <row r="2999" spans="2:2" x14ac:dyDescent="0.3">
      <c r="B2999" s="1"/>
    </row>
    <row r="3000" spans="2:2" x14ac:dyDescent="0.3">
      <c r="B3000" s="1"/>
    </row>
    <row r="3001" spans="2:2" x14ac:dyDescent="0.3">
      <c r="B3001" s="1"/>
    </row>
    <row r="3002" spans="2:2" x14ac:dyDescent="0.3">
      <c r="B3002" s="1"/>
    </row>
    <row r="3003" spans="2:2" x14ac:dyDescent="0.3">
      <c r="B3003" s="1"/>
    </row>
    <row r="3004" spans="2:2" x14ac:dyDescent="0.3">
      <c r="B3004" s="1"/>
    </row>
    <row r="3005" spans="2:2" x14ac:dyDescent="0.3">
      <c r="B3005" s="1"/>
    </row>
    <row r="3006" spans="2:2" x14ac:dyDescent="0.3">
      <c r="B3006" s="1"/>
    </row>
    <row r="3007" spans="2:2" x14ac:dyDescent="0.3">
      <c r="B3007" s="1"/>
    </row>
    <row r="3008" spans="2:2" x14ac:dyDescent="0.3">
      <c r="B3008" s="1"/>
    </row>
    <row r="3009" spans="2:2" x14ac:dyDescent="0.3">
      <c r="B3009" s="1"/>
    </row>
    <row r="3010" spans="2:2" x14ac:dyDescent="0.3">
      <c r="B3010" s="1"/>
    </row>
    <row r="3011" spans="2:2" x14ac:dyDescent="0.3">
      <c r="B3011" s="1"/>
    </row>
    <row r="3012" spans="2:2" x14ac:dyDescent="0.3">
      <c r="B3012" s="1"/>
    </row>
    <row r="3013" spans="2:2" x14ac:dyDescent="0.3">
      <c r="B3013" s="1"/>
    </row>
    <row r="3014" spans="2:2" x14ac:dyDescent="0.3">
      <c r="B3014" s="1"/>
    </row>
    <row r="3015" spans="2:2" x14ac:dyDescent="0.3">
      <c r="B3015" s="1"/>
    </row>
    <row r="3016" spans="2:2" x14ac:dyDescent="0.3">
      <c r="B3016" s="1"/>
    </row>
    <row r="3017" spans="2:2" x14ac:dyDescent="0.3">
      <c r="B3017" s="1"/>
    </row>
    <row r="3018" spans="2:2" x14ac:dyDescent="0.3">
      <c r="B3018" s="1"/>
    </row>
    <row r="3019" spans="2:2" x14ac:dyDescent="0.3">
      <c r="B3019" s="1"/>
    </row>
    <row r="3020" spans="2:2" x14ac:dyDescent="0.3">
      <c r="B3020" s="1"/>
    </row>
    <row r="3021" spans="2:2" x14ac:dyDescent="0.3">
      <c r="B3021" s="1"/>
    </row>
    <row r="3022" spans="2:2" x14ac:dyDescent="0.3">
      <c r="B3022" s="1"/>
    </row>
    <row r="3023" spans="2:2" x14ac:dyDescent="0.3">
      <c r="B3023" s="1"/>
    </row>
    <row r="3024" spans="2:2" x14ac:dyDescent="0.3">
      <c r="B3024" s="1"/>
    </row>
    <row r="3025" spans="2:2" x14ac:dyDescent="0.3">
      <c r="B3025" s="1"/>
    </row>
    <row r="3026" spans="2:2" x14ac:dyDescent="0.3">
      <c r="B3026" s="1"/>
    </row>
    <row r="3027" spans="2:2" x14ac:dyDescent="0.3">
      <c r="B3027" s="1"/>
    </row>
    <row r="3028" spans="2:2" x14ac:dyDescent="0.3">
      <c r="B3028" s="1"/>
    </row>
    <row r="3029" spans="2:2" x14ac:dyDescent="0.3">
      <c r="B3029" s="1"/>
    </row>
    <row r="3030" spans="2:2" x14ac:dyDescent="0.3">
      <c r="B3030" s="1"/>
    </row>
    <row r="3031" spans="2:2" x14ac:dyDescent="0.3">
      <c r="B3031" s="1"/>
    </row>
    <row r="3032" spans="2:2" x14ac:dyDescent="0.3">
      <c r="B3032" s="1"/>
    </row>
    <row r="3033" spans="2:2" x14ac:dyDescent="0.3">
      <c r="B3033" s="1"/>
    </row>
    <row r="3034" spans="2:2" x14ac:dyDescent="0.3">
      <c r="B3034" s="1"/>
    </row>
    <row r="3035" spans="2:2" x14ac:dyDescent="0.3">
      <c r="B3035" s="1"/>
    </row>
    <row r="3036" spans="2:2" x14ac:dyDescent="0.3">
      <c r="B3036" s="1"/>
    </row>
    <row r="3037" spans="2:2" x14ac:dyDescent="0.3">
      <c r="B3037" s="1"/>
    </row>
    <row r="3038" spans="2:2" x14ac:dyDescent="0.3">
      <c r="B3038" s="1"/>
    </row>
    <row r="3039" spans="2:2" x14ac:dyDescent="0.3">
      <c r="B3039" s="1"/>
    </row>
    <row r="3040" spans="2:2" x14ac:dyDescent="0.3">
      <c r="B3040" s="1"/>
    </row>
    <row r="3041" spans="2:2" x14ac:dyDescent="0.3">
      <c r="B3041" s="1"/>
    </row>
    <row r="3042" spans="2:2" x14ac:dyDescent="0.3">
      <c r="B3042" s="1"/>
    </row>
    <row r="3043" spans="2:2" x14ac:dyDescent="0.3">
      <c r="B3043" s="1"/>
    </row>
    <row r="3044" spans="2:2" x14ac:dyDescent="0.3">
      <c r="B3044" s="1"/>
    </row>
    <row r="3045" spans="2:2" x14ac:dyDescent="0.3">
      <c r="B3045" s="1"/>
    </row>
    <row r="3046" spans="2:2" x14ac:dyDescent="0.3">
      <c r="B3046" s="1"/>
    </row>
    <row r="3047" spans="2:2" x14ac:dyDescent="0.3">
      <c r="B3047" s="1"/>
    </row>
    <row r="3048" spans="2:2" x14ac:dyDescent="0.3">
      <c r="B3048" s="1"/>
    </row>
    <row r="3049" spans="2:2" x14ac:dyDescent="0.3">
      <c r="B3049" s="1"/>
    </row>
    <row r="3050" spans="2:2" x14ac:dyDescent="0.3">
      <c r="B3050" s="1"/>
    </row>
    <row r="3051" spans="2:2" x14ac:dyDescent="0.3">
      <c r="B3051" s="1"/>
    </row>
    <row r="3052" spans="2:2" x14ac:dyDescent="0.3">
      <c r="B3052" s="1"/>
    </row>
    <row r="3053" spans="2:2" x14ac:dyDescent="0.3">
      <c r="B3053" s="1"/>
    </row>
    <row r="3054" spans="2:2" x14ac:dyDescent="0.3">
      <c r="B3054" s="1"/>
    </row>
    <row r="3055" spans="2:2" x14ac:dyDescent="0.3">
      <c r="B3055" s="1"/>
    </row>
    <row r="3056" spans="2:2" x14ac:dyDescent="0.3">
      <c r="B3056" s="1"/>
    </row>
    <row r="3057" spans="2:2" x14ac:dyDescent="0.3">
      <c r="B3057" s="1"/>
    </row>
    <row r="3058" spans="2:2" x14ac:dyDescent="0.3">
      <c r="B3058" s="1"/>
    </row>
    <row r="3059" spans="2:2" x14ac:dyDescent="0.3">
      <c r="B3059" s="1"/>
    </row>
    <row r="3060" spans="2:2" x14ac:dyDescent="0.3">
      <c r="B3060" s="1"/>
    </row>
    <row r="3061" spans="2:2" x14ac:dyDescent="0.3">
      <c r="B3061" s="1"/>
    </row>
    <row r="3062" spans="2:2" x14ac:dyDescent="0.3">
      <c r="B3062" s="1"/>
    </row>
    <row r="3063" spans="2:2" x14ac:dyDescent="0.3">
      <c r="B3063" s="1"/>
    </row>
    <row r="3064" spans="2:2" x14ac:dyDescent="0.3">
      <c r="B3064" s="1"/>
    </row>
    <row r="3065" spans="2:2" x14ac:dyDescent="0.3">
      <c r="B3065" s="1"/>
    </row>
    <row r="3066" spans="2:2" x14ac:dyDescent="0.3">
      <c r="B3066" s="1"/>
    </row>
    <row r="3067" spans="2:2" x14ac:dyDescent="0.3">
      <c r="B3067" s="1"/>
    </row>
    <row r="3068" spans="2:2" x14ac:dyDescent="0.3">
      <c r="B3068" s="1"/>
    </row>
    <row r="3069" spans="2:2" x14ac:dyDescent="0.3">
      <c r="B3069" s="1"/>
    </row>
    <row r="3070" spans="2:2" x14ac:dyDescent="0.3">
      <c r="B3070" s="1"/>
    </row>
    <row r="3071" spans="2:2" x14ac:dyDescent="0.3">
      <c r="B3071" s="1"/>
    </row>
    <row r="3072" spans="2:2" x14ac:dyDescent="0.3">
      <c r="B3072" s="1"/>
    </row>
    <row r="3073" spans="2:2" x14ac:dyDescent="0.3">
      <c r="B3073" s="1"/>
    </row>
    <row r="3074" spans="2:2" x14ac:dyDescent="0.3">
      <c r="B3074" s="1"/>
    </row>
    <row r="3075" spans="2:2" x14ac:dyDescent="0.3">
      <c r="B3075" s="1"/>
    </row>
    <row r="3076" spans="2:2" x14ac:dyDescent="0.3">
      <c r="B3076" s="1"/>
    </row>
    <row r="3077" spans="2:2" x14ac:dyDescent="0.3">
      <c r="B3077" s="1"/>
    </row>
    <row r="3078" spans="2:2" x14ac:dyDescent="0.3">
      <c r="B3078" s="1"/>
    </row>
    <row r="3079" spans="2:2" x14ac:dyDescent="0.3">
      <c r="B3079" s="1"/>
    </row>
    <row r="3080" spans="2:2" x14ac:dyDescent="0.3">
      <c r="B3080" s="1"/>
    </row>
    <row r="3081" spans="2:2" x14ac:dyDescent="0.3">
      <c r="B3081" s="1"/>
    </row>
    <row r="3082" spans="2:2" x14ac:dyDescent="0.3">
      <c r="B3082" s="1"/>
    </row>
    <row r="3083" spans="2:2" x14ac:dyDescent="0.3">
      <c r="B3083" s="1"/>
    </row>
    <row r="3084" spans="2:2" x14ac:dyDescent="0.3">
      <c r="B3084" s="1"/>
    </row>
    <row r="3085" spans="2:2" x14ac:dyDescent="0.3">
      <c r="B3085" s="1"/>
    </row>
    <row r="3086" spans="2:2" x14ac:dyDescent="0.3">
      <c r="B3086" s="1"/>
    </row>
    <row r="3087" spans="2:2" x14ac:dyDescent="0.3">
      <c r="B3087" s="1"/>
    </row>
    <row r="3088" spans="2:2" x14ac:dyDescent="0.3">
      <c r="B3088" s="1"/>
    </row>
    <row r="3089" spans="2:2" x14ac:dyDescent="0.3">
      <c r="B3089" s="1"/>
    </row>
    <row r="3090" spans="2:2" x14ac:dyDescent="0.3">
      <c r="B3090" s="1"/>
    </row>
    <row r="3091" spans="2:2" x14ac:dyDescent="0.3">
      <c r="B3091" s="1"/>
    </row>
    <row r="3092" spans="2:2" x14ac:dyDescent="0.3">
      <c r="B3092" s="1"/>
    </row>
    <row r="3093" spans="2:2" x14ac:dyDescent="0.3">
      <c r="B3093" s="1"/>
    </row>
    <row r="3094" spans="2:2" x14ac:dyDescent="0.3">
      <c r="B3094" s="1"/>
    </row>
    <row r="3095" spans="2:2" x14ac:dyDescent="0.3">
      <c r="B3095" s="1"/>
    </row>
    <row r="3096" spans="2:2" x14ac:dyDescent="0.3">
      <c r="B3096" s="1"/>
    </row>
    <row r="3097" spans="2:2" x14ac:dyDescent="0.3">
      <c r="B3097" s="1"/>
    </row>
    <row r="3098" spans="2:2" x14ac:dyDescent="0.3">
      <c r="B3098" s="1"/>
    </row>
    <row r="3099" spans="2:2" x14ac:dyDescent="0.3">
      <c r="B3099" s="1"/>
    </row>
    <row r="3100" spans="2:2" x14ac:dyDescent="0.3">
      <c r="B3100" s="1"/>
    </row>
    <row r="3101" spans="2:2" x14ac:dyDescent="0.3">
      <c r="B3101" s="1"/>
    </row>
    <row r="3102" spans="2:2" x14ac:dyDescent="0.3">
      <c r="B3102" s="1"/>
    </row>
    <row r="3103" spans="2:2" x14ac:dyDescent="0.3">
      <c r="B3103" s="1"/>
    </row>
    <row r="3104" spans="2:2" x14ac:dyDescent="0.3">
      <c r="B3104" s="1"/>
    </row>
    <row r="3105" spans="2:2" x14ac:dyDescent="0.3">
      <c r="B3105" s="1"/>
    </row>
    <row r="3106" spans="2:2" x14ac:dyDescent="0.3">
      <c r="B3106" s="1"/>
    </row>
    <row r="3107" spans="2:2" x14ac:dyDescent="0.3">
      <c r="B3107" s="1"/>
    </row>
    <row r="3108" spans="2:2" x14ac:dyDescent="0.3">
      <c r="B3108" s="1"/>
    </row>
    <row r="3109" spans="2:2" x14ac:dyDescent="0.3">
      <c r="B3109" s="1"/>
    </row>
    <row r="3110" spans="2:2" x14ac:dyDescent="0.3">
      <c r="B3110" s="1"/>
    </row>
    <row r="3111" spans="2:2" x14ac:dyDescent="0.3">
      <c r="B3111" s="1"/>
    </row>
    <row r="3112" spans="2:2" x14ac:dyDescent="0.3">
      <c r="B3112" s="1"/>
    </row>
    <row r="3113" spans="2:2" x14ac:dyDescent="0.3">
      <c r="B3113" s="1"/>
    </row>
    <row r="3114" spans="2:2" x14ac:dyDescent="0.3">
      <c r="B3114" s="1"/>
    </row>
    <row r="3115" spans="2:2" x14ac:dyDescent="0.3">
      <c r="B3115" s="1"/>
    </row>
    <row r="3116" spans="2:2" x14ac:dyDescent="0.3">
      <c r="B3116" s="1"/>
    </row>
    <row r="3117" spans="2:2" x14ac:dyDescent="0.3">
      <c r="B3117" s="1"/>
    </row>
    <row r="3118" spans="2:2" x14ac:dyDescent="0.3">
      <c r="B3118" s="1"/>
    </row>
    <row r="3119" spans="2:2" x14ac:dyDescent="0.3">
      <c r="B3119" s="1"/>
    </row>
    <row r="3120" spans="2:2" x14ac:dyDescent="0.3">
      <c r="B3120" s="1"/>
    </row>
    <row r="3121" spans="2:2" x14ac:dyDescent="0.3">
      <c r="B3121" s="1"/>
    </row>
    <row r="3122" spans="2:2" x14ac:dyDescent="0.3">
      <c r="B3122" s="1"/>
    </row>
    <row r="3123" spans="2:2" x14ac:dyDescent="0.3">
      <c r="B3123" s="1"/>
    </row>
    <row r="3124" spans="2:2" x14ac:dyDescent="0.3">
      <c r="B3124" s="1"/>
    </row>
    <row r="3125" spans="2:2" x14ac:dyDescent="0.3">
      <c r="B3125" s="1"/>
    </row>
    <row r="3126" spans="2:2" x14ac:dyDescent="0.3">
      <c r="B3126" s="1"/>
    </row>
    <row r="3127" spans="2:2" x14ac:dyDescent="0.3">
      <c r="B3127" s="1"/>
    </row>
    <row r="3128" spans="2:2" x14ac:dyDescent="0.3">
      <c r="B3128" s="1"/>
    </row>
    <row r="3129" spans="2:2" x14ac:dyDescent="0.3">
      <c r="B3129" s="1"/>
    </row>
    <row r="3130" spans="2:2" x14ac:dyDescent="0.3">
      <c r="B3130" s="1"/>
    </row>
    <row r="3131" spans="2:2" x14ac:dyDescent="0.3">
      <c r="B3131" s="1"/>
    </row>
    <row r="3132" spans="2:2" x14ac:dyDescent="0.3">
      <c r="B3132" s="1"/>
    </row>
    <row r="3133" spans="2:2" x14ac:dyDescent="0.3">
      <c r="B3133" s="1"/>
    </row>
    <row r="3134" spans="2:2" x14ac:dyDescent="0.3">
      <c r="B3134" s="1"/>
    </row>
    <row r="3135" spans="2:2" x14ac:dyDescent="0.3">
      <c r="B3135" s="1"/>
    </row>
    <row r="3136" spans="2:2" x14ac:dyDescent="0.3">
      <c r="B3136" s="1"/>
    </row>
    <row r="3137" spans="2:2" x14ac:dyDescent="0.3">
      <c r="B3137" s="1"/>
    </row>
    <row r="3138" spans="2:2" x14ac:dyDescent="0.3">
      <c r="B3138" s="1"/>
    </row>
    <row r="3139" spans="2:2" x14ac:dyDescent="0.3">
      <c r="B3139" s="1"/>
    </row>
    <row r="3140" spans="2:2" x14ac:dyDescent="0.3">
      <c r="B3140" s="1"/>
    </row>
    <row r="3141" spans="2:2" x14ac:dyDescent="0.3">
      <c r="B3141" s="1"/>
    </row>
    <row r="3142" spans="2:2" x14ac:dyDescent="0.3">
      <c r="B3142" s="1"/>
    </row>
    <row r="3143" spans="2:2" x14ac:dyDescent="0.3">
      <c r="B3143" s="1"/>
    </row>
    <row r="3144" spans="2:2" x14ac:dyDescent="0.3">
      <c r="B3144" s="1"/>
    </row>
    <row r="3145" spans="2:2" x14ac:dyDescent="0.3">
      <c r="B3145" s="1"/>
    </row>
    <row r="3146" spans="2:2" x14ac:dyDescent="0.3">
      <c r="B3146" s="1"/>
    </row>
    <row r="3147" spans="2:2" x14ac:dyDescent="0.3">
      <c r="B3147" s="1"/>
    </row>
    <row r="3148" spans="2:2" x14ac:dyDescent="0.3">
      <c r="B3148" s="1"/>
    </row>
    <row r="3149" spans="2:2" x14ac:dyDescent="0.3">
      <c r="B3149" s="1"/>
    </row>
    <row r="3150" spans="2:2" x14ac:dyDescent="0.3">
      <c r="B3150" s="1"/>
    </row>
    <row r="3151" spans="2:2" x14ac:dyDescent="0.3">
      <c r="B3151" s="1"/>
    </row>
    <row r="3152" spans="2:2" x14ac:dyDescent="0.3">
      <c r="B3152" s="1"/>
    </row>
    <row r="3153" spans="2:2" x14ac:dyDescent="0.3">
      <c r="B3153" s="1"/>
    </row>
    <row r="3154" spans="2:2" x14ac:dyDescent="0.3">
      <c r="B3154" s="1"/>
    </row>
    <row r="3155" spans="2:2" x14ac:dyDescent="0.3">
      <c r="B3155" s="1"/>
    </row>
    <row r="3156" spans="2:2" x14ac:dyDescent="0.3">
      <c r="B3156" s="1"/>
    </row>
    <row r="3157" spans="2:2" x14ac:dyDescent="0.3">
      <c r="B3157" s="1"/>
    </row>
    <row r="3158" spans="2:2" x14ac:dyDescent="0.3">
      <c r="B3158" s="1"/>
    </row>
    <row r="3159" spans="2:2" x14ac:dyDescent="0.3">
      <c r="B3159" s="1"/>
    </row>
    <row r="3160" spans="2:2" x14ac:dyDescent="0.3">
      <c r="B3160" s="1"/>
    </row>
    <row r="3161" spans="2:2" x14ac:dyDescent="0.3">
      <c r="B3161" s="1"/>
    </row>
    <row r="3162" spans="2:2" x14ac:dyDescent="0.3">
      <c r="B3162" s="1"/>
    </row>
    <row r="3163" spans="2:2" x14ac:dyDescent="0.3">
      <c r="B3163" s="1"/>
    </row>
    <row r="3164" spans="2:2" x14ac:dyDescent="0.3">
      <c r="B3164" s="1"/>
    </row>
    <row r="3165" spans="2:2" x14ac:dyDescent="0.3">
      <c r="B3165" s="1"/>
    </row>
    <row r="3166" spans="2:2" x14ac:dyDescent="0.3">
      <c r="B3166" s="1"/>
    </row>
    <row r="3167" spans="2:2" x14ac:dyDescent="0.3">
      <c r="B3167" s="1"/>
    </row>
    <row r="3168" spans="2:2" x14ac:dyDescent="0.3">
      <c r="B3168" s="1"/>
    </row>
    <row r="3169" spans="2:2" x14ac:dyDescent="0.3">
      <c r="B3169" s="1"/>
    </row>
    <row r="3170" spans="2:2" x14ac:dyDescent="0.3">
      <c r="B3170" s="1"/>
    </row>
    <row r="3171" spans="2:2" x14ac:dyDescent="0.3">
      <c r="B3171" s="1"/>
    </row>
    <row r="3172" spans="2:2" x14ac:dyDescent="0.3">
      <c r="B3172" s="1"/>
    </row>
    <row r="3173" spans="2:2" x14ac:dyDescent="0.3">
      <c r="B3173" s="1"/>
    </row>
    <row r="3174" spans="2:2" x14ac:dyDescent="0.3">
      <c r="B3174" s="1"/>
    </row>
    <row r="3175" spans="2:2" x14ac:dyDescent="0.3">
      <c r="B3175" s="1"/>
    </row>
    <row r="3176" spans="2:2" x14ac:dyDescent="0.3">
      <c r="B3176" s="1"/>
    </row>
    <row r="3177" spans="2:2" x14ac:dyDescent="0.3">
      <c r="B3177" s="1"/>
    </row>
    <row r="3178" spans="2:2" x14ac:dyDescent="0.3">
      <c r="B3178" s="1"/>
    </row>
    <row r="3179" spans="2:2" x14ac:dyDescent="0.3">
      <c r="B3179" s="1"/>
    </row>
    <row r="3180" spans="2:2" x14ac:dyDescent="0.3">
      <c r="B3180" s="1"/>
    </row>
    <row r="3181" spans="2:2" x14ac:dyDescent="0.3">
      <c r="B3181" s="1"/>
    </row>
    <row r="3182" spans="2:2" x14ac:dyDescent="0.3">
      <c r="B3182" s="1"/>
    </row>
    <row r="3183" spans="2:2" x14ac:dyDescent="0.3">
      <c r="B3183" s="1"/>
    </row>
    <row r="3184" spans="2:2" x14ac:dyDescent="0.3">
      <c r="B3184" s="1"/>
    </row>
    <row r="3185" spans="2:2" x14ac:dyDescent="0.3">
      <c r="B3185" s="1"/>
    </row>
    <row r="3186" spans="2:2" x14ac:dyDescent="0.3">
      <c r="B3186" s="1"/>
    </row>
    <row r="3187" spans="2:2" x14ac:dyDescent="0.3">
      <c r="B3187" s="1"/>
    </row>
    <row r="3188" spans="2:2" x14ac:dyDescent="0.3">
      <c r="B3188" s="1"/>
    </row>
    <row r="3189" spans="2:2" x14ac:dyDescent="0.3">
      <c r="B3189" s="1"/>
    </row>
    <row r="3190" spans="2:2" x14ac:dyDescent="0.3">
      <c r="B3190" s="1"/>
    </row>
    <row r="3191" spans="2:2" x14ac:dyDescent="0.3">
      <c r="B3191" s="1"/>
    </row>
    <row r="3192" spans="2:2" x14ac:dyDescent="0.3">
      <c r="B3192" s="1"/>
    </row>
    <row r="3193" spans="2:2" x14ac:dyDescent="0.3">
      <c r="B3193" s="1"/>
    </row>
    <row r="3194" spans="2:2" x14ac:dyDescent="0.3">
      <c r="B3194" s="1"/>
    </row>
    <row r="3195" spans="2:2" x14ac:dyDescent="0.3">
      <c r="B3195" s="1"/>
    </row>
    <row r="3196" spans="2:2" x14ac:dyDescent="0.3">
      <c r="B3196" s="1"/>
    </row>
    <row r="3197" spans="2:2" x14ac:dyDescent="0.3">
      <c r="B3197" s="1"/>
    </row>
    <row r="3198" spans="2:2" x14ac:dyDescent="0.3">
      <c r="B3198" s="1"/>
    </row>
    <row r="3199" spans="2:2" x14ac:dyDescent="0.3">
      <c r="B3199" s="1"/>
    </row>
    <row r="3200" spans="2:2" x14ac:dyDescent="0.3">
      <c r="B3200" s="1"/>
    </row>
    <row r="3201" spans="2:2" x14ac:dyDescent="0.3">
      <c r="B3201" s="1"/>
    </row>
    <row r="3202" spans="2:2" x14ac:dyDescent="0.3">
      <c r="B3202" s="1"/>
    </row>
    <row r="3203" spans="2:2" x14ac:dyDescent="0.3">
      <c r="B3203" s="1"/>
    </row>
    <row r="3204" spans="2:2" x14ac:dyDescent="0.3">
      <c r="B3204" s="1"/>
    </row>
    <row r="3205" spans="2:2" x14ac:dyDescent="0.3">
      <c r="B3205" s="1"/>
    </row>
    <row r="3206" spans="2:2" x14ac:dyDescent="0.3">
      <c r="B3206" s="1"/>
    </row>
    <row r="3207" spans="2:2" x14ac:dyDescent="0.3">
      <c r="B3207" s="1"/>
    </row>
    <row r="3208" spans="2:2" x14ac:dyDescent="0.3">
      <c r="B3208" s="1"/>
    </row>
    <row r="3209" spans="2:2" x14ac:dyDescent="0.3">
      <c r="B3209" s="1"/>
    </row>
    <row r="3210" spans="2:2" x14ac:dyDescent="0.3">
      <c r="B3210" s="1"/>
    </row>
    <row r="3211" spans="2:2" x14ac:dyDescent="0.3">
      <c r="B3211" s="1"/>
    </row>
    <row r="3212" spans="2:2" x14ac:dyDescent="0.3">
      <c r="B3212" s="1"/>
    </row>
    <row r="3213" spans="2:2" x14ac:dyDescent="0.3">
      <c r="B3213" s="1"/>
    </row>
    <row r="3214" spans="2:2" x14ac:dyDescent="0.3">
      <c r="B3214" s="1"/>
    </row>
    <row r="3215" spans="2:2" x14ac:dyDescent="0.3">
      <c r="B3215" s="1"/>
    </row>
    <row r="3216" spans="2:2" x14ac:dyDescent="0.3">
      <c r="B3216" s="1"/>
    </row>
    <row r="3217" spans="2:2" x14ac:dyDescent="0.3">
      <c r="B3217" s="1"/>
    </row>
    <row r="3218" spans="2:2" x14ac:dyDescent="0.3">
      <c r="B3218" s="1"/>
    </row>
    <row r="3219" spans="2:2" x14ac:dyDescent="0.3">
      <c r="B3219" s="1"/>
    </row>
    <row r="3220" spans="2:2" x14ac:dyDescent="0.3">
      <c r="B3220" s="1"/>
    </row>
    <row r="3221" spans="2:2" x14ac:dyDescent="0.3">
      <c r="B3221" s="1"/>
    </row>
    <row r="3222" spans="2:2" x14ac:dyDescent="0.3">
      <c r="B3222" s="1"/>
    </row>
    <row r="3223" spans="2:2" x14ac:dyDescent="0.3">
      <c r="B3223" s="1"/>
    </row>
    <row r="3224" spans="2:2" x14ac:dyDescent="0.3">
      <c r="B3224" s="1"/>
    </row>
    <row r="3225" spans="2:2" x14ac:dyDescent="0.3">
      <c r="B3225" s="1"/>
    </row>
    <row r="3226" spans="2:2" x14ac:dyDescent="0.3">
      <c r="B3226" s="1"/>
    </row>
    <row r="3227" spans="2:2" x14ac:dyDescent="0.3">
      <c r="B3227" s="1"/>
    </row>
    <row r="3228" spans="2:2" x14ac:dyDescent="0.3">
      <c r="B3228" s="1"/>
    </row>
    <row r="3229" spans="2:2" x14ac:dyDescent="0.3">
      <c r="B3229" s="1"/>
    </row>
    <row r="3230" spans="2:2" x14ac:dyDescent="0.3">
      <c r="B3230" s="1"/>
    </row>
    <row r="3231" spans="2:2" x14ac:dyDescent="0.3">
      <c r="B3231" s="1"/>
    </row>
    <row r="3232" spans="2:2" x14ac:dyDescent="0.3">
      <c r="B3232" s="1"/>
    </row>
    <row r="3233" spans="2:2" x14ac:dyDescent="0.3">
      <c r="B3233" s="1"/>
    </row>
    <row r="3234" spans="2:2" x14ac:dyDescent="0.3">
      <c r="B3234" s="1"/>
    </row>
    <row r="3235" spans="2:2" x14ac:dyDescent="0.3">
      <c r="B3235" s="1"/>
    </row>
    <row r="3236" spans="2:2" x14ac:dyDescent="0.3">
      <c r="B3236" s="1"/>
    </row>
    <row r="3237" spans="2:2" x14ac:dyDescent="0.3">
      <c r="B3237" s="1"/>
    </row>
    <row r="3238" spans="2:2" x14ac:dyDescent="0.3">
      <c r="B3238" s="1"/>
    </row>
    <row r="3239" spans="2:2" x14ac:dyDescent="0.3">
      <c r="B3239" s="1"/>
    </row>
    <row r="3240" spans="2:2" x14ac:dyDescent="0.3">
      <c r="B3240" s="1"/>
    </row>
    <row r="3241" spans="2:2" x14ac:dyDescent="0.3">
      <c r="B3241" s="1"/>
    </row>
    <row r="3242" spans="2:2" x14ac:dyDescent="0.3">
      <c r="B3242" s="1"/>
    </row>
    <row r="3243" spans="2:2" x14ac:dyDescent="0.3">
      <c r="B3243" s="1"/>
    </row>
    <row r="3244" spans="2:2" x14ac:dyDescent="0.3">
      <c r="B3244" s="1"/>
    </row>
    <row r="3245" spans="2:2" x14ac:dyDescent="0.3">
      <c r="B3245" s="1"/>
    </row>
    <row r="3246" spans="2:2" x14ac:dyDescent="0.3">
      <c r="B3246" s="1"/>
    </row>
    <row r="3247" spans="2:2" x14ac:dyDescent="0.3">
      <c r="B3247" s="1"/>
    </row>
    <row r="3248" spans="2:2" x14ac:dyDescent="0.3">
      <c r="B3248" s="1"/>
    </row>
    <row r="3249" spans="2:2" x14ac:dyDescent="0.3">
      <c r="B3249" s="1"/>
    </row>
    <row r="3250" spans="2:2" x14ac:dyDescent="0.3">
      <c r="B3250" s="1"/>
    </row>
    <row r="3251" spans="2:2" x14ac:dyDescent="0.3">
      <c r="B3251" s="1"/>
    </row>
    <row r="3252" spans="2:2" x14ac:dyDescent="0.3">
      <c r="B3252" s="1"/>
    </row>
    <row r="3253" spans="2:2" x14ac:dyDescent="0.3">
      <c r="B3253" s="1"/>
    </row>
    <row r="3254" spans="2:2" x14ac:dyDescent="0.3">
      <c r="B3254" s="1"/>
    </row>
    <row r="3255" spans="2:2" x14ac:dyDescent="0.3">
      <c r="B3255" s="1"/>
    </row>
    <row r="3256" spans="2:2" x14ac:dyDescent="0.3">
      <c r="B3256" s="1"/>
    </row>
    <row r="3257" spans="2:2" x14ac:dyDescent="0.3">
      <c r="B3257" s="1"/>
    </row>
    <row r="3258" spans="2:2" x14ac:dyDescent="0.3">
      <c r="B3258" s="1"/>
    </row>
    <row r="3259" spans="2:2" x14ac:dyDescent="0.3">
      <c r="B3259" s="1"/>
    </row>
    <row r="3260" spans="2:2" x14ac:dyDescent="0.3">
      <c r="B3260" s="1"/>
    </row>
    <row r="3261" spans="2:2" x14ac:dyDescent="0.3">
      <c r="B326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"/>
  <sheetViews>
    <sheetView workbookViewId="0">
      <selection activeCell="L7" sqref="L7:S7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Reliquidacion</vt:lpstr>
      <vt:lpstr>MAPA DATA</vt:lpstr>
      <vt:lpstr>FACT_EST_CEN</vt:lpstr>
      <vt:lpstr>FACT_EST_EFACT</vt:lpstr>
      <vt:lpstr>FACT_EMITIDA</vt:lpstr>
      <vt:lpstr>SIGGE_E</vt:lpstr>
      <vt:lpstr>SIGGE_P</vt:lpstr>
      <vt:lpstr>EFACT_CNE</vt:lpstr>
      <vt:lpstr>EFACT_EST_CEN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Alejandro Cardenas</cp:lastModifiedBy>
  <dcterms:created xsi:type="dcterms:W3CDTF">2021-05-19T15:58:11Z</dcterms:created>
  <dcterms:modified xsi:type="dcterms:W3CDTF">2021-06-09T16:21:13Z</dcterms:modified>
</cp:coreProperties>
</file>