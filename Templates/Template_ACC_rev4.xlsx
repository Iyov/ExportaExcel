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0AD80F6B-7AB4-43B3-9AB8-BA2EA10F40CE}" xr6:coauthVersionLast="47" xr6:coauthVersionMax="47" xr10:uidLastSave="{00000000-0000-0000-0000-000000000000}"/>
  <bookViews>
    <workbookView xWindow="-120" yWindow="-120" windowWidth="29040" windowHeight="15840" tabRatio="646" activeTab="3" xr2:uid="{00000000-000D-0000-FFFF-FFFF00000000}"/>
  </bookViews>
  <sheets>
    <sheet name="README" sheetId="18" r:id="rId1"/>
    <sheet name="MAPA_DATA" sheetId="12" r:id="rId2"/>
    <sheet name="ReliquidacionEFACT" sheetId="7" r:id="rId3"/>
    <sheet name="ReliquidacionCEN" sheetId="19" r:id="rId4"/>
    <sheet name="FACT_EMITIDA" sheetId="2" r:id="rId5"/>
    <sheet name="SIGGE_E" sheetId="14" r:id="rId6"/>
    <sheet name="SIGGE_P" sheetId="15" r:id="rId7"/>
    <sheet name="EFACT_CNE" sheetId="1" r:id="rId8"/>
    <sheet name="SIN_DATA" sheetId="16" r:id="rId9"/>
    <sheet name="INTERESES" sheetId="17" r:id="rId10"/>
  </sheets>
  <definedNames>
    <definedName name="_xlnm._FilterDatabase" localSheetId="7" hidden="1">EFACT_CNE!$A$1:$Y$415</definedName>
    <definedName name="_xlnm._FilterDatabase" localSheetId="4" hidden="1">FACT_EMITIDA!$A$1:$U$604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4" i="19" l="1"/>
  <c r="AA10" i="19"/>
  <c r="AA11" i="19" s="1"/>
  <c r="AA12" i="19" s="1"/>
  <c r="AA13" i="19" s="1"/>
  <c r="AA14" i="19" s="1"/>
  <c r="AA15" i="19" s="1"/>
  <c r="AA16" i="19" s="1"/>
  <c r="AA17" i="19" s="1"/>
  <c r="AA18" i="19" s="1"/>
  <c r="AA19" i="19" s="1"/>
  <c r="AA20" i="19" s="1"/>
  <c r="AA21" i="19" s="1"/>
  <c r="AA22" i="19" s="1"/>
  <c r="AA23" i="19" s="1"/>
  <c r="AA24" i="19" s="1"/>
  <c r="AA25" i="19" s="1"/>
  <c r="AA26" i="19" s="1"/>
  <c r="AA27" i="19" s="1"/>
  <c r="AA28" i="19" s="1"/>
  <c r="AA29" i="19" s="1"/>
  <c r="AA30" i="19" s="1"/>
  <c r="AA31" i="19" s="1"/>
  <c r="AA32" i="19" s="1"/>
  <c r="AA33" i="19" s="1"/>
  <c r="AD9" i="19"/>
  <c r="AB9" i="19"/>
  <c r="O9" i="19"/>
  <c r="J9" i="19"/>
  <c r="I9" i="19"/>
  <c r="A9" i="19"/>
  <c r="R9" i="19" s="1"/>
  <c r="Q33" i="7"/>
  <c r="P33" i="7"/>
  <c r="N33" i="7"/>
  <c r="M33" i="7"/>
  <c r="H33" i="7"/>
  <c r="G33" i="7"/>
  <c r="E33" i="7"/>
  <c r="D33" i="7"/>
  <c r="Q32" i="7"/>
  <c r="P32" i="7"/>
  <c r="N32" i="7"/>
  <c r="M32" i="7"/>
  <c r="H32" i="7"/>
  <c r="G32" i="7"/>
  <c r="E32" i="7"/>
  <c r="D32" i="7"/>
  <c r="Q31" i="7"/>
  <c r="P31" i="7"/>
  <c r="N31" i="7"/>
  <c r="M31" i="7"/>
  <c r="H31" i="7"/>
  <c r="G31" i="7"/>
  <c r="E31" i="7"/>
  <c r="D31" i="7"/>
  <c r="Q30" i="7"/>
  <c r="P30" i="7"/>
  <c r="N30" i="7"/>
  <c r="M30" i="7"/>
  <c r="H30" i="7"/>
  <c r="G30" i="7"/>
  <c r="E30" i="7"/>
  <c r="D30" i="7"/>
  <c r="Q29" i="7"/>
  <c r="P29" i="7"/>
  <c r="N29" i="7"/>
  <c r="M29" i="7"/>
  <c r="H29" i="7"/>
  <c r="G29" i="7"/>
  <c r="E29" i="7"/>
  <c r="D29" i="7"/>
  <c r="Q28" i="7"/>
  <c r="P28" i="7"/>
  <c r="N28" i="7"/>
  <c r="M28" i="7"/>
  <c r="H28" i="7"/>
  <c r="G28" i="7"/>
  <c r="E28" i="7"/>
  <c r="D28" i="7"/>
  <c r="Q27" i="7"/>
  <c r="P27" i="7"/>
  <c r="N27" i="7"/>
  <c r="M27" i="7"/>
  <c r="H27" i="7"/>
  <c r="G27" i="7"/>
  <c r="E27" i="7"/>
  <c r="D27" i="7"/>
  <c r="Q26" i="7"/>
  <c r="P26" i="7"/>
  <c r="N26" i="7"/>
  <c r="M26" i="7"/>
  <c r="H26" i="7"/>
  <c r="G26" i="7"/>
  <c r="E26" i="7"/>
  <c r="D26" i="7"/>
  <c r="Q25" i="7"/>
  <c r="P25" i="7"/>
  <c r="N25" i="7"/>
  <c r="M25" i="7"/>
  <c r="H25" i="7"/>
  <c r="G25" i="7"/>
  <c r="E25" i="7"/>
  <c r="D25" i="7"/>
  <c r="Q24" i="7"/>
  <c r="P24" i="7"/>
  <c r="N24" i="7"/>
  <c r="M24" i="7"/>
  <c r="H24" i="7"/>
  <c r="G24" i="7"/>
  <c r="E24" i="7"/>
  <c r="D24" i="7"/>
  <c r="Q23" i="7"/>
  <c r="P23" i="7"/>
  <c r="N23" i="7"/>
  <c r="M23" i="7"/>
  <c r="H23" i="7"/>
  <c r="G23" i="7"/>
  <c r="E23" i="7"/>
  <c r="D23" i="7"/>
  <c r="Q22" i="7"/>
  <c r="P22" i="7"/>
  <c r="N22" i="7"/>
  <c r="M22" i="7"/>
  <c r="H22" i="7"/>
  <c r="G22" i="7"/>
  <c r="E22" i="7"/>
  <c r="D22" i="7"/>
  <c r="Q21" i="7"/>
  <c r="P21" i="7"/>
  <c r="N21" i="7"/>
  <c r="M21" i="7"/>
  <c r="H21" i="7"/>
  <c r="G21" i="7"/>
  <c r="E21" i="7"/>
  <c r="D21" i="7"/>
  <c r="Q20" i="7"/>
  <c r="P20" i="7"/>
  <c r="N20" i="7"/>
  <c r="M20" i="7"/>
  <c r="H20" i="7"/>
  <c r="G20" i="7"/>
  <c r="E20" i="7"/>
  <c r="D20" i="7"/>
  <c r="Q19" i="7"/>
  <c r="P19" i="7"/>
  <c r="N19" i="7"/>
  <c r="M19" i="7"/>
  <c r="H19" i="7"/>
  <c r="G19" i="7"/>
  <c r="E19" i="7"/>
  <c r="D19" i="7"/>
  <c r="Q18" i="7"/>
  <c r="P18" i="7"/>
  <c r="N18" i="7"/>
  <c r="M18" i="7"/>
  <c r="H18" i="7"/>
  <c r="G18" i="7"/>
  <c r="E18" i="7"/>
  <c r="D18" i="7"/>
  <c r="Q17" i="7"/>
  <c r="P17" i="7"/>
  <c r="N17" i="7"/>
  <c r="M17" i="7"/>
  <c r="H17" i="7"/>
  <c r="G17" i="7"/>
  <c r="E17" i="7"/>
  <c r="D17" i="7"/>
  <c r="Q16" i="7"/>
  <c r="P16" i="7"/>
  <c r="N16" i="7"/>
  <c r="M16" i="7"/>
  <c r="H16" i="7"/>
  <c r="G16" i="7"/>
  <c r="E16" i="7"/>
  <c r="D16" i="7"/>
  <c r="Q15" i="7"/>
  <c r="P15" i="7"/>
  <c r="N15" i="7"/>
  <c r="M15" i="7"/>
  <c r="H15" i="7"/>
  <c r="G15" i="7"/>
  <c r="E15" i="7"/>
  <c r="D15" i="7"/>
  <c r="Q14" i="7"/>
  <c r="P14" i="7"/>
  <c r="N14" i="7"/>
  <c r="M14" i="7"/>
  <c r="H14" i="7"/>
  <c r="G14" i="7"/>
  <c r="E14" i="7"/>
  <c r="D14" i="7"/>
  <c r="Q13" i="7"/>
  <c r="P13" i="7"/>
  <c r="N13" i="7"/>
  <c r="M13" i="7"/>
  <c r="H13" i="7"/>
  <c r="G13" i="7"/>
  <c r="E13" i="7"/>
  <c r="D13" i="7"/>
  <c r="Q12" i="7"/>
  <c r="P12" i="7"/>
  <c r="N12" i="7"/>
  <c r="M12" i="7"/>
  <c r="H12" i="7"/>
  <c r="G12" i="7"/>
  <c r="E12" i="7"/>
  <c r="D12" i="7"/>
  <c r="Q11" i="7"/>
  <c r="P11" i="7"/>
  <c r="N11" i="7"/>
  <c r="M11" i="7"/>
  <c r="H11" i="7"/>
  <c r="G11" i="7"/>
  <c r="E11" i="7"/>
  <c r="D11" i="7"/>
  <c r="Q10" i="7"/>
  <c r="P10" i="7"/>
  <c r="N10" i="7"/>
  <c r="M10" i="7"/>
  <c r="H10" i="7"/>
  <c r="G10" i="7"/>
  <c r="E10" i="7"/>
  <c r="D10" i="7"/>
  <c r="Q9" i="7"/>
  <c r="P9" i="7"/>
  <c r="N9" i="7"/>
  <c r="M9" i="7"/>
  <c r="H9" i="7"/>
  <c r="G9" i="7"/>
  <c r="E9" i="7"/>
  <c r="D9" i="7"/>
  <c r="AE34" i="7"/>
  <c r="A9" i="7"/>
  <c r="Q9" i="19" l="1"/>
  <c r="P9" i="19"/>
  <c r="N9" i="19"/>
  <c r="M9" i="19"/>
  <c r="A10" i="19"/>
  <c r="H9" i="19"/>
  <c r="AE9" i="19"/>
  <c r="G9" i="19"/>
  <c r="AC9" i="19"/>
  <c r="E9" i="19"/>
  <c r="D9" i="19"/>
  <c r="S9" i="19"/>
  <c r="F9" i="19"/>
  <c r="V9" i="19"/>
  <c r="AA10" i="7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V10" i="19" l="1"/>
  <c r="S10" i="19"/>
  <c r="J10" i="19"/>
  <c r="AE10" i="19"/>
  <c r="Q10" i="19"/>
  <c r="H10" i="19"/>
  <c r="AC10" i="19"/>
  <c r="AB10" i="19"/>
  <c r="I10" i="19"/>
  <c r="AD10" i="19"/>
  <c r="G10" i="19"/>
  <c r="N10" i="19"/>
  <c r="M10" i="19"/>
  <c r="A11" i="19"/>
  <c r="R10" i="19"/>
  <c r="F10" i="19"/>
  <c r="P10" i="19"/>
  <c r="E10" i="19"/>
  <c r="O10" i="19"/>
  <c r="D10" i="19"/>
  <c r="AE9" i="7"/>
  <c r="V9" i="7"/>
  <c r="I9" i="7"/>
  <c r="J9" i="7"/>
  <c r="AD9" i="7"/>
  <c r="R9" i="7"/>
  <c r="F9" i="7"/>
  <c r="AC9" i="7"/>
  <c r="AB9" i="7"/>
  <c r="A10" i="7"/>
  <c r="O9" i="7"/>
  <c r="S9" i="7"/>
  <c r="AB11" i="19" l="1"/>
  <c r="E11" i="19"/>
  <c r="D11" i="19"/>
  <c r="S11" i="19"/>
  <c r="J11" i="19"/>
  <c r="A12" i="19"/>
  <c r="O11" i="19"/>
  <c r="AE11" i="19"/>
  <c r="AD11" i="19"/>
  <c r="I11" i="19"/>
  <c r="AC11" i="19"/>
  <c r="H11" i="19"/>
  <c r="V11" i="19"/>
  <c r="G11" i="19"/>
  <c r="P11" i="19"/>
  <c r="R11" i="19"/>
  <c r="F11" i="19"/>
  <c r="Q11" i="19"/>
  <c r="M11" i="19"/>
  <c r="N11" i="19"/>
  <c r="R10" i="7"/>
  <c r="AC10" i="7"/>
  <c r="J10" i="7"/>
  <c r="O10" i="7"/>
  <c r="AB10" i="7"/>
  <c r="I10" i="7"/>
  <c r="F10" i="7"/>
  <c r="A11" i="7"/>
  <c r="V10" i="7"/>
  <c r="AD10" i="7"/>
  <c r="AE10" i="7"/>
  <c r="S10" i="7"/>
  <c r="AD12" i="19" l="1"/>
  <c r="G12" i="19"/>
  <c r="AC12" i="19"/>
  <c r="O12" i="19"/>
  <c r="F12" i="19"/>
  <c r="D12" i="19"/>
  <c r="R12" i="19"/>
  <c r="E12" i="19"/>
  <c r="H12" i="19"/>
  <c r="A13" i="19"/>
  <c r="AE12" i="19"/>
  <c r="J12" i="19"/>
  <c r="S12" i="19"/>
  <c r="AB12" i="19"/>
  <c r="I12" i="19"/>
  <c r="V12" i="19"/>
  <c r="Q12" i="19"/>
  <c r="N12" i="19"/>
  <c r="M12" i="19"/>
  <c r="P12" i="19"/>
  <c r="AC11" i="7"/>
  <c r="S11" i="7"/>
  <c r="F11" i="7"/>
  <c r="R11" i="7"/>
  <c r="AE11" i="7"/>
  <c r="J11" i="7"/>
  <c r="AD11" i="7"/>
  <c r="A12" i="7"/>
  <c r="AB11" i="7"/>
  <c r="O11" i="7"/>
  <c r="V11" i="7"/>
  <c r="I11" i="7"/>
  <c r="A14" i="19" l="1"/>
  <c r="R13" i="19"/>
  <c r="I13" i="19"/>
  <c r="AE13" i="19"/>
  <c r="H13" i="19"/>
  <c r="AC13" i="19"/>
  <c r="O13" i="19"/>
  <c r="F13" i="19"/>
  <c r="G13" i="19"/>
  <c r="D13" i="19"/>
  <c r="V13" i="19"/>
  <c r="E13" i="19"/>
  <c r="J13" i="19"/>
  <c r="S13" i="19"/>
  <c r="AD13" i="19"/>
  <c r="AB13" i="19"/>
  <c r="M13" i="19"/>
  <c r="N13" i="19"/>
  <c r="P13" i="19"/>
  <c r="Q13" i="19"/>
  <c r="AE12" i="7"/>
  <c r="F12" i="7"/>
  <c r="R12" i="7"/>
  <c r="V12" i="7"/>
  <c r="S12" i="7"/>
  <c r="AC12" i="7"/>
  <c r="I12" i="7"/>
  <c r="J12" i="7"/>
  <c r="A13" i="7"/>
  <c r="AD12" i="7"/>
  <c r="O12" i="7"/>
  <c r="AB12" i="7"/>
  <c r="V14" i="19" l="1"/>
  <c r="S14" i="19"/>
  <c r="J14" i="19"/>
  <c r="AE14" i="19"/>
  <c r="Q14" i="19"/>
  <c r="H14" i="19"/>
  <c r="AC14" i="19"/>
  <c r="AD14" i="19"/>
  <c r="M14" i="19"/>
  <c r="AB14" i="19"/>
  <c r="I14" i="19"/>
  <c r="G14" i="19"/>
  <c r="N14" i="19"/>
  <c r="R14" i="19"/>
  <c r="F14" i="19"/>
  <c r="P14" i="19"/>
  <c r="E14" i="19"/>
  <c r="O14" i="19"/>
  <c r="D14" i="19"/>
  <c r="A15" i="19"/>
  <c r="J13" i="7"/>
  <c r="F13" i="7"/>
  <c r="AC13" i="7"/>
  <c r="S13" i="7"/>
  <c r="O13" i="7"/>
  <c r="R13" i="7"/>
  <c r="V13" i="7"/>
  <c r="A14" i="7"/>
  <c r="AB13" i="7"/>
  <c r="I13" i="7"/>
  <c r="AE13" i="7"/>
  <c r="AD13" i="7"/>
  <c r="AB15" i="19" l="1"/>
  <c r="E15" i="19"/>
  <c r="D15" i="19"/>
  <c r="S15" i="19"/>
  <c r="J15" i="19"/>
  <c r="A16" i="19"/>
  <c r="O15" i="19"/>
  <c r="AD15" i="19"/>
  <c r="Q15" i="19"/>
  <c r="AE15" i="19"/>
  <c r="I15" i="19"/>
  <c r="AC15" i="19"/>
  <c r="H15" i="19"/>
  <c r="V15" i="19"/>
  <c r="G15" i="19"/>
  <c r="P15" i="19"/>
  <c r="R15" i="19"/>
  <c r="F15" i="19"/>
  <c r="M15" i="19"/>
  <c r="N15" i="19"/>
  <c r="S14" i="7"/>
  <c r="O14" i="7"/>
  <c r="R14" i="7"/>
  <c r="A15" i="7"/>
  <c r="J14" i="7"/>
  <c r="I14" i="7"/>
  <c r="F14" i="7"/>
  <c r="AB14" i="7"/>
  <c r="AD14" i="7"/>
  <c r="AC14" i="7"/>
  <c r="V14" i="7"/>
  <c r="AE14" i="7"/>
  <c r="AD16" i="19" l="1"/>
  <c r="G16" i="19"/>
  <c r="AC16" i="19"/>
  <c r="O16" i="19"/>
  <c r="F16" i="19"/>
  <c r="D16" i="19"/>
  <c r="R16" i="19"/>
  <c r="S16" i="19"/>
  <c r="E16" i="19"/>
  <c r="V16" i="19"/>
  <c r="N16" i="19"/>
  <c r="A17" i="19"/>
  <c r="AE16" i="19"/>
  <c r="J16" i="19"/>
  <c r="AB16" i="19"/>
  <c r="I16" i="19"/>
  <c r="H16" i="19"/>
  <c r="M16" i="19"/>
  <c r="Q16" i="19"/>
  <c r="P16" i="19"/>
  <c r="AE15" i="7"/>
  <c r="O15" i="7"/>
  <c r="AC15" i="7"/>
  <c r="F15" i="7"/>
  <c r="J15" i="7"/>
  <c r="V15" i="7"/>
  <c r="AD15" i="7"/>
  <c r="I15" i="7"/>
  <c r="S15" i="7"/>
  <c r="AB15" i="7"/>
  <c r="R15" i="7"/>
  <c r="A16" i="7"/>
  <c r="A18" i="19" l="1"/>
  <c r="R17" i="19"/>
  <c r="I17" i="19"/>
  <c r="AE17" i="19"/>
  <c r="H17" i="19"/>
  <c r="AC17" i="19"/>
  <c r="O17" i="19"/>
  <c r="F17" i="19"/>
  <c r="G17" i="19"/>
  <c r="S17" i="19"/>
  <c r="AB17" i="19"/>
  <c r="V17" i="19"/>
  <c r="E17" i="19"/>
  <c r="D17" i="19"/>
  <c r="J17" i="19"/>
  <c r="AD17" i="19"/>
  <c r="M17" i="19"/>
  <c r="P17" i="19"/>
  <c r="N17" i="19"/>
  <c r="Q17" i="19"/>
  <c r="AB16" i="7"/>
  <c r="F16" i="7"/>
  <c r="AD16" i="7"/>
  <c r="V16" i="7"/>
  <c r="O16" i="7"/>
  <c r="J16" i="7"/>
  <c r="I16" i="7"/>
  <c r="R16" i="7"/>
  <c r="S16" i="7"/>
  <c r="AC16" i="7"/>
  <c r="AE16" i="7"/>
  <c r="A17" i="7"/>
  <c r="V18" i="19" l="1"/>
  <c r="A19" i="19"/>
  <c r="R18" i="19"/>
  <c r="S18" i="19"/>
  <c r="J18" i="19"/>
  <c r="AE18" i="19"/>
  <c r="Q18" i="19"/>
  <c r="H18" i="19"/>
  <c r="AD18" i="19"/>
  <c r="AC18" i="19"/>
  <c r="I18" i="19"/>
  <c r="G18" i="19"/>
  <c r="AB18" i="19"/>
  <c r="F18" i="19"/>
  <c r="P18" i="19"/>
  <c r="E18" i="19"/>
  <c r="N18" i="19"/>
  <c r="M18" i="19"/>
  <c r="O18" i="19"/>
  <c r="D18" i="19"/>
  <c r="AE17" i="7"/>
  <c r="V17" i="7"/>
  <c r="I17" i="7"/>
  <c r="J17" i="7"/>
  <c r="AD17" i="7"/>
  <c r="R17" i="7"/>
  <c r="F17" i="7"/>
  <c r="AB17" i="7"/>
  <c r="S17" i="7"/>
  <c r="O17" i="7"/>
  <c r="A18" i="7"/>
  <c r="AC17" i="7"/>
  <c r="AB19" i="19" l="1"/>
  <c r="E19" i="19"/>
  <c r="V19" i="19"/>
  <c r="D19" i="19"/>
  <c r="S19" i="19"/>
  <c r="J19" i="19"/>
  <c r="Q19" i="19"/>
  <c r="P19" i="19"/>
  <c r="F19" i="19"/>
  <c r="O19" i="19"/>
  <c r="AC19" i="19"/>
  <c r="A20" i="19"/>
  <c r="AE19" i="19"/>
  <c r="I19" i="19"/>
  <c r="R19" i="19"/>
  <c r="AD19" i="19"/>
  <c r="H19" i="19"/>
  <c r="G19" i="19"/>
  <c r="M19" i="19"/>
  <c r="N19" i="19"/>
  <c r="R18" i="7"/>
  <c r="AC18" i="7"/>
  <c r="J18" i="7"/>
  <c r="AB18" i="7"/>
  <c r="AE18" i="7"/>
  <c r="V18" i="7"/>
  <c r="AD18" i="7"/>
  <c r="A19" i="7"/>
  <c r="O18" i="7"/>
  <c r="F18" i="7"/>
  <c r="I18" i="7"/>
  <c r="S18" i="7"/>
  <c r="AD20" i="19" l="1"/>
  <c r="G20" i="19"/>
  <c r="AC20" i="19"/>
  <c r="O20" i="19"/>
  <c r="F20" i="19"/>
  <c r="AB20" i="19"/>
  <c r="E20" i="19"/>
  <c r="D20" i="19"/>
  <c r="J20" i="19"/>
  <c r="H20" i="19"/>
  <c r="A21" i="19"/>
  <c r="I20" i="19"/>
  <c r="AE20" i="19"/>
  <c r="V20" i="19"/>
  <c r="S20" i="19"/>
  <c r="R20" i="19"/>
  <c r="Q20" i="19"/>
  <c r="P20" i="19"/>
  <c r="N20" i="19"/>
  <c r="M20" i="19"/>
  <c r="AC19" i="7"/>
  <c r="S19" i="7"/>
  <c r="J19" i="7"/>
  <c r="AB19" i="7"/>
  <c r="V19" i="7"/>
  <c r="R19" i="7"/>
  <c r="AE19" i="7"/>
  <c r="O19" i="7"/>
  <c r="AD19" i="7"/>
  <c r="A20" i="7"/>
  <c r="I19" i="7"/>
  <c r="F19" i="7"/>
  <c r="A22" i="19" l="1"/>
  <c r="R21" i="19"/>
  <c r="I21" i="19"/>
  <c r="AE21" i="19"/>
  <c r="H21" i="19"/>
  <c r="AD21" i="19"/>
  <c r="G21" i="19"/>
  <c r="AC21" i="19"/>
  <c r="O21" i="19"/>
  <c r="F21" i="19"/>
  <c r="D21" i="19"/>
  <c r="S21" i="19"/>
  <c r="E21" i="19"/>
  <c r="V21" i="19"/>
  <c r="AB21" i="19"/>
  <c r="J21" i="19"/>
  <c r="P21" i="19"/>
  <c r="Q21" i="19"/>
  <c r="M21" i="19"/>
  <c r="N21" i="19"/>
  <c r="R20" i="7"/>
  <c r="V20" i="7"/>
  <c r="S20" i="7"/>
  <c r="AD20" i="7"/>
  <c r="J20" i="7"/>
  <c r="O20" i="7"/>
  <c r="AC20" i="7"/>
  <c r="I20" i="7"/>
  <c r="AB20" i="7"/>
  <c r="AE20" i="7"/>
  <c r="A21" i="7"/>
  <c r="F20" i="7"/>
  <c r="V22" i="19" l="1"/>
  <c r="S22" i="19"/>
  <c r="J22" i="19"/>
  <c r="A23" i="19"/>
  <c r="R22" i="19"/>
  <c r="I22" i="19"/>
  <c r="AE22" i="19"/>
  <c r="Q22" i="19"/>
  <c r="H22" i="19"/>
  <c r="N22" i="19"/>
  <c r="D22" i="19"/>
  <c r="M22" i="19"/>
  <c r="P22" i="19"/>
  <c r="AD22" i="19"/>
  <c r="AC22" i="19"/>
  <c r="G22" i="19"/>
  <c r="AB22" i="19"/>
  <c r="F22" i="19"/>
  <c r="O22" i="19"/>
  <c r="E22" i="19"/>
  <c r="J21" i="7"/>
  <c r="F21" i="7"/>
  <c r="AC21" i="7"/>
  <c r="R21" i="7"/>
  <c r="V21" i="7"/>
  <c r="AD21" i="7"/>
  <c r="A22" i="7"/>
  <c r="S21" i="7"/>
  <c r="O21" i="7"/>
  <c r="AB21" i="7"/>
  <c r="AE21" i="7"/>
  <c r="I21" i="7"/>
  <c r="AB23" i="19" l="1"/>
  <c r="E23" i="19"/>
  <c r="D23" i="19"/>
  <c r="V23" i="19"/>
  <c r="S23" i="19"/>
  <c r="J23" i="19"/>
  <c r="A24" i="19"/>
  <c r="AC23" i="19"/>
  <c r="G23" i="19"/>
  <c r="Q23" i="19"/>
  <c r="H23" i="19"/>
  <c r="R23" i="19"/>
  <c r="F23" i="19"/>
  <c r="AD23" i="19"/>
  <c r="P23" i="19"/>
  <c r="O23" i="19"/>
  <c r="I23" i="19"/>
  <c r="AE23" i="19"/>
  <c r="M23" i="19"/>
  <c r="N23" i="19"/>
  <c r="S22" i="7"/>
  <c r="I22" i="7"/>
  <c r="AD22" i="7"/>
  <c r="F22" i="7"/>
  <c r="AC22" i="7"/>
  <c r="J22" i="7"/>
  <c r="AE22" i="7"/>
  <c r="A23" i="7"/>
  <c r="AB22" i="7"/>
  <c r="V22" i="7"/>
  <c r="R22" i="7"/>
  <c r="O22" i="7"/>
  <c r="AD24" i="19" l="1"/>
  <c r="G24" i="19"/>
  <c r="AB24" i="19"/>
  <c r="E24" i="19"/>
  <c r="AC24" i="19"/>
  <c r="O24" i="19"/>
  <c r="F24" i="19"/>
  <c r="D24" i="19"/>
  <c r="V24" i="19"/>
  <c r="R24" i="19"/>
  <c r="Q24" i="19"/>
  <c r="J24" i="19"/>
  <c r="I24" i="19"/>
  <c r="AE24" i="19"/>
  <c r="S24" i="19"/>
  <c r="A25" i="19"/>
  <c r="H24" i="19"/>
  <c r="N24" i="19"/>
  <c r="M24" i="19"/>
  <c r="P24" i="19"/>
  <c r="AE23" i="7"/>
  <c r="O23" i="7"/>
  <c r="J23" i="7"/>
  <c r="V23" i="7"/>
  <c r="AD23" i="7"/>
  <c r="I23" i="7"/>
  <c r="AC23" i="7"/>
  <c r="R23" i="7"/>
  <c r="F23" i="7"/>
  <c r="S23" i="7"/>
  <c r="AB23" i="7"/>
  <c r="A24" i="7"/>
  <c r="A26" i="19" l="1"/>
  <c r="R25" i="19"/>
  <c r="I25" i="19"/>
  <c r="AE25" i="19"/>
  <c r="H25" i="19"/>
  <c r="AD25" i="19"/>
  <c r="G25" i="19"/>
  <c r="AC25" i="19"/>
  <c r="O25" i="19"/>
  <c r="F25" i="19"/>
  <c r="AB25" i="19"/>
  <c r="E25" i="19"/>
  <c r="S25" i="19"/>
  <c r="V25" i="19"/>
  <c r="J25" i="19"/>
  <c r="D25" i="19"/>
  <c r="M25" i="19"/>
  <c r="P25" i="19"/>
  <c r="N25" i="19"/>
  <c r="Q25" i="19"/>
  <c r="I24" i="7"/>
  <c r="AB24" i="7"/>
  <c r="AD24" i="7"/>
  <c r="F24" i="7"/>
  <c r="O24" i="7"/>
  <c r="AE24" i="7"/>
  <c r="V24" i="7"/>
  <c r="AC24" i="7"/>
  <c r="R24" i="7"/>
  <c r="A25" i="7"/>
  <c r="S24" i="7"/>
  <c r="J24" i="7"/>
  <c r="V26" i="19" l="1"/>
  <c r="R26" i="19"/>
  <c r="I26" i="19"/>
  <c r="S26" i="19"/>
  <c r="J26" i="19"/>
  <c r="A27" i="19"/>
  <c r="AE26" i="19"/>
  <c r="Q26" i="19"/>
  <c r="H26" i="19"/>
  <c r="P26" i="19"/>
  <c r="AD26" i="19"/>
  <c r="G26" i="19"/>
  <c r="N26" i="19"/>
  <c r="M26" i="19"/>
  <c r="O26" i="19"/>
  <c r="F26" i="19"/>
  <c r="AC26" i="19"/>
  <c r="E26" i="19"/>
  <c r="AB26" i="19"/>
  <c r="D26" i="19"/>
  <c r="I25" i="7"/>
  <c r="J25" i="7"/>
  <c r="A26" i="7"/>
  <c r="AD25" i="7"/>
  <c r="F25" i="7"/>
  <c r="R25" i="7"/>
  <c r="S25" i="7"/>
  <c r="V25" i="7"/>
  <c r="AC25" i="7"/>
  <c r="AB25" i="7"/>
  <c r="AE25" i="7"/>
  <c r="O25" i="7"/>
  <c r="AB27" i="19" l="1"/>
  <c r="E27" i="19"/>
  <c r="V27" i="19"/>
  <c r="D27" i="19"/>
  <c r="S27" i="19"/>
  <c r="J27" i="19"/>
  <c r="A28" i="19"/>
  <c r="R27" i="19"/>
  <c r="I27" i="19"/>
  <c r="H27" i="19"/>
  <c r="AE27" i="19"/>
  <c r="G27" i="19"/>
  <c r="AD27" i="19"/>
  <c r="F27" i="19"/>
  <c r="AC27" i="19"/>
  <c r="P27" i="19"/>
  <c r="O27" i="19"/>
  <c r="Q27" i="19"/>
  <c r="N27" i="19"/>
  <c r="M27" i="19"/>
  <c r="R26" i="7"/>
  <c r="AC26" i="7"/>
  <c r="J26" i="7"/>
  <c r="O26" i="7"/>
  <c r="AB26" i="7"/>
  <c r="I26" i="7"/>
  <c r="F26" i="7"/>
  <c r="AE26" i="7"/>
  <c r="S26" i="7"/>
  <c r="V26" i="7"/>
  <c r="AD26" i="7"/>
  <c r="A27" i="7"/>
  <c r="AD28" i="19" l="1"/>
  <c r="G28" i="19"/>
  <c r="AB28" i="19"/>
  <c r="E28" i="19"/>
  <c r="AC28" i="19"/>
  <c r="O28" i="19"/>
  <c r="F28" i="19"/>
  <c r="D28" i="19"/>
  <c r="V28" i="19"/>
  <c r="I28" i="19"/>
  <c r="J28" i="19"/>
  <c r="A29" i="19"/>
  <c r="H28" i="19"/>
  <c r="AE28" i="19"/>
  <c r="S28" i="19"/>
  <c r="R28" i="19"/>
  <c r="Q28" i="19"/>
  <c r="P28" i="19"/>
  <c r="N28" i="19"/>
  <c r="M28" i="19"/>
  <c r="AC27" i="7"/>
  <c r="S27" i="7"/>
  <c r="AE27" i="7"/>
  <c r="R27" i="7"/>
  <c r="J27" i="7"/>
  <c r="I27" i="7"/>
  <c r="AD27" i="7"/>
  <c r="A28" i="7"/>
  <c r="AB27" i="7"/>
  <c r="V27" i="7"/>
  <c r="O27" i="7"/>
  <c r="F27" i="7"/>
  <c r="A30" i="19" l="1"/>
  <c r="R29" i="19"/>
  <c r="I29" i="19"/>
  <c r="AD29" i="19"/>
  <c r="G29" i="19"/>
  <c r="AE29" i="19"/>
  <c r="H29" i="19"/>
  <c r="AC29" i="19"/>
  <c r="O29" i="19"/>
  <c r="F29" i="19"/>
  <c r="AB29" i="19"/>
  <c r="E29" i="19"/>
  <c r="D29" i="19"/>
  <c r="J29" i="19"/>
  <c r="V29" i="19"/>
  <c r="S29" i="19"/>
  <c r="P29" i="19"/>
  <c r="Q29" i="19"/>
  <c r="N29" i="19"/>
  <c r="M29" i="19"/>
  <c r="R28" i="7"/>
  <c r="J28" i="7"/>
  <c r="V28" i="7"/>
  <c r="I28" i="7"/>
  <c r="AE28" i="7"/>
  <c r="A29" i="7"/>
  <c r="AD28" i="7"/>
  <c r="S28" i="7"/>
  <c r="F28" i="7"/>
  <c r="O28" i="7"/>
  <c r="AC28" i="7"/>
  <c r="AB28" i="7"/>
  <c r="V30" i="19" l="1"/>
  <c r="A31" i="19"/>
  <c r="R30" i="19"/>
  <c r="I30" i="19"/>
  <c r="S30" i="19"/>
  <c r="J30" i="19"/>
  <c r="AE30" i="19"/>
  <c r="Q30" i="19"/>
  <c r="H30" i="19"/>
  <c r="AD30" i="19"/>
  <c r="P30" i="19"/>
  <c r="G30" i="19"/>
  <c r="AC30" i="19"/>
  <c r="E30" i="19"/>
  <c r="F30" i="19"/>
  <c r="AB30" i="19"/>
  <c r="D30" i="19"/>
  <c r="O30" i="19"/>
  <c r="N30" i="19"/>
  <c r="M30" i="19"/>
  <c r="V29" i="7"/>
  <c r="F29" i="7"/>
  <c r="R29" i="7"/>
  <c r="AC29" i="7"/>
  <c r="S29" i="7"/>
  <c r="O29" i="7"/>
  <c r="J29" i="7"/>
  <c r="AE29" i="7"/>
  <c r="I29" i="7"/>
  <c r="AB29" i="7"/>
  <c r="AD29" i="7"/>
  <c r="A30" i="7"/>
  <c r="AB31" i="19" l="1"/>
  <c r="E31" i="19"/>
  <c r="V31" i="19"/>
  <c r="D31" i="19"/>
  <c r="S31" i="19"/>
  <c r="J31" i="19"/>
  <c r="I31" i="19"/>
  <c r="A32" i="19"/>
  <c r="R31" i="19"/>
  <c r="AC31" i="19"/>
  <c r="Q31" i="19"/>
  <c r="AD31" i="19"/>
  <c r="P31" i="19"/>
  <c r="O31" i="19"/>
  <c r="AE31" i="19"/>
  <c r="G31" i="19"/>
  <c r="F31" i="19"/>
  <c r="H31" i="19"/>
  <c r="M31" i="19"/>
  <c r="N31" i="19"/>
  <c r="S30" i="7"/>
  <c r="O30" i="7"/>
  <c r="AD30" i="7"/>
  <c r="I30" i="7"/>
  <c r="V30" i="7"/>
  <c r="AC30" i="7"/>
  <c r="A31" i="7"/>
  <c r="F30" i="7"/>
  <c r="AB30" i="7"/>
  <c r="R30" i="7"/>
  <c r="J30" i="7"/>
  <c r="AE30" i="7"/>
  <c r="AD32" i="19" l="1"/>
  <c r="G32" i="19"/>
  <c r="AC32" i="19"/>
  <c r="O32" i="19"/>
  <c r="F32" i="19"/>
  <c r="AB32" i="19"/>
  <c r="E32" i="19"/>
  <c r="D32" i="19"/>
  <c r="V32" i="19"/>
  <c r="R32" i="19"/>
  <c r="S32" i="19"/>
  <c r="Q32" i="19"/>
  <c r="J32" i="19"/>
  <c r="I32" i="19"/>
  <c r="A33" i="19"/>
  <c r="H32" i="19"/>
  <c r="AE32" i="19"/>
  <c r="P32" i="19"/>
  <c r="N32" i="19"/>
  <c r="M32" i="19"/>
  <c r="AE31" i="7"/>
  <c r="O31" i="7"/>
  <c r="V31" i="7"/>
  <c r="I31" i="7"/>
  <c r="AD31" i="7"/>
  <c r="S31" i="7"/>
  <c r="A32" i="7"/>
  <c r="J31" i="7"/>
  <c r="AB31" i="7"/>
  <c r="AC31" i="7"/>
  <c r="R31" i="7"/>
  <c r="F31" i="7"/>
  <c r="R33" i="19" l="1"/>
  <c r="I33" i="19"/>
  <c r="G33" i="19"/>
  <c r="AE33" i="19"/>
  <c r="H33" i="19"/>
  <c r="AD33" i="19"/>
  <c r="AC33" i="19"/>
  <c r="O33" i="19"/>
  <c r="F33" i="19"/>
  <c r="AB33" i="19"/>
  <c r="E33" i="19"/>
  <c r="V33" i="19"/>
  <c r="S33" i="19"/>
  <c r="J33" i="19"/>
  <c r="D33" i="19"/>
  <c r="Q33" i="19"/>
  <c r="P33" i="19"/>
  <c r="N33" i="19"/>
  <c r="M33" i="19"/>
  <c r="AB32" i="7"/>
  <c r="O32" i="7"/>
  <c r="S32" i="7"/>
  <c r="F32" i="7"/>
  <c r="AD32" i="7"/>
  <c r="V32" i="7"/>
  <c r="J32" i="7"/>
  <c r="I32" i="7"/>
  <c r="A33" i="7"/>
  <c r="AE32" i="7"/>
  <c r="R32" i="7"/>
  <c r="AC32" i="7"/>
  <c r="AD33" i="7" l="1"/>
  <c r="AC33" i="7"/>
  <c r="R33" i="7"/>
  <c r="AB33" i="7"/>
  <c r="F33" i="7"/>
  <c r="I33" i="7"/>
  <c r="J33" i="7"/>
  <c r="O33" i="7"/>
  <c r="S33" i="7"/>
  <c r="AE33" i="7"/>
  <c r="V33" i="7"/>
</calcChain>
</file>

<file path=xl/sharedStrings.xml><?xml version="1.0" encoding="utf-8"?>
<sst xmlns="http://schemas.openxmlformats.org/spreadsheetml/2006/main" count="17948" uniqueCount="356">
  <si>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</si>
  <si>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</si>
  <si>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</si>
  <si>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</si>
  <si>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</si>
  <si>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</si>
  <si>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</si>
  <si>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</si>
  <si>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</si>
  <si>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</si>
  <si>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</si>
  <si>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</si>
  <si>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</si>
  <si>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</si>
  <si>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</si>
  <si>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</si>
  <si>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</si>
  <si>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</si>
  <si>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</si>
  <si>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</si>
  <si>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</si>
  <si>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</si>
  <si>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</si>
  <si>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</si>
  <si>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</si>
  <si>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</si>
  <si>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</si>
  <si>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</si>
  <si>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</si>
  <si>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</si>
  <si>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</si>
  <si>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</si>
  <si>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</si>
  <si>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</si>
  <si>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</si>
  <si>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</si>
  <si>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</si>
  <si>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</si>
  <si>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</si>
  <si>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</si>
  <si>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</si>
  <si>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</si>
  <si>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</si>
  <si>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</si>
  <si>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</si>
  <si>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</si>
  <si>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</si>
  <si>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</si>
  <si>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</si>
  <si>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</si>
  <si>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</si>
  <si>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</si>
  <si>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</si>
  <si>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</si>
  <si>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</si>
  <si>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</si>
  <si>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</si>
  <si>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</si>
  <si>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</si>
  <si>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</si>
  <si>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</si>
  <si>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</si>
  <si>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</si>
  <si>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</si>
  <si>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</si>
  <si>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</si>
  <si>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</si>
  <si>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</si>
  <si>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</si>
  <si>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</si>
  <si>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</si>
  <si>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</si>
  <si>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</si>
  <si>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</si>
  <si>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</si>
  <si>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</si>
  <si>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</si>
  <si>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</si>
  <si>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</si>
  <si>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</si>
  <si>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</si>
  <si>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</si>
  <si>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</si>
  <si>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</si>
  <si>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</si>
  <si>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</si>
  <si>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</si>
  <si>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</si>
  <si>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</si>
  <si>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</si>
  <si>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</si>
  <si>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</si>
  <si>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</si>
  <si>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</si>
  <si>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</si>
  <si>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</si>
  <si>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</si>
  <si>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</si>
  <si>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</si>
  <si>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</si>
  <si>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</si>
  <si>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</si>
  <si>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</si>
  <si>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</si>
  <si>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</si>
  <si>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</si>
  <si>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</si>
  <si>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</si>
  <si>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</si>
  <si>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</si>
  <si>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</si>
  <si>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</si>
  <si>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</si>
  <si>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</si>
  <si>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</si>
  <si>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</si>
  <si>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</si>
  <si>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</si>
  <si>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</si>
  <si>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</si>
  <si>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</si>
  <si>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</si>
  <si>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</si>
  <si>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</si>
  <si>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</si>
  <si>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</si>
  <si>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</si>
  <si>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</si>
  <si>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</si>
  <si>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</si>
  <si>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</si>
  <si>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</si>
  <si>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</si>
  <si>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</si>
  <si>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</si>
  <si>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</si>
  <si>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</si>
  <si>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</si>
  <si>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</si>
  <si>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</si>
  <si>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</si>
  <si>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</si>
  <si>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</si>
  <si>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</si>
  <si>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</si>
  <si>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</si>
  <si>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</si>
  <si>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</si>
  <si>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</si>
  <si>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</si>
  <si>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</si>
  <si>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</si>
  <si>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</si>
  <si>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</si>
  <si>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</si>
  <si>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</si>
  <si>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</si>
  <si>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</si>
  <si>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</si>
  <si>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</si>
  <si>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</si>
  <si>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</si>
  <si>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</si>
  <si>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</si>
  <si>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</si>
  <si>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</si>
  <si>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</si>
  <si>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</si>
  <si>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</si>
  <si>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</si>
  <si>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</si>
  <si>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</si>
  <si>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</si>
  <si>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</si>
  <si>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</si>
  <si>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</si>
  <si>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</si>
  <si>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</si>
  <si>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</si>
  <si>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</si>
  <si>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</si>
  <si>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</si>
  <si>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</si>
  <si>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</si>
  <si>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</si>
  <si>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</si>
  <si>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</si>
  <si>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</si>
  <si>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</si>
  <si>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</si>
  <si>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</si>
  <si>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</si>
  <si>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</si>
  <si>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</si>
  <si>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</si>
  <si>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</si>
  <si>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</si>
  <si>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</si>
  <si>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</si>
  <si>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</si>
  <si>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</si>
  <si>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</si>
  <si>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</si>
  <si>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</si>
  <si>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</si>
  <si>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</si>
  <si>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</si>
  <si>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</si>
  <si>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</si>
  <si>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</si>
  <si>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</si>
  <si>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</si>
  <si>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</si>
  <si>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</si>
  <si>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</si>
  <si>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</si>
  <si>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</si>
  <si>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</si>
  <si>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</si>
  <si>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</si>
  <si>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</si>
  <si>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</si>
  <si>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</si>
  <si>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</si>
  <si>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</si>
  <si>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</si>
  <si>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</si>
  <si>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</si>
  <si>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</si>
  <si>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</si>
  <si>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</si>
  <si>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</si>
  <si>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</si>
  <si>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</si>
  <si>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</si>
  <si>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</si>
  <si>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</si>
  <si>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</si>
  <si>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</si>
  <si>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</si>
  <si>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</si>
  <si>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</si>
  <si>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</si>
  <si>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</si>
  <si>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</si>
  <si>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</si>
  <si>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</si>
  <si>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</si>
  <si>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</si>
  <si>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</si>
  <si>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</si>
  <si>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</si>
  <si>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</si>
  <si>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</si>
  <si>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</si>
  <si>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</si>
  <si>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</si>
  <si>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</si>
  <si>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</si>
  <si>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</si>
  <si>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</si>
  <si>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</si>
  <si>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</si>
  <si>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</si>
  <si>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</si>
  <si>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</si>
  <si>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</si>
  <si>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</si>
  <si>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</si>
  <si>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</si>
  <si>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</si>
  <si>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</si>
  <si>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</si>
  <si>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</si>
  <si>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</si>
  <si>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</si>
  <si>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</si>
  <si>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</si>
  <si>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</si>
  <si>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</si>
  <si>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</si>
  <si>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</si>
  <si>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</si>
  <si>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</si>
  <si>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</si>
  <si>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</si>
  <si>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</si>
  <si>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</si>
  <si>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</si>
  <si>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</si>
  <si>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</si>
  <si>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</si>
  <si>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</si>
  <si>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</si>
  <si>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</si>
  <si>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</si>
  <si>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</si>
  <si>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</si>
  <si>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</si>
  <si>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</si>
  <si>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</si>
  <si>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</si>
  <si>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</si>
  <si>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</si>
  <si>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</si>
  <si>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</si>
  <si>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</si>
  <si>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</si>
  <si>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</si>
  <si>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</si>
  <si>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</si>
  <si>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</si>
  <si>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</si>
  <si>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</si>
  <si>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</si>
  <si>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</si>
  <si>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</si>
  <si>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</si>
  <si>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</si>
  <si>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</si>
  <si>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</si>
  <si>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</si>
  <si>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</si>
  <si>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</si>
  <si>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</si>
  <si>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</si>
  <si>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</si>
  <si>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</si>
  <si>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</si>
  <si>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</si>
  <si>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</si>
  <si>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</si>
  <si>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</si>
  <si>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</si>
  <si>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</si>
  <si>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</si>
  <si>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</si>
  <si>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</si>
  <si>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</si>
  <si>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</si>
  <si>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</si>
  <si>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</si>
  <si>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</si>
  <si>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</si>
  <si>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</si>
  <si>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</si>
  <si>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</si>
  <si>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</si>
  <si>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</si>
  <si>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</si>
  <si>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</si>
  <si>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</si>
  <si>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Hoja</t>
  </si>
  <si>
    <t>Descripción</t>
  </si>
  <si>
    <t>ACCIONA emite factura</t>
  </si>
  <si>
    <t>ACCIONA emite nota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</si>
</sst>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7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41" borderId="0" applyNumberFormat="0" applyBorder="0" applyAlignment="0" applyProtection="0"/>
    <xf numFmtId="0" fontId="21" fillId="38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2" fillId="44" borderId="0" applyNumberFormat="0" applyBorder="0" applyAlignment="0" applyProtection="0"/>
    <xf numFmtId="0" fontId="22" fillId="38" borderId="0" applyNumberFormat="0" applyBorder="0" applyAlignment="0" applyProtection="0"/>
    <xf numFmtId="0" fontId="22" fillId="42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38" borderId="0" applyNumberFormat="0" applyBorder="0" applyAlignment="0" applyProtection="0"/>
    <xf numFmtId="0" fontId="18" fillId="0" borderId="0"/>
    <xf numFmtId="0" fontId="23" fillId="45" borderId="0" applyNumberFormat="0" applyBorder="0" applyAlignment="0" applyProtection="0"/>
    <xf numFmtId="0" fontId="24" fillId="46" borderId="18" applyNumberFormat="0" applyAlignment="0" applyProtection="0"/>
    <xf numFmtId="0" fontId="25" fillId="47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4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44" borderId="0" applyNumberFormat="0" applyBorder="0" applyAlignment="0" applyProtection="0"/>
    <xf numFmtId="0" fontId="22" fillId="51" borderId="0" applyNumberFormat="0" applyBorder="0" applyAlignment="0" applyProtection="0"/>
    <xf numFmtId="0" fontId="28" fillId="42" borderId="18" applyNumberFormat="0" applyAlignment="0" applyProtection="0"/>
    <xf numFmtId="171" fontId="18" fillId="0" borderId="0" applyFont="0" applyFill="0" applyBorder="0" applyAlignment="0" applyProtection="0"/>
    <xf numFmtId="0" fontId="29" fillId="52" borderId="0" applyNumberFormat="0" applyBorder="0" applyAlignment="0" applyProtection="0"/>
    <xf numFmtId="0" fontId="30" fillId="42" borderId="0" applyNumberFormat="0" applyBorder="0" applyAlignment="0" applyProtection="0"/>
    <xf numFmtId="0" fontId="17" fillId="39" borderId="21" applyNumberFormat="0" applyFont="0" applyAlignment="0" applyProtection="0"/>
    <xf numFmtId="0" fontId="31" fillId="46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24" fillId="46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28" fillId="42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5" applyNumberFormat="0" applyAlignment="0" applyProtection="0"/>
    <xf numFmtId="0" fontId="12" fillId="10" borderId="6" applyNumberFormat="0" applyAlignment="0" applyProtection="0"/>
    <xf numFmtId="0" fontId="13" fillId="10" borderId="5" applyNumberFormat="0" applyAlignment="0" applyProtection="0"/>
    <xf numFmtId="0" fontId="14" fillId="0" borderId="7" applyNumberFormat="0" applyFill="0" applyAlignment="0" applyProtection="0"/>
    <xf numFmtId="0" fontId="3" fillId="11" borderId="8" applyNumberFormat="0" applyAlignment="0" applyProtection="0"/>
    <xf numFmtId="0" fontId="15" fillId="0" borderId="0" applyNumberFormat="0" applyFill="0" applyBorder="0" applyAlignment="0" applyProtection="0"/>
    <xf numFmtId="0" fontId="2" fillId="12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" fillId="36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2" borderId="9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18" fillId="0" borderId="0"/>
    <xf numFmtId="0" fontId="17" fillId="0" borderId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24" fillId="46" borderId="36" applyNumberFormat="0" applyAlignment="0" applyProtection="0"/>
    <xf numFmtId="0" fontId="40" fillId="41" borderId="36" applyNumberFormat="0" applyAlignment="0" applyProtection="0"/>
    <xf numFmtId="0" fontId="24" fillId="46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28" fillId="42" borderId="36" applyNumberFormat="0" applyAlignment="0" applyProtection="0"/>
    <xf numFmtId="0" fontId="43" fillId="37" borderId="36" applyNumberFormat="0" applyAlignment="0" applyProtection="0"/>
    <xf numFmtId="0" fontId="28" fillId="42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5" borderId="0">
      <alignment horizontal="left"/>
    </xf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1" fillId="4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3" fontId="58" fillId="53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1" fillId="52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1" fillId="40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1" fillId="39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2" fillId="40" borderId="0" applyNumberFormat="0" applyBorder="0" applyAlignment="0" applyProtection="0"/>
    <xf numFmtId="0" fontId="22" fillId="50" borderId="0" applyNumberFormat="0" applyBorder="0" applyAlignment="0" applyProtection="0"/>
    <xf numFmtId="0" fontId="22" fillId="58" borderId="0" applyNumberFormat="0" applyBorder="0" applyAlignment="0" applyProtection="0"/>
    <xf numFmtId="0" fontId="22" fillId="52" borderId="0" applyNumberFormat="0" applyBorder="0" applyAlignment="0" applyProtection="0"/>
    <xf numFmtId="0" fontId="22" fillId="40" borderId="0" applyNumberFormat="0" applyBorder="0" applyAlignment="0" applyProtection="0"/>
    <xf numFmtId="0" fontId="59" fillId="53" borderId="0">
      <alignment horizontal="left"/>
    </xf>
    <xf numFmtId="0" fontId="23" fillId="40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8" borderId="0" applyNumberFormat="0" applyBorder="0" applyAlignment="0" applyProtection="0"/>
    <xf numFmtId="0" fontId="22" fillId="66" borderId="0" applyNumberFormat="0" applyBorder="0" applyAlignment="0" applyProtection="0"/>
    <xf numFmtId="0" fontId="22" fillId="48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6" borderId="0" applyNumberFormat="0" applyBorder="0" applyAlignment="0" applyProtection="0"/>
    <xf numFmtId="3" fontId="61" fillId="65" borderId="17">
      <alignment horizontal="center"/>
    </xf>
    <xf numFmtId="0" fontId="62" fillId="4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7" borderId="0">
      <alignment horizontal="left"/>
    </xf>
    <xf numFmtId="3" fontId="57" fillId="67" borderId="0">
      <alignment horizontal="left"/>
    </xf>
    <xf numFmtId="3" fontId="64" fillId="67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4" borderId="17">
      <alignment horizontal="center" vertical="center"/>
    </xf>
    <xf numFmtId="3" fontId="68" fillId="67" borderId="0">
      <alignment horizontal="left"/>
    </xf>
    <xf numFmtId="3" fontId="58" fillId="68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6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5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5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5" borderId="43" xfId="0" applyFont="1" applyFill="1" applyBorder="1" applyAlignment="1">
      <alignment vertical="center" wrapText="1"/>
    </xf>
    <xf numFmtId="17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46" xfId="0" applyFont="1" applyFill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3" fillId="69" borderId="44" xfId="0" applyFont="1" applyFill="1" applyBorder="1" applyAlignment="1">
      <alignment horizontal="center"/>
    </xf>
    <xf numFmtId="0" fontId="3" fillId="69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5" borderId="47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3" fillId="5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3" sqref="A1:B3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55"/>
  </cols>
  <sheetData>
    <row r="1" spans="1:2" x14ac:dyDescent="0.25">
      <c r="A1" s="56" t="s">
        <v>352</v>
      </c>
      <c r="B1" s="56" t="s">
        <v>353</v>
      </c>
    </row>
    <row r="2" spans="1:2" x14ac:dyDescent="0.25">
      <c r="A2" s="55" t="s">
        <v>289</v>
      </c>
      <c r="B2" s="55" t="s">
        <v>350</v>
      </c>
    </row>
    <row r="3" spans="1:2" x14ac:dyDescent="0.25">
      <c r="A3" s="55" t="s">
        <v>290</v>
      </c>
      <c r="B3" s="55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zoomScale="85" zoomScaleNormal="85" workbookViewId="0">
      <selection activeCell="D5" sqref="D5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4257812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4" t="s">
        <v>31</v>
      </c>
      <c r="B1" s="34" t="s">
        <v>2</v>
      </c>
      <c r="C1" s="34" t="s">
        <v>3</v>
      </c>
      <c r="D1" s="34" t="s">
        <v>71</v>
      </c>
      <c r="E1" s="34" t="s">
        <v>290</v>
      </c>
      <c r="F1" s="34" t="s">
        <v>292</v>
      </c>
      <c r="G1" s="34" t="s">
        <v>293</v>
      </c>
      <c r="H1" s="34" t="s">
        <v>289</v>
      </c>
      <c r="I1" s="34" t="s">
        <v>291</v>
      </c>
      <c r="J1" s="34" t="s">
        <v>329</v>
      </c>
      <c r="K1" s="34" t="s">
        <v>330</v>
      </c>
    </row>
    <row r="2" spans="1:11" x14ac:dyDescent="0.25">
      <c r="A2">
        <v>1</v>
      </c>
      <c r="B2">
        <v>2016</v>
      </c>
      <c r="C2">
        <v>1</v>
      </c>
      <c r="D2" t="s">
        <v>107</v>
      </c>
      <c r="E2">
        <v>0</v>
      </c>
      <c r="F2">
        <v>1</v>
      </c>
      <c r="G2">
        <v>0</v>
      </c>
      <c r="H2">
        <v>1</v>
      </c>
      <c r="I2">
        <v>0</v>
      </c>
      <c r="J2" t="s">
        <v>292</v>
      </c>
      <c r="K2" t="s">
        <v>289</v>
      </c>
    </row>
    <row r="3" spans="1:11" x14ac:dyDescent="0.25">
      <c r="A3">
        <v>2</v>
      </c>
      <c r="B3">
        <v>2016</v>
      </c>
      <c r="C3">
        <v>2</v>
      </c>
      <c r="D3" t="s">
        <v>110</v>
      </c>
      <c r="E3">
        <v>0</v>
      </c>
      <c r="F3">
        <v>1</v>
      </c>
      <c r="G3">
        <v>0</v>
      </c>
      <c r="H3">
        <v>1</v>
      </c>
      <c r="I3">
        <v>0</v>
      </c>
      <c r="J3" t="s">
        <v>292</v>
      </c>
      <c r="K3" t="s">
        <v>289</v>
      </c>
    </row>
    <row r="4" spans="1:11" x14ac:dyDescent="0.25">
      <c r="A4">
        <v>3</v>
      </c>
      <c r="B4">
        <v>2016</v>
      </c>
      <c r="C4">
        <v>3</v>
      </c>
      <c r="D4" t="s">
        <v>105</v>
      </c>
      <c r="E4">
        <v>0</v>
      </c>
      <c r="F4">
        <v>1</v>
      </c>
      <c r="G4">
        <v>0</v>
      </c>
      <c r="H4">
        <v>1</v>
      </c>
      <c r="I4">
        <v>0</v>
      </c>
      <c r="J4" t="s">
        <v>292</v>
      </c>
      <c r="K4" t="s">
        <v>289</v>
      </c>
    </row>
    <row r="5" spans="1:11" x14ac:dyDescent="0.25">
      <c r="A5">
        <v>4</v>
      </c>
      <c r="B5">
        <v>2016</v>
      </c>
      <c r="C5">
        <v>4</v>
      </c>
      <c r="D5" t="s">
        <v>99</v>
      </c>
      <c r="E5">
        <v>0</v>
      </c>
      <c r="F5">
        <v>1</v>
      </c>
      <c r="G5">
        <v>0</v>
      </c>
      <c r="H5">
        <v>1</v>
      </c>
      <c r="I5">
        <v>0</v>
      </c>
      <c r="J5" t="s">
        <v>292</v>
      </c>
      <c r="K5" t="s">
        <v>289</v>
      </c>
    </row>
    <row r="6" spans="1:11" x14ac:dyDescent="0.25">
      <c r="A6">
        <v>5</v>
      </c>
      <c r="B6">
        <v>2016</v>
      </c>
      <c r="C6">
        <v>5</v>
      </c>
      <c r="D6" t="s">
        <v>134</v>
      </c>
      <c r="E6">
        <v>0</v>
      </c>
      <c r="F6">
        <v>1</v>
      </c>
      <c r="G6">
        <v>0</v>
      </c>
      <c r="H6">
        <v>1</v>
      </c>
      <c r="I6">
        <v>0</v>
      </c>
      <c r="J6" t="s">
        <v>292</v>
      </c>
      <c r="K6" t="s">
        <v>289</v>
      </c>
    </row>
    <row r="7" spans="1:11" x14ac:dyDescent="0.25">
      <c r="A7">
        <v>6</v>
      </c>
      <c r="B7">
        <v>2016</v>
      </c>
      <c r="C7">
        <v>6</v>
      </c>
      <c r="D7" t="s">
        <v>136</v>
      </c>
      <c r="E7">
        <v>0</v>
      </c>
      <c r="F7">
        <v>1</v>
      </c>
      <c r="G7">
        <v>0</v>
      </c>
      <c r="H7">
        <v>1</v>
      </c>
      <c r="I7">
        <v>0</v>
      </c>
      <c r="J7" t="s">
        <v>292</v>
      </c>
      <c r="K7" t="s">
        <v>289</v>
      </c>
    </row>
    <row r="8" spans="1:11" x14ac:dyDescent="0.25">
      <c r="A8">
        <v>7</v>
      </c>
      <c r="B8">
        <v>2016</v>
      </c>
      <c r="C8">
        <v>7</v>
      </c>
      <c r="D8" t="s">
        <v>135</v>
      </c>
      <c r="E8">
        <v>0</v>
      </c>
      <c r="F8">
        <v>1</v>
      </c>
      <c r="G8">
        <v>0</v>
      </c>
      <c r="H8">
        <v>1</v>
      </c>
      <c r="I8">
        <v>0</v>
      </c>
      <c r="J8" t="s">
        <v>292</v>
      </c>
      <c r="K8" t="s">
        <v>289</v>
      </c>
    </row>
    <row r="9" spans="1:11" x14ac:dyDescent="0.25">
      <c r="A9">
        <v>8</v>
      </c>
      <c r="B9">
        <v>2016</v>
      </c>
      <c r="C9">
        <v>8</v>
      </c>
      <c r="D9" t="s">
        <v>129</v>
      </c>
      <c r="E9">
        <v>0</v>
      </c>
      <c r="F9">
        <v>1</v>
      </c>
      <c r="G9">
        <v>0</v>
      </c>
      <c r="H9">
        <v>1</v>
      </c>
      <c r="I9">
        <v>0</v>
      </c>
      <c r="J9" t="s">
        <v>292</v>
      </c>
      <c r="K9" t="s">
        <v>289</v>
      </c>
    </row>
    <row r="10" spans="1:11" x14ac:dyDescent="0.25">
      <c r="A10">
        <v>9</v>
      </c>
      <c r="B10">
        <v>2016</v>
      </c>
      <c r="C10">
        <v>9</v>
      </c>
      <c r="D10" t="s">
        <v>131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292</v>
      </c>
      <c r="K10" t="s">
        <v>289</v>
      </c>
    </row>
    <row r="11" spans="1:11" x14ac:dyDescent="0.25">
      <c r="A11">
        <v>10</v>
      </c>
      <c r="B11">
        <v>2016</v>
      </c>
      <c r="C11">
        <v>10</v>
      </c>
      <c r="D11" t="s">
        <v>133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292</v>
      </c>
      <c r="K11" t="s">
        <v>289</v>
      </c>
    </row>
    <row r="12" spans="1:11" x14ac:dyDescent="0.25">
      <c r="A12">
        <v>11</v>
      </c>
      <c r="B12">
        <v>2016</v>
      </c>
      <c r="C12">
        <v>11</v>
      </c>
      <c r="D12" t="s">
        <v>130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292</v>
      </c>
      <c r="K12" t="s">
        <v>289</v>
      </c>
    </row>
    <row r="13" spans="1:11" x14ac:dyDescent="0.25">
      <c r="A13">
        <v>12</v>
      </c>
      <c r="B13">
        <v>2016</v>
      </c>
      <c r="C13">
        <v>12</v>
      </c>
      <c r="D13" t="s">
        <v>132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292</v>
      </c>
      <c r="K13" t="s">
        <v>289</v>
      </c>
    </row>
    <row r="14" spans="1:11" x14ac:dyDescent="0.25">
      <c r="A14">
        <v>13</v>
      </c>
      <c r="B14">
        <v>2017</v>
      </c>
      <c r="C14">
        <v>1</v>
      </c>
      <c r="D14" t="s">
        <v>122</v>
      </c>
      <c r="E14">
        <v>0</v>
      </c>
      <c r="F14">
        <v>1</v>
      </c>
      <c r="G14">
        <v>0</v>
      </c>
      <c r="H14">
        <v>1</v>
      </c>
      <c r="I14">
        <v>0</v>
      </c>
      <c r="J14" t="s">
        <v>292</v>
      </c>
      <c r="K14" t="s">
        <v>289</v>
      </c>
    </row>
    <row r="15" spans="1:11" x14ac:dyDescent="0.25">
      <c r="A15">
        <v>14</v>
      </c>
      <c r="B15">
        <v>2017</v>
      </c>
      <c r="C15">
        <v>2</v>
      </c>
      <c r="D15" t="s">
        <v>124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292</v>
      </c>
      <c r="K15" t="s">
        <v>289</v>
      </c>
    </row>
    <row r="16" spans="1:11" x14ac:dyDescent="0.25">
      <c r="A16">
        <v>15</v>
      </c>
      <c r="B16">
        <v>2017</v>
      </c>
      <c r="C16">
        <v>3</v>
      </c>
      <c r="D16" t="s">
        <v>125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292</v>
      </c>
      <c r="K16" t="s">
        <v>289</v>
      </c>
    </row>
    <row r="17" spans="1:11" x14ac:dyDescent="0.25">
      <c r="A17">
        <v>16</v>
      </c>
      <c r="B17">
        <v>2017</v>
      </c>
      <c r="C17">
        <v>4</v>
      </c>
      <c r="D17" t="s">
        <v>141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292</v>
      </c>
      <c r="K17" t="s">
        <v>289</v>
      </c>
    </row>
    <row r="18" spans="1:11" x14ac:dyDescent="0.25">
      <c r="A18">
        <v>17</v>
      </c>
      <c r="B18">
        <v>2017</v>
      </c>
      <c r="C18">
        <v>5</v>
      </c>
      <c r="D18" t="s">
        <v>144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292</v>
      </c>
      <c r="K18" t="s">
        <v>289</v>
      </c>
    </row>
    <row r="19" spans="1:11" x14ac:dyDescent="0.25">
      <c r="A19">
        <v>18</v>
      </c>
      <c r="B19">
        <v>2017</v>
      </c>
      <c r="C19">
        <v>6</v>
      </c>
      <c r="D19" t="s">
        <v>143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292</v>
      </c>
      <c r="K19" t="s">
        <v>289</v>
      </c>
    </row>
    <row r="20" spans="1:11" x14ac:dyDescent="0.25">
      <c r="A20">
        <v>19</v>
      </c>
      <c r="B20">
        <v>2017</v>
      </c>
      <c r="C20">
        <v>7</v>
      </c>
      <c r="D20" t="s">
        <v>142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292</v>
      </c>
      <c r="K20" t="s">
        <v>289</v>
      </c>
    </row>
    <row r="21" spans="1:11" x14ac:dyDescent="0.25">
      <c r="A21">
        <v>20</v>
      </c>
      <c r="B21">
        <v>2017</v>
      </c>
      <c r="C21">
        <v>8</v>
      </c>
      <c r="D21" t="s">
        <v>137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292</v>
      </c>
      <c r="K21" t="s">
        <v>289</v>
      </c>
    </row>
    <row r="22" spans="1:11" x14ac:dyDescent="0.25">
      <c r="A22">
        <v>21</v>
      </c>
      <c r="B22">
        <v>2017</v>
      </c>
      <c r="C22">
        <v>9</v>
      </c>
      <c r="D22" t="s">
        <v>121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292</v>
      </c>
      <c r="K22" t="s">
        <v>289</v>
      </c>
    </row>
    <row r="23" spans="1:11" x14ac:dyDescent="0.25">
      <c r="A23">
        <v>22</v>
      </c>
      <c r="B23">
        <v>2017</v>
      </c>
      <c r="C23">
        <v>10</v>
      </c>
      <c r="D23" t="s">
        <v>127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292</v>
      </c>
      <c r="K23" t="s">
        <v>289</v>
      </c>
    </row>
    <row r="24" spans="1:11" x14ac:dyDescent="0.25">
      <c r="A24">
        <v>23</v>
      </c>
      <c r="B24">
        <v>2017</v>
      </c>
      <c r="C24">
        <v>11</v>
      </c>
      <c r="D24" t="s">
        <v>128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292</v>
      </c>
      <c r="K24" t="s">
        <v>289</v>
      </c>
    </row>
    <row r="25" spans="1:11" x14ac:dyDescent="0.25">
      <c r="A25">
        <v>24</v>
      </c>
      <c r="B25">
        <v>2017</v>
      </c>
      <c r="C25">
        <v>12</v>
      </c>
      <c r="D25" t="s">
        <v>138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292</v>
      </c>
      <c r="K25" t="s">
        <v>289</v>
      </c>
    </row>
    <row r="26" spans="1:11" x14ac:dyDescent="0.25">
      <c r="A26">
        <v>25</v>
      </c>
      <c r="B26">
        <v>2018</v>
      </c>
      <c r="C26">
        <v>1</v>
      </c>
      <c r="D26" t="s">
        <v>119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292</v>
      </c>
      <c r="K26" t="s">
        <v>289</v>
      </c>
    </row>
    <row r="27" spans="1:11" x14ac:dyDescent="0.25">
      <c r="A27">
        <v>26</v>
      </c>
      <c r="B27">
        <v>2018</v>
      </c>
      <c r="C27">
        <v>2</v>
      </c>
      <c r="D27" t="s">
        <v>117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292</v>
      </c>
      <c r="K27" t="s">
        <v>289</v>
      </c>
    </row>
    <row r="28" spans="1:11" x14ac:dyDescent="0.25">
      <c r="A28">
        <v>27</v>
      </c>
      <c r="B28">
        <v>2018</v>
      </c>
      <c r="C28">
        <v>3</v>
      </c>
      <c r="D28" t="s">
        <v>118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292</v>
      </c>
      <c r="K28" t="s">
        <v>289</v>
      </c>
    </row>
    <row r="29" spans="1:11" x14ac:dyDescent="0.25">
      <c r="A29">
        <v>28</v>
      </c>
      <c r="B29">
        <v>2018</v>
      </c>
      <c r="C29">
        <v>4</v>
      </c>
      <c r="D29" t="s">
        <v>112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292</v>
      </c>
      <c r="K29" t="s">
        <v>289</v>
      </c>
    </row>
    <row r="30" spans="1:11" x14ac:dyDescent="0.25">
      <c r="A30">
        <v>29</v>
      </c>
      <c r="B30">
        <v>2018</v>
      </c>
      <c r="C30">
        <v>5</v>
      </c>
      <c r="D30" t="s">
        <v>120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292</v>
      </c>
      <c r="K30" t="s">
        <v>289</v>
      </c>
    </row>
    <row r="31" spans="1:11" x14ac:dyDescent="0.25">
      <c r="A31">
        <v>30</v>
      </c>
      <c r="B31">
        <v>2018</v>
      </c>
      <c r="C31">
        <v>6</v>
      </c>
      <c r="D31" t="s">
        <v>126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292</v>
      </c>
      <c r="K31" t="s">
        <v>289</v>
      </c>
    </row>
    <row r="32" spans="1:11" x14ac:dyDescent="0.25">
      <c r="A32">
        <v>31</v>
      </c>
      <c r="B32">
        <v>2018</v>
      </c>
      <c r="C32">
        <v>7</v>
      </c>
      <c r="D32" t="s">
        <v>139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292</v>
      </c>
      <c r="K32" t="s">
        <v>289</v>
      </c>
    </row>
    <row r="33" spans="1:11" x14ac:dyDescent="0.25">
      <c r="A33">
        <v>32</v>
      </c>
      <c r="B33">
        <v>2018</v>
      </c>
      <c r="C33">
        <v>8</v>
      </c>
      <c r="D33" t="s">
        <v>140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292</v>
      </c>
      <c r="K33" t="s">
        <v>289</v>
      </c>
    </row>
    <row r="34" spans="1:11" x14ac:dyDescent="0.25">
      <c r="A34">
        <v>33</v>
      </c>
      <c r="B34">
        <v>2018</v>
      </c>
      <c r="C34">
        <v>9</v>
      </c>
      <c r="D34" t="s">
        <v>113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290</v>
      </c>
      <c r="K34" t="s">
        <v>289</v>
      </c>
    </row>
    <row r="35" spans="1:11" x14ac:dyDescent="0.25">
      <c r="A35">
        <v>34</v>
      </c>
      <c r="B35">
        <v>2018</v>
      </c>
      <c r="C35">
        <v>10</v>
      </c>
      <c r="D35" t="s">
        <v>114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290</v>
      </c>
      <c r="K35" t="s">
        <v>289</v>
      </c>
    </row>
    <row r="36" spans="1:11" x14ac:dyDescent="0.25">
      <c r="A36">
        <v>35</v>
      </c>
      <c r="B36">
        <v>2018</v>
      </c>
      <c r="C36">
        <v>11</v>
      </c>
      <c r="D36" t="s">
        <v>115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290</v>
      </c>
      <c r="K36" t="s">
        <v>289</v>
      </c>
    </row>
    <row r="37" spans="1:11" x14ac:dyDescent="0.25">
      <c r="A37">
        <v>36</v>
      </c>
      <c r="B37">
        <v>2018</v>
      </c>
      <c r="C37">
        <v>12</v>
      </c>
      <c r="D37" t="s">
        <v>116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290</v>
      </c>
      <c r="K37" t="s">
        <v>289</v>
      </c>
    </row>
    <row r="38" spans="1:11" x14ac:dyDescent="0.25">
      <c r="A38">
        <v>37</v>
      </c>
      <c r="B38">
        <v>2019</v>
      </c>
      <c r="C38">
        <v>1</v>
      </c>
      <c r="D38" t="s">
        <v>145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290</v>
      </c>
      <c r="K38" t="s">
        <v>289</v>
      </c>
    </row>
    <row r="39" spans="1:11" x14ac:dyDescent="0.25">
      <c r="A39">
        <v>38</v>
      </c>
      <c r="B39">
        <v>2019</v>
      </c>
      <c r="C39">
        <v>2</v>
      </c>
      <c r="D39" t="s">
        <v>147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290</v>
      </c>
      <c r="K39" t="s">
        <v>289</v>
      </c>
    </row>
    <row r="40" spans="1:11" x14ac:dyDescent="0.25">
      <c r="A40">
        <v>39</v>
      </c>
      <c r="B40">
        <v>2019</v>
      </c>
      <c r="C40">
        <v>3</v>
      </c>
      <c r="D40" t="s">
        <v>149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290</v>
      </c>
      <c r="K40" t="s">
        <v>289</v>
      </c>
    </row>
    <row r="41" spans="1:11" x14ac:dyDescent="0.25">
      <c r="A41">
        <v>40</v>
      </c>
      <c r="B41">
        <v>2019</v>
      </c>
      <c r="C41">
        <v>4</v>
      </c>
      <c r="D41" t="s">
        <v>150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290</v>
      </c>
      <c r="K41" t="s">
        <v>289</v>
      </c>
    </row>
    <row r="42" spans="1:11" x14ac:dyDescent="0.25">
      <c r="A42">
        <v>41</v>
      </c>
      <c r="B42">
        <v>2019</v>
      </c>
      <c r="C42">
        <v>5</v>
      </c>
      <c r="D42" t="s">
        <v>152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290</v>
      </c>
      <c r="K42" t="s">
        <v>289</v>
      </c>
    </row>
    <row r="43" spans="1:11" x14ac:dyDescent="0.25">
      <c r="A43">
        <v>42</v>
      </c>
      <c r="B43">
        <v>2019</v>
      </c>
      <c r="C43">
        <v>6</v>
      </c>
      <c r="D43" t="s">
        <v>153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290</v>
      </c>
      <c r="K43" t="s">
        <v>289</v>
      </c>
    </row>
    <row r="44" spans="1:11" x14ac:dyDescent="0.25">
      <c r="A44">
        <v>43</v>
      </c>
      <c r="B44">
        <v>2019</v>
      </c>
      <c r="C44">
        <v>7</v>
      </c>
      <c r="D44" t="s">
        <v>146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290</v>
      </c>
      <c r="K44" t="s">
        <v>289</v>
      </c>
    </row>
    <row r="45" spans="1:11" x14ac:dyDescent="0.25">
      <c r="A45">
        <v>44</v>
      </c>
      <c r="B45">
        <v>2019</v>
      </c>
      <c r="C45">
        <v>8</v>
      </c>
      <c r="D45" t="s">
        <v>151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290</v>
      </c>
      <c r="K45" t="s">
        <v>289</v>
      </c>
    </row>
    <row r="46" spans="1:11" x14ac:dyDescent="0.25">
      <c r="A46">
        <v>45</v>
      </c>
      <c r="B46">
        <v>2019</v>
      </c>
      <c r="C46">
        <v>9</v>
      </c>
      <c r="D46" t="s">
        <v>154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290</v>
      </c>
      <c r="K46" t="s">
        <v>289</v>
      </c>
    </row>
    <row r="47" spans="1:11" x14ac:dyDescent="0.25">
      <c r="A47">
        <v>46</v>
      </c>
      <c r="B47">
        <v>2019</v>
      </c>
      <c r="C47">
        <v>10</v>
      </c>
      <c r="D47" t="s">
        <v>156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290</v>
      </c>
      <c r="K47" t="s">
        <v>289</v>
      </c>
    </row>
    <row r="48" spans="1:11" x14ac:dyDescent="0.25">
      <c r="A48">
        <v>47</v>
      </c>
      <c r="B48">
        <v>2019</v>
      </c>
      <c r="C48">
        <v>11</v>
      </c>
      <c r="D48" t="s">
        <v>155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290</v>
      </c>
      <c r="K48" t="s">
        <v>289</v>
      </c>
    </row>
    <row r="49" spans="1:11" x14ac:dyDescent="0.25">
      <c r="A49">
        <v>48</v>
      </c>
      <c r="B49">
        <v>2019</v>
      </c>
      <c r="C49">
        <v>12</v>
      </c>
      <c r="D49" t="s">
        <v>148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290</v>
      </c>
      <c r="K49" t="s">
        <v>289</v>
      </c>
    </row>
    <row r="50" spans="1:11" x14ac:dyDescent="0.25">
      <c r="A50">
        <v>49</v>
      </c>
      <c r="B50">
        <v>2020</v>
      </c>
      <c r="C50">
        <v>1</v>
      </c>
      <c r="D50" t="s">
        <v>197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290</v>
      </c>
      <c r="K50" t="s">
        <v>289</v>
      </c>
    </row>
    <row r="51" spans="1:11" x14ac:dyDescent="0.25">
      <c r="A51">
        <v>50</v>
      </c>
      <c r="B51">
        <v>2020</v>
      </c>
      <c r="C51">
        <v>2</v>
      </c>
      <c r="D51" t="s">
        <v>201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290</v>
      </c>
      <c r="K51" t="s">
        <v>289</v>
      </c>
    </row>
    <row r="52" spans="1:11" x14ac:dyDescent="0.25">
      <c r="A52">
        <v>51</v>
      </c>
      <c r="B52">
        <v>2020</v>
      </c>
      <c r="C52">
        <v>3</v>
      </c>
      <c r="D52" t="s">
        <v>205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290</v>
      </c>
      <c r="K52" t="s">
        <v>289</v>
      </c>
    </row>
    <row r="53" spans="1:11" x14ac:dyDescent="0.25">
      <c r="A53">
        <v>52</v>
      </c>
      <c r="B53">
        <v>2020</v>
      </c>
      <c r="C53">
        <v>4</v>
      </c>
      <c r="D53" t="s">
        <v>209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290</v>
      </c>
      <c r="K53" t="s">
        <v>289</v>
      </c>
    </row>
    <row r="54" spans="1:11" x14ac:dyDescent="0.25">
      <c r="A54">
        <v>53</v>
      </c>
      <c r="B54">
        <v>2020</v>
      </c>
      <c r="C54">
        <v>5</v>
      </c>
      <c r="D54" t="s">
        <v>216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290</v>
      </c>
      <c r="K54" t="s">
        <v>289</v>
      </c>
    </row>
    <row r="55" spans="1:11" x14ac:dyDescent="0.25">
      <c r="A55">
        <v>54</v>
      </c>
      <c r="B55">
        <v>2020</v>
      </c>
      <c r="C55">
        <v>6</v>
      </c>
      <c r="D55" t="s">
        <v>223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290</v>
      </c>
      <c r="K55" t="s">
        <v>289</v>
      </c>
    </row>
    <row r="56" spans="1:11" x14ac:dyDescent="0.25">
      <c r="A56">
        <v>55</v>
      </c>
      <c r="B56">
        <v>2020</v>
      </c>
      <c r="C56">
        <v>7</v>
      </c>
      <c r="D56" t="s">
        <v>230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290</v>
      </c>
      <c r="K56" t="s">
        <v>289</v>
      </c>
    </row>
    <row r="57" spans="1:11" x14ac:dyDescent="0.25">
      <c r="A57">
        <v>56</v>
      </c>
      <c r="B57">
        <v>2020</v>
      </c>
      <c r="C57">
        <v>8</v>
      </c>
      <c r="D57" t="s">
        <v>237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290</v>
      </c>
      <c r="K57" t="s">
        <v>289</v>
      </c>
    </row>
    <row r="58" spans="1:11" x14ac:dyDescent="0.25">
      <c r="A58">
        <v>57</v>
      </c>
      <c r="B58">
        <v>2020</v>
      </c>
      <c r="C58">
        <v>9</v>
      </c>
      <c r="D58" t="s">
        <v>244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290</v>
      </c>
      <c r="K58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7"/>
  <sheetViews>
    <sheetView showGridLines="0" zoomScale="85" zoomScaleNormal="85" workbookViewId="0">
      <selection activeCell="A11" sqref="A11"/>
    </sheetView>
  </sheetViews>
  <sheetFormatPr baseColWidth="10" defaultRowHeight="15" x14ac:dyDescent="0.25"/>
  <cols>
    <col min="1" max="1" width="12.28515625" style="38" bestFit="1" customWidth="1"/>
    <col min="2" max="2" width="19" style="5" bestFit="1" customWidth="1"/>
    <col min="3" max="3" width="16.28515625" style="5" bestFit="1" customWidth="1"/>
    <col min="4" max="4" width="54.140625" customWidth="1"/>
    <col min="5" max="5" width="53.5703125" customWidth="1"/>
    <col min="6" max="6" width="20.140625" bestFit="1" customWidth="1"/>
    <col min="7" max="7" width="53.85546875" customWidth="1"/>
    <col min="8" max="8" width="54.57031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55.5703125" customWidth="1"/>
    <col min="15" max="15" width="20.140625" bestFit="1" customWidth="1"/>
    <col min="16" max="16" width="5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0" t="s">
        <v>96</v>
      </c>
      <c r="W2"/>
      <c r="X2"/>
      <c r="Y2"/>
    </row>
    <row r="3" spans="1:31" x14ac:dyDescent="0.25">
      <c r="A3" s="7" t="s">
        <v>61</v>
      </c>
      <c r="B3" s="31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2" t="s">
        <v>98</v>
      </c>
      <c r="W5"/>
      <c r="X5"/>
      <c r="Y5"/>
    </row>
    <row r="7" spans="1:31" ht="14.45" customHeight="1" x14ac:dyDescent="0.25">
      <c r="C7" s="57" t="s">
        <v>294</v>
      </c>
      <c r="D7" s="57"/>
      <c r="E7" s="57"/>
      <c r="F7" s="57"/>
      <c r="G7" s="57"/>
      <c r="H7" s="57"/>
      <c r="I7" s="57"/>
      <c r="J7" s="58"/>
      <c r="L7" s="59" t="s">
        <v>295</v>
      </c>
      <c r="M7" s="59"/>
      <c r="N7" s="59"/>
      <c r="O7" s="59"/>
      <c r="P7" s="59"/>
      <c r="Q7" s="59"/>
      <c r="R7" s="59"/>
      <c r="S7" s="59"/>
      <c r="U7" s="60" t="s">
        <v>297</v>
      </c>
      <c r="V7" s="61"/>
      <c r="W7" s="61"/>
      <c r="X7" s="61"/>
      <c r="Y7" s="61"/>
      <c r="Z7" s="61"/>
      <c r="AA7" s="61"/>
      <c r="AB7" s="61"/>
      <c r="AC7" s="61"/>
      <c r="AD7" s="61"/>
      <c r="AE7" s="62"/>
    </row>
    <row r="8" spans="1:31" s="3" customFormat="1" ht="30" x14ac:dyDescent="0.25">
      <c r="A8" s="33" t="s">
        <v>299</v>
      </c>
      <c r="B8" s="33" t="s">
        <v>298</v>
      </c>
      <c r="C8" s="33" t="s">
        <v>296</v>
      </c>
      <c r="D8" s="22" t="s">
        <v>62</v>
      </c>
      <c r="E8" s="23" t="s">
        <v>68</v>
      </c>
      <c r="F8" s="22" t="s">
        <v>64</v>
      </c>
      <c r="G8" s="22" t="s">
        <v>66</v>
      </c>
      <c r="H8" s="23" t="s">
        <v>69</v>
      </c>
      <c r="I8" s="22" t="s">
        <v>67</v>
      </c>
      <c r="J8" s="24" t="s">
        <v>63</v>
      </c>
      <c r="L8" s="33" t="s">
        <v>296</v>
      </c>
      <c r="M8" s="22" t="s">
        <v>62</v>
      </c>
      <c r="N8" s="23" t="s">
        <v>68</v>
      </c>
      <c r="O8" s="22" t="s">
        <v>64</v>
      </c>
      <c r="P8" s="22" t="s">
        <v>66</v>
      </c>
      <c r="Q8" s="23" t="s">
        <v>69</v>
      </c>
      <c r="R8" s="22" t="s">
        <v>67</v>
      </c>
      <c r="S8" s="24" t="s">
        <v>63</v>
      </c>
      <c r="U8" s="16" t="s">
        <v>3</v>
      </c>
      <c r="V8" s="48" t="s">
        <v>319</v>
      </c>
      <c r="W8" s="15" t="s">
        <v>320</v>
      </c>
      <c r="X8" s="16" t="s">
        <v>321</v>
      </c>
      <c r="Y8" s="15" t="s">
        <v>322</v>
      </c>
      <c r="Z8" s="16" t="s">
        <v>323</v>
      </c>
      <c r="AA8" s="15" t="s">
        <v>324</v>
      </c>
      <c r="AB8" s="16" t="s">
        <v>325</v>
      </c>
      <c r="AC8" s="16" t="s">
        <v>326</v>
      </c>
      <c r="AD8" s="15" t="s">
        <v>327</v>
      </c>
      <c r="AE8" s="14" t="s">
        <v>328</v>
      </c>
    </row>
    <row r="9" spans="1:31" x14ac:dyDescent="0.25">
      <c r="A9" s="39">
        <f>9</f>
        <v>9</v>
      </c>
      <c r="B9" s="36">
        <v>43344</v>
      </c>
      <c r="C9" s="50" t="s">
        <v>290</v>
      </c>
      <c r="D9" s="10" t="str">
        <f t="shared" ref="D9:D33" si="0">CONCATENATE("SUMIF(",IF(C9="FACT_EMITIDA","SIGGE_E",C9),"!B:B,ReliquidacionEFACT!B",A9,",",IF(C9="FACT_EMITIDA","SIGGE_E",C9),"!S:S)")</f>
        <v>SUMIF(SIGGE_E!B:B,ReliquidacionEFACT!B9,SIGGE_E!S:S)</v>
      </c>
      <c r="E9" s="10" t="str">
        <f t="shared" ref="E9:E33" si="1">CONCATENATE("SUMIF(",IF(C9="FACT_EMITIDA","SIGGE_E",C9),"!B:B,ReliquidacionEFACT!B",A9,",",IF(C9="FACT_EMITIDA","SIGGE_E",C9),"!T:T)")</f>
        <v>SUMIF(SIGGE_E!B:B,ReliquidacionEFACT!B9,SIGGE_E!T:T)</v>
      </c>
      <c r="F9" s="11" t="str">
        <f t="shared" ref="F9:F33" si="2">CONCATENATE("IFERROR((E",A9,"/D",A9,"),0)")</f>
        <v>IFERROR((E9/D9),0)</v>
      </c>
      <c r="G9" s="12" t="str">
        <f t="shared" ref="G9:G33" si="3">CONCATENATE("SUMIF(",IF(C9="FACT_EMITIDA","SIGGE_P",C9),"!B:B,ReliquidacionEFACT!B",A9,",",IF(C9="FACT_EMITIDA","SIGGE_P",C9),"!U:U)")</f>
        <v>SUMIF(SIGGE_P!B:B,ReliquidacionEFACT!B9,SIGGE_P!U:U)</v>
      </c>
      <c r="H9" s="10" t="str">
        <f t="shared" ref="H9:H33" si="4">CONCATENATE("SUMIF(",IF(C9="FACT_EMITIDA","SIGGE_P",C9),"!B:B,ReliquidacionEFACT!B",A9,",",IF(C9="FACT_EMITIDA","SIGGE_P",C9),"!V:V)")</f>
        <v>SUMIF(SIGGE_P!B:B,ReliquidacionEFACT!B9,SIGGE_P!V:V)</v>
      </c>
      <c r="I9" s="11" t="str">
        <f t="shared" ref="I9:I33" si="5">CONCATENATE("IFERROR((H",A9,"/G",A9,"),0)")</f>
        <v>IFERROR((H9/G9),0)</v>
      </c>
      <c r="J9" s="10" t="str">
        <f t="shared" ref="J9:J33" si="6">CONCATENATE("(E",A9,"+H",A9,")")</f>
        <v>(E9+H9)</v>
      </c>
      <c r="L9" s="37" t="str">
        <f>(MAPA_DATA!K34)</f>
        <v>EFACT_CNE</v>
      </c>
      <c r="M9" s="10" t="str">
        <f t="shared" ref="M9:M33" si="7">CONCATENATE("SUMIF(",L9,"!B:B,ReliquidacionEFACT!B",A9,",",L9,"!S:S)")</f>
        <v>SUMIF(EFACT_CNE!B:B,ReliquidacionEFACT!B9,EFACT_CNE!S:S)</v>
      </c>
      <c r="N9" s="10" t="str">
        <f t="shared" ref="N9:N33" si="8">CONCATENATE("SUMIF(",L9,"!B:B,ReliquidacionEFACT!B",A9,",",L9,"!T:T)")</f>
        <v>SUMIF(EFACT_CNE!B:B,ReliquidacionEFACT!B9,EFACT_CNE!T:T)</v>
      </c>
      <c r="O9" s="11" t="str">
        <f t="shared" ref="O9:O33" si="9">CONCATENATE("IFERROR((N",A9,"/M",A9,"),0)")</f>
        <v>IFERROR((N9/M9),0)</v>
      </c>
      <c r="P9" s="12" t="str">
        <f t="shared" ref="P9:P33" si="10">CONCATENATE("SUMIF(",L9,"!B:B,ReliquidacionEFACT!B",A9,",",L9,"!U:U)")</f>
        <v>SUMIF(EFACT_CNE!B:B,ReliquidacionEFACT!B9,EFACT_CNE!U:U)</v>
      </c>
      <c r="Q9" s="10" t="str">
        <f t="shared" ref="Q9:Q33" si="11">CONCATENATE("SUMIF(",L9,"!B:B,ReliquidacionEFACT!B",A9,",",L9,"!V:V)")</f>
        <v>SUMIF(EFACT_CNE!B:B,ReliquidacionEFACT!B9,EFACT_CNE!V:V)</v>
      </c>
      <c r="R9" s="11" t="str">
        <f t="shared" ref="R9:R33" si="12">CONCATENATE("IFERROR((Q",A9,"/P",A9,"),0)")</f>
        <v>IFERROR((Q9/P9),0)</v>
      </c>
      <c r="S9" s="10" t="str">
        <f t="shared" ref="S9:S33" si="13">CONCATENATE("(N",A9,"+Q",A9,")")</f>
        <v>(N9+Q9)</v>
      </c>
      <c r="U9" s="49">
        <v>43344</v>
      </c>
      <c r="V9" s="25" t="str">
        <f t="shared" ref="V9:V33" si="14">CONCATENATE("(S",A9,"-J",A9,")")</f>
        <v>(S9-J9)</v>
      </c>
      <c r="W9" s="50" t="s">
        <v>346</v>
      </c>
      <c r="X9" s="26">
        <v>44137</v>
      </c>
      <c r="Y9" s="27">
        <v>3.61E-2</v>
      </c>
      <c r="Z9" s="28">
        <v>43398</v>
      </c>
      <c r="AA9" s="28">
        <v>44377</v>
      </c>
      <c r="AB9" s="29" t="str">
        <f t="shared" ref="AB9:AB33" si="15">CONCATENATE("(AA",A9,"-Z",A9,")")</f>
        <v>(AA9-Z9)</v>
      </c>
      <c r="AC9" s="29" t="str">
        <f t="shared" ref="AC9:AC33" si="16">CONCATENATE("(1+Y",A9,")^(AB",A9,"/360)-1")</f>
        <v>(1+Y9)^(AB9/360)-1</v>
      </c>
      <c r="AD9" s="50" t="str">
        <f t="shared" ref="AD9:AD33" si="17">CONCATENATE("(AC",A9,"*V",A9,")")</f>
        <v>(AC9*V9)</v>
      </c>
      <c r="AE9" s="29" t="str">
        <f t="shared" ref="AE9:AE33" si="18">CONCATENATE("(V",A9,"+AD",A9,")")</f>
        <v>(V9+AD9)</v>
      </c>
    </row>
    <row r="10" spans="1:31" x14ac:dyDescent="0.25">
      <c r="A10" s="39">
        <f t="shared" ref="A10:A32" si="19">A9+1</f>
        <v>10</v>
      </c>
      <c r="B10" s="36">
        <v>43374</v>
      </c>
      <c r="C10" s="50" t="s">
        <v>290</v>
      </c>
      <c r="D10" s="10" t="str">
        <f t="shared" si="0"/>
        <v>SUMIF(SIGGE_E!B:B,ReliquidacionEFACT!B10,SIGGE_E!S:S)</v>
      </c>
      <c r="E10" s="10" t="str">
        <f t="shared" si="1"/>
        <v>SUMIF(SIGGE_E!B:B,ReliquidacionEFACT!B10,SIGGE_E!T:T)</v>
      </c>
      <c r="F10" s="11" t="str">
        <f t="shared" si="2"/>
        <v>IFERROR((E10/D10),0)</v>
      </c>
      <c r="G10" s="12" t="str">
        <f t="shared" si="3"/>
        <v>SUMIF(SIGGE_P!B:B,ReliquidacionEFACT!B10,SIGGE_P!U:U)</v>
      </c>
      <c r="H10" s="10" t="str">
        <f t="shared" si="4"/>
        <v>SUMIF(SIGGE_P!B:B,ReliquidacionEFACT!B10,SIGGE_P!V:V)</v>
      </c>
      <c r="I10" s="11" t="str">
        <f t="shared" si="5"/>
        <v>IFERROR((H10/G10),0)</v>
      </c>
      <c r="J10" s="10" t="str">
        <f t="shared" si="6"/>
        <v>(E10+H10)</v>
      </c>
      <c r="L10" s="37" t="str">
        <f>(MAPA_DATA!K35)</f>
        <v>EFACT_CNE</v>
      </c>
      <c r="M10" s="10" t="str">
        <f t="shared" si="7"/>
        <v>SUMIF(EFACT_CNE!B:B,ReliquidacionEFACT!B10,EFACT_CNE!S:S)</v>
      </c>
      <c r="N10" s="10" t="str">
        <f t="shared" si="8"/>
        <v>SUMIF(EFACT_CNE!B:B,ReliquidacionEFACT!B10,EFACT_CNE!T:T)</v>
      </c>
      <c r="O10" s="11" t="str">
        <f t="shared" si="9"/>
        <v>IFERROR((N10/M10),0)</v>
      </c>
      <c r="P10" s="12" t="str">
        <f t="shared" si="10"/>
        <v>SUMIF(EFACT_CNE!B:B,ReliquidacionEFACT!B10,EFACT_CNE!U:U)</v>
      </c>
      <c r="Q10" s="10" t="str">
        <f t="shared" si="11"/>
        <v>SUMIF(EFACT_CNE!B:B,ReliquidacionEFACT!B10,EFACT_CNE!V:V)</v>
      </c>
      <c r="R10" s="11" t="str">
        <f t="shared" si="12"/>
        <v>IFERROR((Q10/P10),0)</v>
      </c>
      <c r="S10" s="10" t="str">
        <f t="shared" si="13"/>
        <v>(N10+Q10)</v>
      </c>
      <c r="U10" s="49">
        <v>43374</v>
      </c>
      <c r="V10" s="25" t="str">
        <f t="shared" si="14"/>
        <v>(S10-J10)</v>
      </c>
      <c r="W10" s="50" t="s">
        <v>346</v>
      </c>
      <c r="X10" s="26">
        <v>44137</v>
      </c>
      <c r="Y10" s="27">
        <v>3.61E-2</v>
      </c>
      <c r="Z10" s="28">
        <v>43429</v>
      </c>
      <c r="AA10" s="28">
        <f t="shared" ref="AA10:AA33" si="20">AA9</f>
        <v>44377</v>
      </c>
      <c r="AB10" s="29" t="str">
        <f t="shared" si="15"/>
        <v>(AA10-Z10)</v>
      </c>
      <c r="AC10" s="29" t="str">
        <f t="shared" si="16"/>
        <v>(1+Y10)^(AB10/360)-1</v>
      </c>
      <c r="AD10" s="50" t="str">
        <f t="shared" si="17"/>
        <v>(AC10*V10)</v>
      </c>
      <c r="AE10" s="29" t="str">
        <f t="shared" si="18"/>
        <v>(V10+AD10)</v>
      </c>
    </row>
    <row r="11" spans="1:31" x14ac:dyDescent="0.25">
      <c r="A11" s="39">
        <f t="shared" si="19"/>
        <v>11</v>
      </c>
      <c r="B11" s="36">
        <v>43405</v>
      </c>
      <c r="C11" s="50" t="s">
        <v>290</v>
      </c>
      <c r="D11" s="10" t="str">
        <f t="shared" si="0"/>
        <v>SUMIF(SIGGE_E!B:B,ReliquidacionEFACT!B11,SIGGE_E!S:S)</v>
      </c>
      <c r="E11" s="10" t="str">
        <f t="shared" si="1"/>
        <v>SUMIF(SIGGE_E!B:B,ReliquidacionEFACT!B11,SIGGE_E!T:T)</v>
      </c>
      <c r="F11" s="11" t="str">
        <f t="shared" si="2"/>
        <v>IFERROR((E11/D11),0)</v>
      </c>
      <c r="G11" s="12" t="str">
        <f t="shared" si="3"/>
        <v>SUMIF(SIGGE_P!B:B,ReliquidacionEFACT!B11,SIGGE_P!U:U)</v>
      </c>
      <c r="H11" s="10" t="str">
        <f t="shared" si="4"/>
        <v>SUMIF(SIGGE_P!B:B,ReliquidacionEFACT!B11,SIGGE_P!V:V)</v>
      </c>
      <c r="I11" s="11" t="str">
        <f t="shared" si="5"/>
        <v>IFERROR((H11/G11),0)</v>
      </c>
      <c r="J11" s="10" t="str">
        <f t="shared" si="6"/>
        <v>(E11+H11)</v>
      </c>
      <c r="L11" s="37" t="str">
        <f>(MAPA_DATA!K36)</f>
        <v>EFACT_CNE</v>
      </c>
      <c r="M11" s="10" t="str">
        <f t="shared" si="7"/>
        <v>SUMIF(EFACT_CNE!B:B,ReliquidacionEFACT!B11,EFACT_CNE!S:S)</v>
      </c>
      <c r="N11" s="10" t="str">
        <f t="shared" si="8"/>
        <v>SUMIF(EFACT_CNE!B:B,ReliquidacionEFACT!B11,EFACT_CNE!T:T)</v>
      </c>
      <c r="O11" s="11" t="str">
        <f t="shared" si="9"/>
        <v>IFERROR((N11/M11),0)</v>
      </c>
      <c r="P11" s="12" t="str">
        <f t="shared" si="10"/>
        <v>SUMIF(EFACT_CNE!B:B,ReliquidacionEFACT!B11,EFACT_CNE!U:U)</v>
      </c>
      <c r="Q11" s="10" t="str">
        <f t="shared" si="11"/>
        <v>SUMIF(EFACT_CNE!B:B,ReliquidacionEFACT!B11,EFACT_CNE!V:V)</v>
      </c>
      <c r="R11" s="11" t="str">
        <f t="shared" si="12"/>
        <v>IFERROR((Q11/P11),0)</v>
      </c>
      <c r="S11" s="10" t="str">
        <f t="shared" si="13"/>
        <v>(N11+Q11)</v>
      </c>
      <c r="U11" s="49">
        <v>43405</v>
      </c>
      <c r="V11" s="25" t="str">
        <f t="shared" si="14"/>
        <v>(S11-J11)</v>
      </c>
      <c r="W11" s="50" t="s">
        <v>346</v>
      </c>
      <c r="X11" s="26">
        <v>44137</v>
      </c>
      <c r="Y11" s="27">
        <v>3.61E-2</v>
      </c>
      <c r="Z11" s="28">
        <v>43459</v>
      </c>
      <c r="AA11" s="28">
        <f t="shared" si="20"/>
        <v>44377</v>
      </c>
      <c r="AB11" s="29" t="str">
        <f t="shared" si="15"/>
        <v>(AA11-Z11)</v>
      </c>
      <c r="AC11" s="29" t="str">
        <f t="shared" si="16"/>
        <v>(1+Y11)^(AB11/360)-1</v>
      </c>
      <c r="AD11" s="50" t="str">
        <f t="shared" si="17"/>
        <v>(AC11*V11)</v>
      </c>
      <c r="AE11" s="29" t="str">
        <f t="shared" si="18"/>
        <v>(V11+AD11)</v>
      </c>
    </row>
    <row r="12" spans="1:31" x14ac:dyDescent="0.25">
      <c r="A12" s="39">
        <f t="shared" si="19"/>
        <v>12</v>
      </c>
      <c r="B12" s="36">
        <v>43435</v>
      </c>
      <c r="C12" s="50" t="s">
        <v>290</v>
      </c>
      <c r="D12" s="10" t="str">
        <f t="shared" si="0"/>
        <v>SUMIF(SIGGE_E!B:B,ReliquidacionEFACT!B12,SIGGE_E!S:S)</v>
      </c>
      <c r="E12" s="10" t="str">
        <f t="shared" si="1"/>
        <v>SUMIF(SIGGE_E!B:B,ReliquidacionEFACT!B12,SIGGE_E!T:T)</v>
      </c>
      <c r="F12" s="11" t="str">
        <f t="shared" si="2"/>
        <v>IFERROR((E12/D12),0)</v>
      </c>
      <c r="G12" s="12" t="str">
        <f t="shared" si="3"/>
        <v>SUMIF(SIGGE_P!B:B,ReliquidacionEFACT!B12,SIGGE_P!U:U)</v>
      </c>
      <c r="H12" s="10" t="str">
        <f t="shared" si="4"/>
        <v>SUMIF(SIGGE_P!B:B,ReliquidacionEFACT!B12,SIGGE_P!V:V)</v>
      </c>
      <c r="I12" s="11" t="str">
        <f t="shared" si="5"/>
        <v>IFERROR((H12/G12),0)</v>
      </c>
      <c r="J12" s="10" t="str">
        <f t="shared" si="6"/>
        <v>(E12+H12)</v>
      </c>
      <c r="L12" s="37" t="str">
        <f>(MAPA_DATA!K37)</f>
        <v>EFACT_CNE</v>
      </c>
      <c r="M12" s="10" t="str">
        <f t="shared" si="7"/>
        <v>SUMIF(EFACT_CNE!B:B,ReliquidacionEFACT!B12,EFACT_CNE!S:S)</v>
      </c>
      <c r="N12" s="10" t="str">
        <f t="shared" si="8"/>
        <v>SUMIF(EFACT_CNE!B:B,ReliquidacionEFACT!B12,EFACT_CNE!T:T)</v>
      </c>
      <c r="O12" s="11" t="str">
        <f t="shared" si="9"/>
        <v>IFERROR((N12/M12),0)</v>
      </c>
      <c r="P12" s="12" t="str">
        <f t="shared" si="10"/>
        <v>SUMIF(EFACT_CNE!B:B,ReliquidacionEFACT!B12,EFACT_CNE!U:U)</v>
      </c>
      <c r="Q12" s="10" t="str">
        <f t="shared" si="11"/>
        <v>SUMIF(EFACT_CNE!B:B,ReliquidacionEFACT!B12,EFACT_CNE!V:V)</v>
      </c>
      <c r="R12" s="11" t="str">
        <f t="shared" si="12"/>
        <v>IFERROR((Q12/P12),0)</v>
      </c>
      <c r="S12" s="10" t="str">
        <f t="shared" si="13"/>
        <v>(N12+Q12)</v>
      </c>
      <c r="U12" s="49">
        <v>43435</v>
      </c>
      <c r="V12" s="25" t="str">
        <f t="shared" si="14"/>
        <v>(S12-J12)</v>
      </c>
      <c r="W12" s="50" t="s">
        <v>346</v>
      </c>
      <c r="X12" s="26">
        <v>44137</v>
      </c>
      <c r="Y12" s="27">
        <v>3.61E-2</v>
      </c>
      <c r="Z12" s="28">
        <v>43490</v>
      </c>
      <c r="AA12" s="28">
        <f t="shared" si="20"/>
        <v>44377</v>
      </c>
      <c r="AB12" s="29" t="str">
        <f t="shared" si="15"/>
        <v>(AA12-Z12)</v>
      </c>
      <c r="AC12" s="29" t="str">
        <f t="shared" si="16"/>
        <v>(1+Y12)^(AB12/360)-1</v>
      </c>
      <c r="AD12" s="50" t="str">
        <f t="shared" si="17"/>
        <v>(AC12*V12)</v>
      </c>
      <c r="AE12" s="29" t="str">
        <f t="shared" si="18"/>
        <v>(V12+AD12)</v>
      </c>
    </row>
    <row r="13" spans="1:31" x14ac:dyDescent="0.25">
      <c r="A13" s="39">
        <f t="shared" si="19"/>
        <v>13</v>
      </c>
      <c r="B13" s="36">
        <v>43466</v>
      </c>
      <c r="C13" s="50" t="s">
        <v>290</v>
      </c>
      <c r="D13" s="10" t="str">
        <f t="shared" si="0"/>
        <v>SUMIF(SIGGE_E!B:B,ReliquidacionEFACT!B13,SIGGE_E!S:S)</v>
      </c>
      <c r="E13" s="10" t="str">
        <f t="shared" si="1"/>
        <v>SUMIF(SIGGE_E!B:B,ReliquidacionEFACT!B13,SIGGE_E!T:T)</v>
      </c>
      <c r="F13" s="11" t="str">
        <f t="shared" si="2"/>
        <v>IFERROR((E13/D13),0)</v>
      </c>
      <c r="G13" s="12" t="str">
        <f t="shared" si="3"/>
        <v>SUMIF(SIGGE_P!B:B,ReliquidacionEFACT!B13,SIGGE_P!U:U)</v>
      </c>
      <c r="H13" s="10" t="str">
        <f t="shared" si="4"/>
        <v>SUMIF(SIGGE_P!B:B,ReliquidacionEFACT!B13,SIGGE_P!V:V)</v>
      </c>
      <c r="I13" s="11" t="str">
        <f t="shared" si="5"/>
        <v>IFERROR((H13/G13),0)</v>
      </c>
      <c r="J13" s="10" t="str">
        <f t="shared" si="6"/>
        <v>(E13+H13)</v>
      </c>
      <c r="L13" s="37" t="str">
        <f>(MAPA_DATA!K38)</f>
        <v>EFACT_CNE</v>
      </c>
      <c r="M13" s="10" t="str">
        <f t="shared" si="7"/>
        <v>SUMIF(EFACT_CNE!B:B,ReliquidacionEFACT!B13,EFACT_CNE!S:S)</v>
      </c>
      <c r="N13" s="10" t="str">
        <f t="shared" si="8"/>
        <v>SUMIF(EFACT_CNE!B:B,ReliquidacionEFACT!B13,EFACT_CNE!T:T)</v>
      </c>
      <c r="O13" s="11" t="str">
        <f t="shared" si="9"/>
        <v>IFERROR((N13/M13),0)</v>
      </c>
      <c r="P13" s="12" t="str">
        <f t="shared" si="10"/>
        <v>SUMIF(EFACT_CNE!B:B,ReliquidacionEFACT!B13,EFACT_CNE!U:U)</v>
      </c>
      <c r="Q13" s="10" t="str">
        <f t="shared" si="11"/>
        <v>SUMIF(EFACT_CNE!B:B,ReliquidacionEFACT!B13,EFACT_CNE!V:V)</v>
      </c>
      <c r="R13" s="11" t="str">
        <f t="shared" si="12"/>
        <v>IFERROR((Q13/P13),0)</v>
      </c>
      <c r="S13" s="10" t="str">
        <f t="shared" si="13"/>
        <v>(N13+Q13)</v>
      </c>
      <c r="U13" s="49">
        <v>43466</v>
      </c>
      <c r="V13" s="25" t="str">
        <f t="shared" si="14"/>
        <v>(S13-J13)</v>
      </c>
      <c r="W13" s="50" t="s">
        <v>346</v>
      </c>
      <c r="X13" s="26">
        <v>44137</v>
      </c>
      <c r="Y13" s="27">
        <v>3.61E-2</v>
      </c>
      <c r="Z13" s="28">
        <v>43521</v>
      </c>
      <c r="AA13" s="28">
        <f t="shared" si="20"/>
        <v>44377</v>
      </c>
      <c r="AB13" s="29" t="str">
        <f t="shared" si="15"/>
        <v>(AA13-Z13)</v>
      </c>
      <c r="AC13" s="29" t="str">
        <f t="shared" si="16"/>
        <v>(1+Y13)^(AB13/360)-1</v>
      </c>
      <c r="AD13" s="50" t="str">
        <f t="shared" si="17"/>
        <v>(AC13*V13)</v>
      </c>
      <c r="AE13" s="29" t="str">
        <f t="shared" si="18"/>
        <v>(V13+AD13)</v>
      </c>
    </row>
    <row r="14" spans="1:31" x14ac:dyDescent="0.25">
      <c r="A14" s="39">
        <f t="shared" si="19"/>
        <v>14</v>
      </c>
      <c r="B14" s="36">
        <v>43497</v>
      </c>
      <c r="C14" s="50" t="s">
        <v>290</v>
      </c>
      <c r="D14" s="10" t="str">
        <f t="shared" si="0"/>
        <v>SUMIF(SIGGE_E!B:B,ReliquidacionEFACT!B14,SIGGE_E!S:S)</v>
      </c>
      <c r="E14" s="10" t="str">
        <f t="shared" si="1"/>
        <v>SUMIF(SIGGE_E!B:B,ReliquidacionEFACT!B14,SIGGE_E!T:T)</v>
      </c>
      <c r="F14" s="11" t="str">
        <f t="shared" si="2"/>
        <v>IFERROR((E14/D14),0)</v>
      </c>
      <c r="G14" s="12" t="str">
        <f t="shared" si="3"/>
        <v>SUMIF(SIGGE_P!B:B,ReliquidacionEFACT!B14,SIGGE_P!U:U)</v>
      </c>
      <c r="H14" s="10" t="str">
        <f t="shared" si="4"/>
        <v>SUMIF(SIGGE_P!B:B,ReliquidacionEFACT!B14,SIGGE_P!V:V)</v>
      </c>
      <c r="I14" s="11" t="str">
        <f t="shared" si="5"/>
        <v>IFERROR((H14/G14),0)</v>
      </c>
      <c r="J14" s="10" t="str">
        <f t="shared" si="6"/>
        <v>(E14+H14)</v>
      </c>
      <c r="L14" s="37" t="str">
        <f>(MAPA_DATA!K39)</f>
        <v>EFACT_CNE</v>
      </c>
      <c r="M14" s="10" t="str">
        <f t="shared" si="7"/>
        <v>SUMIF(EFACT_CNE!B:B,ReliquidacionEFACT!B14,EFACT_CNE!S:S)</v>
      </c>
      <c r="N14" s="10" t="str">
        <f t="shared" si="8"/>
        <v>SUMIF(EFACT_CNE!B:B,ReliquidacionEFACT!B14,EFACT_CNE!T:T)</v>
      </c>
      <c r="O14" s="11" t="str">
        <f t="shared" si="9"/>
        <v>IFERROR((N14/M14),0)</v>
      </c>
      <c r="P14" s="12" t="str">
        <f t="shared" si="10"/>
        <v>SUMIF(EFACT_CNE!B:B,ReliquidacionEFACT!B14,EFACT_CNE!U:U)</v>
      </c>
      <c r="Q14" s="10" t="str">
        <f t="shared" si="11"/>
        <v>SUMIF(EFACT_CNE!B:B,ReliquidacionEFACT!B14,EFACT_CNE!V:V)</v>
      </c>
      <c r="R14" s="11" t="str">
        <f t="shared" si="12"/>
        <v>IFERROR((Q14/P14),0)</v>
      </c>
      <c r="S14" s="10" t="str">
        <f t="shared" si="13"/>
        <v>(N14+Q14)</v>
      </c>
      <c r="U14" s="49">
        <v>43497</v>
      </c>
      <c r="V14" s="25" t="str">
        <f t="shared" si="14"/>
        <v>(S14-J14)</v>
      </c>
      <c r="W14" s="50" t="s">
        <v>346</v>
      </c>
      <c r="X14" s="26">
        <v>44137</v>
      </c>
      <c r="Y14" s="27">
        <v>3.61E-2</v>
      </c>
      <c r="Z14" s="28">
        <v>43549</v>
      </c>
      <c r="AA14" s="28">
        <f t="shared" si="20"/>
        <v>44377</v>
      </c>
      <c r="AB14" s="29" t="str">
        <f t="shared" si="15"/>
        <v>(AA14-Z14)</v>
      </c>
      <c r="AC14" s="29" t="str">
        <f t="shared" si="16"/>
        <v>(1+Y14)^(AB14/360)-1</v>
      </c>
      <c r="AD14" s="50" t="str">
        <f t="shared" si="17"/>
        <v>(AC14*V14)</v>
      </c>
      <c r="AE14" s="29" t="str">
        <f t="shared" si="18"/>
        <v>(V14+AD14)</v>
      </c>
    </row>
    <row r="15" spans="1:31" x14ac:dyDescent="0.25">
      <c r="A15" s="39">
        <f t="shared" si="19"/>
        <v>15</v>
      </c>
      <c r="B15" s="36">
        <v>43525</v>
      </c>
      <c r="C15" s="50" t="s">
        <v>290</v>
      </c>
      <c r="D15" s="10" t="str">
        <f t="shared" si="0"/>
        <v>SUMIF(SIGGE_E!B:B,ReliquidacionEFACT!B15,SIGGE_E!S:S)</v>
      </c>
      <c r="E15" s="10" t="str">
        <f t="shared" si="1"/>
        <v>SUMIF(SIGGE_E!B:B,ReliquidacionEFACT!B15,SIGGE_E!T:T)</v>
      </c>
      <c r="F15" s="11" t="str">
        <f t="shared" si="2"/>
        <v>IFERROR((E15/D15),0)</v>
      </c>
      <c r="G15" s="12" t="str">
        <f t="shared" si="3"/>
        <v>SUMIF(SIGGE_P!B:B,ReliquidacionEFACT!B15,SIGGE_P!U:U)</v>
      </c>
      <c r="H15" s="10" t="str">
        <f t="shared" si="4"/>
        <v>SUMIF(SIGGE_P!B:B,ReliquidacionEFACT!B15,SIGGE_P!V:V)</v>
      </c>
      <c r="I15" s="11" t="str">
        <f t="shared" si="5"/>
        <v>IFERROR((H15/G15),0)</v>
      </c>
      <c r="J15" s="10" t="str">
        <f t="shared" si="6"/>
        <v>(E15+H15)</v>
      </c>
      <c r="L15" s="37" t="str">
        <f>(MAPA_DATA!K40)</f>
        <v>EFACT_CNE</v>
      </c>
      <c r="M15" s="10" t="str">
        <f t="shared" si="7"/>
        <v>SUMIF(EFACT_CNE!B:B,ReliquidacionEFACT!B15,EFACT_CNE!S:S)</v>
      </c>
      <c r="N15" s="10" t="str">
        <f t="shared" si="8"/>
        <v>SUMIF(EFACT_CNE!B:B,ReliquidacionEFACT!B15,EFACT_CNE!T:T)</v>
      </c>
      <c r="O15" s="11" t="str">
        <f t="shared" si="9"/>
        <v>IFERROR((N15/M15),0)</v>
      </c>
      <c r="P15" s="12" t="str">
        <f t="shared" si="10"/>
        <v>SUMIF(EFACT_CNE!B:B,ReliquidacionEFACT!B15,EFACT_CNE!U:U)</v>
      </c>
      <c r="Q15" s="10" t="str">
        <f t="shared" si="11"/>
        <v>SUMIF(EFACT_CNE!B:B,ReliquidacionEFACT!B15,EFACT_CNE!V:V)</v>
      </c>
      <c r="R15" s="11" t="str">
        <f t="shared" si="12"/>
        <v>IFERROR((Q15/P15),0)</v>
      </c>
      <c r="S15" s="10" t="str">
        <f t="shared" si="13"/>
        <v>(N15+Q15)</v>
      </c>
      <c r="U15" s="49">
        <v>43525</v>
      </c>
      <c r="V15" s="25" t="str">
        <f t="shared" si="14"/>
        <v>(S15-J15)</v>
      </c>
      <c r="W15" s="50" t="s">
        <v>346</v>
      </c>
      <c r="X15" s="26">
        <v>44137</v>
      </c>
      <c r="Y15" s="27">
        <v>3.61E-2</v>
      </c>
      <c r="Z15" s="28">
        <v>43580</v>
      </c>
      <c r="AA15" s="28">
        <f t="shared" si="20"/>
        <v>44377</v>
      </c>
      <c r="AB15" s="29" t="str">
        <f t="shared" si="15"/>
        <v>(AA15-Z15)</v>
      </c>
      <c r="AC15" s="29" t="str">
        <f t="shared" si="16"/>
        <v>(1+Y15)^(AB15/360)-1</v>
      </c>
      <c r="AD15" s="50" t="str">
        <f t="shared" si="17"/>
        <v>(AC15*V15)</v>
      </c>
      <c r="AE15" s="29" t="str">
        <f t="shared" si="18"/>
        <v>(V15+AD15)</v>
      </c>
    </row>
    <row r="16" spans="1:31" x14ac:dyDescent="0.25">
      <c r="A16" s="39">
        <f t="shared" si="19"/>
        <v>16</v>
      </c>
      <c r="B16" s="36">
        <v>43556</v>
      </c>
      <c r="C16" s="50" t="s">
        <v>290</v>
      </c>
      <c r="D16" s="10" t="str">
        <f t="shared" si="0"/>
        <v>SUMIF(SIGGE_E!B:B,ReliquidacionEFACT!B16,SIGGE_E!S:S)</v>
      </c>
      <c r="E16" s="10" t="str">
        <f t="shared" si="1"/>
        <v>SUMIF(SIGGE_E!B:B,ReliquidacionEFACT!B16,SIGGE_E!T:T)</v>
      </c>
      <c r="F16" s="11" t="str">
        <f t="shared" si="2"/>
        <v>IFERROR((E16/D16),0)</v>
      </c>
      <c r="G16" s="12" t="str">
        <f t="shared" si="3"/>
        <v>SUMIF(SIGGE_P!B:B,ReliquidacionEFACT!B16,SIGGE_P!U:U)</v>
      </c>
      <c r="H16" s="10" t="str">
        <f t="shared" si="4"/>
        <v>SUMIF(SIGGE_P!B:B,ReliquidacionEFACT!B16,SIGGE_P!V:V)</v>
      </c>
      <c r="I16" s="11" t="str">
        <f t="shared" si="5"/>
        <v>IFERROR((H16/G16),0)</v>
      </c>
      <c r="J16" s="10" t="str">
        <f t="shared" si="6"/>
        <v>(E16+H16)</v>
      </c>
      <c r="L16" s="37" t="str">
        <f>(MAPA_DATA!K41)</f>
        <v>EFACT_CNE</v>
      </c>
      <c r="M16" s="10" t="str">
        <f t="shared" si="7"/>
        <v>SUMIF(EFACT_CNE!B:B,ReliquidacionEFACT!B16,EFACT_CNE!S:S)</v>
      </c>
      <c r="N16" s="10" t="str">
        <f t="shared" si="8"/>
        <v>SUMIF(EFACT_CNE!B:B,ReliquidacionEFACT!B16,EFACT_CNE!T:T)</v>
      </c>
      <c r="O16" s="11" t="str">
        <f t="shared" si="9"/>
        <v>IFERROR((N16/M16),0)</v>
      </c>
      <c r="P16" s="12" t="str">
        <f t="shared" si="10"/>
        <v>SUMIF(EFACT_CNE!B:B,ReliquidacionEFACT!B16,EFACT_CNE!U:U)</v>
      </c>
      <c r="Q16" s="10" t="str">
        <f t="shared" si="11"/>
        <v>SUMIF(EFACT_CNE!B:B,ReliquidacionEFACT!B16,EFACT_CNE!V:V)</v>
      </c>
      <c r="R16" s="11" t="str">
        <f t="shared" si="12"/>
        <v>IFERROR((Q16/P16),0)</v>
      </c>
      <c r="S16" s="10" t="str">
        <f t="shared" si="13"/>
        <v>(N16+Q16)</v>
      </c>
      <c r="U16" s="49">
        <v>43556</v>
      </c>
      <c r="V16" s="25" t="str">
        <f t="shared" si="14"/>
        <v>(S16-J16)</v>
      </c>
      <c r="W16" s="50" t="s">
        <v>346</v>
      </c>
      <c r="X16" s="26">
        <v>44137</v>
      </c>
      <c r="Y16" s="27">
        <v>3.61E-2</v>
      </c>
      <c r="Z16" s="28">
        <v>43610</v>
      </c>
      <c r="AA16" s="28">
        <f t="shared" si="20"/>
        <v>44377</v>
      </c>
      <c r="AB16" s="29" t="str">
        <f t="shared" si="15"/>
        <v>(AA16-Z16)</v>
      </c>
      <c r="AC16" s="29" t="str">
        <f t="shared" si="16"/>
        <v>(1+Y16)^(AB16/360)-1</v>
      </c>
      <c r="AD16" s="50" t="str">
        <f t="shared" si="17"/>
        <v>(AC16*V16)</v>
      </c>
      <c r="AE16" s="29" t="str">
        <f t="shared" si="18"/>
        <v>(V16+AD16)</v>
      </c>
    </row>
    <row r="17" spans="1:31" x14ac:dyDescent="0.25">
      <c r="A17" s="39">
        <f t="shared" si="19"/>
        <v>17</v>
      </c>
      <c r="B17" s="36">
        <v>43586</v>
      </c>
      <c r="C17" s="50" t="s">
        <v>290</v>
      </c>
      <c r="D17" s="10" t="str">
        <f t="shared" si="0"/>
        <v>SUMIF(SIGGE_E!B:B,ReliquidacionEFACT!B17,SIGGE_E!S:S)</v>
      </c>
      <c r="E17" s="10" t="str">
        <f t="shared" si="1"/>
        <v>SUMIF(SIGGE_E!B:B,ReliquidacionEFACT!B17,SIGGE_E!T:T)</v>
      </c>
      <c r="F17" s="11" t="str">
        <f t="shared" si="2"/>
        <v>IFERROR((E17/D17),0)</v>
      </c>
      <c r="G17" s="12" t="str">
        <f t="shared" si="3"/>
        <v>SUMIF(SIGGE_P!B:B,ReliquidacionEFACT!B17,SIGGE_P!U:U)</v>
      </c>
      <c r="H17" s="10" t="str">
        <f t="shared" si="4"/>
        <v>SUMIF(SIGGE_P!B:B,ReliquidacionEFACT!B17,SIGGE_P!V:V)</v>
      </c>
      <c r="I17" s="11" t="str">
        <f t="shared" si="5"/>
        <v>IFERROR((H17/G17),0)</v>
      </c>
      <c r="J17" s="10" t="str">
        <f t="shared" si="6"/>
        <v>(E17+H17)</v>
      </c>
      <c r="L17" s="37" t="str">
        <f>(MAPA_DATA!K42)</f>
        <v>EFACT_CNE</v>
      </c>
      <c r="M17" s="10" t="str">
        <f t="shared" si="7"/>
        <v>SUMIF(EFACT_CNE!B:B,ReliquidacionEFACT!B17,EFACT_CNE!S:S)</v>
      </c>
      <c r="N17" s="10" t="str">
        <f t="shared" si="8"/>
        <v>SUMIF(EFACT_CNE!B:B,ReliquidacionEFACT!B17,EFACT_CNE!T:T)</v>
      </c>
      <c r="O17" s="11" t="str">
        <f t="shared" si="9"/>
        <v>IFERROR((N17/M17),0)</v>
      </c>
      <c r="P17" s="12" t="str">
        <f t="shared" si="10"/>
        <v>SUMIF(EFACT_CNE!B:B,ReliquidacionEFACT!B17,EFACT_CNE!U:U)</v>
      </c>
      <c r="Q17" s="10" t="str">
        <f t="shared" si="11"/>
        <v>SUMIF(EFACT_CNE!B:B,ReliquidacionEFACT!B17,EFACT_CNE!V:V)</v>
      </c>
      <c r="R17" s="11" t="str">
        <f t="shared" si="12"/>
        <v>IFERROR((Q17/P17),0)</v>
      </c>
      <c r="S17" s="10" t="str">
        <f t="shared" si="13"/>
        <v>(N17+Q17)</v>
      </c>
      <c r="U17" s="49">
        <v>43586</v>
      </c>
      <c r="V17" s="25" t="str">
        <f t="shared" si="14"/>
        <v>(S17-J17)</v>
      </c>
      <c r="W17" s="50" t="s">
        <v>346</v>
      </c>
      <c r="X17" s="26">
        <v>44137</v>
      </c>
      <c r="Y17" s="27">
        <v>3.61E-2</v>
      </c>
      <c r="Z17" s="28">
        <v>43641</v>
      </c>
      <c r="AA17" s="28">
        <f t="shared" si="20"/>
        <v>44377</v>
      </c>
      <c r="AB17" s="29" t="str">
        <f t="shared" si="15"/>
        <v>(AA17-Z17)</v>
      </c>
      <c r="AC17" s="29" t="str">
        <f t="shared" si="16"/>
        <v>(1+Y17)^(AB17/360)-1</v>
      </c>
      <c r="AD17" s="50" t="str">
        <f t="shared" si="17"/>
        <v>(AC17*V17)</v>
      </c>
      <c r="AE17" s="29" t="str">
        <f t="shared" si="18"/>
        <v>(V17+AD17)</v>
      </c>
    </row>
    <row r="18" spans="1:31" x14ac:dyDescent="0.25">
      <c r="A18" s="39">
        <f t="shared" si="19"/>
        <v>18</v>
      </c>
      <c r="B18" s="36">
        <v>43617</v>
      </c>
      <c r="C18" s="50" t="s">
        <v>290</v>
      </c>
      <c r="D18" s="10" t="str">
        <f t="shared" si="0"/>
        <v>SUMIF(SIGGE_E!B:B,ReliquidacionEFACT!B18,SIGGE_E!S:S)</v>
      </c>
      <c r="E18" s="10" t="str">
        <f t="shared" si="1"/>
        <v>SUMIF(SIGGE_E!B:B,ReliquidacionEFACT!B18,SIGGE_E!T:T)</v>
      </c>
      <c r="F18" s="11" t="str">
        <f t="shared" si="2"/>
        <v>IFERROR((E18/D18),0)</v>
      </c>
      <c r="G18" s="12" t="str">
        <f t="shared" si="3"/>
        <v>SUMIF(SIGGE_P!B:B,ReliquidacionEFACT!B18,SIGGE_P!U:U)</v>
      </c>
      <c r="H18" s="10" t="str">
        <f t="shared" si="4"/>
        <v>SUMIF(SIGGE_P!B:B,ReliquidacionEFACT!B18,SIGGE_P!V:V)</v>
      </c>
      <c r="I18" s="11" t="str">
        <f t="shared" si="5"/>
        <v>IFERROR((H18/G18),0)</v>
      </c>
      <c r="J18" s="10" t="str">
        <f t="shared" si="6"/>
        <v>(E18+H18)</v>
      </c>
      <c r="L18" s="37" t="str">
        <f>(MAPA_DATA!K43)</f>
        <v>EFACT_CNE</v>
      </c>
      <c r="M18" s="10" t="str">
        <f t="shared" si="7"/>
        <v>SUMIF(EFACT_CNE!B:B,ReliquidacionEFACT!B18,EFACT_CNE!S:S)</v>
      </c>
      <c r="N18" s="10" t="str">
        <f t="shared" si="8"/>
        <v>SUMIF(EFACT_CNE!B:B,ReliquidacionEFACT!B18,EFACT_CNE!T:T)</v>
      </c>
      <c r="O18" s="11" t="str">
        <f t="shared" si="9"/>
        <v>IFERROR((N18/M18),0)</v>
      </c>
      <c r="P18" s="12" t="str">
        <f t="shared" si="10"/>
        <v>SUMIF(EFACT_CNE!B:B,ReliquidacionEFACT!B18,EFACT_CNE!U:U)</v>
      </c>
      <c r="Q18" s="10" t="str">
        <f t="shared" si="11"/>
        <v>SUMIF(EFACT_CNE!B:B,ReliquidacionEFACT!B18,EFACT_CNE!V:V)</v>
      </c>
      <c r="R18" s="11" t="str">
        <f t="shared" si="12"/>
        <v>IFERROR((Q18/P18),0)</v>
      </c>
      <c r="S18" s="10" t="str">
        <f t="shared" si="13"/>
        <v>(N18+Q18)</v>
      </c>
      <c r="U18" s="49">
        <v>43617</v>
      </c>
      <c r="V18" s="25" t="str">
        <f t="shared" si="14"/>
        <v>(S18-J18)</v>
      </c>
      <c r="W18" s="50" t="s">
        <v>346</v>
      </c>
      <c r="X18" s="26">
        <v>44137</v>
      </c>
      <c r="Y18" s="27">
        <v>3.61E-2</v>
      </c>
      <c r="Z18" s="28">
        <v>43671</v>
      </c>
      <c r="AA18" s="28">
        <f t="shared" si="20"/>
        <v>44377</v>
      </c>
      <c r="AB18" s="29" t="str">
        <f t="shared" si="15"/>
        <v>(AA18-Z18)</v>
      </c>
      <c r="AC18" s="29" t="str">
        <f t="shared" si="16"/>
        <v>(1+Y18)^(AB18/360)-1</v>
      </c>
      <c r="AD18" s="50" t="str">
        <f t="shared" si="17"/>
        <v>(AC18*V18)</v>
      </c>
      <c r="AE18" s="29" t="str">
        <f t="shared" si="18"/>
        <v>(V18+AD18)</v>
      </c>
    </row>
    <row r="19" spans="1:31" x14ac:dyDescent="0.25">
      <c r="A19" s="39">
        <f t="shared" si="19"/>
        <v>19</v>
      </c>
      <c r="B19" s="36">
        <v>43647</v>
      </c>
      <c r="C19" s="50" t="s">
        <v>290</v>
      </c>
      <c r="D19" s="10" t="str">
        <f t="shared" si="0"/>
        <v>SUMIF(SIGGE_E!B:B,ReliquidacionEFACT!B19,SIGGE_E!S:S)</v>
      </c>
      <c r="E19" s="10" t="str">
        <f t="shared" si="1"/>
        <v>SUMIF(SIGGE_E!B:B,ReliquidacionEFACT!B19,SIGGE_E!T:T)</v>
      </c>
      <c r="F19" s="11" t="str">
        <f t="shared" si="2"/>
        <v>IFERROR((E19/D19),0)</v>
      </c>
      <c r="G19" s="12" t="str">
        <f t="shared" si="3"/>
        <v>SUMIF(SIGGE_P!B:B,ReliquidacionEFACT!B19,SIGGE_P!U:U)</v>
      </c>
      <c r="H19" s="10" t="str">
        <f t="shared" si="4"/>
        <v>SUMIF(SIGGE_P!B:B,ReliquidacionEFACT!B19,SIGGE_P!V:V)</v>
      </c>
      <c r="I19" s="11" t="str">
        <f t="shared" si="5"/>
        <v>IFERROR((H19/G19),0)</v>
      </c>
      <c r="J19" s="10" t="str">
        <f t="shared" si="6"/>
        <v>(E19+H19)</v>
      </c>
      <c r="L19" s="37" t="str">
        <f>(MAPA_DATA!K44)</f>
        <v>EFACT_CNE</v>
      </c>
      <c r="M19" s="10" t="str">
        <f t="shared" si="7"/>
        <v>SUMIF(EFACT_CNE!B:B,ReliquidacionEFACT!B19,EFACT_CNE!S:S)</v>
      </c>
      <c r="N19" s="10" t="str">
        <f t="shared" si="8"/>
        <v>SUMIF(EFACT_CNE!B:B,ReliquidacionEFACT!B19,EFACT_CNE!T:T)</v>
      </c>
      <c r="O19" s="11" t="str">
        <f t="shared" si="9"/>
        <v>IFERROR((N19/M19),0)</v>
      </c>
      <c r="P19" s="12" t="str">
        <f t="shared" si="10"/>
        <v>SUMIF(EFACT_CNE!B:B,ReliquidacionEFACT!B19,EFACT_CNE!U:U)</v>
      </c>
      <c r="Q19" s="10" t="str">
        <f t="shared" si="11"/>
        <v>SUMIF(EFACT_CNE!B:B,ReliquidacionEFACT!B19,EFACT_CNE!V:V)</v>
      </c>
      <c r="R19" s="11" t="str">
        <f t="shared" si="12"/>
        <v>IFERROR((Q19/P19),0)</v>
      </c>
      <c r="S19" s="10" t="str">
        <f t="shared" si="13"/>
        <v>(N19+Q19)</v>
      </c>
      <c r="U19" s="49">
        <v>43647</v>
      </c>
      <c r="V19" s="25" t="str">
        <f t="shared" si="14"/>
        <v>(S19-J19)</v>
      </c>
      <c r="W19" s="50" t="s">
        <v>346</v>
      </c>
      <c r="X19" s="26">
        <v>44137</v>
      </c>
      <c r="Y19" s="27">
        <v>3.61E-2</v>
      </c>
      <c r="Z19" s="28">
        <v>43702</v>
      </c>
      <c r="AA19" s="28">
        <f t="shared" si="20"/>
        <v>44377</v>
      </c>
      <c r="AB19" s="29" t="str">
        <f t="shared" si="15"/>
        <v>(AA19-Z19)</v>
      </c>
      <c r="AC19" s="29" t="str">
        <f t="shared" si="16"/>
        <v>(1+Y19)^(AB19/360)-1</v>
      </c>
      <c r="AD19" s="50" t="str">
        <f t="shared" si="17"/>
        <v>(AC19*V19)</v>
      </c>
      <c r="AE19" s="29" t="str">
        <f t="shared" si="18"/>
        <v>(V19+AD19)</v>
      </c>
    </row>
    <row r="20" spans="1:31" x14ac:dyDescent="0.25">
      <c r="A20" s="39">
        <f t="shared" si="19"/>
        <v>20</v>
      </c>
      <c r="B20" s="36">
        <v>43678</v>
      </c>
      <c r="C20" s="50" t="s">
        <v>290</v>
      </c>
      <c r="D20" s="10" t="str">
        <f t="shared" si="0"/>
        <v>SUMIF(SIGGE_E!B:B,ReliquidacionEFACT!B20,SIGGE_E!S:S)</v>
      </c>
      <c r="E20" s="10" t="str">
        <f t="shared" si="1"/>
        <v>SUMIF(SIGGE_E!B:B,ReliquidacionEFACT!B20,SIGGE_E!T:T)</v>
      </c>
      <c r="F20" s="11" t="str">
        <f t="shared" si="2"/>
        <v>IFERROR((E20/D20),0)</v>
      </c>
      <c r="G20" s="12" t="str">
        <f t="shared" si="3"/>
        <v>SUMIF(SIGGE_P!B:B,ReliquidacionEFACT!B20,SIGGE_P!U:U)</v>
      </c>
      <c r="H20" s="10" t="str">
        <f t="shared" si="4"/>
        <v>SUMIF(SIGGE_P!B:B,ReliquidacionEFACT!B20,SIGGE_P!V:V)</v>
      </c>
      <c r="I20" s="11" t="str">
        <f t="shared" si="5"/>
        <v>IFERROR((H20/G20),0)</v>
      </c>
      <c r="J20" s="10" t="str">
        <f t="shared" si="6"/>
        <v>(E20+H20)</v>
      </c>
      <c r="L20" s="37" t="str">
        <f>(MAPA_DATA!K45)</f>
        <v>EFACT_CNE</v>
      </c>
      <c r="M20" s="10" t="str">
        <f t="shared" si="7"/>
        <v>SUMIF(EFACT_CNE!B:B,ReliquidacionEFACT!B20,EFACT_CNE!S:S)</v>
      </c>
      <c r="N20" s="10" t="str">
        <f t="shared" si="8"/>
        <v>SUMIF(EFACT_CNE!B:B,ReliquidacionEFACT!B20,EFACT_CNE!T:T)</v>
      </c>
      <c r="O20" s="11" t="str">
        <f t="shared" si="9"/>
        <v>IFERROR((N20/M20),0)</v>
      </c>
      <c r="P20" s="12" t="str">
        <f t="shared" si="10"/>
        <v>SUMIF(EFACT_CNE!B:B,ReliquidacionEFACT!B20,EFACT_CNE!U:U)</v>
      </c>
      <c r="Q20" s="10" t="str">
        <f t="shared" si="11"/>
        <v>SUMIF(EFACT_CNE!B:B,ReliquidacionEFACT!B20,EFACT_CNE!V:V)</v>
      </c>
      <c r="R20" s="11" t="str">
        <f t="shared" si="12"/>
        <v>IFERROR((Q20/P20),0)</v>
      </c>
      <c r="S20" s="10" t="str">
        <f t="shared" si="13"/>
        <v>(N20+Q20)</v>
      </c>
      <c r="U20" s="49">
        <v>43678</v>
      </c>
      <c r="V20" s="25" t="str">
        <f t="shared" si="14"/>
        <v>(S20-J20)</v>
      </c>
      <c r="W20" s="50" t="s">
        <v>346</v>
      </c>
      <c r="X20" s="26">
        <v>44137</v>
      </c>
      <c r="Y20" s="27">
        <v>3.61E-2</v>
      </c>
      <c r="Z20" s="28">
        <v>43733</v>
      </c>
      <c r="AA20" s="28">
        <f t="shared" si="20"/>
        <v>44377</v>
      </c>
      <c r="AB20" s="29" t="str">
        <f t="shared" si="15"/>
        <v>(AA20-Z20)</v>
      </c>
      <c r="AC20" s="29" t="str">
        <f t="shared" si="16"/>
        <v>(1+Y20)^(AB20/360)-1</v>
      </c>
      <c r="AD20" s="50" t="str">
        <f t="shared" si="17"/>
        <v>(AC20*V20)</v>
      </c>
      <c r="AE20" s="29" t="str">
        <f t="shared" si="18"/>
        <v>(V20+AD20)</v>
      </c>
    </row>
    <row r="21" spans="1:31" x14ac:dyDescent="0.25">
      <c r="A21" s="39">
        <f t="shared" si="19"/>
        <v>21</v>
      </c>
      <c r="B21" s="36">
        <v>43709</v>
      </c>
      <c r="C21" s="50" t="s">
        <v>290</v>
      </c>
      <c r="D21" s="10" t="str">
        <f t="shared" si="0"/>
        <v>SUMIF(SIGGE_E!B:B,ReliquidacionEFACT!B21,SIGGE_E!S:S)</v>
      </c>
      <c r="E21" s="10" t="str">
        <f t="shared" si="1"/>
        <v>SUMIF(SIGGE_E!B:B,ReliquidacionEFACT!B21,SIGGE_E!T:T)</v>
      </c>
      <c r="F21" s="11" t="str">
        <f t="shared" si="2"/>
        <v>IFERROR((E21/D21),0)</v>
      </c>
      <c r="G21" s="12" t="str">
        <f t="shared" si="3"/>
        <v>SUMIF(SIGGE_P!B:B,ReliquidacionEFACT!B21,SIGGE_P!U:U)</v>
      </c>
      <c r="H21" s="10" t="str">
        <f t="shared" si="4"/>
        <v>SUMIF(SIGGE_P!B:B,ReliquidacionEFACT!B21,SIGGE_P!V:V)</v>
      </c>
      <c r="I21" s="11" t="str">
        <f t="shared" si="5"/>
        <v>IFERROR((H21/G21),0)</v>
      </c>
      <c r="J21" s="10" t="str">
        <f t="shared" si="6"/>
        <v>(E21+H21)</v>
      </c>
      <c r="L21" s="37" t="str">
        <f>(MAPA_DATA!K46)</f>
        <v>EFACT_CNE</v>
      </c>
      <c r="M21" s="10" t="str">
        <f t="shared" si="7"/>
        <v>SUMIF(EFACT_CNE!B:B,ReliquidacionEFACT!B21,EFACT_CNE!S:S)</v>
      </c>
      <c r="N21" s="10" t="str">
        <f t="shared" si="8"/>
        <v>SUMIF(EFACT_CNE!B:B,ReliquidacionEFACT!B21,EFACT_CNE!T:T)</v>
      </c>
      <c r="O21" s="11" t="str">
        <f t="shared" si="9"/>
        <v>IFERROR((N21/M21),0)</v>
      </c>
      <c r="P21" s="12" t="str">
        <f t="shared" si="10"/>
        <v>SUMIF(EFACT_CNE!B:B,ReliquidacionEFACT!B21,EFACT_CNE!U:U)</v>
      </c>
      <c r="Q21" s="10" t="str">
        <f t="shared" si="11"/>
        <v>SUMIF(EFACT_CNE!B:B,ReliquidacionEFACT!B21,EFACT_CNE!V:V)</v>
      </c>
      <c r="R21" s="11" t="str">
        <f t="shared" si="12"/>
        <v>IFERROR((Q21/P21),0)</v>
      </c>
      <c r="S21" s="10" t="str">
        <f t="shared" si="13"/>
        <v>(N21+Q21)</v>
      </c>
      <c r="U21" s="49">
        <v>43709</v>
      </c>
      <c r="V21" s="25" t="str">
        <f t="shared" si="14"/>
        <v>(S21-J21)</v>
      </c>
      <c r="W21" s="50" t="s">
        <v>346</v>
      </c>
      <c r="X21" s="26">
        <v>44137</v>
      </c>
      <c r="Y21" s="27">
        <v>3.61E-2</v>
      </c>
      <c r="Z21" s="28">
        <v>43763</v>
      </c>
      <c r="AA21" s="28">
        <f t="shared" si="20"/>
        <v>44377</v>
      </c>
      <c r="AB21" s="29" t="str">
        <f t="shared" si="15"/>
        <v>(AA21-Z21)</v>
      </c>
      <c r="AC21" s="29" t="str">
        <f t="shared" si="16"/>
        <v>(1+Y21)^(AB21/360)-1</v>
      </c>
      <c r="AD21" s="50" t="str">
        <f t="shared" si="17"/>
        <v>(AC21*V21)</v>
      </c>
      <c r="AE21" s="29" t="str">
        <f t="shared" si="18"/>
        <v>(V21+AD21)</v>
      </c>
    </row>
    <row r="22" spans="1:31" x14ac:dyDescent="0.25">
      <c r="A22" s="39">
        <f t="shared" si="19"/>
        <v>22</v>
      </c>
      <c r="B22" s="36">
        <v>43739</v>
      </c>
      <c r="C22" s="50" t="s">
        <v>290</v>
      </c>
      <c r="D22" s="10" t="str">
        <f t="shared" si="0"/>
        <v>SUMIF(SIGGE_E!B:B,ReliquidacionEFACT!B22,SIGGE_E!S:S)</v>
      </c>
      <c r="E22" s="10" t="str">
        <f t="shared" si="1"/>
        <v>SUMIF(SIGGE_E!B:B,ReliquidacionEFACT!B22,SIGGE_E!T:T)</v>
      </c>
      <c r="F22" s="11" t="str">
        <f t="shared" si="2"/>
        <v>IFERROR((E22/D22),0)</v>
      </c>
      <c r="G22" s="12" t="str">
        <f t="shared" si="3"/>
        <v>SUMIF(SIGGE_P!B:B,ReliquidacionEFACT!B22,SIGGE_P!U:U)</v>
      </c>
      <c r="H22" s="10" t="str">
        <f t="shared" si="4"/>
        <v>SUMIF(SIGGE_P!B:B,ReliquidacionEFACT!B22,SIGGE_P!V:V)</v>
      </c>
      <c r="I22" s="11" t="str">
        <f t="shared" si="5"/>
        <v>IFERROR((H22/G22),0)</v>
      </c>
      <c r="J22" s="10" t="str">
        <f t="shared" si="6"/>
        <v>(E22+H22)</v>
      </c>
      <c r="L22" s="37" t="str">
        <f>(MAPA_DATA!K47)</f>
        <v>EFACT_CNE</v>
      </c>
      <c r="M22" s="10" t="str">
        <f t="shared" si="7"/>
        <v>SUMIF(EFACT_CNE!B:B,ReliquidacionEFACT!B22,EFACT_CNE!S:S)</v>
      </c>
      <c r="N22" s="10" t="str">
        <f t="shared" si="8"/>
        <v>SUMIF(EFACT_CNE!B:B,ReliquidacionEFACT!B22,EFACT_CNE!T:T)</v>
      </c>
      <c r="O22" s="11" t="str">
        <f t="shared" si="9"/>
        <v>IFERROR((N22/M22),0)</v>
      </c>
      <c r="P22" s="12" t="str">
        <f t="shared" si="10"/>
        <v>SUMIF(EFACT_CNE!B:B,ReliquidacionEFACT!B22,EFACT_CNE!U:U)</v>
      </c>
      <c r="Q22" s="10" t="str">
        <f t="shared" si="11"/>
        <v>SUMIF(EFACT_CNE!B:B,ReliquidacionEFACT!B22,EFACT_CNE!V:V)</v>
      </c>
      <c r="R22" s="11" t="str">
        <f t="shared" si="12"/>
        <v>IFERROR((Q22/P22),0)</v>
      </c>
      <c r="S22" s="10" t="str">
        <f t="shared" si="13"/>
        <v>(N22+Q22)</v>
      </c>
      <c r="U22" s="49">
        <v>43739</v>
      </c>
      <c r="V22" s="25" t="str">
        <f t="shared" si="14"/>
        <v>(S22-J22)</v>
      </c>
      <c r="W22" s="50" t="s">
        <v>346</v>
      </c>
      <c r="X22" s="26">
        <v>44137</v>
      </c>
      <c r="Y22" s="27">
        <v>3.61E-2</v>
      </c>
      <c r="Z22" s="28">
        <v>43794</v>
      </c>
      <c r="AA22" s="28">
        <f t="shared" si="20"/>
        <v>44377</v>
      </c>
      <c r="AB22" s="29" t="str">
        <f t="shared" si="15"/>
        <v>(AA22-Z22)</v>
      </c>
      <c r="AC22" s="29" t="str">
        <f t="shared" si="16"/>
        <v>(1+Y22)^(AB22/360)-1</v>
      </c>
      <c r="AD22" s="50" t="str">
        <f t="shared" si="17"/>
        <v>(AC22*V22)</v>
      </c>
      <c r="AE22" s="29" t="str">
        <f t="shared" si="18"/>
        <v>(V22+AD22)</v>
      </c>
    </row>
    <row r="23" spans="1:31" x14ac:dyDescent="0.25">
      <c r="A23" s="39">
        <f t="shared" si="19"/>
        <v>23</v>
      </c>
      <c r="B23" s="36">
        <v>43770</v>
      </c>
      <c r="C23" s="50" t="s">
        <v>290</v>
      </c>
      <c r="D23" s="10" t="str">
        <f t="shared" si="0"/>
        <v>SUMIF(SIGGE_E!B:B,ReliquidacionEFACT!B23,SIGGE_E!S:S)</v>
      </c>
      <c r="E23" s="10" t="str">
        <f t="shared" si="1"/>
        <v>SUMIF(SIGGE_E!B:B,ReliquidacionEFACT!B23,SIGGE_E!T:T)</v>
      </c>
      <c r="F23" s="11" t="str">
        <f t="shared" si="2"/>
        <v>IFERROR((E23/D23),0)</v>
      </c>
      <c r="G23" s="12" t="str">
        <f t="shared" si="3"/>
        <v>SUMIF(SIGGE_P!B:B,ReliquidacionEFACT!B23,SIGGE_P!U:U)</v>
      </c>
      <c r="H23" s="10" t="str">
        <f t="shared" si="4"/>
        <v>SUMIF(SIGGE_P!B:B,ReliquidacionEFACT!B23,SIGGE_P!V:V)</v>
      </c>
      <c r="I23" s="11" t="str">
        <f t="shared" si="5"/>
        <v>IFERROR((H23/G23),0)</v>
      </c>
      <c r="J23" s="10" t="str">
        <f t="shared" si="6"/>
        <v>(E23+H23)</v>
      </c>
      <c r="L23" s="37" t="str">
        <f>(MAPA_DATA!K48)</f>
        <v>EFACT_CNE</v>
      </c>
      <c r="M23" s="10" t="str">
        <f t="shared" si="7"/>
        <v>SUMIF(EFACT_CNE!B:B,ReliquidacionEFACT!B23,EFACT_CNE!S:S)</v>
      </c>
      <c r="N23" s="10" t="str">
        <f t="shared" si="8"/>
        <v>SUMIF(EFACT_CNE!B:B,ReliquidacionEFACT!B23,EFACT_CNE!T:T)</v>
      </c>
      <c r="O23" s="11" t="str">
        <f t="shared" si="9"/>
        <v>IFERROR((N23/M23),0)</v>
      </c>
      <c r="P23" s="12" t="str">
        <f t="shared" si="10"/>
        <v>SUMIF(EFACT_CNE!B:B,ReliquidacionEFACT!B23,EFACT_CNE!U:U)</v>
      </c>
      <c r="Q23" s="10" t="str">
        <f t="shared" si="11"/>
        <v>SUMIF(EFACT_CNE!B:B,ReliquidacionEFACT!B23,EFACT_CNE!V:V)</v>
      </c>
      <c r="R23" s="11" t="str">
        <f t="shared" si="12"/>
        <v>IFERROR((Q23/P23),0)</v>
      </c>
      <c r="S23" s="10" t="str">
        <f t="shared" si="13"/>
        <v>(N23+Q23)</v>
      </c>
      <c r="U23" s="49">
        <v>43770</v>
      </c>
      <c r="V23" s="25" t="str">
        <f t="shared" si="14"/>
        <v>(S23-J23)</v>
      </c>
      <c r="W23" s="50" t="s">
        <v>346</v>
      </c>
      <c r="X23" s="26">
        <v>44137</v>
      </c>
      <c r="Y23" s="27">
        <v>3.61E-2</v>
      </c>
      <c r="Z23" s="28">
        <v>43824</v>
      </c>
      <c r="AA23" s="28">
        <f t="shared" si="20"/>
        <v>44377</v>
      </c>
      <c r="AB23" s="29" t="str">
        <f t="shared" si="15"/>
        <v>(AA23-Z23)</v>
      </c>
      <c r="AC23" s="29" t="str">
        <f t="shared" si="16"/>
        <v>(1+Y23)^(AB23/360)-1</v>
      </c>
      <c r="AD23" s="50" t="str">
        <f t="shared" si="17"/>
        <v>(AC23*V23)</v>
      </c>
      <c r="AE23" s="29" t="str">
        <f t="shared" si="18"/>
        <v>(V23+AD23)</v>
      </c>
    </row>
    <row r="24" spans="1:31" x14ac:dyDescent="0.25">
      <c r="A24" s="39">
        <f t="shared" si="19"/>
        <v>24</v>
      </c>
      <c r="B24" s="36">
        <v>43800</v>
      </c>
      <c r="C24" s="50" t="s">
        <v>290</v>
      </c>
      <c r="D24" s="10" t="str">
        <f t="shared" si="0"/>
        <v>SUMIF(SIGGE_E!B:B,ReliquidacionEFACT!B24,SIGGE_E!S:S)</v>
      </c>
      <c r="E24" s="10" t="str">
        <f t="shared" si="1"/>
        <v>SUMIF(SIGGE_E!B:B,ReliquidacionEFACT!B24,SIGGE_E!T:T)</v>
      </c>
      <c r="F24" s="11" t="str">
        <f t="shared" si="2"/>
        <v>IFERROR((E24/D24),0)</v>
      </c>
      <c r="G24" s="12" t="str">
        <f t="shared" si="3"/>
        <v>SUMIF(SIGGE_P!B:B,ReliquidacionEFACT!B24,SIGGE_P!U:U)</v>
      </c>
      <c r="H24" s="10" t="str">
        <f t="shared" si="4"/>
        <v>SUMIF(SIGGE_P!B:B,ReliquidacionEFACT!B24,SIGGE_P!V:V)</v>
      </c>
      <c r="I24" s="11" t="str">
        <f t="shared" si="5"/>
        <v>IFERROR((H24/G24),0)</v>
      </c>
      <c r="J24" s="10" t="str">
        <f t="shared" si="6"/>
        <v>(E24+H24)</v>
      </c>
      <c r="L24" s="37" t="str">
        <f>(MAPA_DATA!K49)</f>
        <v>EFACT_CNE</v>
      </c>
      <c r="M24" s="10" t="str">
        <f t="shared" si="7"/>
        <v>SUMIF(EFACT_CNE!B:B,ReliquidacionEFACT!B24,EFACT_CNE!S:S)</v>
      </c>
      <c r="N24" s="10" t="str">
        <f t="shared" si="8"/>
        <v>SUMIF(EFACT_CNE!B:B,ReliquidacionEFACT!B24,EFACT_CNE!T:T)</v>
      </c>
      <c r="O24" s="11" t="str">
        <f t="shared" si="9"/>
        <v>IFERROR((N24/M24),0)</v>
      </c>
      <c r="P24" s="12" t="str">
        <f t="shared" si="10"/>
        <v>SUMIF(EFACT_CNE!B:B,ReliquidacionEFACT!B24,EFACT_CNE!U:U)</v>
      </c>
      <c r="Q24" s="10" t="str">
        <f t="shared" si="11"/>
        <v>SUMIF(EFACT_CNE!B:B,ReliquidacionEFACT!B24,EFACT_CNE!V:V)</v>
      </c>
      <c r="R24" s="11" t="str">
        <f t="shared" si="12"/>
        <v>IFERROR((Q24/P24),0)</v>
      </c>
      <c r="S24" s="10" t="str">
        <f t="shared" si="13"/>
        <v>(N24+Q24)</v>
      </c>
      <c r="U24" s="49">
        <v>43800</v>
      </c>
      <c r="V24" s="25" t="str">
        <f t="shared" si="14"/>
        <v>(S24-J24)</v>
      </c>
      <c r="W24" s="50" t="s">
        <v>346</v>
      </c>
      <c r="X24" s="26">
        <v>44137</v>
      </c>
      <c r="Y24" s="27">
        <v>3.61E-2</v>
      </c>
      <c r="Z24" s="28">
        <v>43855</v>
      </c>
      <c r="AA24" s="28">
        <f t="shared" si="20"/>
        <v>44377</v>
      </c>
      <c r="AB24" s="29" t="str">
        <f t="shared" si="15"/>
        <v>(AA24-Z24)</v>
      </c>
      <c r="AC24" s="29" t="str">
        <f t="shared" si="16"/>
        <v>(1+Y24)^(AB24/360)-1</v>
      </c>
      <c r="AD24" s="50" t="str">
        <f t="shared" si="17"/>
        <v>(AC24*V24)</v>
      </c>
      <c r="AE24" s="29" t="str">
        <f t="shared" si="18"/>
        <v>(V24+AD24)</v>
      </c>
    </row>
    <row r="25" spans="1:31" x14ac:dyDescent="0.25">
      <c r="A25" s="39">
        <f t="shared" si="19"/>
        <v>25</v>
      </c>
      <c r="B25" s="36">
        <v>43831</v>
      </c>
      <c r="C25" s="50" t="s">
        <v>290</v>
      </c>
      <c r="D25" s="10" t="str">
        <f t="shared" si="0"/>
        <v>SUMIF(SIGGE_E!B:B,ReliquidacionEFACT!B25,SIGGE_E!S:S)</v>
      </c>
      <c r="E25" s="10" t="str">
        <f t="shared" si="1"/>
        <v>SUMIF(SIGGE_E!B:B,ReliquidacionEFACT!B25,SIGGE_E!T:T)</v>
      </c>
      <c r="F25" s="11" t="str">
        <f t="shared" si="2"/>
        <v>IFERROR((E25/D25),0)</v>
      </c>
      <c r="G25" s="12" t="str">
        <f t="shared" si="3"/>
        <v>SUMIF(SIGGE_P!B:B,ReliquidacionEFACT!B25,SIGGE_P!U:U)</v>
      </c>
      <c r="H25" s="10" t="str">
        <f t="shared" si="4"/>
        <v>SUMIF(SIGGE_P!B:B,ReliquidacionEFACT!B25,SIGGE_P!V:V)</v>
      </c>
      <c r="I25" s="11" t="str">
        <f t="shared" si="5"/>
        <v>IFERROR((H25/G25),0)</v>
      </c>
      <c r="J25" s="10" t="str">
        <f t="shared" si="6"/>
        <v>(E25+H25)</v>
      </c>
      <c r="L25" s="37" t="str">
        <f>(MAPA_DATA!K50)</f>
        <v>EFACT_CNE</v>
      </c>
      <c r="M25" s="10" t="str">
        <f t="shared" si="7"/>
        <v>SUMIF(EFACT_CNE!B:B,ReliquidacionEFACT!B25,EFACT_CNE!S:S)</v>
      </c>
      <c r="N25" s="10" t="str">
        <f t="shared" si="8"/>
        <v>SUMIF(EFACT_CNE!B:B,ReliquidacionEFACT!B25,EFACT_CNE!T:T)</v>
      </c>
      <c r="O25" s="11" t="str">
        <f t="shared" si="9"/>
        <v>IFERROR((N25/M25),0)</v>
      </c>
      <c r="P25" s="12" t="str">
        <f t="shared" si="10"/>
        <v>SUMIF(EFACT_CNE!B:B,ReliquidacionEFACT!B25,EFACT_CNE!U:U)</v>
      </c>
      <c r="Q25" s="10" t="str">
        <f t="shared" si="11"/>
        <v>SUMIF(EFACT_CNE!B:B,ReliquidacionEFACT!B25,EFACT_CNE!V:V)</v>
      </c>
      <c r="R25" s="11" t="str">
        <f t="shared" si="12"/>
        <v>IFERROR((Q25/P25),0)</v>
      </c>
      <c r="S25" s="10" t="str">
        <f t="shared" si="13"/>
        <v>(N25+Q25)</v>
      </c>
      <c r="U25" s="49">
        <v>43831</v>
      </c>
      <c r="V25" s="25" t="str">
        <f t="shared" si="14"/>
        <v>(S25-J25)</v>
      </c>
      <c r="W25" s="50" t="s">
        <v>347</v>
      </c>
      <c r="X25" s="26">
        <v>44275</v>
      </c>
      <c r="Y25" s="27">
        <v>3.9100000000000003E-2</v>
      </c>
      <c r="Z25" s="28">
        <v>43886</v>
      </c>
      <c r="AA25" s="28">
        <f t="shared" si="20"/>
        <v>44377</v>
      </c>
      <c r="AB25" s="29" t="str">
        <f t="shared" si="15"/>
        <v>(AA25-Z25)</v>
      </c>
      <c r="AC25" s="29" t="str">
        <f t="shared" si="16"/>
        <v>(1+Y25)^(AB25/360)-1</v>
      </c>
      <c r="AD25" s="50" t="str">
        <f t="shared" si="17"/>
        <v>(AC25*V25)</v>
      </c>
      <c r="AE25" s="29" t="str">
        <f t="shared" si="18"/>
        <v>(V25+AD25)</v>
      </c>
    </row>
    <row r="26" spans="1:31" x14ac:dyDescent="0.25">
      <c r="A26" s="39">
        <f t="shared" si="19"/>
        <v>26</v>
      </c>
      <c r="B26" s="36">
        <v>43862</v>
      </c>
      <c r="C26" s="50" t="s">
        <v>290</v>
      </c>
      <c r="D26" s="10" t="str">
        <f t="shared" si="0"/>
        <v>SUMIF(SIGGE_E!B:B,ReliquidacionEFACT!B26,SIGGE_E!S:S)</v>
      </c>
      <c r="E26" s="10" t="str">
        <f t="shared" si="1"/>
        <v>SUMIF(SIGGE_E!B:B,ReliquidacionEFACT!B26,SIGGE_E!T:T)</v>
      </c>
      <c r="F26" s="11" t="str">
        <f t="shared" si="2"/>
        <v>IFERROR((E26/D26),0)</v>
      </c>
      <c r="G26" s="12" t="str">
        <f t="shared" si="3"/>
        <v>SUMIF(SIGGE_P!B:B,ReliquidacionEFACT!B26,SIGGE_P!U:U)</v>
      </c>
      <c r="H26" s="10" t="str">
        <f t="shared" si="4"/>
        <v>SUMIF(SIGGE_P!B:B,ReliquidacionEFACT!B26,SIGGE_P!V:V)</v>
      </c>
      <c r="I26" s="11" t="str">
        <f t="shared" si="5"/>
        <v>IFERROR((H26/G26),0)</v>
      </c>
      <c r="J26" s="10" t="str">
        <f t="shared" si="6"/>
        <v>(E26+H26)</v>
      </c>
      <c r="L26" s="37" t="str">
        <f>(MAPA_DATA!K51)</f>
        <v>EFACT_CNE</v>
      </c>
      <c r="M26" s="10" t="str">
        <f t="shared" si="7"/>
        <v>SUMIF(EFACT_CNE!B:B,ReliquidacionEFACT!B26,EFACT_CNE!S:S)</v>
      </c>
      <c r="N26" s="10" t="str">
        <f t="shared" si="8"/>
        <v>SUMIF(EFACT_CNE!B:B,ReliquidacionEFACT!B26,EFACT_CNE!T:T)</v>
      </c>
      <c r="O26" s="11" t="str">
        <f t="shared" si="9"/>
        <v>IFERROR((N26/M26),0)</v>
      </c>
      <c r="P26" s="12" t="str">
        <f t="shared" si="10"/>
        <v>SUMIF(EFACT_CNE!B:B,ReliquidacionEFACT!B26,EFACT_CNE!U:U)</v>
      </c>
      <c r="Q26" s="10" t="str">
        <f t="shared" si="11"/>
        <v>SUMIF(EFACT_CNE!B:B,ReliquidacionEFACT!B26,EFACT_CNE!V:V)</v>
      </c>
      <c r="R26" s="11" t="str">
        <f t="shared" si="12"/>
        <v>IFERROR((Q26/P26),0)</v>
      </c>
      <c r="S26" s="10" t="str">
        <f t="shared" si="13"/>
        <v>(N26+Q26)</v>
      </c>
      <c r="U26" s="49">
        <v>43862</v>
      </c>
      <c r="V26" s="25" t="str">
        <f t="shared" si="14"/>
        <v>(S26-J26)</v>
      </c>
      <c r="W26" s="50" t="s">
        <v>347</v>
      </c>
      <c r="X26" s="26">
        <v>44275</v>
      </c>
      <c r="Y26" s="27">
        <v>3.9100000000000003E-2</v>
      </c>
      <c r="Z26" s="28">
        <v>43915</v>
      </c>
      <c r="AA26" s="28">
        <f t="shared" si="20"/>
        <v>44377</v>
      </c>
      <c r="AB26" s="29" t="str">
        <f t="shared" si="15"/>
        <v>(AA26-Z26)</v>
      </c>
      <c r="AC26" s="29" t="str">
        <f t="shared" si="16"/>
        <v>(1+Y26)^(AB26/360)-1</v>
      </c>
      <c r="AD26" s="50" t="str">
        <f t="shared" si="17"/>
        <v>(AC26*V26)</v>
      </c>
      <c r="AE26" s="29" t="str">
        <f t="shared" si="18"/>
        <v>(V26+AD26)</v>
      </c>
    </row>
    <row r="27" spans="1:31" x14ac:dyDescent="0.25">
      <c r="A27" s="39">
        <f t="shared" si="19"/>
        <v>27</v>
      </c>
      <c r="B27" s="36">
        <v>43891</v>
      </c>
      <c r="C27" s="50" t="s">
        <v>290</v>
      </c>
      <c r="D27" s="10" t="str">
        <f t="shared" si="0"/>
        <v>SUMIF(SIGGE_E!B:B,ReliquidacionEFACT!B27,SIGGE_E!S:S)</v>
      </c>
      <c r="E27" s="10" t="str">
        <f t="shared" si="1"/>
        <v>SUMIF(SIGGE_E!B:B,ReliquidacionEFACT!B27,SIGGE_E!T:T)</v>
      </c>
      <c r="F27" s="11" t="str">
        <f t="shared" si="2"/>
        <v>IFERROR((E27/D27),0)</v>
      </c>
      <c r="G27" s="12" t="str">
        <f t="shared" si="3"/>
        <v>SUMIF(SIGGE_P!B:B,ReliquidacionEFACT!B27,SIGGE_P!U:U)</v>
      </c>
      <c r="H27" s="10" t="str">
        <f t="shared" si="4"/>
        <v>SUMIF(SIGGE_P!B:B,ReliquidacionEFACT!B27,SIGGE_P!V:V)</v>
      </c>
      <c r="I27" s="11" t="str">
        <f t="shared" si="5"/>
        <v>IFERROR((H27/G27),0)</v>
      </c>
      <c r="J27" s="10" t="str">
        <f t="shared" si="6"/>
        <v>(E27+H27)</v>
      </c>
      <c r="L27" s="37" t="str">
        <f>(MAPA_DATA!K52)</f>
        <v>EFACT_CNE</v>
      </c>
      <c r="M27" s="10" t="str">
        <f t="shared" si="7"/>
        <v>SUMIF(EFACT_CNE!B:B,ReliquidacionEFACT!B27,EFACT_CNE!S:S)</v>
      </c>
      <c r="N27" s="10" t="str">
        <f t="shared" si="8"/>
        <v>SUMIF(EFACT_CNE!B:B,ReliquidacionEFACT!B27,EFACT_CNE!T:T)</v>
      </c>
      <c r="O27" s="11" t="str">
        <f t="shared" si="9"/>
        <v>IFERROR((N27/M27),0)</v>
      </c>
      <c r="P27" s="12" t="str">
        <f t="shared" si="10"/>
        <v>SUMIF(EFACT_CNE!B:B,ReliquidacionEFACT!B27,EFACT_CNE!U:U)</v>
      </c>
      <c r="Q27" s="10" t="str">
        <f t="shared" si="11"/>
        <v>SUMIF(EFACT_CNE!B:B,ReliquidacionEFACT!B27,EFACT_CNE!V:V)</v>
      </c>
      <c r="R27" s="11" t="str">
        <f t="shared" si="12"/>
        <v>IFERROR((Q27/P27),0)</v>
      </c>
      <c r="S27" s="10" t="str">
        <f t="shared" si="13"/>
        <v>(N27+Q27)</v>
      </c>
      <c r="U27" s="49">
        <v>43891</v>
      </c>
      <c r="V27" s="25" t="str">
        <f t="shared" si="14"/>
        <v>(S27-J27)</v>
      </c>
      <c r="W27" s="50" t="s">
        <v>347</v>
      </c>
      <c r="X27" s="26">
        <v>44275</v>
      </c>
      <c r="Y27" s="27">
        <v>3.9100000000000003E-2</v>
      </c>
      <c r="Z27" s="28">
        <v>43946</v>
      </c>
      <c r="AA27" s="28">
        <f t="shared" si="20"/>
        <v>44377</v>
      </c>
      <c r="AB27" s="29" t="str">
        <f t="shared" si="15"/>
        <v>(AA27-Z27)</v>
      </c>
      <c r="AC27" s="29" t="str">
        <f t="shared" si="16"/>
        <v>(1+Y27)^(AB27/360)-1</v>
      </c>
      <c r="AD27" s="50" t="str">
        <f t="shared" si="17"/>
        <v>(AC27*V27)</v>
      </c>
      <c r="AE27" s="29" t="str">
        <f t="shared" si="18"/>
        <v>(V27+AD27)</v>
      </c>
    </row>
    <row r="28" spans="1:31" x14ac:dyDescent="0.25">
      <c r="A28" s="39">
        <f t="shared" si="19"/>
        <v>28</v>
      </c>
      <c r="B28" s="36">
        <v>43922</v>
      </c>
      <c r="C28" s="50" t="s">
        <v>290</v>
      </c>
      <c r="D28" s="10" t="str">
        <f t="shared" si="0"/>
        <v>SUMIF(SIGGE_E!B:B,ReliquidacionEFACT!B28,SIGGE_E!S:S)</v>
      </c>
      <c r="E28" s="10" t="str">
        <f t="shared" si="1"/>
        <v>SUMIF(SIGGE_E!B:B,ReliquidacionEFACT!B28,SIGGE_E!T:T)</v>
      </c>
      <c r="F28" s="11" t="str">
        <f t="shared" si="2"/>
        <v>IFERROR((E28/D28),0)</v>
      </c>
      <c r="G28" s="12" t="str">
        <f t="shared" si="3"/>
        <v>SUMIF(SIGGE_P!B:B,ReliquidacionEFACT!B28,SIGGE_P!U:U)</v>
      </c>
      <c r="H28" s="10" t="str">
        <f t="shared" si="4"/>
        <v>SUMIF(SIGGE_P!B:B,ReliquidacionEFACT!B28,SIGGE_P!V:V)</v>
      </c>
      <c r="I28" s="11" t="str">
        <f t="shared" si="5"/>
        <v>IFERROR((H28/G28),0)</v>
      </c>
      <c r="J28" s="10" t="str">
        <f t="shared" si="6"/>
        <v>(E28+H28)</v>
      </c>
      <c r="L28" s="37" t="str">
        <f>(MAPA_DATA!K53)</f>
        <v>EFACT_CNE</v>
      </c>
      <c r="M28" s="10" t="str">
        <f t="shared" si="7"/>
        <v>SUMIF(EFACT_CNE!B:B,ReliquidacionEFACT!B28,EFACT_CNE!S:S)</v>
      </c>
      <c r="N28" s="10" t="str">
        <f t="shared" si="8"/>
        <v>SUMIF(EFACT_CNE!B:B,ReliquidacionEFACT!B28,EFACT_CNE!T:T)</v>
      </c>
      <c r="O28" s="11" t="str">
        <f t="shared" si="9"/>
        <v>IFERROR((N28/M28),0)</v>
      </c>
      <c r="P28" s="12" t="str">
        <f t="shared" si="10"/>
        <v>SUMIF(EFACT_CNE!B:B,ReliquidacionEFACT!B28,EFACT_CNE!U:U)</v>
      </c>
      <c r="Q28" s="10" t="str">
        <f t="shared" si="11"/>
        <v>SUMIF(EFACT_CNE!B:B,ReliquidacionEFACT!B28,EFACT_CNE!V:V)</v>
      </c>
      <c r="R28" s="11" t="str">
        <f t="shared" si="12"/>
        <v>IFERROR((Q28/P28),0)</v>
      </c>
      <c r="S28" s="10" t="str">
        <f t="shared" si="13"/>
        <v>(N28+Q28)</v>
      </c>
      <c r="U28" s="49">
        <v>43922</v>
      </c>
      <c r="V28" s="25" t="str">
        <f t="shared" si="14"/>
        <v>(S28-J28)</v>
      </c>
      <c r="W28" s="50" t="s">
        <v>347</v>
      </c>
      <c r="X28" s="26">
        <v>44275</v>
      </c>
      <c r="Y28" s="27">
        <v>3.9100000000000003E-2</v>
      </c>
      <c r="Z28" s="28">
        <v>43976</v>
      </c>
      <c r="AA28" s="28">
        <f t="shared" si="20"/>
        <v>44377</v>
      </c>
      <c r="AB28" s="29" t="str">
        <f t="shared" si="15"/>
        <v>(AA28-Z28)</v>
      </c>
      <c r="AC28" s="29" t="str">
        <f t="shared" si="16"/>
        <v>(1+Y28)^(AB28/360)-1</v>
      </c>
      <c r="AD28" s="50" t="str">
        <f t="shared" si="17"/>
        <v>(AC28*V28)</v>
      </c>
      <c r="AE28" s="29" t="str">
        <f t="shared" si="18"/>
        <v>(V28+AD28)</v>
      </c>
    </row>
    <row r="29" spans="1:31" x14ac:dyDescent="0.25">
      <c r="A29" s="39">
        <f t="shared" si="19"/>
        <v>29</v>
      </c>
      <c r="B29" s="36">
        <v>43952</v>
      </c>
      <c r="C29" s="50" t="s">
        <v>290</v>
      </c>
      <c r="D29" s="10" t="str">
        <f t="shared" si="0"/>
        <v>SUMIF(SIGGE_E!B:B,ReliquidacionEFACT!B29,SIGGE_E!S:S)</v>
      </c>
      <c r="E29" s="10" t="str">
        <f t="shared" si="1"/>
        <v>SUMIF(SIGGE_E!B:B,ReliquidacionEFACT!B29,SIGGE_E!T:T)</v>
      </c>
      <c r="F29" s="11" t="str">
        <f t="shared" si="2"/>
        <v>IFERROR((E29/D29),0)</v>
      </c>
      <c r="G29" s="12" t="str">
        <f t="shared" si="3"/>
        <v>SUMIF(SIGGE_P!B:B,ReliquidacionEFACT!B29,SIGGE_P!U:U)</v>
      </c>
      <c r="H29" s="10" t="str">
        <f t="shared" si="4"/>
        <v>SUMIF(SIGGE_P!B:B,ReliquidacionEFACT!B29,SIGGE_P!V:V)</v>
      </c>
      <c r="I29" s="11" t="str">
        <f t="shared" si="5"/>
        <v>IFERROR((H29/G29),0)</v>
      </c>
      <c r="J29" s="10" t="str">
        <f t="shared" si="6"/>
        <v>(E29+H29)</v>
      </c>
      <c r="L29" s="37" t="str">
        <f>(MAPA_DATA!K54)</f>
        <v>EFACT_CNE</v>
      </c>
      <c r="M29" s="10" t="str">
        <f t="shared" si="7"/>
        <v>SUMIF(EFACT_CNE!B:B,ReliquidacionEFACT!B29,EFACT_CNE!S:S)</v>
      </c>
      <c r="N29" s="10" t="str">
        <f t="shared" si="8"/>
        <v>SUMIF(EFACT_CNE!B:B,ReliquidacionEFACT!B29,EFACT_CNE!T:T)</v>
      </c>
      <c r="O29" s="11" t="str">
        <f t="shared" si="9"/>
        <v>IFERROR((N29/M29),0)</v>
      </c>
      <c r="P29" s="12" t="str">
        <f t="shared" si="10"/>
        <v>SUMIF(EFACT_CNE!B:B,ReliquidacionEFACT!B29,EFACT_CNE!U:U)</v>
      </c>
      <c r="Q29" s="10" t="str">
        <f t="shared" si="11"/>
        <v>SUMIF(EFACT_CNE!B:B,ReliquidacionEFACT!B29,EFACT_CNE!V:V)</v>
      </c>
      <c r="R29" s="11" t="str">
        <f t="shared" si="12"/>
        <v>IFERROR((Q29/P29),0)</v>
      </c>
      <c r="S29" s="10" t="str">
        <f t="shared" si="13"/>
        <v>(N29+Q29)</v>
      </c>
      <c r="U29" s="49">
        <v>43952</v>
      </c>
      <c r="V29" s="25" t="str">
        <f t="shared" si="14"/>
        <v>(S29-J29)</v>
      </c>
      <c r="W29" s="50" t="s">
        <v>347</v>
      </c>
      <c r="X29" s="26">
        <v>44275</v>
      </c>
      <c r="Y29" s="27">
        <v>3.9100000000000003E-2</v>
      </c>
      <c r="Z29" s="28">
        <v>44007</v>
      </c>
      <c r="AA29" s="28">
        <f t="shared" si="20"/>
        <v>44377</v>
      </c>
      <c r="AB29" s="29" t="str">
        <f t="shared" si="15"/>
        <v>(AA29-Z29)</v>
      </c>
      <c r="AC29" s="29" t="str">
        <f t="shared" si="16"/>
        <v>(1+Y29)^(AB29/360)-1</v>
      </c>
      <c r="AD29" s="50" t="str">
        <f t="shared" si="17"/>
        <v>(AC29*V29)</v>
      </c>
      <c r="AE29" s="29" t="str">
        <f t="shared" si="18"/>
        <v>(V29+AD29)</v>
      </c>
    </row>
    <row r="30" spans="1:31" x14ac:dyDescent="0.25">
      <c r="A30" s="39">
        <f t="shared" si="19"/>
        <v>30</v>
      </c>
      <c r="B30" s="36">
        <v>43983</v>
      </c>
      <c r="C30" s="50" t="s">
        <v>290</v>
      </c>
      <c r="D30" s="10" t="str">
        <f t="shared" si="0"/>
        <v>SUMIF(SIGGE_E!B:B,ReliquidacionEFACT!B30,SIGGE_E!S:S)</v>
      </c>
      <c r="E30" s="10" t="str">
        <f t="shared" si="1"/>
        <v>SUMIF(SIGGE_E!B:B,ReliquidacionEFACT!B30,SIGGE_E!T:T)</v>
      </c>
      <c r="F30" s="11" t="str">
        <f t="shared" si="2"/>
        <v>IFERROR((E30/D30),0)</v>
      </c>
      <c r="G30" s="12" t="str">
        <f t="shared" si="3"/>
        <v>SUMIF(SIGGE_P!B:B,ReliquidacionEFACT!B30,SIGGE_P!U:U)</v>
      </c>
      <c r="H30" s="10" t="str">
        <f t="shared" si="4"/>
        <v>SUMIF(SIGGE_P!B:B,ReliquidacionEFACT!B30,SIGGE_P!V:V)</v>
      </c>
      <c r="I30" s="11" t="str">
        <f t="shared" si="5"/>
        <v>IFERROR((H30/G30),0)</v>
      </c>
      <c r="J30" s="10" t="str">
        <f t="shared" si="6"/>
        <v>(E30+H30)</v>
      </c>
      <c r="L30" s="37" t="str">
        <f>(MAPA_DATA!K55)</f>
        <v>EFACT_CNE</v>
      </c>
      <c r="M30" s="10" t="str">
        <f t="shared" si="7"/>
        <v>SUMIF(EFACT_CNE!B:B,ReliquidacionEFACT!B30,EFACT_CNE!S:S)</v>
      </c>
      <c r="N30" s="10" t="str">
        <f t="shared" si="8"/>
        <v>SUMIF(EFACT_CNE!B:B,ReliquidacionEFACT!B30,EFACT_CNE!T:T)</v>
      </c>
      <c r="O30" s="11" t="str">
        <f t="shared" si="9"/>
        <v>IFERROR((N30/M30),0)</v>
      </c>
      <c r="P30" s="12" t="str">
        <f t="shared" si="10"/>
        <v>SUMIF(EFACT_CNE!B:B,ReliquidacionEFACT!B30,EFACT_CNE!U:U)</v>
      </c>
      <c r="Q30" s="10" t="str">
        <f t="shared" si="11"/>
        <v>SUMIF(EFACT_CNE!B:B,ReliquidacionEFACT!B30,EFACT_CNE!V:V)</v>
      </c>
      <c r="R30" s="11" t="str">
        <f t="shared" si="12"/>
        <v>IFERROR((Q30/P30),0)</v>
      </c>
      <c r="S30" s="10" t="str">
        <f t="shared" si="13"/>
        <v>(N30+Q30)</v>
      </c>
      <c r="U30" s="49">
        <v>43983</v>
      </c>
      <c r="V30" s="25" t="str">
        <f t="shared" si="14"/>
        <v>(S30-J30)</v>
      </c>
      <c r="W30" s="50" t="s">
        <v>347</v>
      </c>
      <c r="X30" s="26">
        <v>44275</v>
      </c>
      <c r="Y30" s="27">
        <v>3.9100000000000003E-2</v>
      </c>
      <c r="Z30" s="28">
        <v>44037</v>
      </c>
      <c r="AA30" s="28">
        <f t="shared" si="20"/>
        <v>44377</v>
      </c>
      <c r="AB30" s="29" t="str">
        <f t="shared" si="15"/>
        <v>(AA30-Z30)</v>
      </c>
      <c r="AC30" s="29" t="str">
        <f t="shared" si="16"/>
        <v>(1+Y30)^(AB30/360)-1</v>
      </c>
      <c r="AD30" s="50" t="str">
        <f t="shared" si="17"/>
        <v>(AC30*V30)</v>
      </c>
      <c r="AE30" s="29" t="str">
        <f t="shared" si="18"/>
        <v>(V30+AD30)</v>
      </c>
    </row>
    <row r="31" spans="1:31" x14ac:dyDescent="0.25">
      <c r="A31" s="39">
        <f t="shared" si="19"/>
        <v>31</v>
      </c>
      <c r="B31" s="36">
        <v>44013</v>
      </c>
      <c r="C31" s="50" t="s">
        <v>290</v>
      </c>
      <c r="D31" s="10" t="str">
        <f t="shared" si="0"/>
        <v>SUMIF(SIGGE_E!B:B,ReliquidacionEFACT!B31,SIGGE_E!S:S)</v>
      </c>
      <c r="E31" s="10" t="str">
        <f t="shared" si="1"/>
        <v>SUMIF(SIGGE_E!B:B,ReliquidacionEFACT!B31,SIGGE_E!T:T)</v>
      </c>
      <c r="F31" s="11" t="str">
        <f t="shared" si="2"/>
        <v>IFERROR((E31/D31),0)</v>
      </c>
      <c r="G31" s="12" t="str">
        <f t="shared" si="3"/>
        <v>SUMIF(SIGGE_P!B:B,ReliquidacionEFACT!B31,SIGGE_P!U:U)</v>
      </c>
      <c r="H31" s="10" t="str">
        <f t="shared" si="4"/>
        <v>SUMIF(SIGGE_P!B:B,ReliquidacionEFACT!B31,SIGGE_P!V:V)</v>
      </c>
      <c r="I31" s="11" t="str">
        <f t="shared" si="5"/>
        <v>IFERROR((H31/G31),0)</v>
      </c>
      <c r="J31" s="10" t="str">
        <f t="shared" si="6"/>
        <v>(E31+H31)</v>
      </c>
      <c r="L31" s="37" t="str">
        <f>(MAPA_DATA!K56)</f>
        <v>EFACT_CNE</v>
      </c>
      <c r="M31" s="10" t="str">
        <f t="shared" si="7"/>
        <v>SUMIF(EFACT_CNE!B:B,ReliquidacionEFACT!B31,EFACT_CNE!S:S)</v>
      </c>
      <c r="N31" s="10" t="str">
        <f t="shared" si="8"/>
        <v>SUMIF(EFACT_CNE!B:B,ReliquidacionEFACT!B31,EFACT_CNE!T:T)</v>
      </c>
      <c r="O31" s="11" t="str">
        <f t="shared" si="9"/>
        <v>IFERROR((N31/M31),0)</v>
      </c>
      <c r="P31" s="12" t="str">
        <f t="shared" si="10"/>
        <v>SUMIF(EFACT_CNE!B:B,ReliquidacionEFACT!B31,EFACT_CNE!U:U)</v>
      </c>
      <c r="Q31" s="10" t="str">
        <f t="shared" si="11"/>
        <v>SUMIF(EFACT_CNE!B:B,ReliquidacionEFACT!B31,EFACT_CNE!V:V)</v>
      </c>
      <c r="R31" s="11" t="str">
        <f t="shared" si="12"/>
        <v>IFERROR((Q31/P31),0)</v>
      </c>
      <c r="S31" s="10" t="str">
        <f t="shared" si="13"/>
        <v>(N31+Q31)</v>
      </c>
      <c r="U31" s="49">
        <v>44013</v>
      </c>
      <c r="V31" s="25" t="str">
        <f t="shared" si="14"/>
        <v>(S31-J31)</v>
      </c>
      <c r="W31" s="50" t="s">
        <v>348</v>
      </c>
      <c r="X31" s="26">
        <v>44336</v>
      </c>
      <c r="Y31" s="27">
        <v>3.2800000000000003E-2</v>
      </c>
      <c r="Z31" s="28">
        <v>44068</v>
      </c>
      <c r="AA31" s="28">
        <f t="shared" si="20"/>
        <v>44377</v>
      </c>
      <c r="AB31" s="29" t="str">
        <f t="shared" si="15"/>
        <v>(AA31-Z31)</v>
      </c>
      <c r="AC31" s="29" t="str">
        <f t="shared" si="16"/>
        <v>(1+Y31)^(AB31/360)-1</v>
      </c>
      <c r="AD31" s="50" t="str">
        <f t="shared" si="17"/>
        <v>(AC31*V31)</v>
      </c>
      <c r="AE31" s="29" t="str">
        <f t="shared" si="18"/>
        <v>(V31+AD31)</v>
      </c>
    </row>
    <row r="32" spans="1:31" x14ac:dyDescent="0.25">
      <c r="A32" s="39">
        <f t="shared" si="19"/>
        <v>32</v>
      </c>
      <c r="B32" s="36">
        <v>44044</v>
      </c>
      <c r="C32" s="50" t="s">
        <v>290</v>
      </c>
      <c r="D32" s="10" t="str">
        <f t="shared" si="0"/>
        <v>SUMIF(SIGGE_E!B:B,ReliquidacionEFACT!B32,SIGGE_E!S:S)</v>
      </c>
      <c r="E32" s="10" t="str">
        <f t="shared" si="1"/>
        <v>SUMIF(SIGGE_E!B:B,ReliquidacionEFACT!B32,SIGGE_E!T:T)</v>
      </c>
      <c r="F32" s="11" t="str">
        <f t="shared" si="2"/>
        <v>IFERROR((E32/D32),0)</v>
      </c>
      <c r="G32" s="12" t="str">
        <f t="shared" si="3"/>
        <v>SUMIF(SIGGE_P!B:B,ReliquidacionEFACT!B32,SIGGE_P!U:U)</v>
      </c>
      <c r="H32" s="10" t="str">
        <f t="shared" si="4"/>
        <v>SUMIF(SIGGE_P!B:B,ReliquidacionEFACT!B32,SIGGE_P!V:V)</v>
      </c>
      <c r="I32" s="11" t="str">
        <f t="shared" si="5"/>
        <v>IFERROR((H32/G32),0)</v>
      </c>
      <c r="J32" s="10" t="str">
        <f t="shared" si="6"/>
        <v>(E32+H32)</v>
      </c>
      <c r="L32" s="37" t="str">
        <f>(MAPA_DATA!K57)</f>
        <v>EFACT_CNE</v>
      </c>
      <c r="M32" s="10" t="str">
        <f t="shared" si="7"/>
        <v>SUMIF(EFACT_CNE!B:B,ReliquidacionEFACT!B32,EFACT_CNE!S:S)</v>
      </c>
      <c r="N32" s="10" t="str">
        <f t="shared" si="8"/>
        <v>SUMIF(EFACT_CNE!B:B,ReliquidacionEFACT!B32,EFACT_CNE!T:T)</v>
      </c>
      <c r="O32" s="11" t="str">
        <f t="shared" si="9"/>
        <v>IFERROR((N32/M32),0)</v>
      </c>
      <c r="P32" s="12" t="str">
        <f t="shared" si="10"/>
        <v>SUMIF(EFACT_CNE!B:B,ReliquidacionEFACT!B32,EFACT_CNE!U:U)</v>
      </c>
      <c r="Q32" s="10" t="str">
        <f t="shared" si="11"/>
        <v>SUMIF(EFACT_CNE!B:B,ReliquidacionEFACT!B32,EFACT_CNE!V:V)</v>
      </c>
      <c r="R32" s="11" t="str">
        <f t="shared" si="12"/>
        <v>IFERROR((Q32/P32),0)</v>
      </c>
      <c r="S32" s="10" t="str">
        <f t="shared" si="13"/>
        <v>(N32+Q32)</v>
      </c>
      <c r="U32" s="49">
        <v>44044</v>
      </c>
      <c r="V32" s="25" t="str">
        <f t="shared" si="14"/>
        <v>(S32-J32)</v>
      </c>
      <c r="W32" s="50" t="s">
        <v>348</v>
      </c>
      <c r="X32" s="26">
        <v>44336</v>
      </c>
      <c r="Y32" s="27">
        <v>3.2800000000000003E-2</v>
      </c>
      <c r="Z32" s="28">
        <v>44099</v>
      </c>
      <c r="AA32" s="28">
        <f t="shared" si="20"/>
        <v>44377</v>
      </c>
      <c r="AB32" s="29" t="str">
        <f t="shared" si="15"/>
        <v>(AA32-Z32)</v>
      </c>
      <c r="AC32" s="29" t="str">
        <f t="shared" si="16"/>
        <v>(1+Y32)^(AB32/360)-1</v>
      </c>
      <c r="AD32" s="50" t="str">
        <f t="shared" si="17"/>
        <v>(AC32*V32)</v>
      </c>
      <c r="AE32" s="29" t="str">
        <f t="shared" si="18"/>
        <v>(V32+AD32)</v>
      </c>
    </row>
    <row r="33" spans="1:31" x14ac:dyDescent="0.25">
      <c r="A33" s="39">
        <f>A32+1</f>
        <v>33</v>
      </c>
      <c r="B33" s="36">
        <v>44075</v>
      </c>
      <c r="C33" s="50" t="s">
        <v>290</v>
      </c>
      <c r="D33" s="10" t="str">
        <f t="shared" si="0"/>
        <v>SUMIF(SIGGE_E!B:B,ReliquidacionEFACT!B33,SIGGE_E!S:S)</v>
      </c>
      <c r="E33" s="10" t="str">
        <f t="shared" si="1"/>
        <v>SUMIF(SIGGE_E!B:B,ReliquidacionEFACT!B33,SIGGE_E!T:T)</v>
      </c>
      <c r="F33" s="11" t="str">
        <f t="shared" si="2"/>
        <v>IFERROR((E33/D33),0)</v>
      </c>
      <c r="G33" s="12" t="str">
        <f t="shared" si="3"/>
        <v>SUMIF(SIGGE_P!B:B,ReliquidacionEFACT!B33,SIGGE_P!U:U)</v>
      </c>
      <c r="H33" s="10" t="str">
        <f t="shared" si="4"/>
        <v>SUMIF(SIGGE_P!B:B,ReliquidacionEFACT!B33,SIGGE_P!V:V)</v>
      </c>
      <c r="I33" s="11" t="str">
        <f t="shared" si="5"/>
        <v>IFERROR((H33/G33),0)</v>
      </c>
      <c r="J33" s="10" t="str">
        <f t="shared" si="6"/>
        <v>(E33+H33)</v>
      </c>
      <c r="L33" s="37" t="str">
        <f>(MAPA_DATA!K58)</f>
        <v>EFACT_CNE</v>
      </c>
      <c r="M33" s="10" t="str">
        <f t="shared" si="7"/>
        <v>SUMIF(EFACT_CNE!B:B,ReliquidacionEFACT!B33,EFACT_CNE!S:S)</v>
      </c>
      <c r="N33" s="10" t="str">
        <f t="shared" si="8"/>
        <v>SUMIF(EFACT_CNE!B:B,ReliquidacionEFACT!B33,EFACT_CNE!T:T)</v>
      </c>
      <c r="O33" s="11" t="str">
        <f t="shared" si="9"/>
        <v>IFERROR((N33/M33),0)</v>
      </c>
      <c r="P33" s="12" t="str">
        <f t="shared" si="10"/>
        <v>SUMIF(EFACT_CNE!B:B,ReliquidacionEFACT!B33,EFACT_CNE!U:U)</v>
      </c>
      <c r="Q33" s="10" t="str">
        <f t="shared" si="11"/>
        <v>SUMIF(EFACT_CNE!B:B,ReliquidacionEFACT!B33,EFACT_CNE!V:V)</v>
      </c>
      <c r="R33" s="11" t="str">
        <f t="shared" si="12"/>
        <v>IFERROR((Q33/P33),0)</v>
      </c>
      <c r="S33" s="10" t="str">
        <f t="shared" si="13"/>
        <v>(N33+Q33)</v>
      </c>
      <c r="U33" s="49">
        <v>44075</v>
      </c>
      <c r="V33" s="25" t="str">
        <f t="shared" si="14"/>
        <v>(S33-J33)</v>
      </c>
      <c r="W33" s="50" t="s">
        <v>348</v>
      </c>
      <c r="X33" s="26">
        <v>44336</v>
      </c>
      <c r="Y33" s="27">
        <v>3.2800000000000003E-2</v>
      </c>
      <c r="Z33" s="28">
        <v>44129</v>
      </c>
      <c r="AA33" s="28">
        <f t="shared" si="20"/>
        <v>44377</v>
      </c>
      <c r="AB33" s="29" t="str">
        <f t="shared" si="15"/>
        <v>(AA33-Z33)</v>
      </c>
      <c r="AC33" s="29" t="str">
        <f t="shared" si="16"/>
        <v>(1+Y33)^(AB33/360)-1</v>
      </c>
      <c r="AD33" s="50" t="str">
        <f t="shared" si="17"/>
        <v>(AC33*V33)</v>
      </c>
      <c r="AE33" s="29" t="str">
        <f t="shared" si="18"/>
        <v>(V33+AD33)</v>
      </c>
    </row>
    <row r="34" spans="1:31" ht="15.75" thickBot="1" x14ac:dyDescent="0.3">
      <c r="Z34" s="1"/>
      <c r="AD34" s="51" t="s">
        <v>70</v>
      </c>
      <c r="AE34" s="52" t="str">
        <f>CONCATENATE("SUM(AE9:AE33)")</f>
        <v>SUM(AE9:AE33)</v>
      </c>
    </row>
    <row r="36" spans="1:31" x14ac:dyDescent="0.25">
      <c r="AC36" s="17" t="s">
        <v>72</v>
      </c>
      <c r="AD36" s="18" t="s">
        <v>354</v>
      </c>
      <c r="AE36" s="19"/>
    </row>
    <row r="37" spans="1:31" x14ac:dyDescent="0.25">
      <c r="AC37" s="20" t="s">
        <v>73</v>
      </c>
      <c r="AD37" s="13" t="s">
        <v>355</v>
      </c>
      <c r="AE37" s="21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1E57-2BE4-4429-AE4F-4EF89B3018BD}">
  <dimension ref="A1:AE37"/>
  <sheetViews>
    <sheetView showGridLines="0" tabSelected="1" topLeftCell="H1" zoomScale="85" zoomScaleNormal="85" workbookViewId="0">
      <selection activeCell="L9" sqref="L9:L33"/>
    </sheetView>
  </sheetViews>
  <sheetFormatPr baseColWidth="10" defaultRowHeight="15" x14ac:dyDescent="0.25"/>
  <cols>
    <col min="1" max="1" width="12.28515625" style="38" bestFit="1" customWidth="1"/>
    <col min="2" max="2" width="19" style="5" bestFit="1" customWidth="1"/>
    <col min="3" max="3" width="16.28515625" style="5" bestFit="1" customWidth="1"/>
    <col min="4" max="4" width="54.140625" customWidth="1"/>
    <col min="5" max="5" width="53.5703125" customWidth="1"/>
    <col min="6" max="6" width="20.140625" bestFit="1" customWidth="1"/>
    <col min="7" max="7" width="53.85546875" customWidth="1"/>
    <col min="8" max="8" width="54.57031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55.5703125" customWidth="1"/>
    <col min="15" max="15" width="20.140625" bestFit="1" customWidth="1"/>
    <col min="16" max="16" width="5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0" t="s">
        <v>96</v>
      </c>
      <c r="W2"/>
      <c r="X2"/>
      <c r="Y2"/>
    </row>
    <row r="3" spans="1:31" x14ac:dyDescent="0.25">
      <c r="A3" s="7" t="s">
        <v>61</v>
      </c>
      <c r="B3" s="31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2" t="s">
        <v>98</v>
      </c>
      <c r="W5"/>
      <c r="X5"/>
      <c r="Y5"/>
    </row>
    <row r="7" spans="1:31" ht="14.45" customHeight="1" x14ac:dyDescent="0.25">
      <c r="C7" s="57" t="s">
        <v>294</v>
      </c>
      <c r="D7" s="57"/>
      <c r="E7" s="57"/>
      <c r="F7" s="57"/>
      <c r="G7" s="57"/>
      <c r="H7" s="57"/>
      <c r="I7" s="57"/>
      <c r="J7" s="58"/>
      <c r="L7" s="59" t="s">
        <v>295</v>
      </c>
      <c r="M7" s="59"/>
      <c r="N7" s="59"/>
      <c r="O7" s="59"/>
      <c r="P7" s="59"/>
      <c r="Q7" s="59"/>
      <c r="R7" s="59"/>
      <c r="S7" s="59"/>
      <c r="U7" s="60" t="s">
        <v>297</v>
      </c>
      <c r="V7" s="61"/>
      <c r="W7" s="61"/>
      <c r="X7" s="61"/>
      <c r="Y7" s="61"/>
      <c r="Z7" s="61"/>
      <c r="AA7" s="61"/>
      <c r="AB7" s="61"/>
      <c r="AC7" s="61"/>
      <c r="AD7" s="61"/>
      <c r="AE7" s="62"/>
    </row>
    <row r="8" spans="1:31" s="3" customFormat="1" ht="30" x14ac:dyDescent="0.25">
      <c r="A8" s="33" t="s">
        <v>299</v>
      </c>
      <c r="B8" s="33" t="s">
        <v>298</v>
      </c>
      <c r="C8" s="33" t="s">
        <v>296</v>
      </c>
      <c r="D8" s="33" t="s">
        <v>62</v>
      </c>
      <c r="E8" s="23" t="s">
        <v>68</v>
      </c>
      <c r="F8" s="33" t="s">
        <v>64</v>
      </c>
      <c r="G8" s="33" t="s">
        <v>66</v>
      </c>
      <c r="H8" s="23" t="s">
        <v>69</v>
      </c>
      <c r="I8" s="33" t="s">
        <v>67</v>
      </c>
      <c r="J8" s="24" t="s">
        <v>63</v>
      </c>
      <c r="L8" s="33" t="s">
        <v>296</v>
      </c>
      <c r="M8" s="33" t="s">
        <v>62</v>
      </c>
      <c r="N8" s="23" t="s">
        <v>68</v>
      </c>
      <c r="O8" s="33" t="s">
        <v>64</v>
      </c>
      <c r="P8" s="33" t="s">
        <v>66</v>
      </c>
      <c r="Q8" s="23" t="s">
        <v>69</v>
      </c>
      <c r="R8" s="33" t="s">
        <v>67</v>
      </c>
      <c r="S8" s="24" t="s">
        <v>63</v>
      </c>
      <c r="U8" s="16" t="s">
        <v>3</v>
      </c>
      <c r="V8" s="48" t="s">
        <v>319</v>
      </c>
      <c r="W8" s="15" t="s">
        <v>320</v>
      </c>
      <c r="X8" s="16" t="s">
        <v>321</v>
      </c>
      <c r="Y8" s="15" t="s">
        <v>322</v>
      </c>
      <c r="Z8" s="16" t="s">
        <v>323</v>
      </c>
      <c r="AA8" s="15" t="s">
        <v>324</v>
      </c>
      <c r="AB8" s="16" t="s">
        <v>325</v>
      </c>
      <c r="AC8" s="16" t="s">
        <v>326</v>
      </c>
      <c r="AD8" s="15" t="s">
        <v>327</v>
      </c>
      <c r="AE8" s="14" t="s">
        <v>328</v>
      </c>
    </row>
    <row r="9" spans="1:31" x14ac:dyDescent="0.25">
      <c r="A9" s="39">
        <f>9</f>
        <v>9</v>
      </c>
      <c r="B9" s="36">
        <v>43344</v>
      </c>
      <c r="C9" s="50" t="s">
        <v>290</v>
      </c>
      <c r="D9" s="10" t="str">
        <f t="shared" ref="D9:D33" si="0">CONCATENATE("SUMIF(",IF(C9="FACT_EMITIDA","SIGGE_E",C9),"!B:B,ReliquidacionEFACT!B",A9,",",IF(C9="FACT_EMITIDA","SIGGE_E",C9),"!S:S)")</f>
        <v>SUMIF(SIGGE_E!B:B,ReliquidacionEFACT!B9,SIGGE_E!S:S)</v>
      </c>
      <c r="E9" s="10" t="str">
        <f t="shared" ref="E9:E33" si="1">CONCATENATE("SUMIF(",IF(C9="FACT_EMITIDA","SIGGE_E",C9),"!B:B,ReliquidacionEFACT!B",A9,",",IF(C9="FACT_EMITIDA","SIGGE_E",C9),"!T:T)")</f>
        <v>SUMIF(SIGGE_E!B:B,ReliquidacionEFACT!B9,SIGGE_E!T:T)</v>
      </c>
      <c r="F9" s="11" t="str">
        <f t="shared" ref="F9:F33" si="2">CONCATENATE("IFERROR((E",A9,"/D",A9,"),0)")</f>
        <v>IFERROR((E9/D9),0)</v>
      </c>
      <c r="G9" s="12" t="str">
        <f t="shared" ref="G9:G33" si="3">CONCATENATE("SUMIF(",IF(C9="FACT_EMITIDA","SIGGE_P",C9),"!B:B,ReliquidacionEFACT!B",A9,",",IF(C9="FACT_EMITIDA","SIGGE_P",C9),"!U:U)")</f>
        <v>SUMIF(SIGGE_P!B:B,ReliquidacionEFACT!B9,SIGGE_P!U:U)</v>
      </c>
      <c r="H9" s="10" t="str">
        <f t="shared" ref="H9:H33" si="4">CONCATENATE("SUMIF(",IF(C9="FACT_EMITIDA","SIGGE_P",C9),"!B:B,ReliquidacionEFACT!B",A9,",",IF(C9="FACT_EMITIDA","SIGGE_P",C9),"!V:V)")</f>
        <v>SUMIF(SIGGE_P!B:B,ReliquidacionEFACT!B9,SIGGE_P!V:V)</v>
      </c>
      <c r="I9" s="11" t="str">
        <f t="shared" ref="I9:I33" si="5">CONCATENATE("IFERROR((H",A9,"/G",A9,"),0)")</f>
        <v>IFERROR((H9/G9),0)</v>
      </c>
      <c r="J9" s="10" t="str">
        <f t="shared" ref="J9:J33" si="6">CONCATENATE("(E",A9,"+H",A9,")")</f>
        <v>(E9+H9)</v>
      </c>
      <c r="L9" s="37" t="s">
        <v>293</v>
      </c>
      <c r="M9" s="10" t="str">
        <f t="shared" ref="M9:M33" si="7">CONCATENATE("SUMIF(",L9,"!B:B,ReliquidacionEFACT!B",A9,",",L9,"!S:S)")</f>
        <v>SUMIF(FACT_EST_CEN!B:B,ReliquidacionEFACT!B9,FACT_EST_CEN!S:S)</v>
      </c>
      <c r="N9" s="10" t="str">
        <f t="shared" ref="N9:N33" si="8">CONCATENATE("SUMIF(",L9,"!B:B,ReliquidacionEFACT!B",A9,",",L9,"!T:T)")</f>
        <v>SUMIF(FACT_EST_CEN!B:B,ReliquidacionEFACT!B9,FACT_EST_CEN!T:T)</v>
      </c>
      <c r="O9" s="11" t="str">
        <f t="shared" ref="O9:O33" si="9">CONCATENATE("IFERROR((N",A9,"/M",A9,"),0)")</f>
        <v>IFERROR((N9/M9),0)</v>
      </c>
      <c r="P9" s="12" t="str">
        <f t="shared" ref="P9:P33" si="10">CONCATENATE("SUMIF(",L9,"!B:B,ReliquidacionEFACT!B",A9,",",L9,"!U:U)")</f>
        <v>SUMIF(FACT_EST_CEN!B:B,ReliquidacionEFACT!B9,FACT_EST_CEN!U:U)</v>
      </c>
      <c r="Q9" s="10" t="str">
        <f t="shared" ref="Q9:Q33" si="11">CONCATENATE("SUMIF(",L9,"!B:B,ReliquidacionEFACT!B",A9,",",L9,"!V:V)")</f>
        <v>SUMIF(FACT_EST_CEN!B:B,ReliquidacionEFACT!B9,FACT_EST_CEN!V:V)</v>
      </c>
      <c r="R9" s="11" t="str">
        <f t="shared" ref="R9:R33" si="12">CONCATENATE("IFERROR((Q",A9,"/P",A9,"),0)")</f>
        <v>IFERROR((Q9/P9),0)</v>
      </c>
      <c r="S9" s="10" t="str">
        <f t="shared" ref="S9:S33" si="13">CONCATENATE("(N",A9,"+Q",A9,")")</f>
        <v>(N9+Q9)</v>
      </c>
      <c r="U9" s="49">
        <v>43344</v>
      </c>
      <c r="V9" s="25" t="str">
        <f t="shared" ref="V9:V33" si="14">CONCATENATE("(S",A9,"-J",A9,")")</f>
        <v>(S9-J9)</v>
      </c>
      <c r="W9" s="50" t="s">
        <v>346</v>
      </c>
      <c r="X9" s="26">
        <v>44137</v>
      </c>
      <c r="Y9" s="27">
        <v>3.61E-2</v>
      </c>
      <c r="Z9" s="28">
        <v>43398</v>
      </c>
      <c r="AA9" s="28">
        <v>44377</v>
      </c>
      <c r="AB9" s="29" t="str">
        <f t="shared" ref="AB9:AB33" si="15">CONCATENATE("(AA",A9,"-Z",A9,")")</f>
        <v>(AA9-Z9)</v>
      </c>
      <c r="AC9" s="29" t="str">
        <f t="shared" ref="AC9:AC33" si="16">CONCATENATE("(1+Y",A9,")^(AB",A9,"/360)-1")</f>
        <v>(1+Y9)^(AB9/360)-1</v>
      </c>
      <c r="AD9" s="50" t="str">
        <f t="shared" ref="AD9:AD33" si="17">CONCATENATE("(AC",A9,"*V",A9,")")</f>
        <v>(AC9*V9)</v>
      </c>
      <c r="AE9" s="29" t="str">
        <f t="shared" ref="AE9:AE33" si="18">CONCATENATE("(V",A9,"+AD",A9,")")</f>
        <v>(V9+AD9)</v>
      </c>
    </row>
    <row r="10" spans="1:31" x14ac:dyDescent="0.25">
      <c r="A10" s="39">
        <f t="shared" ref="A10:A32" si="19">A9+1</f>
        <v>10</v>
      </c>
      <c r="B10" s="36">
        <v>43374</v>
      </c>
      <c r="C10" s="50" t="s">
        <v>290</v>
      </c>
      <c r="D10" s="10" t="str">
        <f t="shared" si="0"/>
        <v>SUMIF(SIGGE_E!B:B,ReliquidacionEFACT!B10,SIGGE_E!S:S)</v>
      </c>
      <c r="E10" s="10" t="str">
        <f t="shared" si="1"/>
        <v>SUMIF(SIGGE_E!B:B,ReliquidacionEFACT!B10,SIGGE_E!T:T)</v>
      </c>
      <c r="F10" s="11" t="str">
        <f t="shared" si="2"/>
        <v>IFERROR((E10/D10),0)</v>
      </c>
      <c r="G10" s="12" t="str">
        <f t="shared" si="3"/>
        <v>SUMIF(SIGGE_P!B:B,ReliquidacionEFACT!B10,SIGGE_P!U:U)</v>
      </c>
      <c r="H10" s="10" t="str">
        <f t="shared" si="4"/>
        <v>SUMIF(SIGGE_P!B:B,ReliquidacionEFACT!B10,SIGGE_P!V:V)</v>
      </c>
      <c r="I10" s="11" t="str">
        <f t="shared" si="5"/>
        <v>IFERROR((H10/G10),0)</v>
      </c>
      <c r="J10" s="10" t="str">
        <f t="shared" si="6"/>
        <v>(E10+H10)</v>
      </c>
      <c r="L10" s="37" t="s">
        <v>293</v>
      </c>
      <c r="M10" s="10" t="str">
        <f t="shared" si="7"/>
        <v>SUMIF(FACT_EST_CEN!B:B,ReliquidacionEFACT!B10,FACT_EST_CEN!S:S)</v>
      </c>
      <c r="N10" s="10" t="str">
        <f t="shared" si="8"/>
        <v>SUMIF(FACT_EST_CEN!B:B,ReliquidacionEFACT!B10,FACT_EST_CEN!T:T)</v>
      </c>
      <c r="O10" s="11" t="str">
        <f t="shared" si="9"/>
        <v>IFERROR((N10/M10),0)</v>
      </c>
      <c r="P10" s="12" t="str">
        <f t="shared" si="10"/>
        <v>SUMIF(FACT_EST_CEN!B:B,ReliquidacionEFACT!B10,FACT_EST_CEN!U:U)</v>
      </c>
      <c r="Q10" s="10" t="str">
        <f t="shared" si="11"/>
        <v>SUMIF(FACT_EST_CEN!B:B,ReliquidacionEFACT!B10,FACT_EST_CEN!V:V)</v>
      </c>
      <c r="R10" s="11" t="str">
        <f t="shared" si="12"/>
        <v>IFERROR((Q10/P10),0)</v>
      </c>
      <c r="S10" s="10" t="str">
        <f t="shared" si="13"/>
        <v>(N10+Q10)</v>
      </c>
      <c r="U10" s="49">
        <v>43374</v>
      </c>
      <c r="V10" s="25" t="str">
        <f t="shared" si="14"/>
        <v>(S10-J10)</v>
      </c>
      <c r="W10" s="50" t="s">
        <v>346</v>
      </c>
      <c r="X10" s="26">
        <v>44137</v>
      </c>
      <c r="Y10" s="27">
        <v>3.61E-2</v>
      </c>
      <c r="Z10" s="28">
        <v>43429</v>
      </c>
      <c r="AA10" s="28">
        <f t="shared" ref="AA10:AA33" si="20">AA9</f>
        <v>44377</v>
      </c>
      <c r="AB10" s="29" t="str">
        <f t="shared" si="15"/>
        <v>(AA10-Z10)</v>
      </c>
      <c r="AC10" s="29" t="str">
        <f t="shared" si="16"/>
        <v>(1+Y10)^(AB10/360)-1</v>
      </c>
      <c r="AD10" s="50" t="str">
        <f t="shared" si="17"/>
        <v>(AC10*V10)</v>
      </c>
      <c r="AE10" s="29" t="str">
        <f t="shared" si="18"/>
        <v>(V10+AD10)</v>
      </c>
    </row>
    <row r="11" spans="1:31" x14ac:dyDescent="0.25">
      <c r="A11" s="39">
        <f t="shared" si="19"/>
        <v>11</v>
      </c>
      <c r="B11" s="36">
        <v>43405</v>
      </c>
      <c r="C11" s="50" t="s">
        <v>290</v>
      </c>
      <c r="D11" s="10" t="str">
        <f t="shared" si="0"/>
        <v>SUMIF(SIGGE_E!B:B,ReliquidacionEFACT!B11,SIGGE_E!S:S)</v>
      </c>
      <c r="E11" s="10" t="str">
        <f t="shared" si="1"/>
        <v>SUMIF(SIGGE_E!B:B,ReliquidacionEFACT!B11,SIGGE_E!T:T)</v>
      </c>
      <c r="F11" s="11" t="str">
        <f t="shared" si="2"/>
        <v>IFERROR((E11/D11),0)</v>
      </c>
      <c r="G11" s="12" t="str">
        <f t="shared" si="3"/>
        <v>SUMIF(SIGGE_P!B:B,ReliquidacionEFACT!B11,SIGGE_P!U:U)</v>
      </c>
      <c r="H11" s="10" t="str">
        <f t="shared" si="4"/>
        <v>SUMIF(SIGGE_P!B:B,ReliquidacionEFACT!B11,SIGGE_P!V:V)</v>
      </c>
      <c r="I11" s="11" t="str">
        <f t="shared" si="5"/>
        <v>IFERROR((H11/G11),0)</v>
      </c>
      <c r="J11" s="10" t="str">
        <f t="shared" si="6"/>
        <v>(E11+H11)</v>
      </c>
      <c r="L11" s="37" t="s">
        <v>293</v>
      </c>
      <c r="M11" s="10" t="str">
        <f t="shared" si="7"/>
        <v>SUMIF(FACT_EST_CEN!B:B,ReliquidacionEFACT!B11,FACT_EST_CEN!S:S)</v>
      </c>
      <c r="N11" s="10" t="str">
        <f t="shared" si="8"/>
        <v>SUMIF(FACT_EST_CEN!B:B,ReliquidacionEFACT!B11,FACT_EST_CEN!T:T)</v>
      </c>
      <c r="O11" s="11" t="str">
        <f t="shared" si="9"/>
        <v>IFERROR((N11/M11),0)</v>
      </c>
      <c r="P11" s="12" t="str">
        <f t="shared" si="10"/>
        <v>SUMIF(FACT_EST_CEN!B:B,ReliquidacionEFACT!B11,FACT_EST_CEN!U:U)</v>
      </c>
      <c r="Q11" s="10" t="str">
        <f t="shared" si="11"/>
        <v>SUMIF(FACT_EST_CEN!B:B,ReliquidacionEFACT!B11,FACT_EST_CEN!V:V)</v>
      </c>
      <c r="R11" s="11" t="str">
        <f t="shared" si="12"/>
        <v>IFERROR((Q11/P11),0)</v>
      </c>
      <c r="S11" s="10" t="str">
        <f t="shared" si="13"/>
        <v>(N11+Q11)</v>
      </c>
      <c r="U11" s="49">
        <v>43405</v>
      </c>
      <c r="V11" s="25" t="str">
        <f t="shared" si="14"/>
        <v>(S11-J11)</v>
      </c>
      <c r="W11" s="50" t="s">
        <v>346</v>
      </c>
      <c r="X11" s="26">
        <v>44137</v>
      </c>
      <c r="Y11" s="27">
        <v>3.61E-2</v>
      </c>
      <c r="Z11" s="28">
        <v>43459</v>
      </c>
      <c r="AA11" s="28">
        <f t="shared" si="20"/>
        <v>44377</v>
      </c>
      <c r="AB11" s="29" t="str">
        <f t="shared" si="15"/>
        <v>(AA11-Z11)</v>
      </c>
      <c r="AC11" s="29" t="str">
        <f t="shared" si="16"/>
        <v>(1+Y11)^(AB11/360)-1</v>
      </c>
      <c r="AD11" s="50" t="str">
        <f t="shared" si="17"/>
        <v>(AC11*V11)</v>
      </c>
      <c r="AE11" s="29" t="str">
        <f t="shared" si="18"/>
        <v>(V11+AD11)</v>
      </c>
    </row>
    <row r="12" spans="1:31" x14ac:dyDescent="0.25">
      <c r="A12" s="39">
        <f t="shared" si="19"/>
        <v>12</v>
      </c>
      <c r="B12" s="36">
        <v>43435</v>
      </c>
      <c r="C12" s="50" t="s">
        <v>290</v>
      </c>
      <c r="D12" s="10" t="str">
        <f t="shared" si="0"/>
        <v>SUMIF(SIGGE_E!B:B,ReliquidacionEFACT!B12,SIGGE_E!S:S)</v>
      </c>
      <c r="E12" s="10" t="str">
        <f t="shared" si="1"/>
        <v>SUMIF(SIGGE_E!B:B,ReliquidacionEFACT!B12,SIGGE_E!T:T)</v>
      </c>
      <c r="F12" s="11" t="str">
        <f t="shared" si="2"/>
        <v>IFERROR((E12/D12),0)</v>
      </c>
      <c r="G12" s="12" t="str">
        <f t="shared" si="3"/>
        <v>SUMIF(SIGGE_P!B:B,ReliquidacionEFACT!B12,SIGGE_P!U:U)</v>
      </c>
      <c r="H12" s="10" t="str">
        <f t="shared" si="4"/>
        <v>SUMIF(SIGGE_P!B:B,ReliquidacionEFACT!B12,SIGGE_P!V:V)</v>
      </c>
      <c r="I12" s="11" t="str">
        <f t="shared" si="5"/>
        <v>IFERROR((H12/G12),0)</v>
      </c>
      <c r="J12" s="10" t="str">
        <f t="shared" si="6"/>
        <v>(E12+H12)</v>
      </c>
      <c r="L12" s="37" t="s">
        <v>293</v>
      </c>
      <c r="M12" s="10" t="str">
        <f t="shared" si="7"/>
        <v>SUMIF(FACT_EST_CEN!B:B,ReliquidacionEFACT!B12,FACT_EST_CEN!S:S)</v>
      </c>
      <c r="N12" s="10" t="str">
        <f t="shared" si="8"/>
        <v>SUMIF(FACT_EST_CEN!B:B,ReliquidacionEFACT!B12,FACT_EST_CEN!T:T)</v>
      </c>
      <c r="O12" s="11" t="str">
        <f t="shared" si="9"/>
        <v>IFERROR((N12/M12),0)</v>
      </c>
      <c r="P12" s="12" t="str">
        <f t="shared" si="10"/>
        <v>SUMIF(FACT_EST_CEN!B:B,ReliquidacionEFACT!B12,FACT_EST_CEN!U:U)</v>
      </c>
      <c r="Q12" s="10" t="str">
        <f t="shared" si="11"/>
        <v>SUMIF(FACT_EST_CEN!B:B,ReliquidacionEFACT!B12,FACT_EST_CEN!V:V)</v>
      </c>
      <c r="R12" s="11" t="str">
        <f t="shared" si="12"/>
        <v>IFERROR((Q12/P12),0)</v>
      </c>
      <c r="S12" s="10" t="str">
        <f t="shared" si="13"/>
        <v>(N12+Q12)</v>
      </c>
      <c r="U12" s="49">
        <v>43435</v>
      </c>
      <c r="V12" s="25" t="str">
        <f t="shared" si="14"/>
        <v>(S12-J12)</v>
      </c>
      <c r="W12" s="50" t="s">
        <v>346</v>
      </c>
      <c r="X12" s="26">
        <v>44137</v>
      </c>
      <c r="Y12" s="27">
        <v>3.61E-2</v>
      </c>
      <c r="Z12" s="28">
        <v>43490</v>
      </c>
      <c r="AA12" s="28">
        <f t="shared" si="20"/>
        <v>44377</v>
      </c>
      <c r="AB12" s="29" t="str">
        <f t="shared" si="15"/>
        <v>(AA12-Z12)</v>
      </c>
      <c r="AC12" s="29" t="str">
        <f t="shared" si="16"/>
        <v>(1+Y12)^(AB12/360)-1</v>
      </c>
      <c r="AD12" s="50" t="str">
        <f t="shared" si="17"/>
        <v>(AC12*V12)</v>
      </c>
      <c r="AE12" s="29" t="str">
        <f t="shared" si="18"/>
        <v>(V12+AD12)</v>
      </c>
    </row>
    <row r="13" spans="1:31" x14ac:dyDescent="0.25">
      <c r="A13" s="39">
        <f t="shared" si="19"/>
        <v>13</v>
      </c>
      <c r="B13" s="36">
        <v>43466</v>
      </c>
      <c r="C13" s="50" t="s">
        <v>290</v>
      </c>
      <c r="D13" s="10" t="str">
        <f t="shared" si="0"/>
        <v>SUMIF(SIGGE_E!B:B,ReliquidacionEFACT!B13,SIGGE_E!S:S)</v>
      </c>
      <c r="E13" s="10" t="str">
        <f t="shared" si="1"/>
        <v>SUMIF(SIGGE_E!B:B,ReliquidacionEFACT!B13,SIGGE_E!T:T)</v>
      </c>
      <c r="F13" s="11" t="str">
        <f t="shared" si="2"/>
        <v>IFERROR((E13/D13),0)</v>
      </c>
      <c r="G13" s="12" t="str">
        <f t="shared" si="3"/>
        <v>SUMIF(SIGGE_P!B:B,ReliquidacionEFACT!B13,SIGGE_P!U:U)</v>
      </c>
      <c r="H13" s="10" t="str">
        <f t="shared" si="4"/>
        <v>SUMIF(SIGGE_P!B:B,ReliquidacionEFACT!B13,SIGGE_P!V:V)</v>
      </c>
      <c r="I13" s="11" t="str">
        <f t="shared" si="5"/>
        <v>IFERROR((H13/G13),0)</v>
      </c>
      <c r="J13" s="10" t="str">
        <f t="shared" si="6"/>
        <v>(E13+H13)</v>
      </c>
      <c r="L13" s="37" t="s">
        <v>293</v>
      </c>
      <c r="M13" s="10" t="str">
        <f t="shared" si="7"/>
        <v>SUMIF(FACT_EST_CEN!B:B,ReliquidacionEFACT!B13,FACT_EST_CEN!S:S)</v>
      </c>
      <c r="N13" s="10" t="str">
        <f t="shared" si="8"/>
        <v>SUMIF(FACT_EST_CEN!B:B,ReliquidacionEFACT!B13,FACT_EST_CEN!T:T)</v>
      </c>
      <c r="O13" s="11" t="str">
        <f t="shared" si="9"/>
        <v>IFERROR((N13/M13),0)</v>
      </c>
      <c r="P13" s="12" t="str">
        <f t="shared" si="10"/>
        <v>SUMIF(FACT_EST_CEN!B:B,ReliquidacionEFACT!B13,FACT_EST_CEN!U:U)</v>
      </c>
      <c r="Q13" s="10" t="str">
        <f t="shared" si="11"/>
        <v>SUMIF(FACT_EST_CEN!B:B,ReliquidacionEFACT!B13,FACT_EST_CEN!V:V)</v>
      </c>
      <c r="R13" s="11" t="str">
        <f t="shared" si="12"/>
        <v>IFERROR((Q13/P13),0)</v>
      </c>
      <c r="S13" s="10" t="str">
        <f t="shared" si="13"/>
        <v>(N13+Q13)</v>
      </c>
      <c r="U13" s="49">
        <v>43466</v>
      </c>
      <c r="V13" s="25" t="str">
        <f t="shared" si="14"/>
        <v>(S13-J13)</v>
      </c>
      <c r="W13" s="50" t="s">
        <v>346</v>
      </c>
      <c r="X13" s="26">
        <v>44137</v>
      </c>
      <c r="Y13" s="27">
        <v>3.61E-2</v>
      </c>
      <c r="Z13" s="28">
        <v>43521</v>
      </c>
      <c r="AA13" s="28">
        <f t="shared" si="20"/>
        <v>44377</v>
      </c>
      <c r="AB13" s="29" t="str">
        <f t="shared" si="15"/>
        <v>(AA13-Z13)</v>
      </c>
      <c r="AC13" s="29" t="str">
        <f t="shared" si="16"/>
        <v>(1+Y13)^(AB13/360)-1</v>
      </c>
      <c r="AD13" s="50" t="str">
        <f t="shared" si="17"/>
        <v>(AC13*V13)</v>
      </c>
      <c r="AE13" s="29" t="str">
        <f t="shared" si="18"/>
        <v>(V13+AD13)</v>
      </c>
    </row>
    <row r="14" spans="1:31" x14ac:dyDescent="0.25">
      <c r="A14" s="39">
        <f t="shared" si="19"/>
        <v>14</v>
      </c>
      <c r="B14" s="36">
        <v>43497</v>
      </c>
      <c r="C14" s="50" t="s">
        <v>290</v>
      </c>
      <c r="D14" s="10" t="str">
        <f t="shared" si="0"/>
        <v>SUMIF(SIGGE_E!B:B,ReliquidacionEFACT!B14,SIGGE_E!S:S)</v>
      </c>
      <c r="E14" s="10" t="str">
        <f t="shared" si="1"/>
        <v>SUMIF(SIGGE_E!B:B,ReliquidacionEFACT!B14,SIGGE_E!T:T)</v>
      </c>
      <c r="F14" s="11" t="str">
        <f t="shared" si="2"/>
        <v>IFERROR((E14/D14),0)</v>
      </c>
      <c r="G14" s="12" t="str">
        <f t="shared" si="3"/>
        <v>SUMIF(SIGGE_P!B:B,ReliquidacionEFACT!B14,SIGGE_P!U:U)</v>
      </c>
      <c r="H14" s="10" t="str">
        <f t="shared" si="4"/>
        <v>SUMIF(SIGGE_P!B:B,ReliquidacionEFACT!B14,SIGGE_P!V:V)</v>
      </c>
      <c r="I14" s="11" t="str">
        <f t="shared" si="5"/>
        <v>IFERROR((H14/G14),0)</v>
      </c>
      <c r="J14" s="10" t="str">
        <f t="shared" si="6"/>
        <v>(E14+H14)</v>
      </c>
      <c r="L14" s="37" t="s">
        <v>293</v>
      </c>
      <c r="M14" s="10" t="str">
        <f t="shared" si="7"/>
        <v>SUMIF(FACT_EST_CEN!B:B,ReliquidacionEFACT!B14,FACT_EST_CEN!S:S)</v>
      </c>
      <c r="N14" s="10" t="str">
        <f t="shared" si="8"/>
        <v>SUMIF(FACT_EST_CEN!B:B,ReliquidacionEFACT!B14,FACT_EST_CEN!T:T)</v>
      </c>
      <c r="O14" s="11" t="str">
        <f t="shared" si="9"/>
        <v>IFERROR((N14/M14),0)</v>
      </c>
      <c r="P14" s="12" t="str">
        <f t="shared" si="10"/>
        <v>SUMIF(FACT_EST_CEN!B:B,ReliquidacionEFACT!B14,FACT_EST_CEN!U:U)</v>
      </c>
      <c r="Q14" s="10" t="str">
        <f t="shared" si="11"/>
        <v>SUMIF(FACT_EST_CEN!B:B,ReliquidacionEFACT!B14,FACT_EST_CEN!V:V)</v>
      </c>
      <c r="R14" s="11" t="str">
        <f t="shared" si="12"/>
        <v>IFERROR((Q14/P14),0)</v>
      </c>
      <c r="S14" s="10" t="str">
        <f t="shared" si="13"/>
        <v>(N14+Q14)</v>
      </c>
      <c r="U14" s="49">
        <v>43497</v>
      </c>
      <c r="V14" s="25" t="str">
        <f t="shared" si="14"/>
        <v>(S14-J14)</v>
      </c>
      <c r="W14" s="50" t="s">
        <v>346</v>
      </c>
      <c r="X14" s="26">
        <v>44137</v>
      </c>
      <c r="Y14" s="27">
        <v>3.61E-2</v>
      </c>
      <c r="Z14" s="28">
        <v>43549</v>
      </c>
      <c r="AA14" s="28">
        <f t="shared" si="20"/>
        <v>44377</v>
      </c>
      <c r="AB14" s="29" t="str">
        <f t="shared" si="15"/>
        <v>(AA14-Z14)</v>
      </c>
      <c r="AC14" s="29" t="str">
        <f t="shared" si="16"/>
        <v>(1+Y14)^(AB14/360)-1</v>
      </c>
      <c r="AD14" s="50" t="str">
        <f t="shared" si="17"/>
        <v>(AC14*V14)</v>
      </c>
      <c r="AE14" s="29" t="str">
        <f t="shared" si="18"/>
        <v>(V14+AD14)</v>
      </c>
    </row>
    <row r="15" spans="1:31" x14ac:dyDescent="0.25">
      <c r="A15" s="39">
        <f t="shared" si="19"/>
        <v>15</v>
      </c>
      <c r="B15" s="36">
        <v>43525</v>
      </c>
      <c r="C15" s="50" t="s">
        <v>290</v>
      </c>
      <c r="D15" s="10" t="str">
        <f t="shared" si="0"/>
        <v>SUMIF(SIGGE_E!B:B,ReliquidacionEFACT!B15,SIGGE_E!S:S)</v>
      </c>
      <c r="E15" s="10" t="str">
        <f t="shared" si="1"/>
        <v>SUMIF(SIGGE_E!B:B,ReliquidacionEFACT!B15,SIGGE_E!T:T)</v>
      </c>
      <c r="F15" s="11" t="str">
        <f t="shared" si="2"/>
        <v>IFERROR((E15/D15),0)</v>
      </c>
      <c r="G15" s="12" t="str">
        <f t="shared" si="3"/>
        <v>SUMIF(SIGGE_P!B:B,ReliquidacionEFACT!B15,SIGGE_P!U:U)</v>
      </c>
      <c r="H15" s="10" t="str">
        <f t="shared" si="4"/>
        <v>SUMIF(SIGGE_P!B:B,ReliquidacionEFACT!B15,SIGGE_P!V:V)</v>
      </c>
      <c r="I15" s="11" t="str">
        <f t="shared" si="5"/>
        <v>IFERROR((H15/G15),0)</v>
      </c>
      <c r="J15" s="10" t="str">
        <f t="shared" si="6"/>
        <v>(E15+H15)</v>
      </c>
      <c r="L15" s="37" t="s">
        <v>293</v>
      </c>
      <c r="M15" s="10" t="str">
        <f t="shared" si="7"/>
        <v>SUMIF(FACT_EST_CEN!B:B,ReliquidacionEFACT!B15,FACT_EST_CEN!S:S)</v>
      </c>
      <c r="N15" s="10" t="str">
        <f t="shared" si="8"/>
        <v>SUMIF(FACT_EST_CEN!B:B,ReliquidacionEFACT!B15,FACT_EST_CEN!T:T)</v>
      </c>
      <c r="O15" s="11" t="str">
        <f t="shared" si="9"/>
        <v>IFERROR((N15/M15),0)</v>
      </c>
      <c r="P15" s="12" t="str">
        <f t="shared" si="10"/>
        <v>SUMIF(FACT_EST_CEN!B:B,ReliquidacionEFACT!B15,FACT_EST_CEN!U:U)</v>
      </c>
      <c r="Q15" s="10" t="str">
        <f t="shared" si="11"/>
        <v>SUMIF(FACT_EST_CEN!B:B,ReliquidacionEFACT!B15,FACT_EST_CEN!V:V)</v>
      </c>
      <c r="R15" s="11" t="str">
        <f t="shared" si="12"/>
        <v>IFERROR((Q15/P15),0)</v>
      </c>
      <c r="S15" s="10" t="str">
        <f t="shared" si="13"/>
        <v>(N15+Q15)</v>
      </c>
      <c r="U15" s="49">
        <v>43525</v>
      </c>
      <c r="V15" s="25" t="str">
        <f t="shared" si="14"/>
        <v>(S15-J15)</v>
      </c>
      <c r="W15" s="50" t="s">
        <v>346</v>
      </c>
      <c r="X15" s="26">
        <v>44137</v>
      </c>
      <c r="Y15" s="27">
        <v>3.61E-2</v>
      </c>
      <c r="Z15" s="28">
        <v>43580</v>
      </c>
      <c r="AA15" s="28">
        <f t="shared" si="20"/>
        <v>44377</v>
      </c>
      <c r="AB15" s="29" t="str">
        <f t="shared" si="15"/>
        <v>(AA15-Z15)</v>
      </c>
      <c r="AC15" s="29" t="str">
        <f t="shared" si="16"/>
        <v>(1+Y15)^(AB15/360)-1</v>
      </c>
      <c r="AD15" s="50" t="str">
        <f t="shared" si="17"/>
        <v>(AC15*V15)</v>
      </c>
      <c r="AE15" s="29" t="str">
        <f t="shared" si="18"/>
        <v>(V15+AD15)</v>
      </c>
    </row>
    <row r="16" spans="1:31" x14ac:dyDescent="0.25">
      <c r="A16" s="39">
        <f t="shared" si="19"/>
        <v>16</v>
      </c>
      <c r="B16" s="36">
        <v>43556</v>
      </c>
      <c r="C16" s="50" t="s">
        <v>290</v>
      </c>
      <c r="D16" s="10" t="str">
        <f t="shared" si="0"/>
        <v>SUMIF(SIGGE_E!B:B,ReliquidacionEFACT!B16,SIGGE_E!S:S)</v>
      </c>
      <c r="E16" s="10" t="str">
        <f t="shared" si="1"/>
        <v>SUMIF(SIGGE_E!B:B,ReliquidacionEFACT!B16,SIGGE_E!T:T)</v>
      </c>
      <c r="F16" s="11" t="str">
        <f t="shared" si="2"/>
        <v>IFERROR((E16/D16),0)</v>
      </c>
      <c r="G16" s="12" t="str">
        <f t="shared" si="3"/>
        <v>SUMIF(SIGGE_P!B:B,ReliquidacionEFACT!B16,SIGGE_P!U:U)</v>
      </c>
      <c r="H16" s="10" t="str">
        <f t="shared" si="4"/>
        <v>SUMIF(SIGGE_P!B:B,ReliquidacionEFACT!B16,SIGGE_P!V:V)</v>
      </c>
      <c r="I16" s="11" t="str">
        <f t="shared" si="5"/>
        <v>IFERROR((H16/G16),0)</v>
      </c>
      <c r="J16" s="10" t="str">
        <f t="shared" si="6"/>
        <v>(E16+H16)</v>
      </c>
      <c r="L16" s="37" t="s">
        <v>293</v>
      </c>
      <c r="M16" s="10" t="str">
        <f t="shared" si="7"/>
        <v>SUMIF(FACT_EST_CEN!B:B,ReliquidacionEFACT!B16,FACT_EST_CEN!S:S)</v>
      </c>
      <c r="N16" s="10" t="str">
        <f t="shared" si="8"/>
        <v>SUMIF(FACT_EST_CEN!B:B,ReliquidacionEFACT!B16,FACT_EST_CEN!T:T)</v>
      </c>
      <c r="O16" s="11" t="str">
        <f t="shared" si="9"/>
        <v>IFERROR((N16/M16),0)</v>
      </c>
      <c r="P16" s="12" t="str">
        <f t="shared" si="10"/>
        <v>SUMIF(FACT_EST_CEN!B:B,ReliquidacionEFACT!B16,FACT_EST_CEN!U:U)</v>
      </c>
      <c r="Q16" s="10" t="str">
        <f t="shared" si="11"/>
        <v>SUMIF(FACT_EST_CEN!B:B,ReliquidacionEFACT!B16,FACT_EST_CEN!V:V)</v>
      </c>
      <c r="R16" s="11" t="str">
        <f t="shared" si="12"/>
        <v>IFERROR((Q16/P16),0)</v>
      </c>
      <c r="S16" s="10" t="str">
        <f t="shared" si="13"/>
        <v>(N16+Q16)</v>
      </c>
      <c r="U16" s="49">
        <v>43556</v>
      </c>
      <c r="V16" s="25" t="str">
        <f t="shared" si="14"/>
        <v>(S16-J16)</v>
      </c>
      <c r="W16" s="50" t="s">
        <v>346</v>
      </c>
      <c r="X16" s="26">
        <v>44137</v>
      </c>
      <c r="Y16" s="27">
        <v>3.61E-2</v>
      </c>
      <c r="Z16" s="28">
        <v>43610</v>
      </c>
      <c r="AA16" s="28">
        <f t="shared" si="20"/>
        <v>44377</v>
      </c>
      <c r="AB16" s="29" t="str">
        <f t="shared" si="15"/>
        <v>(AA16-Z16)</v>
      </c>
      <c r="AC16" s="29" t="str">
        <f t="shared" si="16"/>
        <v>(1+Y16)^(AB16/360)-1</v>
      </c>
      <c r="AD16" s="50" t="str">
        <f t="shared" si="17"/>
        <v>(AC16*V16)</v>
      </c>
      <c r="AE16" s="29" t="str">
        <f t="shared" si="18"/>
        <v>(V16+AD16)</v>
      </c>
    </row>
    <row r="17" spans="1:31" x14ac:dyDescent="0.25">
      <c r="A17" s="39">
        <f t="shared" si="19"/>
        <v>17</v>
      </c>
      <c r="B17" s="36">
        <v>43586</v>
      </c>
      <c r="C17" s="50" t="s">
        <v>290</v>
      </c>
      <c r="D17" s="10" t="str">
        <f t="shared" si="0"/>
        <v>SUMIF(SIGGE_E!B:B,ReliquidacionEFACT!B17,SIGGE_E!S:S)</v>
      </c>
      <c r="E17" s="10" t="str">
        <f t="shared" si="1"/>
        <v>SUMIF(SIGGE_E!B:B,ReliquidacionEFACT!B17,SIGGE_E!T:T)</v>
      </c>
      <c r="F17" s="11" t="str">
        <f t="shared" si="2"/>
        <v>IFERROR((E17/D17),0)</v>
      </c>
      <c r="G17" s="12" t="str">
        <f t="shared" si="3"/>
        <v>SUMIF(SIGGE_P!B:B,ReliquidacionEFACT!B17,SIGGE_P!U:U)</v>
      </c>
      <c r="H17" s="10" t="str">
        <f t="shared" si="4"/>
        <v>SUMIF(SIGGE_P!B:B,ReliquidacionEFACT!B17,SIGGE_P!V:V)</v>
      </c>
      <c r="I17" s="11" t="str">
        <f t="shared" si="5"/>
        <v>IFERROR((H17/G17),0)</v>
      </c>
      <c r="J17" s="10" t="str">
        <f t="shared" si="6"/>
        <v>(E17+H17)</v>
      </c>
      <c r="L17" s="37" t="s">
        <v>293</v>
      </c>
      <c r="M17" s="10" t="str">
        <f t="shared" si="7"/>
        <v>SUMIF(FACT_EST_CEN!B:B,ReliquidacionEFACT!B17,FACT_EST_CEN!S:S)</v>
      </c>
      <c r="N17" s="10" t="str">
        <f t="shared" si="8"/>
        <v>SUMIF(FACT_EST_CEN!B:B,ReliquidacionEFACT!B17,FACT_EST_CEN!T:T)</v>
      </c>
      <c r="O17" s="11" t="str">
        <f t="shared" si="9"/>
        <v>IFERROR((N17/M17),0)</v>
      </c>
      <c r="P17" s="12" t="str">
        <f t="shared" si="10"/>
        <v>SUMIF(FACT_EST_CEN!B:B,ReliquidacionEFACT!B17,FACT_EST_CEN!U:U)</v>
      </c>
      <c r="Q17" s="10" t="str">
        <f t="shared" si="11"/>
        <v>SUMIF(FACT_EST_CEN!B:B,ReliquidacionEFACT!B17,FACT_EST_CEN!V:V)</v>
      </c>
      <c r="R17" s="11" t="str">
        <f t="shared" si="12"/>
        <v>IFERROR((Q17/P17),0)</v>
      </c>
      <c r="S17" s="10" t="str">
        <f t="shared" si="13"/>
        <v>(N17+Q17)</v>
      </c>
      <c r="U17" s="49">
        <v>43586</v>
      </c>
      <c r="V17" s="25" t="str">
        <f t="shared" si="14"/>
        <v>(S17-J17)</v>
      </c>
      <c r="W17" s="50" t="s">
        <v>346</v>
      </c>
      <c r="X17" s="26">
        <v>44137</v>
      </c>
      <c r="Y17" s="27">
        <v>3.61E-2</v>
      </c>
      <c r="Z17" s="28">
        <v>43641</v>
      </c>
      <c r="AA17" s="28">
        <f t="shared" si="20"/>
        <v>44377</v>
      </c>
      <c r="AB17" s="29" t="str">
        <f t="shared" si="15"/>
        <v>(AA17-Z17)</v>
      </c>
      <c r="AC17" s="29" t="str">
        <f t="shared" si="16"/>
        <v>(1+Y17)^(AB17/360)-1</v>
      </c>
      <c r="AD17" s="50" t="str">
        <f t="shared" si="17"/>
        <v>(AC17*V17)</v>
      </c>
      <c r="AE17" s="29" t="str">
        <f t="shared" si="18"/>
        <v>(V17+AD17)</v>
      </c>
    </row>
    <row r="18" spans="1:31" x14ac:dyDescent="0.25">
      <c r="A18" s="39">
        <f t="shared" si="19"/>
        <v>18</v>
      </c>
      <c r="B18" s="36">
        <v>43617</v>
      </c>
      <c r="C18" s="50" t="s">
        <v>290</v>
      </c>
      <c r="D18" s="10" t="str">
        <f t="shared" si="0"/>
        <v>SUMIF(SIGGE_E!B:B,ReliquidacionEFACT!B18,SIGGE_E!S:S)</v>
      </c>
      <c r="E18" s="10" t="str">
        <f t="shared" si="1"/>
        <v>SUMIF(SIGGE_E!B:B,ReliquidacionEFACT!B18,SIGGE_E!T:T)</v>
      </c>
      <c r="F18" s="11" t="str">
        <f t="shared" si="2"/>
        <v>IFERROR((E18/D18),0)</v>
      </c>
      <c r="G18" s="12" t="str">
        <f t="shared" si="3"/>
        <v>SUMIF(SIGGE_P!B:B,ReliquidacionEFACT!B18,SIGGE_P!U:U)</v>
      </c>
      <c r="H18" s="10" t="str">
        <f t="shared" si="4"/>
        <v>SUMIF(SIGGE_P!B:B,ReliquidacionEFACT!B18,SIGGE_P!V:V)</v>
      </c>
      <c r="I18" s="11" t="str">
        <f t="shared" si="5"/>
        <v>IFERROR((H18/G18),0)</v>
      </c>
      <c r="J18" s="10" t="str">
        <f t="shared" si="6"/>
        <v>(E18+H18)</v>
      </c>
      <c r="L18" s="37" t="s">
        <v>293</v>
      </c>
      <c r="M18" s="10" t="str">
        <f t="shared" si="7"/>
        <v>SUMIF(FACT_EST_CEN!B:B,ReliquidacionEFACT!B18,FACT_EST_CEN!S:S)</v>
      </c>
      <c r="N18" s="10" t="str">
        <f t="shared" si="8"/>
        <v>SUMIF(FACT_EST_CEN!B:B,ReliquidacionEFACT!B18,FACT_EST_CEN!T:T)</v>
      </c>
      <c r="O18" s="11" t="str">
        <f t="shared" si="9"/>
        <v>IFERROR((N18/M18),0)</v>
      </c>
      <c r="P18" s="12" t="str">
        <f t="shared" si="10"/>
        <v>SUMIF(FACT_EST_CEN!B:B,ReliquidacionEFACT!B18,FACT_EST_CEN!U:U)</v>
      </c>
      <c r="Q18" s="10" t="str">
        <f t="shared" si="11"/>
        <v>SUMIF(FACT_EST_CEN!B:B,ReliquidacionEFACT!B18,FACT_EST_CEN!V:V)</v>
      </c>
      <c r="R18" s="11" t="str">
        <f t="shared" si="12"/>
        <v>IFERROR((Q18/P18),0)</v>
      </c>
      <c r="S18" s="10" t="str">
        <f t="shared" si="13"/>
        <v>(N18+Q18)</v>
      </c>
      <c r="U18" s="49">
        <v>43617</v>
      </c>
      <c r="V18" s="25" t="str">
        <f t="shared" si="14"/>
        <v>(S18-J18)</v>
      </c>
      <c r="W18" s="50" t="s">
        <v>346</v>
      </c>
      <c r="X18" s="26">
        <v>44137</v>
      </c>
      <c r="Y18" s="27">
        <v>3.61E-2</v>
      </c>
      <c r="Z18" s="28">
        <v>43671</v>
      </c>
      <c r="AA18" s="28">
        <f t="shared" si="20"/>
        <v>44377</v>
      </c>
      <c r="AB18" s="29" t="str">
        <f t="shared" si="15"/>
        <v>(AA18-Z18)</v>
      </c>
      <c r="AC18" s="29" t="str">
        <f t="shared" si="16"/>
        <v>(1+Y18)^(AB18/360)-1</v>
      </c>
      <c r="AD18" s="50" t="str">
        <f t="shared" si="17"/>
        <v>(AC18*V18)</v>
      </c>
      <c r="AE18" s="29" t="str">
        <f t="shared" si="18"/>
        <v>(V18+AD18)</v>
      </c>
    </row>
    <row r="19" spans="1:31" x14ac:dyDescent="0.25">
      <c r="A19" s="39">
        <f t="shared" si="19"/>
        <v>19</v>
      </c>
      <c r="B19" s="36">
        <v>43647</v>
      </c>
      <c r="C19" s="50" t="s">
        <v>290</v>
      </c>
      <c r="D19" s="10" t="str">
        <f t="shared" si="0"/>
        <v>SUMIF(SIGGE_E!B:B,ReliquidacionEFACT!B19,SIGGE_E!S:S)</v>
      </c>
      <c r="E19" s="10" t="str">
        <f t="shared" si="1"/>
        <v>SUMIF(SIGGE_E!B:B,ReliquidacionEFACT!B19,SIGGE_E!T:T)</v>
      </c>
      <c r="F19" s="11" t="str">
        <f t="shared" si="2"/>
        <v>IFERROR((E19/D19),0)</v>
      </c>
      <c r="G19" s="12" t="str">
        <f t="shared" si="3"/>
        <v>SUMIF(SIGGE_P!B:B,ReliquidacionEFACT!B19,SIGGE_P!U:U)</v>
      </c>
      <c r="H19" s="10" t="str">
        <f t="shared" si="4"/>
        <v>SUMIF(SIGGE_P!B:B,ReliquidacionEFACT!B19,SIGGE_P!V:V)</v>
      </c>
      <c r="I19" s="11" t="str">
        <f t="shared" si="5"/>
        <v>IFERROR((H19/G19),0)</v>
      </c>
      <c r="J19" s="10" t="str">
        <f t="shared" si="6"/>
        <v>(E19+H19)</v>
      </c>
      <c r="L19" s="37" t="s">
        <v>293</v>
      </c>
      <c r="M19" s="10" t="str">
        <f t="shared" si="7"/>
        <v>SUMIF(FACT_EST_CEN!B:B,ReliquidacionEFACT!B19,FACT_EST_CEN!S:S)</v>
      </c>
      <c r="N19" s="10" t="str">
        <f t="shared" si="8"/>
        <v>SUMIF(FACT_EST_CEN!B:B,ReliquidacionEFACT!B19,FACT_EST_CEN!T:T)</v>
      </c>
      <c r="O19" s="11" t="str">
        <f t="shared" si="9"/>
        <v>IFERROR((N19/M19),0)</v>
      </c>
      <c r="P19" s="12" t="str">
        <f t="shared" si="10"/>
        <v>SUMIF(FACT_EST_CEN!B:B,ReliquidacionEFACT!B19,FACT_EST_CEN!U:U)</v>
      </c>
      <c r="Q19" s="10" t="str">
        <f t="shared" si="11"/>
        <v>SUMIF(FACT_EST_CEN!B:B,ReliquidacionEFACT!B19,FACT_EST_CEN!V:V)</v>
      </c>
      <c r="R19" s="11" t="str">
        <f t="shared" si="12"/>
        <v>IFERROR((Q19/P19),0)</v>
      </c>
      <c r="S19" s="10" t="str">
        <f t="shared" si="13"/>
        <v>(N19+Q19)</v>
      </c>
      <c r="U19" s="49">
        <v>43647</v>
      </c>
      <c r="V19" s="25" t="str">
        <f t="shared" si="14"/>
        <v>(S19-J19)</v>
      </c>
      <c r="W19" s="50" t="s">
        <v>346</v>
      </c>
      <c r="X19" s="26">
        <v>44137</v>
      </c>
      <c r="Y19" s="27">
        <v>3.61E-2</v>
      </c>
      <c r="Z19" s="28">
        <v>43702</v>
      </c>
      <c r="AA19" s="28">
        <f t="shared" si="20"/>
        <v>44377</v>
      </c>
      <c r="AB19" s="29" t="str">
        <f t="shared" si="15"/>
        <v>(AA19-Z19)</v>
      </c>
      <c r="AC19" s="29" t="str">
        <f t="shared" si="16"/>
        <v>(1+Y19)^(AB19/360)-1</v>
      </c>
      <c r="AD19" s="50" t="str">
        <f t="shared" si="17"/>
        <v>(AC19*V19)</v>
      </c>
      <c r="AE19" s="29" t="str">
        <f t="shared" si="18"/>
        <v>(V19+AD19)</v>
      </c>
    </row>
    <row r="20" spans="1:31" x14ac:dyDescent="0.25">
      <c r="A20" s="39">
        <f t="shared" si="19"/>
        <v>20</v>
      </c>
      <c r="B20" s="36">
        <v>43678</v>
      </c>
      <c r="C20" s="50" t="s">
        <v>290</v>
      </c>
      <c r="D20" s="10" t="str">
        <f t="shared" si="0"/>
        <v>SUMIF(SIGGE_E!B:B,ReliquidacionEFACT!B20,SIGGE_E!S:S)</v>
      </c>
      <c r="E20" s="10" t="str">
        <f t="shared" si="1"/>
        <v>SUMIF(SIGGE_E!B:B,ReliquidacionEFACT!B20,SIGGE_E!T:T)</v>
      </c>
      <c r="F20" s="11" t="str">
        <f t="shared" si="2"/>
        <v>IFERROR((E20/D20),0)</v>
      </c>
      <c r="G20" s="12" t="str">
        <f t="shared" si="3"/>
        <v>SUMIF(SIGGE_P!B:B,ReliquidacionEFACT!B20,SIGGE_P!U:U)</v>
      </c>
      <c r="H20" s="10" t="str">
        <f t="shared" si="4"/>
        <v>SUMIF(SIGGE_P!B:B,ReliquidacionEFACT!B20,SIGGE_P!V:V)</v>
      </c>
      <c r="I20" s="11" t="str">
        <f t="shared" si="5"/>
        <v>IFERROR((H20/G20),0)</v>
      </c>
      <c r="J20" s="10" t="str">
        <f t="shared" si="6"/>
        <v>(E20+H20)</v>
      </c>
      <c r="L20" s="37" t="s">
        <v>293</v>
      </c>
      <c r="M20" s="10" t="str">
        <f t="shared" si="7"/>
        <v>SUMIF(FACT_EST_CEN!B:B,ReliquidacionEFACT!B20,FACT_EST_CEN!S:S)</v>
      </c>
      <c r="N20" s="10" t="str">
        <f t="shared" si="8"/>
        <v>SUMIF(FACT_EST_CEN!B:B,ReliquidacionEFACT!B20,FACT_EST_CEN!T:T)</v>
      </c>
      <c r="O20" s="11" t="str">
        <f t="shared" si="9"/>
        <v>IFERROR((N20/M20),0)</v>
      </c>
      <c r="P20" s="12" t="str">
        <f t="shared" si="10"/>
        <v>SUMIF(FACT_EST_CEN!B:B,ReliquidacionEFACT!B20,FACT_EST_CEN!U:U)</v>
      </c>
      <c r="Q20" s="10" t="str">
        <f t="shared" si="11"/>
        <v>SUMIF(FACT_EST_CEN!B:B,ReliquidacionEFACT!B20,FACT_EST_CEN!V:V)</v>
      </c>
      <c r="R20" s="11" t="str">
        <f t="shared" si="12"/>
        <v>IFERROR((Q20/P20),0)</v>
      </c>
      <c r="S20" s="10" t="str">
        <f t="shared" si="13"/>
        <v>(N20+Q20)</v>
      </c>
      <c r="U20" s="49">
        <v>43678</v>
      </c>
      <c r="V20" s="25" t="str">
        <f t="shared" si="14"/>
        <v>(S20-J20)</v>
      </c>
      <c r="W20" s="50" t="s">
        <v>346</v>
      </c>
      <c r="X20" s="26">
        <v>44137</v>
      </c>
      <c r="Y20" s="27">
        <v>3.61E-2</v>
      </c>
      <c r="Z20" s="28">
        <v>43733</v>
      </c>
      <c r="AA20" s="28">
        <f t="shared" si="20"/>
        <v>44377</v>
      </c>
      <c r="AB20" s="29" t="str">
        <f t="shared" si="15"/>
        <v>(AA20-Z20)</v>
      </c>
      <c r="AC20" s="29" t="str">
        <f t="shared" si="16"/>
        <v>(1+Y20)^(AB20/360)-1</v>
      </c>
      <c r="AD20" s="50" t="str">
        <f t="shared" si="17"/>
        <v>(AC20*V20)</v>
      </c>
      <c r="AE20" s="29" t="str">
        <f t="shared" si="18"/>
        <v>(V20+AD20)</v>
      </c>
    </row>
    <row r="21" spans="1:31" x14ac:dyDescent="0.25">
      <c r="A21" s="39">
        <f t="shared" si="19"/>
        <v>21</v>
      </c>
      <c r="B21" s="36">
        <v>43709</v>
      </c>
      <c r="C21" s="50" t="s">
        <v>290</v>
      </c>
      <c r="D21" s="10" t="str">
        <f t="shared" si="0"/>
        <v>SUMIF(SIGGE_E!B:B,ReliquidacionEFACT!B21,SIGGE_E!S:S)</v>
      </c>
      <c r="E21" s="10" t="str">
        <f t="shared" si="1"/>
        <v>SUMIF(SIGGE_E!B:B,ReliquidacionEFACT!B21,SIGGE_E!T:T)</v>
      </c>
      <c r="F21" s="11" t="str">
        <f t="shared" si="2"/>
        <v>IFERROR((E21/D21),0)</v>
      </c>
      <c r="G21" s="12" t="str">
        <f t="shared" si="3"/>
        <v>SUMIF(SIGGE_P!B:B,ReliquidacionEFACT!B21,SIGGE_P!U:U)</v>
      </c>
      <c r="H21" s="10" t="str">
        <f t="shared" si="4"/>
        <v>SUMIF(SIGGE_P!B:B,ReliquidacionEFACT!B21,SIGGE_P!V:V)</v>
      </c>
      <c r="I21" s="11" t="str">
        <f t="shared" si="5"/>
        <v>IFERROR((H21/G21),0)</v>
      </c>
      <c r="J21" s="10" t="str">
        <f t="shared" si="6"/>
        <v>(E21+H21)</v>
      </c>
      <c r="L21" s="37" t="s">
        <v>293</v>
      </c>
      <c r="M21" s="10" t="str">
        <f t="shared" si="7"/>
        <v>SUMIF(FACT_EST_CEN!B:B,ReliquidacionEFACT!B21,FACT_EST_CEN!S:S)</v>
      </c>
      <c r="N21" s="10" t="str">
        <f t="shared" si="8"/>
        <v>SUMIF(FACT_EST_CEN!B:B,ReliquidacionEFACT!B21,FACT_EST_CEN!T:T)</v>
      </c>
      <c r="O21" s="11" t="str">
        <f t="shared" si="9"/>
        <v>IFERROR((N21/M21),0)</v>
      </c>
      <c r="P21" s="12" t="str">
        <f t="shared" si="10"/>
        <v>SUMIF(FACT_EST_CEN!B:B,ReliquidacionEFACT!B21,FACT_EST_CEN!U:U)</v>
      </c>
      <c r="Q21" s="10" t="str">
        <f t="shared" si="11"/>
        <v>SUMIF(FACT_EST_CEN!B:B,ReliquidacionEFACT!B21,FACT_EST_CEN!V:V)</v>
      </c>
      <c r="R21" s="11" t="str">
        <f t="shared" si="12"/>
        <v>IFERROR((Q21/P21),0)</v>
      </c>
      <c r="S21" s="10" t="str">
        <f t="shared" si="13"/>
        <v>(N21+Q21)</v>
      </c>
      <c r="U21" s="49">
        <v>43709</v>
      </c>
      <c r="V21" s="25" t="str">
        <f t="shared" si="14"/>
        <v>(S21-J21)</v>
      </c>
      <c r="W21" s="50" t="s">
        <v>346</v>
      </c>
      <c r="X21" s="26">
        <v>44137</v>
      </c>
      <c r="Y21" s="27">
        <v>3.61E-2</v>
      </c>
      <c r="Z21" s="28">
        <v>43763</v>
      </c>
      <c r="AA21" s="28">
        <f t="shared" si="20"/>
        <v>44377</v>
      </c>
      <c r="AB21" s="29" t="str">
        <f t="shared" si="15"/>
        <v>(AA21-Z21)</v>
      </c>
      <c r="AC21" s="29" t="str">
        <f t="shared" si="16"/>
        <v>(1+Y21)^(AB21/360)-1</v>
      </c>
      <c r="AD21" s="50" t="str">
        <f t="shared" si="17"/>
        <v>(AC21*V21)</v>
      </c>
      <c r="AE21" s="29" t="str">
        <f t="shared" si="18"/>
        <v>(V21+AD21)</v>
      </c>
    </row>
    <row r="22" spans="1:31" x14ac:dyDescent="0.25">
      <c r="A22" s="39">
        <f t="shared" si="19"/>
        <v>22</v>
      </c>
      <c r="B22" s="36">
        <v>43739</v>
      </c>
      <c r="C22" s="50" t="s">
        <v>290</v>
      </c>
      <c r="D22" s="10" t="str">
        <f t="shared" si="0"/>
        <v>SUMIF(SIGGE_E!B:B,ReliquidacionEFACT!B22,SIGGE_E!S:S)</v>
      </c>
      <c r="E22" s="10" t="str">
        <f t="shared" si="1"/>
        <v>SUMIF(SIGGE_E!B:B,ReliquidacionEFACT!B22,SIGGE_E!T:T)</v>
      </c>
      <c r="F22" s="11" t="str">
        <f t="shared" si="2"/>
        <v>IFERROR((E22/D22),0)</v>
      </c>
      <c r="G22" s="12" t="str">
        <f t="shared" si="3"/>
        <v>SUMIF(SIGGE_P!B:B,ReliquidacionEFACT!B22,SIGGE_P!U:U)</v>
      </c>
      <c r="H22" s="10" t="str">
        <f t="shared" si="4"/>
        <v>SUMIF(SIGGE_P!B:B,ReliquidacionEFACT!B22,SIGGE_P!V:V)</v>
      </c>
      <c r="I22" s="11" t="str">
        <f t="shared" si="5"/>
        <v>IFERROR((H22/G22),0)</v>
      </c>
      <c r="J22" s="10" t="str">
        <f t="shared" si="6"/>
        <v>(E22+H22)</v>
      </c>
      <c r="L22" s="37" t="s">
        <v>293</v>
      </c>
      <c r="M22" s="10" t="str">
        <f t="shared" si="7"/>
        <v>SUMIF(FACT_EST_CEN!B:B,ReliquidacionEFACT!B22,FACT_EST_CEN!S:S)</v>
      </c>
      <c r="N22" s="10" t="str">
        <f t="shared" si="8"/>
        <v>SUMIF(FACT_EST_CEN!B:B,ReliquidacionEFACT!B22,FACT_EST_CEN!T:T)</v>
      </c>
      <c r="O22" s="11" t="str">
        <f t="shared" si="9"/>
        <v>IFERROR((N22/M22),0)</v>
      </c>
      <c r="P22" s="12" t="str">
        <f t="shared" si="10"/>
        <v>SUMIF(FACT_EST_CEN!B:B,ReliquidacionEFACT!B22,FACT_EST_CEN!U:U)</v>
      </c>
      <c r="Q22" s="10" t="str">
        <f t="shared" si="11"/>
        <v>SUMIF(FACT_EST_CEN!B:B,ReliquidacionEFACT!B22,FACT_EST_CEN!V:V)</v>
      </c>
      <c r="R22" s="11" t="str">
        <f t="shared" si="12"/>
        <v>IFERROR((Q22/P22),0)</v>
      </c>
      <c r="S22" s="10" t="str">
        <f t="shared" si="13"/>
        <v>(N22+Q22)</v>
      </c>
      <c r="U22" s="49">
        <v>43739</v>
      </c>
      <c r="V22" s="25" t="str">
        <f t="shared" si="14"/>
        <v>(S22-J22)</v>
      </c>
      <c r="W22" s="50" t="s">
        <v>346</v>
      </c>
      <c r="X22" s="26">
        <v>44137</v>
      </c>
      <c r="Y22" s="27">
        <v>3.61E-2</v>
      </c>
      <c r="Z22" s="28">
        <v>43794</v>
      </c>
      <c r="AA22" s="28">
        <f t="shared" si="20"/>
        <v>44377</v>
      </c>
      <c r="AB22" s="29" t="str">
        <f t="shared" si="15"/>
        <v>(AA22-Z22)</v>
      </c>
      <c r="AC22" s="29" t="str">
        <f t="shared" si="16"/>
        <v>(1+Y22)^(AB22/360)-1</v>
      </c>
      <c r="AD22" s="50" t="str">
        <f t="shared" si="17"/>
        <v>(AC22*V22)</v>
      </c>
      <c r="AE22" s="29" t="str">
        <f t="shared" si="18"/>
        <v>(V22+AD22)</v>
      </c>
    </row>
    <row r="23" spans="1:31" x14ac:dyDescent="0.25">
      <c r="A23" s="39">
        <f t="shared" si="19"/>
        <v>23</v>
      </c>
      <c r="B23" s="36">
        <v>43770</v>
      </c>
      <c r="C23" s="50" t="s">
        <v>290</v>
      </c>
      <c r="D23" s="10" t="str">
        <f t="shared" si="0"/>
        <v>SUMIF(SIGGE_E!B:B,ReliquidacionEFACT!B23,SIGGE_E!S:S)</v>
      </c>
      <c r="E23" s="10" t="str">
        <f t="shared" si="1"/>
        <v>SUMIF(SIGGE_E!B:B,ReliquidacionEFACT!B23,SIGGE_E!T:T)</v>
      </c>
      <c r="F23" s="11" t="str">
        <f t="shared" si="2"/>
        <v>IFERROR((E23/D23),0)</v>
      </c>
      <c r="G23" s="12" t="str">
        <f t="shared" si="3"/>
        <v>SUMIF(SIGGE_P!B:B,ReliquidacionEFACT!B23,SIGGE_P!U:U)</v>
      </c>
      <c r="H23" s="10" t="str">
        <f t="shared" si="4"/>
        <v>SUMIF(SIGGE_P!B:B,ReliquidacionEFACT!B23,SIGGE_P!V:V)</v>
      </c>
      <c r="I23" s="11" t="str">
        <f t="shared" si="5"/>
        <v>IFERROR((H23/G23),0)</v>
      </c>
      <c r="J23" s="10" t="str">
        <f t="shared" si="6"/>
        <v>(E23+H23)</v>
      </c>
      <c r="L23" s="37" t="s">
        <v>293</v>
      </c>
      <c r="M23" s="10" t="str">
        <f t="shared" si="7"/>
        <v>SUMIF(FACT_EST_CEN!B:B,ReliquidacionEFACT!B23,FACT_EST_CEN!S:S)</v>
      </c>
      <c r="N23" s="10" t="str">
        <f t="shared" si="8"/>
        <v>SUMIF(FACT_EST_CEN!B:B,ReliquidacionEFACT!B23,FACT_EST_CEN!T:T)</v>
      </c>
      <c r="O23" s="11" t="str">
        <f t="shared" si="9"/>
        <v>IFERROR((N23/M23),0)</v>
      </c>
      <c r="P23" s="12" t="str">
        <f t="shared" si="10"/>
        <v>SUMIF(FACT_EST_CEN!B:B,ReliquidacionEFACT!B23,FACT_EST_CEN!U:U)</v>
      </c>
      <c r="Q23" s="10" t="str">
        <f t="shared" si="11"/>
        <v>SUMIF(FACT_EST_CEN!B:B,ReliquidacionEFACT!B23,FACT_EST_CEN!V:V)</v>
      </c>
      <c r="R23" s="11" t="str">
        <f t="shared" si="12"/>
        <v>IFERROR((Q23/P23),0)</v>
      </c>
      <c r="S23" s="10" t="str">
        <f t="shared" si="13"/>
        <v>(N23+Q23)</v>
      </c>
      <c r="U23" s="49">
        <v>43770</v>
      </c>
      <c r="V23" s="25" t="str">
        <f t="shared" si="14"/>
        <v>(S23-J23)</v>
      </c>
      <c r="W23" s="50" t="s">
        <v>346</v>
      </c>
      <c r="X23" s="26">
        <v>44137</v>
      </c>
      <c r="Y23" s="27">
        <v>3.61E-2</v>
      </c>
      <c r="Z23" s="28">
        <v>43824</v>
      </c>
      <c r="AA23" s="28">
        <f t="shared" si="20"/>
        <v>44377</v>
      </c>
      <c r="AB23" s="29" t="str">
        <f t="shared" si="15"/>
        <v>(AA23-Z23)</v>
      </c>
      <c r="AC23" s="29" t="str">
        <f t="shared" si="16"/>
        <v>(1+Y23)^(AB23/360)-1</v>
      </c>
      <c r="AD23" s="50" t="str">
        <f t="shared" si="17"/>
        <v>(AC23*V23)</v>
      </c>
      <c r="AE23" s="29" t="str">
        <f t="shared" si="18"/>
        <v>(V23+AD23)</v>
      </c>
    </row>
    <row r="24" spans="1:31" x14ac:dyDescent="0.25">
      <c r="A24" s="39">
        <f t="shared" si="19"/>
        <v>24</v>
      </c>
      <c r="B24" s="36">
        <v>43800</v>
      </c>
      <c r="C24" s="50" t="s">
        <v>290</v>
      </c>
      <c r="D24" s="10" t="str">
        <f t="shared" si="0"/>
        <v>SUMIF(SIGGE_E!B:B,ReliquidacionEFACT!B24,SIGGE_E!S:S)</v>
      </c>
      <c r="E24" s="10" t="str">
        <f t="shared" si="1"/>
        <v>SUMIF(SIGGE_E!B:B,ReliquidacionEFACT!B24,SIGGE_E!T:T)</v>
      </c>
      <c r="F24" s="11" t="str">
        <f t="shared" si="2"/>
        <v>IFERROR((E24/D24),0)</v>
      </c>
      <c r="G24" s="12" t="str">
        <f t="shared" si="3"/>
        <v>SUMIF(SIGGE_P!B:B,ReliquidacionEFACT!B24,SIGGE_P!U:U)</v>
      </c>
      <c r="H24" s="10" t="str">
        <f t="shared" si="4"/>
        <v>SUMIF(SIGGE_P!B:B,ReliquidacionEFACT!B24,SIGGE_P!V:V)</v>
      </c>
      <c r="I24" s="11" t="str">
        <f t="shared" si="5"/>
        <v>IFERROR((H24/G24),0)</v>
      </c>
      <c r="J24" s="10" t="str">
        <f t="shared" si="6"/>
        <v>(E24+H24)</v>
      </c>
      <c r="L24" s="37" t="s">
        <v>293</v>
      </c>
      <c r="M24" s="10" t="str">
        <f t="shared" si="7"/>
        <v>SUMIF(FACT_EST_CEN!B:B,ReliquidacionEFACT!B24,FACT_EST_CEN!S:S)</v>
      </c>
      <c r="N24" s="10" t="str">
        <f t="shared" si="8"/>
        <v>SUMIF(FACT_EST_CEN!B:B,ReliquidacionEFACT!B24,FACT_EST_CEN!T:T)</v>
      </c>
      <c r="O24" s="11" t="str">
        <f t="shared" si="9"/>
        <v>IFERROR((N24/M24),0)</v>
      </c>
      <c r="P24" s="12" t="str">
        <f t="shared" si="10"/>
        <v>SUMIF(FACT_EST_CEN!B:B,ReliquidacionEFACT!B24,FACT_EST_CEN!U:U)</v>
      </c>
      <c r="Q24" s="10" t="str">
        <f t="shared" si="11"/>
        <v>SUMIF(FACT_EST_CEN!B:B,ReliquidacionEFACT!B24,FACT_EST_CEN!V:V)</v>
      </c>
      <c r="R24" s="11" t="str">
        <f t="shared" si="12"/>
        <v>IFERROR((Q24/P24),0)</v>
      </c>
      <c r="S24" s="10" t="str">
        <f t="shared" si="13"/>
        <v>(N24+Q24)</v>
      </c>
      <c r="U24" s="49">
        <v>43800</v>
      </c>
      <c r="V24" s="25" t="str">
        <f t="shared" si="14"/>
        <v>(S24-J24)</v>
      </c>
      <c r="W24" s="50" t="s">
        <v>346</v>
      </c>
      <c r="X24" s="26">
        <v>44137</v>
      </c>
      <c r="Y24" s="27">
        <v>3.61E-2</v>
      </c>
      <c r="Z24" s="28">
        <v>43855</v>
      </c>
      <c r="AA24" s="28">
        <f t="shared" si="20"/>
        <v>44377</v>
      </c>
      <c r="AB24" s="29" t="str">
        <f t="shared" si="15"/>
        <v>(AA24-Z24)</v>
      </c>
      <c r="AC24" s="29" t="str">
        <f t="shared" si="16"/>
        <v>(1+Y24)^(AB24/360)-1</v>
      </c>
      <c r="AD24" s="50" t="str">
        <f t="shared" si="17"/>
        <v>(AC24*V24)</v>
      </c>
      <c r="AE24" s="29" t="str">
        <f t="shared" si="18"/>
        <v>(V24+AD24)</v>
      </c>
    </row>
    <row r="25" spans="1:31" x14ac:dyDescent="0.25">
      <c r="A25" s="39">
        <f t="shared" si="19"/>
        <v>25</v>
      </c>
      <c r="B25" s="36">
        <v>43831</v>
      </c>
      <c r="C25" s="50" t="s">
        <v>290</v>
      </c>
      <c r="D25" s="10" t="str">
        <f t="shared" si="0"/>
        <v>SUMIF(SIGGE_E!B:B,ReliquidacionEFACT!B25,SIGGE_E!S:S)</v>
      </c>
      <c r="E25" s="10" t="str">
        <f t="shared" si="1"/>
        <v>SUMIF(SIGGE_E!B:B,ReliquidacionEFACT!B25,SIGGE_E!T:T)</v>
      </c>
      <c r="F25" s="11" t="str">
        <f t="shared" si="2"/>
        <v>IFERROR((E25/D25),0)</v>
      </c>
      <c r="G25" s="12" t="str">
        <f t="shared" si="3"/>
        <v>SUMIF(SIGGE_P!B:B,ReliquidacionEFACT!B25,SIGGE_P!U:U)</v>
      </c>
      <c r="H25" s="10" t="str">
        <f t="shared" si="4"/>
        <v>SUMIF(SIGGE_P!B:B,ReliquidacionEFACT!B25,SIGGE_P!V:V)</v>
      </c>
      <c r="I25" s="11" t="str">
        <f t="shared" si="5"/>
        <v>IFERROR((H25/G25),0)</v>
      </c>
      <c r="J25" s="10" t="str">
        <f t="shared" si="6"/>
        <v>(E25+H25)</v>
      </c>
      <c r="L25" s="37" t="s">
        <v>293</v>
      </c>
      <c r="M25" s="10" t="str">
        <f t="shared" si="7"/>
        <v>SUMIF(FACT_EST_CEN!B:B,ReliquidacionEFACT!B25,FACT_EST_CEN!S:S)</v>
      </c>
      <c r="N25" s="10" t="str">
        <f t="shared" si="8"/>
        <v>SUMIF(FACT_EST_CEN!B:B,ReliquidacionEFACT!B25,FACT_EST_CEN!T:T)</v>
      </c>
      <c r="O25" s="11" t="str">
        <f t="shared" si="9"/>
        <v>IFERROR((N25/M25),0)</v>
      </c>
      <c r="P25" s="12" t="str">
        <f t="shared" si="10"/>
        <v>SUMIF(FACT_EST_CEN!B:B,ReliquidacionEFACT!B25,FACT_EST_CEN!U:U)</v>
      </c>
      <c r="Q25" s="10" t="str">
        <f t="shared" si="11"/>
        <v>SUMIF(FACT_EST_CEN!B:B,ReliquidacionEFACT!B25,FACT_EST_CEN!V:V)</v>
      </c>
      <c r="R25" s="11" t="str">
        <f t="shared" si="12"/>
        <v>IFERROR((Q25/P25),0)</v>
      </c>
      <c r="S25" s="10" t="str">
        <f t="shared" si="13"/>
        <v>(N25+Q25)</v>
      </c>
      <c r="U25" s="49">
        <v>43831</v>
      </c>
      <c r="V25" s="25" t="str">
        <f t="shared" si="14"/>
        <v>(S25-J25)</v>
      </c>
      <c r="W25" s="50" t="s">
        <v>347</v>
      </c>
      <c r="X25" s="26">
        <v>44275</v>
      </c>
      <c r="Y25" s="27">
        <v>3.9100000000000003E-2</v>
      </c>
      <c r="Z25" s="28">
        <v>43886</v>
      </c>
      <c r="AA25" s="28">
        <f t="shared" si="20"/>
        <v>44377</v>
      </c>
      <c r="AB25" s="29" t="str">
        <f t="shared" si="15"/>
        <v>(AA25-Z25)</v>
      </c>
      <c r="AC25" s="29" t="str">
        <f t="shared" si="16"/>
        <v>(1+Y25)^(AB25/360)-1</v>
      </c>
      <c r="AD25" s="50" t="str">
        <f t="shared" si="17"/>
        <v>(AC25*V25)</v>
      </c>
      <c r="AE25" s="29" t="str">
        <f t="shared" si="18"/>
        <v>(V25+AD25)</v>
      </c>
    </row>
    <row r="26" spans="1:31" x14ac:dyDescent="0.25">
      <c r="A26" s="39">
        <f t="shared" si="19"/>
        <v>26</v>
      </c>
      <c r="B26" s="36">
        <v>43862</v>
      </c>
      <c r="C26" s="50" t="s">
        <v>290</v>
      </c>
      <c r="D26" s="10" t="str">
        <f t="shared" si="0"/>
        <v>SUMIF(SIGGE_E!B:B,ReliquidacionEFACT!B26,SIGGE_E!S:S)</v>
      </c>
      <c r="E26" s="10" t="str">
        <f t="shared" si="1"/>
        <v>SUMIF(SIGGE_E!B:B,ReliquidacionEFACT!B26,SIGGE_E!T:T)</v>
      </c>
      <c r="F26" s="11" t="str">
        <f t="shared" si="2"/>
        <v>IFERROR((E26/D26),0)</v>
      </c>
      <c r="G26" s="12" t="str">
        <f t="shared" si="3"/>
        <v>SUMIF(SIGGE_P!B:B,ReliquidacionEFACT!B26,SIGGE_P!U:U)</v>
      </c>
      <c r="H26" s="10" t="str">
        <f t="shared" si="4"/>
        <v>SUMIF(SIGGE_P!B:B,ReliquidacionEFACT!B26,SIGGE_P!V:V)</v>
      </c>
      <c r="I26" s="11" t="str">
        <f t="shared" si="5"/>
        <v>IFERROR((H26/G26),0)</v>
      </c>
      <c r="J26" s="10" t="str">
        <f t="shared" si="6"/>
        <v>(E26+H26)</v>
      </c>
      <c r="L26" s="37" t="s">
        <v>293</v>
      </c>
      <c r="M26" s="10" t="str">
        <f t="shared" si="7"/>
        <v>SUMIF(FACT_EST_CEN!B:B,ReliquidacionEFACT!B26,FACT_EST_CEN!S:S)</v>
      </c>
      <c r="N26" s="10" t="str">
        <f t="shared" si="8"/>
        <v>SUMIF(FACT_EST_CEN!B:B,ReliquidacionEFACT!B26,FACT_EST_CEN!T:T)</v>
      </c>
      <c r="O26" s="11" t="str">
        <f t="shared" si="9"/>
        <v>IFERROR((N26/M26),0)</v>
      </c>
      <c r="P26" s="12" t="str">
        <f t="shared" si="10"/>
        <v>SUMIF(FACT_EST_CEN!B:B,ReliquidacionEFACT!B26,FACT_EST_CEN!U:U)</v>
      </c>
      <c r="Q26" s="10" t="str">
        <f t="shared" si="11"/>
        <v>SUMIF(FACT_EST_CEN!B:B,ReliquidacionEFACT!B26,FACT_EST_CEN!V:V)</v>
      </c>
      <c r="R26" s="11" t="str">
        <f t="shared" si="12"/>
        <v>IFERROR((Q26/P26),0)</v>
      </c>
      <c r="S26" s="10" t="str">
        <f t="shared" si="13"/>
        <v>(N26+Q26)</v>
      </c>
      <c r="U26" s="49">
        <v>43862</v>
      </c>
      <c r="V26" s="25" t="str">
        <f t="shared" si="14"/>
        <v>(S26-J26)</v>
      </c>
      <c r="W26" s="50" t="s">
        <v>347</v>
      </c>
      <c r="X26" s="26">
        <v>44275</v>
      </c>
      <c r="Y26" s="27">
        <v>3.9100000000000003E-2</v>
      </c>
      <c r="Z26" s="28">
        <v>43915</v>
      </c>
      <c r="AA26" s="28">
        <f t="shared" si="20"/>
        <v>44377</v>
      </c>
      <c r="AB26" s="29" t="str">
        <f t="shared" si="15"/>
        <v>(AA26-Z26)</v>
      </c>
      <c r="AC26" s="29" t="str">
        <f t="shared" si="16"/>
        <v>(1+Y26)^(AB26/360)-1</v>
      </c>
      <c r="AD26" s="50" t="str">
        <f t="shared" si="17"/>
        <v>(AC26*V26)</v>
      </c>
      <c r="AE26" s="29" t="str">
        <f t="shared" si="18"/>
        <v>(V26+AD26)</v>
      </c>
    </row>
    <row r="27" spans="1:31" x14ac:dyDescent="0.25">
      <c r="A27" s="39">
        <f t="shared" si="19"/>
        <v>27</v>
      </c>
      <c r="B27" s="36">
        <v>43891</v>
      </c>
      <c r="C27" s="50" t="s">
        <v>290</v>
      </c>
      <c r="D27" s="10" t="str">
        <f t="shared" si="0"/>
        <v>SUMIF(SIGGE_E!B:B,ReliquidacionEFACT!B27,SIGGE_E!S:S)</v>
      </c>
      <c r="E27" s="10" t="str">
        <f t="shared" si="1"/>
        <v>SUMIF(SIGGE_E!B:B,ReliquidacionEFACT!B27,SIGGE_E!T:T)</v>
      </c>
      <c r="F27" s="11" t="str">
        <f t="shared" si="2"/>
        <v>IFERROR((E27/D27),0)</v>
      </c>
      <c r="G27" s="12" t="str">
        <f t="shared" si="3"/>
        <v>SUMIF(SIGGE_P!B:B,ReliquidacionEFACT!B27,SIGGE_P!U:U)</v>
      </c>
      <c r="H27" s="10" t="str">
        <f t="shared" si="4"/>
        <v>SUMIF(SIGGE_P!B:B,ReliquidacionEFACT!B27,SIGGE_P!V:V)</v>
      </c>
      <c r="I27" s="11" t="str">
        <f t="shared" si="5"/>
        <v>IFERROR((H27/G27),0)</v>
      </c>
      <c r="J27" s="10" t="str">
        <f t="shared" si="6"/>
        <v>(E27+H27)</v>
      </c>
      <c r="L27" s="37" t="s">
        <v>293</v>
      </c>
      <c r="M27" s="10" t="str">
        <f t="shared" si="7"/>
        <v>SUMIF(FACT_EST_CEN!B:B,ReliquidacionEFACT!B27,FACT_EST_CEN!S:S)</v>
      </c>
      <c r="N27" s="10" t="str">
        <f t="shared" si="8"/>
        <v>SUMIF(FACT_EST_CEN!B:B,ReliquidacionEFACT!B27,FACT_EST_CEN!T:T)</v>
      </c>
      <c r="O27" s="11" t="str">
        <f t="shared" si="9"/>
        <v>IFERROR((N27/M27),0)</v>
      </c>
      <c r="P27" s="12" t="str">
        <f t="shared" si="10"/>
        <v>SUMIF(FACT_EST_CEN!B:B,ReliquidacionEFACT!B27,FACT_EST_CEN!U:U)</v>
      </c>
      <c r="Q27" s="10" t="str">
        <f t="shared" si="11"/>
        <v>SUMIF(FACT_EST_CEN!B:B,ReliquidacionEFACT!B27,FACT_EST_CEN!V:V)</v>
      </c>
      <c r="R27" s="11" t="str">
        <f t="shared" si="12"/>
        <v>IFERROR((Q27/P27),0)</v>
      </c>
      <c r="S27" s="10" t="str">
        <f t="shared" si="13"/>
        <v>(N27+Q27)</v>
      </c>
      <c r="U27" s="49">
        <v>43891</v>
      </c>
      <c r="V27" s="25" t="str">
        <f t="shared" si="14"/>
        <v>(S27-J27)</v>
      </c>
      <c r="W27" s="50" t="s">
        <v>347</v>
      </c>
      <c r="X27" s="26">
        <v>44275</v>
      </c>
      <c r="Y27" s="27">
        <v>3.9100000000000003E-2</v>
      </c>
      <c r="Z27" s="28">
        <v>43946</v>
      </c>
      <c r="AA27" s="28">
        <f t="shared" si="20"/>
        <v>44377</v>
      </c>
      <c r="AB27" s="29" t="str">
        <f t="shared" si="15"/>
        <v>(AA27-Z27)</v>
      </c>
      <c r="AC27" s="29" t="str">
        <f t="shared" si="16"/>
        <v>(1+Y27)^(AB27/360)-1</v>
      </c>
      <c r="AD27" s="50" t="str">
        <f t="shared" si="17"/>
        <v>(AC27*V27)</v>
      </c>
      <c r="AE27" s="29" t="str">
        <f t="shared" si="18"/>
        <v>(V27+AD27)</v>
      </c>
    </row>
    <row r="28" spans="1:31" x14ac:dyDescent="0.25">
      <c r="A28" s="39">
        <f t="shared" si="19"/>
        <v>28</v>
      </c>
      <c r="B28" s="36">
        <v>43922</v>
      </c>
      <c r="C28" s="50" t="s">
        <v>290</v>
      </c>
      <c r="D28" s="10" t="str">
        <f t="shared" si="0"/>
        <v>SUMIF(SIGGE_E!B:B,ReliquidacionEFACT!B28,SIGGE_E!S:S)</v>
      </c>
      <c r="E28" s="10" t="str">
        <f t="shared" si="1"/>
        <v>SUMIF(SIGGE_E!B:B,ReliquidacionEFACT!B28,SIGGE_E!T:T)</v>
      </c>
      <c r="F28" s="11" t="str">
        <f t="shared" si="2"/>
        <v>IFERROR((E28/D28),0)</v>
      </c>
      <c r="G28" s="12" t="str">
        <f t="shared" si="3"/>
        <v>SUMIF(SIGGE_P!B:B,ReliquidacionEFACT!B28,SIGGE_P!U:U)</v>
      </c>
      <c r="H28" s="10" t="str">
        <f t="shared" si="4"/>
        <v>SUMIF(SIGGE_P!B:B,ReliquidacionEFACT!B28,SIGGE_P!V:V)</v>
      </c>
      <c r="I28" s="11" t="str">
        <f t="shared" si="5"/>
        <v>IFERROR((H28/G28),0)</v>
      </c>
      <c r="J28" s="10" t="str">
        <f t="shared" si="6"/>
        <v>(E28+H28)</v>
      </c>
      <c r="L28" s="37" t="s">
        <v>293</v>
      </c>
      <c r="M28" s="10" t="str">
        <f t="shared" si="7"/>
        <v>SUMIF(FACT_EST_CEN!B:B,ReliquidacionEFACT!B28,FACT_EST_CEN!S:S)</v>
      </c>
      <c r="N28" s="10" t="str">
        <f t="shared" si="8"/>
        <v>SUMIF(FACT_EST_CEN!B:B,ReliquidacionEFACT!B28,FACT_EST_CEN!T:T)</v>
      </c>
      <c r="O28" s="11" t="str">
        <f t="shared" si="9"/>
        <v>IFERROR((N28/M28),0)</v>
      </c>
      <c r="P28" s="12" t="str">
        <f t="shared" si="10"/>
        <v>SUMIF(FACT_EST_CEN!B:B,ReliquidacionEFACT!B28,FACT_EST_CEN!U:U)</v>
      </c>
      <c r="Q28" s="10" t="str">
        <f t="shared" si="11"/>
        <v>SUMIF(FACT_EST_CEN!B:B,ReliquidacionEFACT!B28,FACT_EST_CEN!V:V)</v>
      </c>
      <c r="R28" s="11" t="str">
        <f t="shared" si="12"/>
        <v>IFERROR((Q28/P28),0)</v>
      </c>
      <c r="S28" s="10" t="str">
        <f t="shared" si="13"/>
        <v>(N28+Q28)</v>
      </c>
      <c r="U28" s="49">
        <v>43922</v>
      </c>
      <c r="V28" s="25" t="str">
        <f t="shared" si="14"/>
        <v>(S28-J28)</v>
      </c>
      <c r="W28" s="50" t="s">
        <v>347</v>
      </c>
      <c r="X28" s="26">
        <v>44275</v>
      </c>
      <c r="Y28" s="27">
        <v>3.9100000000000003E-2</v>
      </c>
      <c r="Z28" s="28">
        <v>43976</v>
      </c>
      <c r="AA28" s="28">
        <f t="shared" si="20"/>
        <v>44377</v>
      </c>
      <c r="AB28" s="29" t="str">
        <f t="shared" si="15"/>
        <v>(AA28-Z28)</v>
      </c>
      <c r="AC28" s="29" t="str">
        <f t="shared" si="16"/>
        <v>(1+Y28)^(AB28/360)-1</v>
      </c>
      <c r="AD28" s="50" t="str">
        <f t="shared" si="17"/>
        <v>(AC28*V28)</v>
      </c>
      <c r="AE28" s="29" t="str">
        <f t="shared" si="18"/>
        <v>(V28+AD28)</v>
      </c>
    </row>
    <row r="29" spans="1:31" x14ac:dyDescent="0.25">
      <c r="A29" s="39">
        <f t="shared" si="19"/>
        <v>29</v>
      </c>
      <c r="B29" s="36">
        <v>43952</v>
      </c>
      <c r="C29" s="50" t="s">
        <v>290</v>
      </c>
      <c r="D29" s="10" t="str">
        <f t="shared" si="0"/>
        <v>SUMIF(SIGGE_E!B:B,ReliquidacionEFACT!B29,SIGGE_E!S:S)</v>
      </c>
      <c r="E29" s="10" t="str">
        <f t="shared" si="1"/>
        <v>SUMIF(SIGGE_E!B:B,ReliquidacionEFACT!B29,SIGGE_E!T:T)</v>
      </c>
      <c r="F29" s="11" t="str">
        <f t="shared" si="2"/>
        <v>IFERROR((E29/D29),0)</v>
      </c>
      <c r="G29" s="12" t="str">
        <f t="shared" si="3"/>
        <v>SUMIF(SIGGE_P!B:B,ReliquidacionEFACT!B29,SIGGE_P!U:U)</v>
      </c>
      <c r="H29" s="10" t="str">
        <f t="shared" si="4"/>
        <v>SUMIF(SIGGE_P!B:B,ReliquidacionEFACT!B29,SIGGE_P!V:V)</v>
      </c>
      <c r="I29" s="11" t="str">
        <f t="shared" si="5"/>
        <v>IFERROR((H29/G29),0)</v>
      </c>
      <c r="J29" s="10" t="str">
        <f t="shared" si="6"/>
        <v>(E29+H29)</v>
      </c>
      <c r="L29" s="37" t="s">
        <v>293</v>
      </c>
      <c r="M29" s="10" t="str">
        <f t="shared" si="7"/>
        <v>SUMIF(FACT_EST_CEN!B:B,ReliquidacionEFACT!B29,FACT_EST_CEN!S:S)</v>
      </c>
      <c r="N29" s="10" t="str">
        <f t="shared" si="8"/>
        <v>SUMIF(FACT_EST_CEN!B:B,ReliquidacionEFACT!B29,FACT_EST_CEN!T:T)</v>
      </c>
      <c r="O29" s="11" t="str">
        <f t="shared" si="9"/>
        <v>IFERROR((N29/M29),0)</v>
      </c>
      <c r="P29" s="12" t="str">
        <f t="shared" si="10"/>
        <v>SUMIF(FACT_EST_CEN!B:B,ReliquidacionEFACT!B29,FACT_EST_CEN!U:U)</v>
      </c>
      <c r="Q29" s="10" t="str">
        <f t="shared" si="11"/>
        <v>SUMIF(FACT_EST_CEN!B:B,ReliquidacionEFACT!B29,FACT_EST_CEN!V:V)</v>
      </c>
      <c r="R29" s="11" t="str">
        <f t="shared" si="12"/>
        <v>IFERROR((Q29/P29),0)</v>
      </c>
      <c r="S29" s="10" t="str">
        <f t="shared" si="13"/>
        <v>(N29+Q29)</v>
      </c>
      <c r="U29" s="49">
        <v>43952</v>
      </c>
      <c r="V29" s="25" t="str">
        <f t="shared" si="14"/>
        <v>(S29-J29)</v>
      </c>
      <c r="W29" s="50" t="s">
        <v>347</v>
      </c>
      <c r="X29" s="26">
        <v>44275</v>
      </c>
      <c r="Y29" s="27">
        <v>3.9100000000000003E-2</v>
      </c>
      <c r="Z29" s="28">
        <v>44007</v>
      </c>
      <c r="AA29" s="28">
        <f t="shared" si="20"/>
        <v>44377</v>
      </c>
      <c r="AB29" s="29" t="str">
        <f t="shared" si="15"/>
        <v>(AA29-Z29)</v>
      </c>
      <c r="AC29" s="29" t="str">
        <f t="shared" si="16"/>
        <v>(1+Y29)^(AB29/360)-1</v>
      </c>
      <c r="AD29" s="50" t="str">
        <f t="shared" si="17"/>
        <v>(AC29*V29)</v>
      </c>
      <c r="AE29" s="29" t="str">
        <f t="shared" si="18"/>
        <v>(V29+AD29)</v>
      </c>
    </row>
    <row r="30" spans="1:31" x14ac:dyDescent="0.25">
      <c r="A30" s="39">
        <f t="shared" si="19"/>
        <v>30</v>
      </c>
      <c r="B30" s="36">
        <v>43983</v>
      </c>
      <c r="C30" s="50" t="s">
        <v>290</v>
      </c>
      <c r="D30" s="10" t="str">
        <f t="shared" si="0"/>
        <v>SUMIF(SIGGE_E!B:B,ReliquidacionEFACT!B30,SIGGE_E!S:S)</v>
      </c>
      <c r="E30" s="10" t="str">
        <f t="shared" si="1"/>
        <v>SUMIF(SIGGE_E!B:B,ReliquidacionEFACT!B30,SIGGE_E!T:T)</v>
      </c>
      <c r="F30" s="11" t="str">
        <f t="shared" si="2"/>
        <v>IFERROR((E30/D30),0)</v>
      </c>
      <c r="G30" s="12" t="str">
        <f t="shared" si="3"/>
        <v>SUMIF(SIGGE_P!B:B,ReliquidacionEFACT!B30,SIGGE_P!U:U)</v>
      </c>
      <c r="H30" s="10" t="str">
        <f t="shared" si="4"/>
        <v>SUMIF(SIGGE_P!B:B,ReliquidacionEFACT!B30,SIGGE_P!V:V)</v>
      </c>
      <c r="I30" s="11" t="str">
        <f t="shared" si="5"/>
        <v>IFERROR((H30/G30),0)</v>
      </c>
      <c r="J30" s="10" t="str">
        <f t="shared" si="6"/>
        <v>(E30+H30)</v>
      </c>
      <c r="L30" s="37" t="s">
        <v>293</v>
      </c>
      <c r="M30" s="10" t="str">
        <f t="shared" si="7"/>
        <v>SUMIF(FACT_EST_CEN!B:B,ReliquidacionEFACT!B30,FACT_EST_CEN!S:S)</v>
      </c>
      <c r="N30" s="10" t="str">
        <f t="shared" si="8"/>
        <v>SUMIF(FACT_EST_CEN!B:B,ReliquidacionEFACT!B30,FACT_EST_CEN!T:T)</v>
      </c>
      <c r="O30" s="11" t="str">
        <f t="shared" si="9"/>
        <v>IFERROR((N30/M30),0)</v>
      </c>
      <c r="P30" s="12" t="str">
        <f t="shared" si="10"/>
        <v>SUMIF(FACT_EST_CEN!B:B,ReliquidacionEFACT!B30,FACT_EST_CEN!U:U)</v>
      </c>
      <c r="Q30" s="10" t="str">
        <f t="shared" si="11"/>
        <v>SUMIF(FACT_EST_CEN!B:B,ReliquidacionEFACT!B30,FACT_EST_CEN!V:V)</v>
      </c>
      <c r="R30" s="11" t="str">
        <f t="shared" si="12"/>
        <v>IFERROR((Q30/P30),0)</v>
      </c>
      <c r="S30" s="10" t="str">
        <f t="shared" si="13"/>
        <v>(N30+Q30)</v>
      </c>
      <c r="U30" s="49">
        <v>43983</v>
      </c>
      <c r="V30" s="25" t="str">
        <f t="shared" si="14"/>
        <v>(S30-J30)</v>
      </c>
      <c r="W30" s="50" t="s">
        <v>347</v>
      </c>
      <c r="X30" s="26">
        <v>44275</v>
      </c>
      <c r="Y30" s="27">
        <v>3.9100000000000003E-2</v>
      </c>
      <c r="Z30" s="28">
        <v>44037</v>
      </c>
      <c r="AA30" s="28">
        <f t="shared" si="20"/>
        <v>44377</v>
      </c>
      <c r="AB30" s="29" t="str">
        <f t="shared" si="15"/>
        <v>(AA30-Z30)</v>
      </c>
      <c r="AC30" s="29" t="str">
        <f t="shared" si="16"/>
        <v>(1+Y30)^(AB30/360)-1</v>
      </c>
      <c r="AD30" s="50" t="str">
        <f t="shared" si="17"/>
        <v>(AC30*V30)</v>
      </c>
      <c r="AE30" s="29" t="str">
        <f t="shared" si="18"/>
        <v>(V30+AD30)</v>
      </c>
    </row>
    <row r="31" spans="1:31" x14ac:dyDescent="0.25">
      <c r="A31" s="39">
        <f t="shared" si="19"/>
        <v>31</v>
      </c>
      <c r="B31" s="36">
        <v>44013</v>
      </c>
      <c r="C31" s="50" t="s">
        <v>290</v>
      </c>
      <c r="D31" s="10" t="str">
        <f t="shared" si="0"/>
        <v>SUMIF(SIGGE_E!B:B,ReliquidacionEFACT!B31,SIGGE_E!S:S)</v>
      </c>
      <c r="E31" s="10" t="str">
        <f t="shared" si="1"/>
        <v>SUMIF(SIGGE_E!B:B,ReliquidacionEFACT!B31,SIGGE_E!T:T)</v>
      </c>
      <c r="F31" s="11" t="str">
        <f t="shared" si="2"/>
        <v>IFERROR((E31/D31),0)</v>
      </c>
      <c r="G31" s="12" t="str">
        <f t="shared" si="3"/>
        <v>SUMIF(SIGGE_P!B:B,ReliquidacionEFACT!B31,SIGGE_P!U:U)</v>
      </c>
      <c r="H31" s="10" t="str">
        <f t="shared" si="4"/>
        <v>SUMIF(SIGGE_P!B:B,ReliquidacionEFACT!B31,SIGGE_P!V:V)</v>
      </c>
      <c r="I31" s="11" t="str">
        <f t="shared" si="5"/>
        <v>IFERROR((H31/G31),0)</v>
      </c>
      <c r="J31" s="10" t="str">
        <f t="shared" si="6"/>
        <v>(E31+H31)</v>
      </c>
      <c r="L31" s="37" t="s">
        <v>293</v>
      </c>
      <c r="M31" s="10" t="str">
        <f t="shared" si="7"/>
        <v>SUMIF(FACT_EST_CEN!B:B,ReliquidacionEFACT!B31,FACT_EST_CEN!S:S)</v>
      </c>
      <c r="N31" s="10" t="str">
        <f t="shared" si="8"/>
        <v>SUMIF(FACT_EST_CEN!B:B,ReliquidacionEFACT!B31,FACT_EST_CEN!T:T)</v>
      </c>
      <c r="O31" s="11" t="str">
        <f t="shared" si="9"/>
        <v>IFERROR((N31/M31),0)</v>
      </c>
      <c r="P31" s="12" t="str">
        <f t="shared" si="10"/>
        <v>SUMIF(FACT_EST_CEN!B:B,ReliquidacionEFACT!B31,FACT_EST_CEN!U:U)</v>
      </c>
      <c r="Q31" s="10" t="str">
        <f t="shared" si="11"/>
        <v>SUMIF(FACT_EST_CEN!B:B,ReliquidacionEFACT!B31,FACT_EST_CEN!V:V)</v>
      </c>
      <c r="R31" s="11" t="str">
        <f t="shared" si="12"/>
        <v>IFERROR((Q31/P31),0)</v>
      </c>
      <c r="S31" s="10" t="str">
        <f t="shared" si="13"/>
        <v>(N31+Q31)</v>
      </c>
      <c r="U31" s="49">
        <v>44013</v>
      </c>
      <c r="V31" s="25" t="str">
        <f t="shared" si="14"/>
        <v>(S31-J31)</v>
      </c>
      <c r="W31" s="50" t="s">
        <v>348</v>
      </c>
      <c r="X31" s="26">
        <v>44336</v>
      </c>
      <c r="Y31" s="27">
        <v>3.2800000000000003E-2</v>
      </c>
      <c r="Z31" s="28">
        <v>44068</v>
      </c>
      <c r="AA31" s="28">
        <f t="shared" si="20"/>
        <v>44377</v>
      </c>
      <c r="AB31" s="29" t="str">
        <f t="shared" si="15"/>
        <v>(AA31-Z31)</v>
      </c>
      <c r="AC31" s="29" t="str">
        <f t="shared" si="16"/>
        <v>(1+Y31)^(AB31/360)-1</v>
      </c>
      <c r="AD31" s="50" t="str">
        <f t="shared" si="17"/>
        <v>(AC31*V31)</v>
      </c>
      <c r="AE31" s="29" t="str">
        <f t="shared" si="18"/>
        <v>(V31+AD31)</v>
      </c>
    </row>
    <row r="32" spans="1:31" x14ac:dyDescent="0.25">
      <c r="A32" s="39">
        <f t="shared" si="19"/>
        <v>32</v>
      </c>
      <c r="B32" s="36">
        <v>44044</v>
      </c>
      <c r="C32" s="50" t="s">
        <v>290</v>
      </c>
      <c r="D32" s="10" t="str">
        <f t="shared" si="0"/>
        <v>SUMIF(SIGGE_E!B:B,ReliquidacionEFACT!B32,SIGGE_E!S:S)</v>
      </c>
      <c r="E32" s="10" t="str">
        <f t="shared" si="1"/>
        <v>SUMIF(SIGGE_E!B:B,ReliquidacionEFACT!B32,SIGGE_E!T:T)</v>
      </c>
      <c r="F32" s="11" t="str">
        <f t="shared" si="2"/>
        <v>IFERROR((E32/D32),0)</v>
      </c>
      <c r="G32" s="12" t="str">
        <f t="shared" si="3"/>
        <v>SUMIF(SIGGE_P!B:B,ReliquidacionEFACT!B32,SIGGE_P!U:U)</v>
      </c>
      <c r="H32" s="10" t="str">
        <f t="shared" si="4"/>
        <v>SUMIF(SIGGE_P!B:B,ReliquidacionEFACT!B32,SIGGE_P!V:V)</v>
      </c>
      <c r="I32" s="11" t="str">
        <f t="shared" si="5"/>
        <v>IFERROR((H32/G32),0)</v>
      </c>
      <c r="J32" s="10" t="str">
        <f t="shared" si="6"/>
        <v>(E32+H32)</v>
      </c>
      <c r="L32" s="37" t="s">
        <v>293</v>
      </c>
      <c r="M32" s="10" t="str">
        <f t="shared" si="7"/>
        <v>SUMIF(FACT_EST_CEN!B:B,ReliquidacionEFACT!B32,FACT_EST_CEN!S:S)</v>
      </c>
      <c r="N32" s="10" t="str">
        <f t="shared" si="8"/>
        <v>SUMIF(FACT_EST_CEN!B:B,ReliquidacionEFACT!B32,FACT_EST_CEN!T:T)</v>
      </c>
      <c r="O32" s="11" t="str">
        <f t="shared" si="9"/>
        <v>IFERROR((N32/M32),0)</v>
      </c>
      <c r="P32" s="12" t="str">
        <f t="shared" si="10"/>
        <v>SUMIF(FACT_EST_CEN!B:B,ReliquidacionEFACT!B32,FACT_EST_CEN!U:U)</v>
      </c>
      <c r="Q32" s="10" t="str">
        <f t="shared" si="11"/>
        <v>SUMIF(FACT_EST_CEN!B:B,ReliquidacionEFACT!B32,FACT_EST_CEN!V:V)</v>
      </c>
      <c r="R32" s="11" t="str">
        <f t="shared" si="12"/>
        <v>IFERROR((Q32/P32),0)</v>
      </c>
      <c r="S32" s="10" t="str">
        <f t="shared" si="13"/>
        <v>(N32+Q32)</v>
      </c>
      <c r="U32" s="49">
        <v>44044</v>
      </c>
      <c r="V32" s="25" t="str">
        <f t="shared" si="14"/>
        <v>(S32-J32)</v>
      </c>
      <c r="W32" s="50" t="s">
        <v>348</v>
      </c>
      <c r="X32" s="26">
        <v>44336</v>
      </c>
      <c r="Y32" s="27">
        <v>3.2800000000000003E-2</v>
      </c>
      <c r="Z32" s="28">
        <v>44099</v>
      </c>
      <c r="AA32" s="28">
        <f t="shared" si="20"/>
        <v>44377</v>
      </c>
      <c r="AB32" s="29" t="str">
        <f t="shared" si="15"/>
        <v>(AA32-Z32)</v>
      </c>
      <c r="AC32" s="29" t="str">
        <f t="shared" si="16"/>
        <v>(1+Y32)^(AB32/360)-1</v>
      </c>
      <c r="AD32" s="50" t="str">
        <f t="shared" si="17"/>
        <v>(AC32*V32)</v>
      </c>
      <c r="AE32" s="29" t="str">
        <f t="shared" si="18"/>
        <v>(V32+AD32)</v>
      </c>
    </row>
    <row r="33" spans="1:31" x14ac:dyDescent="0.25">
      <c r="A33" s="39">
        <f>A32+1</f>
        <v>33</v>
      </c>
      <c r="B33" s="36">
        <v>44075</v>
      </c>
      <c r="C33" s="50" t="s">
        <v>290</v>
      </c>
      <c r="D33" s="10" t="str">
        <f t="shared" si="0"/>
        <v>SUMIF(SIGGE_E!B:B,ReliquidacionEFACT!B33,SIGGE_E!S:S)</v>
      </c>
      <c r="E33" s="10" t="str">
        <f t="shared" si="1"/>
        <v>SUMIF(SIGGE_E!B:B,ReliquidacionEFACT!B33,SIGGE_E!T:T)</v>
      </c>
      <c r="F33" s="11" t="str">
        <f t="shared" si="2"/>
        <v>IFERROR((E33/D33),0)</v>
      </c>
      <c r="G33" s="12" t="str">
        <f t="shared" si="3"/>
        <v>SUMIF(SIGGE_P!B:B,ReliquidacionEFACT!B33,SIGGE_P!U:U)</v>
      </c>
      <c r="H33" s="10" t="str">
        <f t="shared" si="4"/>
        <v>SUMIF(SIGGE_P!B:B,ReliquidacionEFACT!B33,SIGGE_P!V:V)</v>
      </c>
      <c r="I33" s="11" t="str">
        <f t="shared" si="5"/>
        <v>IFERROR((H33/G33),0)</v>
      </c>
      <c r="J33" s="10" t="str">
        <f t="shared" si="6"/>
        <v>(E33+H33)</v>
      </c>
      <c r="L33" s="37" t="s">
        <v>293</v>
      </c>
      <c r="M33" s="10" t="str">
        <f t="shared" si="7"/>
        <v>SUMIF(FACT_EST_CEN!B:B,ReliquidacionEFACT!B33,FACT_EST_CEN!S:S)</v>
      </c>
      <c r="N33" s="10" t="str">
        <f t="shared" si="8"/>
        <v>SUMIF(FACT_EST_CEN!B:B,ReliquidacionEFACT!B33,FACT_EST_CEN!T:T)</v>
      </c>
      <c r="O33" s="11" t="str">
        <f t="shared" si="9"/>
        <v>IFERROR((N33/M33),0)</v>
      </c>
      <c r="P33" s="12" t="str">
        <f t="shared" si="10"/>
        <v>SUMIF(FACT_EST_CEN!B:B,ReliquidacionEFACT!B33,FACT_EST_CEN!U:U)</v>
      </c>
      <c r="Q33" s="10" t="str">
        <f t="shared" si="11"/>
        <v>SUMIF(FACT_EST_CEN!B:B,ReliquidacionEFACT!B33,FACT_EST_CEN!V:V)</v>
      </c>
      <c r="R33" s="11" t="str">
        <f t="shared" si="12"/>
        <v>IFERROR((Q33/P33),0)</v>
      </c>
      <c r="S33" s="10" t="str">
        <f t="shared" si="13"/>
        <v>(N33+Q33)</v>
      </c>
      <c r="U33" s="49">
        <v>44075</v>
      </c>
      <c r="V33" s="25" t="str">
        <f t="shared" si="14"/>
        <v>(S33-J33)</v>
      </c>
      <c r="W33" s="50" t="s">
        <v>348</v>
      </c>
      <c r="X33" s="26">
        <v>44336</v>
      </c>
      <c r="Y33" s="27">
        <v>3.2800000000000003E-2</v>
      </c>
      <c r="Z33" s="28">
        <v>44129</v>
      </c>
      <c r="AA33" s="28">
        <f t="shared" si="20"/>
        <v>44377</v>
      </c>
      <c r="AB33" s="29" t="str">
        <f t="shared" si="15"/>
        <v>(AA33-Z33)</v>
      </c>
      <c r="AC33" s="29" t="str">
        <f t="shared" si="16"/>
        <v>(1+Y33)^(AB33/360)-1</v>
      </c>
      <c r="AD33" s="50" t="str">
        <f t="shared" si="17"/>
        <v>(AC33*V33)</v>
      </c>
      <c r="AE33" s="29" t="str">
        <f t="shared" si="18"/>
        <v>(V33+AD33)</v>
      </c>
    </row>
    <row r="34" spans="1:31" ht="15.75" thickBot="1" x14ac:dyDescent="0.3">
      <c r="Z34" s="1"/>
      <c r="AD34" s="51" t="s">
        <v>70</v>
      </c>
      <c r="AE34" s="52" t="str">
        <f>CONCATENATE("SUM(AE9:AE33)")</f>
        <v>SUM(AE9:AE33)</v>
      </c>
    </row>
    <row r="36" spans="1:31" x14ac:dyDescent="0.25">
      <c r="AC36" s="17" t="s">
        <v>72</v>
      </c>
      <c r="AD36" s="18" t="s">
        <v>354</v>
      </c>
      <c r="AE36" s="19"/>
    </row>
    <row r="37" spans="1:31" x14ac:dyDescent="0.25">
      <c r="AC37" s="20" t="s">
        <v>73</v>
      </c>
      <c r="AD37" s="13" t="s">
        <v>355</v>
      </c>
      <c r="AE37" s="21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W735"/>
  <sheetViews>
    <sheetView zoomScale="60" zoomScaleNormal="60" workbookViewId="0">
      <selection activeCell="A19" sqref="A19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3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349</v>
      </c>
      <c r="V2" t="s">
        <v>349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3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349</v>
      </c>
      <c r="V3" t="s">
        <v>349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3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349</v>
      </c>
      <c r="V4" t="s">
        <v>349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3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349</v>
      </c>
      <c r="V5" t="s">
        <v>349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3">
        <v>43539</v>
      </c>
      <c r="H6">
        <v>33</v>
      </c>
      <c r="I6" t="s">
        <v>349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349</v>
      </c>
      <c r="V6" t="s">
        <v>349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3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349</v>
      </c>
      <c r="V7" t="s">
        <v>349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3">
        <v>43539</v>
      </c>
      <c r="H8">
        <v>33</v>
      </c>
      <c r="I8" t="s">
        <v>349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349</v>
      </c>
      <c r="V8" t="s">
        <v>349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3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349</v>
      </c>
      <c r="V9" t="s">
        <v>349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3">
        <v>43539</v>
      </c>
      <c r="H10">
        <v>33</v>
      </c>
      <c r="I10" t="s">
        <v>349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349</v>
      </c>
      <c r="V10" t="s">
        <v>349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3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349</v>
      </c>
      <c r="V11" t="s">
        <v>349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3">
        <v>43539</v>
      </c>
      <c r="H12">
        <v>33</v>
      </c>
      <c r="I12" t="s">
        <v>349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349</v>
      </c>
      <c r="V12" t="s">
        <v>349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3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349</v>
      </c>
      <c r="V13" t="s">
        <v>349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3">
        <v>43539</v>
      </c>
      <c r="H14">
        <v>33</v>
      </c>
      <c r="I14" t="s">
        <v>349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349</v>
      </c>
      <c r="V14" t="s">
        <v>349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3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349</v>
      </c>
      <c r="V15" t="s">
        <v>349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3">
        <v>43564</v>
      </c>
      <c r="H16">
        <v>61</v>
      </c>
      <c r="I16" t="s">
        <v>349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349</v>
      </c>
      <c r="V16" t="s">
        <v>349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3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349</v>
      </c>
      <c r="V17" t="s">
        <v>349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3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349</v>
      </c>
      <c r="V18" t="s">
        <v>349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3">
        <v>43564</v>
      </c>
      <c r="H19">
        <v>61</v>
      </c>
      <c r="I19" t="s">
        <v>349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349</v>
      </c>
      <c r="V19" t="s">
        <v>349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3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349</v>
      </c>
      <c r="V20" t="s">
        <v>349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3">
        <v>43564</v>
      </c>
      <c r="H21">
        <v>61</v>
      </c>
      <c r="I21" t="s">
        <v>349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349</v>
      </c>
      <c r="V21" t="s">
        <v>349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3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349</v>
      </c>
      <c r="V22" t="s">
        <v>349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3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349</v>
      </c>
      <c r="V23" t="s">
        <v>349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3">
        <v>43598</v>
      </c>
      <c r="H24">
        <v>33</v>
      </c>
      <c r="I24" t="s">
        <v>349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349</v>
      </c>
      <c r="V24" t="s">
        <v>349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3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349</v>
      </c>
      <c r="V25" t="s">
        <v>349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3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349</v>
      </c>
      <c r="V26" t="s">
        <v>349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3">
        <v>43598</v>
      </c>
      <c r="H27">
        <v>33</v>
      </c>
      <c r="I27" t="s">
        <v>349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349</v>
      </c>
      <c r="V27" t="s">
        <v>349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3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349</v>
      </c>
      <c r="V28" t="s">
        <v>349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3">
        <v>43598</v>
      </c>
      <c r="H29">
        <v>33</v>
      </c>
      <c r="I29" t="s">
        <v>349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349</v>
      </c>
      <c r="V29" t="s">
        <v>349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3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349</v>
      </c>
      <c r="V30" t="s">
        <v>349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3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349</v>
      </c>
      <c r="V31" t="s">
        <v>349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3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349</v>
      </c>
      <c r="T32" t="s">
        <v>349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3">
        <v>43913.49763888889</v>
      </c>
      <c r="H33">
        <v>61</v>
      </c>
      <c r="I33" t="s">
        <v>349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349</v>
      </c>
      <c r="V33" t="s">
        <v>349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3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349</v>
      </c>
      <c r="V34" t="s">
        <v>349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3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349</v>
      </c>
      <c r="T35" t="s">
        <v>349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3">
        <v>43913.49763888889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349</v>
      </c>
      <c r="V36" t="s">
        <v>349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3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349</v>
      </c>
      <c r="V37" t="s">
        <v>349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3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349</v>
      </c>
      <c r="T38" t="s">
        <v>349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3">
        <v>43913.49763888889</v>
      </c>
      <c r="H39">
        <v>61</v>
      </c>
      <c r="I39" t="s">
        <v>349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349</v>
      </c>
      <c r="V39" t="s">
        <v>349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3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349</v>
      </c>
      <c r="V40" t="s">
        <v>349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3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349</v>
      </c>
      <c r="T41" t="s">
        <v>349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3">
        <v>43913.49763888889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349</v>
      </c>
      <c r="V42" t="s">
        <v>349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3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349</v>
      </c>
      <c r="V43" t="s">
        <v>349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3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349</v>
      </c>
      <c r="T44" t="s">
        <v>349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3">
        <v>43913.49763888889</v>
      </c>
      <c r="H45">
        <v>61</v>
      </c>
      <c r="I45" t="s">
        <v>349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349</v>
      </c>
      <c r="V45" t="s">
        <v>349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3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349</v>
      </c>
      <c r="V46" t="s">
        <v>349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3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349</v>
      </c>
      <c r="T47" t="s">
        <v>349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3">
        <v>43915.631481481483</v>
      </c>
      <c r="H48">
        <v>61</v>
      </c>
      <c r="I48" t="s">
        <v>349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349</v>
      </c>
      <c r="V48" t="s">
        <v>349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3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349</v>
      </c>
      <c r="V49" t="s">
        <v>349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3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349</v>
      </c>
      <c r="T50" t="s">
        <v>349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3">
        <v>43915.631481481483</v>
      </c>
      <c r="H51">
        <v>61</v>
      </c>
      <c r="I51" t="s">
        <v>349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349</v>
      </c>
      <c r="V51" t="s">
        <v>349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3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349</v>
      </c>
      <c r="V52" t="s">
        <v>349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3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349</v>
      </c>
      <c r="T53" t="s">
        <v>349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3">
        <v>43915.631481481483</v>
      </c>
      <c r="H54">
        <v>61</v>
      </c>
      <c r="I54" t="s">
        <v>349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349</v>
      </c>
      <c r="V54" t="s">
        <v>349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3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349</v>
      </c>
      <c r="V55" t="s">
        <v>349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3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349</v>
      </c>
      <c r="T56" t="s">
        <v>349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3">
        <v>43915.631481481483</v>
      </c>
      <c r="H57">
        <v>61</v>
      </c>
      <c r="I57" t="s">
        <v>349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349</v>
      </c>
      <c r="V57" t="s">
        <v>349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3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349</v>
      </c>
      <c r="V58" t="s">
        <v>349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3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349</v>
      </c>
      <c r="T59" t="s">
        <v>349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3">
        <v>43915.631481481483</v>
      </c>
      <c r="H60">
        <v>61</v>
      </c>
      <c r="I60" t="s">
        <v>349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349</v>
      </c>
      <c r="V60" t="s">
        <v>349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3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349</v>
      </c>
      <c r="V61" t="s">
        <v>349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3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349</v>
      </c>
      <c r="T62" t="s">
        <v>349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3">
        <v>43693</v>
      </c>
      <c r="H63">
        <v>33</v>
      </c>
      <c r="I63" t="s">
        <v>349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349</v>
      </c>
      <c r="V63" t="s">
        <v>349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3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349</v>
      </c>
      <c r="V64" t="s">
        <v>349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3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349</v>
      </c>
      <c r="T65" t="s">
        <v>349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3">
        <v>43693</v>
      </c>
      <c r="H66">
        <v>33</v>
      </c>
      <c r="I66" t="s">
        <v>349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349</v>
      </c>
      <c r="V66" t="s">
        <v>349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3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349</v>
      </c>
      <c r="V67" t="s">
        <v>349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3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349</v>
      </c>
      <c r="T68" t="s">
        <v>349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3">
        <v>43693</v>
      </c>
      <c r="H69">
        <v>33</v>
      </c>
      <c r="I69" t="s">
        <v>349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349</v>
      </c>
      <c r="V69" t="s">
        <v>349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3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349</v>
      </c>
      <c r="V70" t="s">
        <v>349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3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349</v>
      </c>
      <c r="T71" t="s">
        <v>349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3">
        <v>43693</v>
      </c>
      <c r="H72">
        <v>33</v>
      </c>
      <c r="I72" t="s">
        <v>349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349</v>
      </c>
      <c r="V72" t="s">
        <v>349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3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349</v>
      </c>
      <c r="V73" t="s">
        <v>349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3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349</v>
      </c>
      <c r="T74" t="s">
        <v>349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3">
        <v>43693</v>
      </c>
      <c r="H75">
        <v>33</v>
      </c>
      <c r="I75" t="s">
        <v>349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349</v>
      </c>
      <c r="V75" t="s">
        <v>349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3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349</v>
      </c>
      <c r="V76" t="s">
        <v>349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3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349</v>
      </c>
      <c r="T77" t="s">
        <v>349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3">
        <v>43914.908402777779</v>
      </c>
      <c r="H78">
        <v>61</v>
      </c>
      <c r="I78" t="s">
        <v>349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349</v>
      </c>
      <c r="V78" t="s">
        <v>349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3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349</v>
      </c>
      <c r="V79" t="s">
        <v>349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3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349</v>
      </c>
      <c r="T80" t="s">
        <v>349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3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349</v>
      </c>
      <c r="V81" t="s">
        <v>349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3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349</v>
      </c>
      <c r="T82" t="s">
        <v>349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3">
        <v>43914.908402777779</v>
      </c>
      <c r="H83">
        <v>61</v>
      </c>
      <c r="I83" t="s">
        <v>349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349</v>
      </c>
      <c r="V83" t="s">
        <v>349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3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349</v>
      </c>
      <c r="V84" t="s">
        <v>349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3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349</v>
      </c>
      <c r="T85" t="s">
        <v>349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3">
        <v>43914.908402777779</v>
      </c>
      <c r="H86">
        <v>61</v>
      </c>
      <c r="I86" t="s">
        <v>349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349</v>
      </c>
      <c r="V86" t="s">
        <v>349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3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349</v>
      </c>
      <c r="V87" t="s">
        <v>349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3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349</v>
      </c>
      <c r="T88" t="s">
        <v>349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3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349</v>
      </c>
      <c r="V89" t="s">
        <v>349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3">
        <v>43915.393750000003</v>
      </c>
      <c r="H90">
        <v>61</v>
      </c>
      <c r="I90" t="s">
        <v>349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349</v>
      </c>
      <c r="V90" t="s">
        <v>349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3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349</v>
      </c>
      <c r="V91" t="s">
        <v>349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3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349</v>
      </c>
      <c r="T92" t="s">
        <v>349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3">
        <v>43915.393750000003</v>
      </c>
      <c r="H93">
        <v>61</v>
      </c>
      <c r="I93" t="s">
        <v>349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349</v>
      </c>
      <c r="V93" t="s">
        <v>349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3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349</v>
      </c>
      <c r="V94" t="s">
        <v>349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3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349</v>
      </c>
      <c r="T95" t="s">
        <v>349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3">
        <v>43915.393750000003</v>
      </c>
      <c r="H96">
        <v>61</v>
      </c>
      <c r="I96" t="s">
        <v>349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349</v>
      </c>
      <c r="V96" t="s">
        <v>349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3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349</v>
      </c>
      <c r="V97" t="s">
        <v>349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3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349</v>
      </c>
      <c r="T98" t="s">
        <v>349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3">
        <v>43915.393750000003</v>
      </c>
      <c r="H99">
        <v>61</v>
      </c>
      <c r="I99" t="s">
        <v>349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349</v>
      </c>
      <c r="V99" t="s">
        <v>349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3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349</v>
      </c>
      <c r="V100" t="s">
        <v>349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3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349</v>
      </c>
      <c r="T101" t="s">
        <v>349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3">
        <v>43915.393750000003</v>
      </c>
      <c r="H102">
        <v>61</v>
      </c>
      <c r="I102" t="s">
        <v>349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349</v>
      </c>
      <c r="V102" t="s">
        <v>349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3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349</v>
      </c>
      <c r="V103" t="s">
        <v>349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3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349</v>
      </c>
      <c r="T104" t="s">
        <v>349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3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349</v>
      </c>
      <c r="V105" t="s">
        <v>349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3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349</v>
      </c>
      <c r="T106" t="s">
        <v>349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3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349</v>
      </c>
      <c r="V107" t="s">
        <v>349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3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349</v>
      </c>
      <c r="T108" t="s">
        <v>349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3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349</v>
      </c>
      <c r="V109" t="s">
        <v>349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3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349</v>
      </c>
      <c r="T110" t="s">
        <v>349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3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349</v>
      </c>
      <c r="V111" t="s">
        <v>349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3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349</v>
      </c>
      <c r="T112" t="s">
        <v>349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3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349</v>
      </c>
      <c r="V113" t="s">
        <v>349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3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349</v>
      </c>
      <c r="T114" t="s">
        <v>349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3">
        <v>43944.47278935185</v>
      </c>
      <c r="H115">
        <v>61</v>
      </c>
      <c r="I115" t="s">
        <v>349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349</v>
      </c>
      <c r="V115" t="s">
        <v>349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3">
        <v>43944.47278935185</v>
      </c>
      <c r="H116">
        <v>61</v>
      </c>
      <c r="I116" t="s">
        <v>349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349</v>
      </c>
      <c r="T116" t="s">
        <v>349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3">
        <v>43944.47278935185</v>
      </c>
      <c r="H117">
        <v>61</v>
      </c>
      <c r="I117" t="s">
        <v>349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349</v>
      </c>
      <c r="T117" t="s">
        <v>349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3">
        <v>43944.47278935185</v>
      </c>
      <c r="H118">
        <v>61</v>
      </c>
      <c r="I118" t="s">
        <v>349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349</v>
      </c>
      <c r="V118" t="s">
        <v>349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3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349</v>
      </c>
      <c r="T119" t="s">
        <v>349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3">
        <v>43812</v>
      </c>
      <c r="H120">
        <v>61</v>
      </c>
      <c r="I120" t="s">
        <v>349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349</v>
      </c>
      <c r="V120" t="s">
        <v>349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3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349</v>
      </c>
      <c r="V121" t="s">
        <v>349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3">
        <v>43944.47278935185</v>
      </c>
      <c r="H122">
        <v>61</v>
      </c>
      <c r="I122" t="s">
        <v>349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349</v>
      </c>
      <c r="V122" t="s">
        <v>349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3">
        <v>43944.47278935185</v>
      </c>
      <c r="H123">
        <v>61</v>
      </c>
      <c r="I123" t="s">
        <v>349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349</v>
      </c>
      <c r="T123" t="s">
        <v>349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3">
        <v>43944.47278935185</v>
      </c>
      <c r="H124">
        <v>61</v>
      </c>
      <c r="I124" t="s">
        <v>349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349</v>
      </c>
      <c r="T124" t="s">
        <v>349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3">
        <v>43944.47278935185</v>
      </c>
      <c r="H125">
        <v>61</v>
      </c>
      <c r="I125" t="s">
        <v>349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349</v>
      </c>
      <c r="V125" t="s">
        <v>349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3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349</v>
      </c>
      <c r="T126" t="s">
        <v>349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3">
        <v>43812</v>
      </c>
      <c r="H127">
        <v>61</v>
      </c>
      <c r="I127" t="s">
        <v>349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349</v>
      </c>
      <c r="V127" t="s">
        <v>349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3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349</v>
      </c>
      <c r="V128" t="s">
        <v>349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3">
        <v>43944.47278935185</v>
      </c>
      <c r="H129">
        <v>61</v>
      </c>
      <c r="I129" t="s">
        <v>349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349</v>
      </c>
      <c r="V129" t="s">
        <v>349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3">
        <v>43944.47278935185</v>
      </c>
      <c r="H130">
        <v>61</v>
      </c>
      <c r="I130" t="s">
        <v>349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349</v>
      </c>
      <c r="T130" t="s">
        <v>349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3">
        <v>43944.47278935185</v>
      </c>
      <c r="H131">
        <v>61</v>
      </c>
      <c r="I131" t="s">
        <v>349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349</v>
      </c>
      <c r="T131" t="s">
        <v>349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3">
        <v>43944.47278935185</v>
      </c>
      <c r="H132">
        <v>61</v>
      </c>
      <c r="I132" t="s">
        <v>349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349</v>
      </c>
      <c r="V132" t="s">
        <v>349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3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349</v>
      </c>
      <c r="T133" t="s">
        <v>349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3">
        <v>43812</v>
      </c>
      <c r="H134">
        <v>61</v>
      </c>
      <c r="I134" t="s">
        <v>349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349</v>
      </c>
      <c r="V134" t="s">
        <v>349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3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349</v>
      </c>
      <c r="V135" t="s">
        <v>349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3">
        <v>43944.47278935185</v>
      </c>
      <c r="H136">
        <v>61</v>
      </c>
      <c r="I136" t="s">
        <v>349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349</v>
      </c>
      <c r="V136" t="s">
        <v>349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3">
        <v>43944.47278935185</v>
      </c>
      <c r="H137">
        <v>61</v>
      </c>
      <c r="I137" t="s">
        <v>349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349</v>
      </c>
      <c r="T137" t="s">
        <v>349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3">
        <v>43944.47278935185</v>
      </c>
      <c r="H138">
        <v>61</v>
      </c>
      <c r="I138" t="s">
        <v>349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349</v>
      </c>
      <c r="T138" t="s">
        <v>349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3">
        <v>43944.47278935185</v>
      </c>
      <c r="H139">
        <v>61</v>
      </c>
      <c r="I139" t="s">
        <v>349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349</v>
      </c>
      <c r="V139" t="s">
        <v>349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3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349</v>
      </c>
      <c r="T140" t="s">
        <v>349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3">
        <v>43812</v>
      </c>
      <c r="H141">
        <v>61</v>
      </c>
      <c r="I141" t="s">
        <v>349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349</v>
      </c>
      <c r="V141" t="s">
        <v>349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3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349</v>
      </c>
      <c r="V142" t="s">
        <v>349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3">
        <v>43944.47278935185</v>
      </c>
      <c r="H143">
        <v>61</v>
      </c>
      <c r="I143" t="s">
        <v>349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349</v>
      </c>
      <c r="V143" t="s">
        <v>349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3">
        <v>43944.47278935185</v>
      </c>
      <c r="H144">
        <v>61</v>
      </c>
      <c r="I144" t="s">
        <v>349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349</v>
      </c>
      <c r="T144" t="s">
        <v>349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3">
        <v>43944.47278935185</v>
      </c>
      <c r="H145">
        <v>61</v>
      </c>
      <c r="I145" t="s">
        <v>349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349</v>
      </c>
      <c r="T145" t="s">
        <v>349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3">
        <v>43944.47278935185</v>
      </c>
      <c r="H146">
        <v>61</v>
      </c>
      <c r="I146" t="s">
        <v>349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349</v>
      </c>
      <c r="V146" t="s">
        <v>349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3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349</v>
      </c>
      <c r="T147" t="s">
        <v>349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3">
        <v>43812</v>
      </c>
      <c r="H148">
        <v>61</v>
      </c>
      <c r="I148" t="s">
        <v>349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349</v>
      </c>
      <c r="V148" t="s">
        <v>349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3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349</v>
      </c>
      <c r="V149" t="s">
        <v>349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3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349</v>
      </c>
      <c r="T150" t="s">
        <v>349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3">
        <v>43837</v>
      </c>
      <c r="H151">
        <v>61</v>
      </c>
      <c r="I151" t="s">
        <v>349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349</v>
      </c>
      <c r="V151" t="s">
        <v>349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3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349</v>
      </c>
      <c r="V152" t="s">
        <v>349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3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349</v>
      </c>
      <c r="T153" t="s">
        <v>349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3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349</v>
      </c>
      <c r="V154" t="s">
        <v>349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3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349</v>
      </c>
      <c r="T155" t="s">
        <v>349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3">
        <v>43837</v>
      </c>
      <c r="H156">
        <v>61</v>
      </c>
      <c r="I156" t="s">
        <v>349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349</v>
      </c>
      <c r="V156" t="s">
        <v>349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3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349</v>
      </c>
      <c r="V157" t="s">
        <v>349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3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349</v>
      </c>
      <c r="T158" t="s">
        <v>349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3">
        <v>43837</v>
      </c>
      <c r="H159">
        <v>61</v>
      </c>
      <c r="I159" t="s">
        <v>349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349</v>
      </c>
      <c r="V159" t="s">
        <v>349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3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349</v>
      </c>
      <c r="V160" t="s">
        <v>349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3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349</v>
      </c>
      <c r="T161" t="s">
        <v>349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3">
        <v>43837</v>
      </c>
      <c r="H162">
        <v>61</v>
      </c>
      <c r="I162" t="s">
        <v>349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349</v>
      </c>
      <c r="V162" t="s">
        <v>349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3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349</v>
      </c>
      <c r="V163" t="s">
        <v>349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3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349</v>
      </c>
      <c r="T164" t="s">
        <v>349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3">
        <v>43928.729247685187</v>
      </c>
      <c r="H165">
        <v>33</v>
      </c>
      <c r="I165" t="s">
        <v>349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349</v>
      </c>
      <c r="V165" t="s">
        <v>349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3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349</v>
      </c>
      <c r="V166" t="s">
        <v>349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3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349</v>
      </c>
      <c r="T167" t="s">
        <v>349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3">
        <v>43928.729247685187</v>
      </c>
      <c r="H168">
        <v>33</v>
      </c>
      <c r="I168" t="s">
        <v>349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349</v>
      </c>
      <c r="V168" t="s">
        <v>349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3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349</v>
      </c>
      <c r="V169" t="s">
        <v>349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3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349</v>
      </c>
      <c r="T170" t="s">
        <v>349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3">
        <v>43928.729247685187</v>
      </c>
      <c r="H171">
        <v>33</v>
      </c>
      <c r="I171" t="s">
        <v>349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349</v>
      </c>
      <c r="V171" t="s">
        <v>349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3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349</v>
      </c>
      <c r="V172" t="s">
        <v>349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3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349</v>
      </c>
      <c r="T173" t="s">
        <v>349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3">
        <v>43928.729247685187</v>
      </c>
      <c r="H174">
        <v>33</v>
      </c>
      <c r="I174" t="s">
        <v>349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349</v>
      </c>
      <c r="V174" t="s">
        <v>349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3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349</v>
      </c>
      <c r="V175" t="s">
        <v>349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3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349</v>
      </c>
      <c r="T176" t="s">
        <v>349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3">
        <v>43928.729247685187</v>
      </c>
      <c r="H177">
        <v>33</v>
      </c>
      <c r="I177" t="s">
        <v>349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349</v>
      </c>
      <c r="V177" t="s">
        <v>349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3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349</v>
      </c>
      <c r="V178" t="s">
        <v>349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3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349</v>
      </c>
      <c r="T179" t="s">
        <v>349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3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349</v>
      </c>
      <c r="V180" t="s">
        <v>349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3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349</v>
      </c>
      <c r="V181" t="s">
        <v>349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3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349</v>
      </c>
      <c r="T182" t="s">
        <v>349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3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349</v>
      </c>
      <c r="V183" t="s">
        <v>349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3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349</v>
      </c>
      <c r="V184" t="s">
        <v>349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3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349</v>
      </c>
      <c r="T185" t="s">
        <v>349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3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349</v>
      </c>
      <c r="V186" t="s">
        <v>349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3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349</v>
      </c>
      <c r="V187" t="s">
        <v>349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3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349</v>
      </c>
      <c r="T188" t="s">
        <v>349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3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349</v>
      </c>
      <c r="V189" t="s">
        <v>349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3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349</v>
      </c>
      <c r="V190" t="s">
        <v>349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3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349</v>
      </c>
      <c r="T191" t="s">
        <v>349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3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349</v>
      </c>
      <c r="V192" t="s">
        <v>349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3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349</v>
      </c>
      <c r="V193" t="s">
        <v>349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3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349</v>
      </c>
      <c r="T194" t="s">
        <v>349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3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349</v>
      </c>
      <c r="V195" t="s">
        <v>349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3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349</v>
      </c>
      <c r="V196" t="s">
        <v>349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3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349</v>
      </c>
      <c r="T197" t="s">
        <v>349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3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349</v>
      </c>
      <c r="V198" t="s">
        <v>349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3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349</v>
      </c>
      <c r="V199" t="s">
        <v>349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3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349</v>
      </c>
      <c r="T200" t="s">
        <v>349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3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349</v>
      </c>
      <c r="V201" t="s">
        <v>349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3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349</v>
      </c>
      <c r="V202" t="s">
        <v>349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3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349</v>
      </c>
      <c r="T203" t="s">
        <v>349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3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349</v>
      </c>
      <c r="V204" t="s">
        <v>349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3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349</v>
      </c>
      <c r="V205" t="s">
        <v>349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3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349</v>
      </c>
      <c r="T206" t="s">
        <v>349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3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349</v>
      </c>
      <c r="V207" t="s">
        <v>349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3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349</v>
      </c>
      <c r="V208" t="s">
        <v>349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3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349</v>
      </c>
      <c r="T209" t="s">
        <v>349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3">
        <v>43970.737210648149</v>
      </c>
      <c r="H210">
        <v>33</v>
      </c>
      <c r="I210" t="s">
        <v>349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349</v>
      </c>
      <c r="V210" t="s">
        <v>349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3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349</v>
      </c>
      <c r="V211" t="s">
        <v>349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3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349</v>
      </c>
      <c r="T212" t="s">
        <v>349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3">
        <v>43970.737210648149</v>
      </c>
      <c r="H213">
        <v>33</v>
      </c>
      <c r="I213" t="s">
        <v>349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349</v>
      </c>
      <c r="V213" t="s">
        <v>349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3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349</v>
      </c>
      <c r="V214" t="s">
        <v>349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3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349</v>
      </c>
      <c r="T215" t="s">
        <v>349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3">
        <v>43970.737210648149</v>
      </c>
      <c r="H216">
        <v>33</v>
      </c>
      <c r="I216" t="s">
        <v>349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349</v>
      </c>
      <c r="V216" t="s">
        <v>349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3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349</v>
      </c>
      <c r="V217" t="s">
        <v>349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3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349</v>
      </c>
      <c r="T218" t="s">
        <v>349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3">
        <v>43970.737210648149</v>
      </c>
      <c r="H219">
        <v>33</v>
      </c>
      <c r="I219" t="s">
        <v>349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349</v>
      </c>
      <c r="V219" t="s">
        <v>349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3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349</v>
      </c>
      <c r="V220" t="s">
        <v>349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3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349</v>
      </c>
      <c r="T221" t="s">
        <v>349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3">
        <v>43970.737210648149</v>
      </c>
      <c r="H222">
        <v>33</v>
      </c>
      <c r="I222" t="s">
        <v>349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349</v>
      </c>
      <c r="V222" t="s">
        <v>349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3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349</v>
      </c>
      <c r="V223" t="s">
        <v>349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3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349</v>
      </c>
      <c r="T224" t="s">
        <v>349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3">
        <v>43992.659548611111</v>
      </c>
      <c r="H225">
        <v>33</v>
      </c>
      <c r="I225" t="s">
        <v>349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349</v>
      </c>
      <c r="V225" t="s">
        <v>349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3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349</v>
      </c>
      <c r="V226" t="s">
        <v>349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3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349</v>
      </c>
      <c r="T227" t="s">
        <v>349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3">
        <v>43992.659548611111</v>
      </c>
      <c r="H228">
        <v>33</v>
      </c>
      <c r="I228" t="s">
        <v>349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349</v>
      </c>
      <c r="V228" t="s">
        <v>349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3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349</v>
      </c>
      <c r="V229" t="s">
        <v>349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3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349</v>
      </c>
      <c r="T230" t="s">
        <v>349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3">
        <v>43992.659548611111</v>
      </c>
      <c r="H231">
        <v>33</v>
      </c>
      <c r="I231" t="s">
        <v>349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349</v>
      </c>
      <c r="V231" t="s">
        <v>349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3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349</v>
      </c>
      <c r="V232" t="s">
        <v>349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3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349</v>
      </c>
      <c r="T233" t="s">
        <v>349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3">
        <v>43992.659548611111</v>
      </c>
      <c r="H234">
        <v>33</v>
      </c>
      <c r="I234" t="s">
        <v>349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349</v>
      </c>
      <c r="V234" t="s">
        <v>349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3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349</v>
      </c>
      <c r="V235" t="s">
        <v>349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3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349</v>
      </c>
      <c r="T236" t="s">
        <v>349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3">
        <v>43992.659548611111</v>
      </c>
      <c r="H237">
        <v>33</v>
      </c>
      <c r="I237" t="s">
        <v>349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349</v>
      </c>
      <c r="V237" t="s">
        <v>349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3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349</v>
      </c>
      <c r="V238" t="s">
        <v>349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3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349</v>
      </c>
      <c r="T239" t="s">
        <v>349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3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349</v>
      </c>
      <c r="V240" t="s">
        <v>349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3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349</v>
      </c>
      <c r="V241" t="s">
        <v>349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3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349</v>
      </c>
      <c r="T242" t="s">
        <v>349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3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349</v>
      </c>
      <c r="V243" t="s">
        <v>349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3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349</v>
      </c>
      <c r="T244" t="s">
        <v>349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3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349</v>
      </c>
      <c r="V245" t="s">
        <v>349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3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349</v>
      </c>
      <c r="V246" t="s">
        <v>349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3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349</v>
      </c>
      <c r="T247" t="s">
        <v>349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3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349</v>
      </c>
      <c r="V248" t="s">
        <v>349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3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349</v>
      </c>
      <c r="V249" t="s">
        <v>349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3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349</v>
      </c>
      <c r="T250" t="s">
        <v>349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3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349</v>
      </c>
      <c r="V251" t="s">
        <v>349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3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349</v>
      </c>
      <c r="V252" t="s">
        <v>349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3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349</v>
      </c>
      <c r="T253" t="s">
        <v>349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3">
        <v>44057.743877314817</v>
      </c>
      <c r="H254">
        <v>61</v>
      </c>
      <c r="I254" t="s">
        <v>349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349</v>
      </c>
      <c r="V254" t="s">
        <v>349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3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349</v>
      </c>
      <c r="V255" t="s">
        <v>349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3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349</v>
      </c>
      <c r="T256" t="s">
        <v>349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3">
        <v>44057.743877314817</v>
      </c>
      <c r="H257">
        <v>61</v>
      </c>
      <c r="I257" t="s">
        <v>349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349</v>
      </c>
      <c r="V257" t="s">
        <v>349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3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349</v>
      </c>
      <c r="V258" t="s">
        <v>349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3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349</v>
      </c>
      <c r="T259" t="s">
        <v>349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3">
        <v>44057.743877314817</v>
      </c>
      <c r="H260">
        <v>61</v>
      </c>
      <c r="I260" t="s">
        <v>349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349</v>
      </c>
      <c r="V260" t="s">
        <v>349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3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349</v>
      </c>
      <c r="V261" t="s">
        <v>349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3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349</v>
      </c>
      <c r="T262" t="s">
        <v>349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3">
        <v>44057.743877314817</v>
      </c>
      <c r="H263">
        <v>61</v>
      </c>
      <c r="I263" t="s">
        <v>349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349</v>
      </c>
      <c r="V263" t="s">
        <v>349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3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349</v>
      </c>
      <c r="V264" t="s">
        <v>349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3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349</v>
      </c>
      <c r="T265" t="s">
        <v>349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3">
        <v>44057.743877314817</v>
      </c>
      <c r="H266">
        <v>61</v>
      </c>
      <c r="I266" t="s">
        <v>349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349</v>
      </c>
      <c r="V266" t="s">
        <v>349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3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349</v>
      </c>
      <c r="V267" t="s">
        <v>349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3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349</v>
      </c>
      <c r="T268" t="s">
        <v>349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3">
        <v>44082.485532407409</v>
      </c>
      <c r="H269">
        <v>33</v>
      </c>
      <c r="I269" t="s">
        <v>349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349</v>
      </c>
      <c r="V269" t="s">
        <v>349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3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349</v>
      </c>
      <c r="V270" t="s">
        <v>349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3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349</v>
      </c>
      <c r="T271" t="s">
        <v>349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3">
        <v>44082.485532407409</v>
      </c>
      <c r="H272">
        <v>33</v>
      </c>
      <c r="I272" t="s">
        <v>349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349</v>
      </c>
      <c r="V272" t="s">
        <v>349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3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349</v>
      </c>
      <c r="V273" t="s">
        <v>349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3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349</v>
      </c>
      <c r="T274" t="s">
        <v>349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3">
        <v>44082.485532407409</v>
      </c>
      <c r="H275">
        <v>33</v>
      </c>
      <c r="I275" t="s">
        <v>349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349</v>
      </c>
      <c r="V275" t="s">
        <v>349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3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349</v>
      </c>
      <c r="V276" t="s">
        <v>349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3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349</v>
      </c>
      <c r="T277" t="s">
        <v>349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3">
        <v>44082.485532407409</v>
      </c>
      <c r="H278">
        <v>33</v>
      </c>
      <c r="I278" t="s">
        <v>349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349</v>
      </c>
      <c r="V278" t="s">
        <v>349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3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349</v>
      </c>
      <c r="V279" t="s">
        <v>349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3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349</v>
      </c>
      <c r="T280" t="s">
        <v>349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3">
        <v>44082.485532407409</v>
      </c>
      <c r="H281">
        <v>33</v>
      </c>
      <c r="I281" t="s">
        <v>349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349</v>
      </c>
      <c r="V281" t="s">
        <v>349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3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349</v>
      </c>
      <c r="V282" t="s">
        <v>349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3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349</v>
      </c>
      <c r="T283" t="s">
        <v>349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3">
        <v>44119.739837962959</v>
      </c>
      <c r="H284">
        <v>33</v>
      </c>
      <c r="I284" t="s">
        <v>349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349</v>
      </c>
      <c r="V284" t="s">
        <v>349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3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349</v>
      </c>
      <c r="V285" t="s">
        <v>349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3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349</v>
      </c>
      <c r="T286" t="s">
        <v>349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3">
        <v>44119.739837962959</v>
      </c>
      <c r="H287">
        <v>33</v>
      </c>
      <c r="I287" t="s">
        <v>349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349</v>
      </c>
      <c r="V287" t="s">
        <v>349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3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349</v>
      </c>
      <c r="V288" t="s">
        <v>349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3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349</v>
      </c>
      <c r="T289" t="s">
        <v>349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3">
        <v>44119.739837962959</v>
      </c>
      <c r="H290">
        <v>33</v>
      </c>
      <c r="I290" t="s">
        <v>349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349</v>
      </c>
      <c r="V290" t="s">
        <v>349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3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349</v>
      </c>
      <c r="V291" t="s">
        <v>349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3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349</v>
      </c>
      <c r="T292" t="s">
        <v>349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3">
        <v>44119.739837962959</v>
      </c>
      <c r="H293">
        <v>33</v>
      </c>
      <c r="I293" t="s">
        <v>349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349</v>
      </c>
      <c r="V293" t="s">
        <v>349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3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349</v>
      </c>
      <c r="V294" t="s">
        <v>349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3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349</v>
      </c>
      <c r="T295" t="s">
        <v>349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3">
        <v>44119.739837962959</v>
      </c>
      <c r="H296">
        <v>33</v>
      </c>
      <c r="I296" t="s">
        <v>349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349</v>
      </c>
      <c r="V296" t="s">
        <v>349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3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349</v>
      </c>
      <c r="V297" t="s">
        <v>349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3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349</v>
      </c>
      <c r="T298" t="s">
        <v>349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3">
        <v>44153.723773148151</v>
      </c>
      <c r="H299">
        <v>61</v>
      </c>
      <c r="I299" t="s">
        <v>349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349</v>
      </c>
      <c r="V299" t="s">
        <v>349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3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349</v>
      </c>
      <c r="V300" t="s">
        <v>349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3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349</v>
      </c>
      <c r="T301" t="s">
        <v>349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3">
        <v>44153.723773148151</v>
      </c>
      <c r="H302">
        <v>61</v>
      </c>
      <c r="I302" t="s">
        <v>349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349</v>
      </c>
      <c r="V302" t="s">
        <v>349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3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349</v>
      </c>
      <c r="V303" t="s">
        <v>349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3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349</v>
      </c>
      <c r="T304" t="s">
        <v>349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3">
        <v>44153.723773148151</v>
      </c>
      <c r="H305">
        <v>61</v>
      </c>
      <c r="I305" t="s">
        <v>349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349</v>
      </c>
      <c r="V305" t="s">
        <v>349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3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349</v>
      </c>
      <c r="V306" t="s">
        <v>349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3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349</v>
      </c>
      <c r="T307" t="s">
        <v>349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3">
        <v>44153.723773148151</v>
      </c>
      <c r="H308">
        <v>61</v>
      </c>
      <c r="I308" t="s">
        <v>349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349</v>
      </c>
      <c r="V308" t="s">
        <v>349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3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349</v>
      </c>
      <c r="V309" t="s">
        <v>349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3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349</v>
      </c>
      <c r="T310" t="s">
        <v>349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3">
        <v>44153.723773148151</v>
      </c>
      <c r="H311">
        <v>61</v>
      </c>
      <c r="I311" t="s">
        <v>349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349</v>
      </c>
      <c r="V311" t="s">
        <v>349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3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349</v>
      </c>
      <c r="V312" t="s">
        <v>349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3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349</v>
      </c>
      <c r="T313" t="s">
        <v>349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3">
        <v>44221.697384259256</v>
      </c>
      <c r="H314">
        <v>61</v>
      </c>
      <c r="I314" t="s">
        <v>349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349</v>
      </c>
      <c r="V314" t="s">
        <v>349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3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349</v>
      </c>
      <c r="V315" t="s">
        <v>349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3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349</v>
      </c>
      <c r="T316" t="s">
        <v>349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3">
        <v>44221.697384259256</v>
      </c>
      <c r="H317">
        <v>61</v>
      </c>
      <c r="I317" t="s">
        <v>349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349</v>
      </c>
      <c r="V317" t="s">
        <v>349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3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349</v>
      </c>
      <c r="V318" t="s">
        <v>349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3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349</v>
      </c>
      <c r="T319" t="s">
        <v>349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3">
        <v>44221.697384259256</v>
      </c>
      <c r="H320">
        <v>61</v>
      </c>
      <c r="I320" t="s">
        <v>349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349</v>
      </c>
      <c r="V320" t="s">
        <v>349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3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349</v>
      </c>
      <c r="V321" t="s">
        <v>349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3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349</v>
      </c>
      <c r="T322" t="s">
        <v>349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3">
        <v>44221.697384259256</v>
      </c>
      <c r="H323">
        <v>61</v>
      </c>
      <c r="I323" t="s">
        <v>349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349</v>
      </c>
      <c r="V323" t="s">
        <v>349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3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349</v>
      </c>
      <c r="V324" t="s">
        <v>349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3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349</v>
      </c>
      <c r="T325" t="s">
        <v>349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3">
        <v>44221.697384259256</v>
      </c>
      <c r="H326">
        <v>61</v>
      </c>
      <c r="I326" t="s">
        <v>349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349</v>
      </c>
      <c r="V326" t="s">
        <v>349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3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349</v>
      </c>
      <c r="V327" t="s">
        <v>349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3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349</v>
      </c>
      <c r="T328" t="s">
        <v>349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3">
        <v>44215.508055555554</v>
      </c>
      <c r="H329">
        <v>61</v>
      </c>
      <c r="I329" t="s">
        <v>349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349</v>
      </c>
      <c r="V329" t="s">
        <v>349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3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349</v>
      </c>
      <c r="V330" t="s">
        <v>349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3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349</v>
      </c>
      <c r="T331" t="s">
        <v>349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3">
        <v>44215.508055555554</v>
      </c>
      <c r="H332">
        <v>61</v>
      </c>
      <c r="I332" t="s">
        <v>349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349</v>
      </c>
      <c r="V332" t="s">
        <v>349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3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349</v>
      </c>
      <c r="V333" t="s">
        <v>349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3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349</v>
      </c>
      <c r="T334" t="s">
        <v>349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3">
        <v>44215.508055555554</v>
      </c>
      <c r="H335">
        <v>61</v>
      </c>
      <c r="I335" t="s">
        <v>349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349</v>
      </c>
      <c r="V335" t="s">
        <v>349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3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349</v>
      </c>
      <c r="V336" t="s">
        <v>349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3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349</v>
      </c>
      <c r="T337" t="s">
        <v>349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3">
        <v>44215.508055555554</v>
      </c>
      <c r="H338">
        <v>61</v>
      </c>
      <c r="I338" t="s">
        <v>349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349</v>
      </c>
      <c r="V338" t="s">
        <v>349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3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349</v>
      </c>
      <c r="V339" t="s">
        <v>349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3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349</v>
      </c>
      <c r="T340" t="s">
        <v>349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3">
        <v>44215.508055555554</v>
      </c>
      <c r="H341">
        <v>61</v>
      </c>
      <c r="I341" t="s">
        <v>349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349</v>
      </c>
      <c r="V341" t="s">
        <v>349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3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349</v>
      </c>
      <c r="V342" t="s">
        <v>349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3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349</v>
      </c>
      <c r="T343" t="s">
        <v>349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3">
        <v>44251.474293981482</v>
      </c>
      <c r="H344">
        <v>33</v>
      </c>
      <c r="I344" t="s">
        <v>349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349</v>
      </c>
      <c r="V344" t="s">
        <v>349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3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349</v>
      </c>
      <c r="V345" t="s">
        <v>349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3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349</v>
      </c>
      <c r="T346" t="s">
        <v>349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3">
        <v>44251.474293981482</v>
      </c>
      <c r="H347">
        <v>33</v>
      </c>
      <c r="I347" t="s">
        <v>349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349</v>
      </c>
      <c r="V347" t="s">
        <v>349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3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349</v>
      </c>
      <c r="V348" t="s">
        <v>349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3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349</v>
      </c>
      <c r="T349" t="s">
        <v>349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3">
        <v>44251.474293981482</v>
      </c>
      <c r="H350">
        <v>33</v>
      </c>
      <c r="I350" t="s">
        <v>349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349</v>
      </c>
      <c r="V350" t="s">
        <v>349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3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349</v>
      </c>
      <c r="V351" t="s">
        <v>349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3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349</v>
      </c>
      <c r="T352" t="s">
        <v>349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3">
        <v>44251.474293981482</v>
      </c>
      <c r="H353">
        <v>33</v>
      </c>
      <c r="I353" t="s">
        <v>349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349</v>
      </c>
      <c r="V353" t="s">
        <v>349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3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349</v>
      </c>
      <c r="V354" t="s">
        <v>349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3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349</v>
      </c>
      <c r="T355" t="s">
        <v>349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3">
        <v>44251.474293981482</v>
      </c>
      <c r="H356">
        <v>33</v>
      </c>
      <c r="I356" t="s">
        <v>349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349</v>
      </c>
      <c r="V356" t="s">
        <v>349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3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349</v>
      </c>
      <c r="V357" t="s">
        <v>349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3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349</v>
      </c>
      <c r="T358" t="s">
        <v>349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3">
        <v>44273.429872685185</v>
      </c>
      <c r="H359">
        <v>61</v>
      </c>
      <c r="I359" t="s">
        <v>349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349</v>
      </c>
      <c r="V359" t="s">
        <v>349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3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349</v>
      </c>
      <c r="V360" t="s">
        <v>349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3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349</v>
      </c>
      <c r="T361" t="s">
        <v>349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3">
        <v>44273.429872685185</v>
      </c>
      <c r="H362">
        <v>61</v>
      </c>
      <c r="I362" t="s">
        <v>349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349</v>
      </c>
      <c r="V362" t="s">
        <v>349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3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349</v>
      </c>
      <c r="V363" t="s">
        <v>349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3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349</v>
      </c>
      <c r="T364" t="s">
        <v>349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3">
        <v>44273.429872685185</v>
      </c>
      <c r="H365">
        <v>61</v>
      </c>
      <c r="I365" t="s">
        <v>349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349</v>
      </c>
      <c r="V365" t="s">
        <v>349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3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349</v>
      </c>
      <c r="V366" t="s">
        <v>349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3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349</v>
      </c>
      <c r="T367" t="s">
        <v>349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3">
        <v>44273.429872685185</v>
      </c>
      <c r="H368">
        <v>61</v>
      </c>
      <c r="I368" t="s">
        <v>349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349</v>
      </c>
      <c r="V368" t="s">
        <v>349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3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349</v>
      </c>
      <c r="V369" t="s">
        <v>349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3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349</v>
      </c>
      <c r="T370" t="s">
        <v>349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3">
        <v>44273.429872685185</v>
      </c>
      <c r="H371">
        <v>61</v>
      </c>
      <c r="I371" t="s">
        <v>349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349</v>
      </c>
      <c r="V371" t="s">
        <v>349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3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349</v>
      </c>
      <c r="V372" t="s">
        <v>349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3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349</v>
      </c>
      <c r="T373" t="s">
        <v>349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3">
        <v>44302.769236111111</v>
      </c>
      <c r="H374">
        <v>33</v>
      </c>
      <c r="I374" t="s">
        <v>349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349</v>
      </c>
      <c r="V374" t="s">
        <v>349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3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349</v>
      </c>
      <c r="V375" t="s">
        <v>349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3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349</v>
      </c>
      <c r="T376" t="s">
        <v>349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3">
        <v>44302.769236111111</v>
      </c>
      <c r="H377">
        <v>33</v>
      </c>
      <c r="I377" t="s">
        <v>349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349</v>
      </c>
      <c r="V377" t="s">
        <v>349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3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349</v>
      </c>
      <c r="V378" t="s">
        <v>349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3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349</v>
      </c>
      <c r="T379" t="s">
        <v>349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3">
        <v>44302.769236111111</v>
      </c>
      <c r="H380">
        <v>33</v>
      </c>
      <c r="I380" t="s">
        <v>349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349</v>
      </c>
      <c r="V380" t="s">
        <v>349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3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349</v>
      </c>
      <c r="V381" t="s">
        <v>349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3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349</v>
      </c>
      <c r="T382" t="s">
        <v>349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3">
        <v>44302.769236111111</v>
      </c>
      <c r="H383">
        <v>33</v>
      </c>
      <c r="I383" t="s">
        <v>349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349</v>
      </c>
      <c r="V383" t="s">
        <v>349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3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349</v>
      </c>
      <c r="V384" t="s">
        <v>349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3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349</v>
      </c>
      <c r="T385" t="s">
        <v>349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3">
        <v>44302.769236111111</v>
      </c>
      <c r="H386">
        <v>33</v>
      </c>
      <c r="I386" t="s">
        <v>349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349</v>
      </c>
      <c r="V386" t="s">
        <v>349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3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349</v>
      </c>
      <c r="V387" t="s">
        <v>349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3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349</v>
      </c>
      <c r="T388" t="s">
        <v>349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3">
        <v>44327.522789351853</v>
      </c>
      <c r="H389">
        <v>33</v>
      </c>
      <c r="I389" t="s">
        <v>349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349</v>
      </c>
      <c r="V389" t="s">
        <v>349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3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349</v>
      </c>
      <c r="V390" t="s">
        <v>349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3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349</v>
      </c>
      <c r="T391" t="s">
        <v>349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3">
        <v>44327.522789351853</v>
      </c>
      <c r="H392">
        <v>33</v>
      </c>
      <c r="I392" t="s">
        <v>349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349</v>
      </c>
      <c r="V392" t="s">
        <v>349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3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349</v>
      </c>
      <c r="V393" t="s">
        <v>349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3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349</v>
      </c>
      <c r="T394" t="s">
        <v>349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3">
        <v>44327.522789351853</v>
      </c>
      <c r="H395">
        <v>33</v>
      </c>
      <c r="I395" t="s">
        <v>349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349</v>
      </c>
      <c r="V395" t="s">
        <v>349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3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349</v>
      </c>
      <c r="V396" t="s">
        <v>349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3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349</v>
      </c>
      <c r="T397" t="s">
        <v>349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3">
        <v>44327.522789351853</v>
      </c>
      <c r="H398">
        <v>33</v>
      </c>
      <c r="I398" t="s">
        <v>349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349</v>
      </c>
      <c r="V398" t="s">
        <v>349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3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349</v>
      </c>
      <c r="V399" t="s">
        <v>349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3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349</v>
      </c>
      <c r="T400" t="s">
        <v>349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3">
        <v>44327.522789351853</v>
      </c>
      <c r="H401">
        <v>33</v>
      </c>
      <c r="I401" t="s">
        <v>349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349</v>
      </c>
      <c r="V401" t="s">
        <v>349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3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349</v>
      </c>
      <c r="V402" t="s">
        <v>349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3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349</v>
      </c>
      <c r="T403" t="s">
        <v>349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3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349</v>
      </c>
      <c r="V404" t="s">
        <v>349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3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349</v>
      </c>
      <c r="T405" t="s">
        <v>349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3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349</v>
      </c>
      <c r="V406" t="s">
        <v>349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3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349</v>
      </c>
      <c r="T407" t="s">
        <v>349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3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349</v>
      </c>
      <c r="V408" t="s">
        <v>349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3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349</v>
      </c>
      <c r="T409" t="s">
        <v>349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3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349</v>
      </c>
      <c r="V410" t="s">
        <v>349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3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349</v>
      </c>
      <c r="T411" t="s">
        <v>349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3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349</v>
      </c>
      <c r="V412" t="s">
        <v>349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3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3">
        <v>43992.659548611111</v>
      </c>
      <c r="H414">
        <v>33</v>
      </c>
      <c r="I414" t="s">
        <v>349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3">
        <v>43992.659548611111</v>
      </c>
      <c r="H415">
        <v>33</v>
      </c>
      <c r="I415" t="s">
        <v>349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3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3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3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3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3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3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3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3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3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3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3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3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3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3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3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3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3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3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3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3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3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3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3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3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3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3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3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3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3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3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3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3">
        <v>44057.743877314817</v>
      </c>
      <c r="H447">
        <v>61</v>
      </c>
      <c r="I447" t="s">
        <v>349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3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3">
        <v>44057.743877314817</v>
      </c>
      <c r="H449">
        <v>61</v>
      </c>
      <c r="I449" t="s">
        <v>349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3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3">
        <v>44057.743877314817</v>
      </c>
      <c r="H451">
        <v>61</v>
      </c>
      <c r="I451" t="s">
        <v>349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3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3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3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3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3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3">
        <v>44057.743877314817</v>
      </c>
      <c r="H457">
        <v>61</v>
      </c>
      <c r="I457" t="s">
        <v>349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3">
        <v>44057.743877314817</v>
      </c>
      <c r="H458">
        <v>61</v>
      </c>
      <c r="I458" t="s">
        <v>349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3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3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3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3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3">
        <v>44057.743877314817</v>
      </c>
      <c r="H463">
        <v>61</v>
      </c>
      <c r="I463" t="s">
        <v>349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3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3">
        <v>44057.743877314817</v>
      </c>
      <c r="H465">
        <v>61</v>
      </c>
      <c r="I465" t="s">
        <v>349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3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3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3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3">
        <v>44057.743877314817</v>
      </c>
      <c r="H469">
        <v>61</v>
      </c>
      <c r="I469" t="s">
        <v>349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3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3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3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3">
        <v>44082.485532407409</v>
      </c>
      <c r="H473">
        <v>33</v>
      </c>
      <c r="I473" t="s">
        <v>349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3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3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3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3">
        <v>44082.485532407409</v>
      </c>
      <c r="H477">
        <v>33</v>
      </c>
      <c r="I477" t="s">
        <v>349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3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3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3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3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3">
        <v>44082.485532407409</v>
      </c>
      <c r="H482">
        <v>33</v>
      </c>
      <c r="I482" t="s">
        <v>349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3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3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3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3">
        <v>44082.485532407409</v>
      </c>
      <c r="H486">
        <v>33</v>
      </c>
      <c r="I486" t="s">
        <v>349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3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3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3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3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3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3">
        <v>44082.485532407409</v>
      </c>
      <c r="H492">
        <v>33</v>
      </c>
      <c r="I492" t="s">
        <v>349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3">
        <v>44082.485532407409</v>
      </c>
      <c r="H493">
        <v>33</v>
      </c>
      <c r="I493" t="s">
        <v>349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3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3">
        <v>44082.485532407409</v>
      </c>
      <c r="H495">
        <v>33</v>
      </c>
      <c r="I495" t="s">
        <v>349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3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3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3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3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3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3">
        <v>44119.739837962959</v>
      </c>
      <c r="H501">
        <v>33</v>
      </c>
      <c r="I501" t="s">
        <v>349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3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3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3">
        <v>44119.739837962959</v>
      </c>
      <c r="H504">
        <v>33</v>
      </c>
      <c r="I504" t="s">
        <v>349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3">
        <v>44119.739837962959</v>
      </c>
      <c r="H505">
        <v>33</v>
      </c>
      <c r="I505" t="s">
        <v>349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3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3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3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3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3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3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3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3">
        <v>44119.739837962959</v>
      </c>
      <c r="H513">
        <v>33</v>
      </c>
      <c r="I513" t="s">
        <v>349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3">
        <v>44119.739837962959</v>
      </c>
      <c r="H514">
        <v>33</v>
      </c>
      <c r="I514" t="s">
        <v>349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3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3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3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3">
        <v>44119.739837962959</v>
      </c>
      <c r="H518">
        <v>33</v>
      </c>
      <c r="I518" t="s">
        <v>349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3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3">
        <v>44119.739837962959</v>
      </c>
      <c r="H520">
        <v>33</v>
      </c>
      <c r="I520" t="s">
        <v>349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3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3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3">
        <v>44119.739837962959</v>
      </c>
      <c r="H523">
        <v>33</v>
      </c>
      <c r="I523" t="s">
        <v>349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3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3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3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3">
        <v>44153.723773148151</v>
      </c>
      <c r="H527">
        <v>61</v>
      </c>
      <c r="I527" t="s">
        <v>349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3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3">
        <v>44153.723773148151</v>
      </c>
      <c r="H529">
        <v>61</v>
      </c>
      <c r="I529" t="s">
        <v>349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3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3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3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3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3">
        <v>44153.723773148151</v>
      </c>
      <c r="H534">
        <v>61</v>
      </c>
      <c r="I534" t="s">
        <v>349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3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3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3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3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3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3">
        <v>44153.723773148151</v>
      </c>
      <c r="H540">
        <v>61</v>
      </c>
      <c r="I540" t="s">
        <v>349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3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3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3">
        <v>44153.723773148151</v>
      </c>
      <c r="H543">
        <v>61</v>
      </c>
      <c r="I543" t="s">
        <v>349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3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3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3">
        <v>44153.723773148151</v>
      </c>
      <c r="H546">
        <v>61</v>
      </c>
      <c r="I546" t="s">
        <v>349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3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3">
        <v>44153.723773148151</v>
      </c>
      <c r="H548">
        <v>61</v>
      </c>
      <c r="I548" t="s">
        <v>349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3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3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3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3">
        <v>44153.723773148151</v>
      </c>
      <c r="H552">
        <v>61</v>
      </c>
      <c r="I552" t="s">
        <v>349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3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3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3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3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3">
        <v>44221.697384259256</v>
      </c>
      <c r="H557">
        <v>61</v>
      </c>
      <c r="I557" t="s">
        <v>349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3">
        <v>44221.697384259256</v>
      </c>
      <c r="H558">
        <v>61</v>
      </c>
      <c r="I558" t="s">
        <v>349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3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3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3">
        <v>44221.697384259256</v>
      </c>
      <c r="H561">
        <v>61</v>
      </c>
      <c r="I561" t="s">
        <v>349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3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3">
        <v>44221.697384259256</v>
      </c>
      <c r="H563">
        <v>61</v>
      </c>
      <c r="I563" t="s">
        <v>349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3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3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3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3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3">
        <v>44221.697384259256</v>
      </c>
      <c r="H568">
        <v>61</v>
      </c>
      <c r="I568" t="s">
        <v>349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3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3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3">
        <v>44221.697384259256</v>
      </c>
      <c r="H571">
        <v>61</v>
      </c>
      <c r="I571" t="s">
        <v>349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3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3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3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3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3">
        <v>44221.697384259256</v>
      </c>
      <c r="H576">
        <v>61</v>
      </c>
      <c r="I576" t="s">
        <v>349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3">
        <v>44221.697384259256</v>
      </c>
      <c r="H577">
        <v>61</v>
      </c>
      <c r="I577" t="s">
        <v>349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3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3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3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3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3">
        <v>44221.697384259256</v>
      </c>
      <c r="H582">
        <v>61</v>
      </c>
      <c r="I582" t="s">
        <v>349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3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3">
        <v>44221.697384259256</v>
      </c>
      <c r="H584">
        <v>61</v>
      </c>
      <c r="I584" t="s">
        <v>349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3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3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3">
        <v>44215.508055555554</v>
      </c>
      <c r="H587">
        <v>61</v>
      </c>
      <c r="I587" t="s">
        <v>349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3">
        <v>44215.706747685188</v>
      </c>
      <c r="H588">
        <v>61</v>
      </c>
      <c r="I588" t="s">
        <v>349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3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3">
        <v>44215.508055555554</v>
      </c>
      <c r="H590">
        <v>61</v>
      </c>
      <c r="I590" t="s">
        <v>349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3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3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3">
        <v>44215.706747685188</v>
      </c>
      <c r="H593">
        <v>61</v>
      </c>
      <c r="I593" t="s">
        <v>349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3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3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3">
        <v>44215.508055555554</v>
      </c>
      <c r="H596">
        <v>61</v>
      </c>
      <c r="I596" t="s">
        <v>349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3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3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3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3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3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3">
        <v>44215.706747685188</v>
      </c>
      <c r="H602">
        <v>61</v>
      </c>
      <c r="I602" t="s">
        <v>349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3">
        <v>44215.508055555554</v>
      </c>
      <c r="H603">
        <v>61</v>
      </c>
      <c r="I603" t="s">
        <v>349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3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3">
        <v>44215.508055555554</v>
      </c>
      <c r="H605">
        <v>61</v>
      </c>
      <c r="I605" t="s">
        <v>349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3">
        <v>44215.706747685188</v>
      </c>
      <c r="H606">
        <v>61</v>
      </c>
      <c r="I606" t="s">
        <v>349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3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3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3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3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3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3">
        <v>44215.508055555554</v>
      </c>
      <c r="H612">
        <v>61</v>
      </c>
      <c r="I612" t="s">
        <v>349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3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3">
        <v>44215.706747685188</v>
      </c>
      <c r="H614">
        <v>61</v>
      </c>
      <c r="I614" t="s">
        <v>349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3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3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3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3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3">
        <v>44251.474293981482</v>
      </c>
      <c r="H619">
        <v>33</v>
      </c>
      <c r="I619" t="s">
        <v>349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3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3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3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3">
        <v>44251.474293981482</v>
      </c>
      <c r="H623">
        <v>33</v>
      </c>
      <c r="I623" t="s">
        <v>349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3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3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3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3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3">
        <v>44251.474293981482</v>
      </c>
      <c r="H628">
        <v>33</v>
      </c>
      <c r="I628" t="s">
        <v>349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3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3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3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3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3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3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3">
        <v>44251.474293981482</v>
      </c>
      <c r="H635">
        <v>33</v>
      </c>
      <c r="I635" t="s">
        <v>349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3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3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3">
        <v>44251.474293981482</v>
      </c>
      <c r="H638">
        <v>33</v>
      </c>
      <c r="I638" t="s">
        <v>349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3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3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3">
        <v>44273.429872685185</v>
      </c>
      <c r="H641">
        <v>61</v>
      </c>
      <c r="I641" t="s">
        <v>349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3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3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3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3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3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3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3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3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3">
        <v>44273.429872685185</v>
      </c>
      <c r="H650">
        <v>61</v>
      </c>
      <c r="I650" t="s">
        <v>349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3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3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3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3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3">
        <v>44273.429872685185</v>
      </c>
      <c r="H655">
        <v>61</v>
      </c>
      <c r="I655" t="s">
        <v>349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3">
        <v>44273.429872685185</v>
      </c>
      <c r="H656">
        <v>61</v>
      </c>
      <c r="I656" t="s">
        <v>349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3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3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3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3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3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3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3">
        <v>44273.429872685185</v>
      </c>
      <c r="H663">
        <v>61</v>
      </c>
      <c r="I663" t="s">
        <v>349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3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3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3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3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3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3">
        <v>44302.769236111111</v>
      </c>
      <c r="H669">
        <v>33</v>
      </c>
      <c r="I669" t="s">
        <v>349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3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3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3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3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3">
        <v>44302.769236111111</v>
      </c>
      <c r="H674">
        <v>33</v>
      </c>
      <c r="I674" t="s">
        <v>349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3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3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3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3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3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3">
        <v>44302.769236111111</v>
      </c>
      <c r="H680">
        <v>33</v>
      </c>
      <c r="I680" t="s">
        <v>349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3">
        <v>44302.769236111111</v>
      </c>
      <c r="H681">
        <v>33</v>
      </c>
      <c r="I681" t="s">
        <v>349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3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3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3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3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3">
        <v>44302.769236111111</v>
      </c>
      <c r="H686">
        <v>33</v>
      </c>
      <c r="I686" t="s">
        <v>349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3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3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3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3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3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3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3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3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3">
        <v>44327.522789351853</v>
      </c>
      <c r="H695">
        <v>33</v>
      </c>
      <c r="I695" t="s">
        <v>349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3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3">
        <v>44327.522789351853</v>
      </c>
      <c r="H697">
        <v>33</v>
      </c>
      <c r="I697" t="s">
        <v>349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3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3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3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3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3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3">
        <v>44327.522789351853</v>
      </c>
      <c r="H703">
        <v>33</v>
      </c>
      <c r="I703" t="s">
        <v>349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3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3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3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3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3">
        <v>44327.522789351853</v>
      </c>
      <c r="H708">
        <v>33</v>
      </c>
      <c r="I708" t="s">
        <v>349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3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3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3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3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3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3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3">
        <v>44327.522789351853</v>
      </c>
      <c r="H715">
        <v>33</v>
      </c>
      <c r="I715" t="s">
        <v>349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3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3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3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3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3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3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3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3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3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3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3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3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3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3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3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3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3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3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3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3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zoomScale="60" zoomScaleNormal="60" workbookViewId="0">
      <selection activeCell="V1" sqref="V1:V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3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349</v>
      </c>
      <c r="V2" t="s">
        <v>349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3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349</v>
      </c>
      <c r="V3" t="s">
        <v>349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3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349</v>
      </c>
      <c r="V4" t="s">
        <v>349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3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349</v>
      </c>
      <c r="V5" t="s">
        <v>349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3">
        <v>43539</v>
      </c>
      <c r="H6">
        <v>33</v>
      </c>
      <c r="I6" t="s">
        <v>349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349</v>
      </c>
      <c r="V6" t="s">
        <v>349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3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349</v>
      </c>
      <c r="V7" t="s">
        <v>349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3">
        <v>43539</v>
      </c>
      <c r="H8">
        <v>33</v>
      </c>
      <c r="I8" t="s">
        <v>349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349</v>
      </c>
      <c r="V8" t="s">
        <v>349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3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349</v>
      </c>
      <c r="V9" t="s">
        <v>349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3">
        <v>43539</v>
      </c>
      <c r="H10">
        <v>33</v>
      </c>
      <c r="I10" t="s">
        <v>349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349</v>
      </c>
      <c r="V10" t="s">
        <v>349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3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349</v>
      </c>
      <c r="V11" t="s">
        <v>349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3">
        <v>43539</v>
      </c>
      <c r="H12">
        <v>33</v>
      </c>
      <c r="I12" t="s">
        <v>349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349</v>
      </c>
      <c r="V12" t="s">
        <v>349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3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349</v>
      </c>
      <c r="V13" t="s">
        <v>349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3">
        <v>43539</v>
      </c>
      <c r="H14">
        <v>33</v>
      </c>
      <c r="I14" t="s">
        <v>349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349</v>
      </c>
      <c r="V14" t="s">
        <v>349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3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349</v>
      </c>
      <c r="V15" t="s">
        <v>349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3">
        <v>43564</v>
      </c>
      <c r="H16">
        <v>61</v>
      </c>
      <c r="I16" t="s">
        <v>349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349</v>
      </c>
      <c r="V16" t="s">
        <v>349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3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349</v>
      </c>
      <c r="V17" t="s">
        <v>349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3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349</v>
      </c>
      <c r="V18" t="s">
        <v>349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3">
        <v>43564</v>
      </c>
      <c r="H19">
        <v>61</v>
      </c>
      <c r="I19" t="s">
        <v>349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349</v>
      </c>
      <c r="V19" t="s">
        <v>349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3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349</v>
      </c>
      <c r="V20" t="s">
        <v>349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3">
        <v>43564</v>
      </c>
      <c r="H21">
        <v>61</v>
      </c>
      <c r="I21" t="s">
        <v>349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349</v>
      </c>
      <c r="V21" t="s">
        <v>349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3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349</v>
      </c>
      <c r="V22" t="s">
        <v>349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3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349</v>
      </c>
      <c r="V23" t="s">
        <v>349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3">
        <v>43598</v>
      </c>
      <c r="H24">
        <v>33</v>
      </c>
      <c r="I24" t="s">
        <v>349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349</v>
      </c>
      <c r="V24" t="s">
        <v>349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3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349</v>
      </c>
      <c r="V25" t="s">
        <v>349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3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349</v>
      </c>
      <c r="V26" t="s">
        <v>349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3">
        <v>43598</v>
      </c>
      <c r="H27">
        <v>33</v>
      </c>
      <c r="I27" t="s">
        <v>349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349</v>
      </c>
      <c r="V27" t="s">
        <v>349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3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349</v>
      </c>
      <c r="V28" t="s">
        <v>349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3">
        <v>43598</v>
      </c>
      <c r="H29">
        <v>33</v>
      </c>
      <c r="I29" t="s">
        <v>349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349</v>
      </c>
      <c r="V29" t="s">
        <v>349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3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349</v>
      </c>
      <c r="V30" t="s">
        <v>349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3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349</v>
      </c>
      <c r="V31" t="s">
        <v>349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3">
        <v>43913.49763888889</v>
      </c>
      <c r="H32">
        <v>61</v>
      </c>
      <c r="I32" t="s">
        <v>349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349</v>
      </c>
      <c r="V32" t="s">
        <v>349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3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349</v>
      </c>
      <c r="V33" t="s">
        <v>349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3">
        <v>43913.49763888889</v>
      </c>
      <c r="H34">
        <v>61</v>
      </c>
      <c r="I34" t="s">
        <v>349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349</v>
      </c>
      <c r="V34" t="s">
        <v>349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3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349</v>
      </c>
      <c r="V35" t="s">
        <v>349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3">
        <v>43913.49763888889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349</v>
      </c>
      <c r="V36" t="s">
        <v>349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3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349</v>
      </c>
      <c r="V37" t="s">
        <v>349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3">
        <v>43913.49763888889</v>
      </c>
      <c r="H38">
        <v>61</v>
      </c>
      <c r="I38" t="s">
        <v>349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349</v>
      </c>
      <c r="V38" t="s">
        <v>349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3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349</v>
      </c>
      <c r="V39" t="s">
        <v>349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3">
        <v>43913.49763888889</v>
      </c>
      <c r="H40">
        <v>61</v>
      </c>
      <c r="I40" t="s">
        <v>349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349</v>
      </c>
      <c r="V40" t="s">
        <v>349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3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349</v>
      </c>
      <c r="V41" t="s">
        <v>349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3">
        <v>43915.631481481483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349</v>
      </c>
      <c r="V42" t="s">
        <v>349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3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349</v>
      </c>
      <c r="V43" t="s">
        <v>349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3">
        <v>43915.631481481483</v>
      </c>
      <c r="H44">
        <v>61</v>
      </c>
      <c r="I44" t="s">
        <v>349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349</v>
      </c>
      <c r="V44" t="s">
        <v>349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3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349</v>
      </c>
      <c r="V45" t="s">
        <v>349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3">
        <v>43915.631481481483</v>
      </c>
      <c r="H46">
        <v>61</v>
      </c>
      <c r="I46" t="s">
        <v>349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349</v>
      </c>
      <c r="V46" t="s">
        <v>349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3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349</v>
      </c>
      <c r="V47" t="s">
        <v>349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3">
        <v>43915.631481481483</v>
      </c>
      <c r="H48">
        <v>61</v>
      </c>
      <c r="I48" t="s">
        <v>349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349</v>
      </c>
      <c r="V48" t="s">
        <v>349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3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349</v>
      </c>
      <c r="V49" t="s">
        <v>349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3">
        <v>43915.631481481483</v>
      </c>
      <c r="H50">
        <v>61</v>
      </c>
      <c r="I50" t="s">
        <v>349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349</v>
      </c>
      <c r="V50" t="s">
        <v>349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3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349</v>
      </c>
      <c r="V51" t="s">
        <v>349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3">
        <v>43693</v>
      </c>
      <c r="H52">
        <v>33</v>
      </c>
      <c r="I52" t="s">
        <v>349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349</v>
      </c>
      <c r="V52" t="s">
        <v>349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3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349</v>
      </c>
      <c r="V53" t="s">
        <v>349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3">
        <v>43693</v>
      </c>
      <c r="H54">
        <v>33</v>
      </c>
      <c r="I54" t="s">
        <v>349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349</v>
      </c>
      <c r="V54" t="s">
        <v>349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3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349</v>
      </c>
      <c r="V55" t="s">
        <v>349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3">
        <v>43693</v>
      </c>
      <c r="H56">
        <v>33</v>
      </c>
      <c r="I56" t="s">
        <v>349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349</v>
      </c>
      <c r="V56" t="s">
        <v>349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3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349</v>
      </c>
      <c r="V57" t="s">
        <v>349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3">
        <v>43693</v>
      </c>
      <c r="H58">
        <v>33</v>
      </c>
      <c r="I58" t="s">
        <v>349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349</v>
      </c>
      <c r="V58" t="s">
        <v>349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3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349</v>
      </c>
      <c r="V59" t="s">
        <v>349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3">
        <v>43693</v>
      </c>
      <c r="H60">
        <v>33</v>
      </c>
      <c r="I60" t="s">
        <v>349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349</v>
      </c>
      <c r="V60" t="s">
        <v>349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3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349</v>
      </c>
      <c r="V61" t="s">
        <v>349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3">
        <v>43914.908402777779</v>
      </c>
      <c r="H62">
        <v>61</v>
      </c>
      <c r="I62" t="s">
        <v>349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349</v>
      </c>
      <c r="V62" t="s">
        <v>349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3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349</v>
      </c>
      <c r="V63" t="s">
        <v>349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3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349</v>
      </c>
      <c r="V64" t="s">
        <v>349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3">
        <v>43914.908402777779</v>
      </c>
      <c r="H65">
        <v>61</v>
      </c>
      <c r="I65" t="s">
        <v>349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349</v>
      </c>
      <c r="V65" t="s">
        <v>349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3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349</v>
      </c>
      <c r="V66" t="s">
        <v>349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3">
        <v>43914.908402777779</v>
      </c>
      <c r="H67">
        <v>61</v>
      </c>
      <c r="I67" t="s">
        <v>349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349</v>
      </c>
      <c r="V67" t="s">
        <v>349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3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349</v>
      </c>
      <c r="V68" t="s">
        <v>349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3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349</v>
      </c>
      <c r="V69" t="s">
        <v>349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3">
        <v>43915.393750000003</v>
      </c>
      <c r="H70">
        <v>61</v>
      </c>
      <c r="I70" t="s">
        <v>349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349</v>
      </c>
      <c r="V70" t="s">
        <v>349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3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349</v>
      </c>
      <c r="V71" t="s">
        <v>349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3">
        <v>43915.393750000003</v>
      </c>
      <c r="H72">
        <v>61</v>
      </c>
      <c r="I72" t="s">
        <v>349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349</v>
      </c>
      <c r="V72" t="s">
        <v>349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3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349</v>
      </c>
      <c r="V73" t="s">
        <v>349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3">
        <v>43915.393750000003</v>
      </c>
      <c r="H74">
        <v>61</v>
      </c>
      <c r="I74" t="s">
        <v>349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349</v>
      </c>
      <c r="V74" t="s">
        <v>349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3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349</v>
      </c>
      <c r="V75" t="s">
        <v>349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3">
        <v>43915.393750000003</v>
      </c>
      <c r="H76">
        <v>61</v>
      </c>
      <c r="I76" t="s">
        <v>349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349</v>
      </c>
      <c r="V76" t="s">
        <v>349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3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349</v>
      </c>
      <c r="V77" t="s">
        <v>349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3">
        <v>43915.393750000003</v>
      </c>
      <c r="H78">
        <v>61</v>
      </c>
      <c r="I78" t="s">
        <v>349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349</v>
      </c>
      <c r="V78" t="s">
        <v>349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3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349</v>
      </c>
      <c r="V79" t="s">
        <v>349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3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349</v>
      </c>
      <c r="V80" t="s">
        <v>349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3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349</v>
      </c>
      <c r="V81" t="s">
        <v>349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3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349</v>
      </c>
      <c r="V82" t="s">
        <v>349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3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349</v>
      </c>
      <c r="V83" t="s">
        <v>349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3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349</v>
      </c>
      <c r="V84" t="s">
        <v>349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3">
        <v>43944.47278935185</v>
      </c>
      <c r="H85">
        <v>61</v>
      </c>
      <c r="I85" t="s">
        <v>349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349</v>
      </c>
      <c r="V85" t="s">
        <v>349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3">
        <v>43944.47278935185</v>
      </c>
      <c r="H86">
        <v>61</v>
      </c>
      <c r="I86" t="s">
        <v>349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349</v>
      </c>
      <c r="V86" t="s">
        <v>349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3">
        <v>43812</v>
      </c>
      <c r="H87">
        <v>61</v>
      </c>
      <c r="I87" t="s">
        <v>349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349</v>
      </c>
      <c r="V87" t="s">
        <v>349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3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349</v>
      </c>
      <c r="V88" t="s">
        <v>349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3">
        <v>43944.47278935185</v>
      </c>
      <c r="H89">
        <v>61</v>
      </c>
      <c r="I89" t="s">
        <v>349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349</v>
      </c>
      <c r="V89" t="s">
        <v>349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3">
        <v>43944.47278935185</v>
      </c>
      <c r="H90">
        <v>61</v>
      </c>
      <c r="I90" t="s">
        <v>349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349</v>
      </c>
      <c r="V90" t="s">
        <v>349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3">
        <v>43812</v>
      </c>
      <c r="H91">
        <v>61</v>
      </c>
      <c r="I91" t="s">
        <v>349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349</v>
      </c>
      <c r="V91" t="s">
        <v>349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3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349</v>
      </c>
      <c r="V92" t="s">
        <v>349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3">
        <v>43944.47278935185</v>
      </c>
      <c r="H93">
        <v>61</v>
      </c>
      <c r="I93" t="s">
        <v>349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349</v>
      </c>
      <c r="V93" t="s">
        <v>349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3">
        <v>43944.47278935185</v>
      </c>
      <c r="H94">
        <v>61</v>
      </c>
      <c r="I94" t="s">
        <v>349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349</v>
      </c>
      <c r="V94" t="s">
        <v>349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3">
        <v>43812</v>
      </c>
      <c r="H95">
        <v>61</v>
      </c>
      <c r="I95" t="s">
        <v>349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349</v>
      </c>
      <c r="V95" t="s">
        <v>349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3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349</v>
      </c>
      <c r="V96" t="s">
        <v>349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3">
        <v>43944.47278935185</v>
      </c>
      <c r="H97">
        <v>61</v>
      </c>
      <c r="I97" t="s">
        <v>349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349</v>
      </c>
      <c r="V97" t="s">
        <v>349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3">
        <v>43944.47278935185</v>
      </c>
      <c r="H98">
        <v>61</v>
      </c>
      <c r="I98" t="s">
        <v>349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349</v>
      </c>
      <c r="V98" t="s">
        <v>349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3">
        <v>43812</v>
      </c>
      <c r="H99">
        <v>61</v>
      </c>
      <c r="I99" t="s">
        <v>349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349</v>
      </c>
      <c r="V99" t="s">
        <v>349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3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349</v>
      </c>
      <c r="V100" t="s">
        <v>349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3">
        <v>43944.47278935185</v>
      </c>
      <c r="H101">
        <v>61</v>
      </c>
      <c r="I101" t="s">
        <v>349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349</v>
      </c>
      <c r="V101" t="s">
        <v>349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3">
        <v>43944.47278935185</v>
      </c>
      <c r="H102">
        <v>61</v>
      </c>
      <c r="I102" t="s">
        <v>349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349</v>
      </c>
      <c r="V102" t="s">
        <v>349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3">
        <v>43812</v>
      </c>
      <c r="H103">
        <v>61</v>
      </c>
      <c r="I103" t="s">
        <v>349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349</v>
      </c>
      <c r="V103" t="s">
        <v>349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3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349</v>
      </c>
      <c r="V104" t="s">
        <v>349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3">
        <v>43837</v>
      </c>
      <c r="H105">
        <v>61</v>
      </c>
      <c r="I105" t="s">
        <v>349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349</v>
      </c>
      <c r="V105" t="s">
        <v>349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3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349</v>
      </c>
      <c r="V106" t="s">
        <v>349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3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349</v>
      </c>
      <c r="V107" t="s">
        <v>349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3">
        <v>43837</v>
      </c>
      <c r="H108">
        <v>61</v>
      </c>
      <c r="I108" t="s">
        <v>349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349</v>
      </c>
      <c r="V108" t="s">
        <v>349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3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349</v>
      </c>
      <c r="V109" t="s">
        <v>349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3">
        <v>43837</v>
      </c>
      <c r="H110">
        <v>61</v>
      </c>
      <c r="I110" t="s">
        <v>349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349</v>
      </c>
      <c r="V110" t="s">
        <v>349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3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349</v>
      </c>
      <c r="V111" t="s">
        <v>349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3">
        <v>43837</v>
      </c>
      <c r="H112">
        <v>61</v>
      </c>
      <c r="I112" t="s">
        <v>349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349</v>
      </c>
      <c r="V112" t="s">
        <v>349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3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349</v>
      </c>
      <c r="V113" t="s">
        <v>349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3">
        <v>43928.729247685187</v>
      </c>
      <c r="H114">
        <v>33</v>
      </c>
      <c r="I114" t="s">
        <v>349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349</v>
      </c>
      <c r="V114" t="s">
        <v>349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3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349</v>
      </c>
      <c r="V115" t="s">
        <v>349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3">
        <v>43928.729247685187</v>
      </c>
      <c r="H116">
        <v>33</v>
      </c>
      <c r="I116" t="s">
        <v>349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349</v>
      </c>
      <c r="V116" t="s">
        <v>349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3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349</v>
      </c>
      <c r="V117" t="s">
        <v>349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3">
        <v>43928.729247685187</v>
      </c>
      <c r="H118">
        <v>33</v>
      </c>
      <c r="I118" t="s">
        <v>349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349</v>
      </c>
      <c r="V118" t="s">
        <v>349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3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349</v>
      </c>
      <c r="V119" t="s">
        <v>349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3">
        <v>43928.729247685187</v>
      </c>
      <c r="H120">
        <v>33</v>
      </c>
      <c r="I120" t="s">
        <v>349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349</v>
      </c>
      <c r="V120" t="s">
        <v>349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3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349</v>
      </c>
      <c r="V121" t="s">
        <v>349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3">
        <v>43928.729247685187</v>
      </c>
      <c r="H122">
        <v>33</v>
      </c>
      <c r="I122" t="s">
        <v>349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349</v>
      </c>
      <c r="V122" t="s">
        <v>349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3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349</v>
      </c>
      <c r="V123" t="s">
        <v>349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3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349</v>
      </c>
      <c r="V124" t="s">
        <v>349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3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349</v>
      </c>
      <c r="V125" t="s">
        <v>349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3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349</v>
      </c>
      <c r="V126" t="s">
        <v>349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3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349</v>
      </c>
      <c r="V127" t="s">
        <v>349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3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349</v>
      </c>
      <c r="V128" t="s">
        <v>349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3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349</v>
      </c>
      <c r="V129" t="s">
        <v>349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3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349</v>
      </c>
      <c r="V130" t="s">
        <v>349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3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349</v>
      </c>
      <c r="V131" t="s">
        <v>349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3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349</v>
      </c>
      <c r="V132" t="s">
        <v>349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3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349</v>
      </c>
      <c r="V133" t="s">
        <v>349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3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349</v>
      </c>
      <c r="V134" t="s">
        <v>349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3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349</v>
      </c>
      <c r="V135" t="s">
        <v>349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3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349</v>
      </c>
      <c r="V136" t="s">
        <v>349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3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349</v>
      </c>
      <c r="V137" t="s">
        <v>349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3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349</v>
      </c>
      <c r="V138" t="s">
        <v>349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3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349</v>
      </c>
      <c r="V139" t="s">
        <v>349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3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349</v>
      </c>
      <c r="V140" t="s">
        <v>349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3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349</v>
      </c>
      <c r="V141" t="s">
        <v>349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3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349</v>
      </c>
      <c r="V142" t="s">
        <v>349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3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349</v>
      </c>
      <c r="V143" t="s">
        <v>349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3">
        <v>43970.737210648149</v>
      </c>
      <c r="H144">
        <v>33</v>
      </c>
      <c r="I144" t="s">
        <v>349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349</v>
      </c>
      <c r="V144" t="s">
        <v>349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3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349</v>
      </c>
      <c r="V145" t="s">
        <v>349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3">
        <v>43970.737210648149</v>
      </c>
      <c r="H146">
        <v>33</v>
      </c>
      <c r="I146" t="s">
        <v>349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349</v>
      </c>
      <c r="V146" t="s">
        <v>349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3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349</v>
      </c>
      <c r="V147" t="s">
        <v>349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3">
        <v>43970.737210648149</v>
      </c>
      <c r="H148">
        <v>33</v>
      </c>
      <c r="I148" t="s">
        <v>349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349</v>
      </c>
      <c r="V148" t="s">
        <v>349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3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349</v>
      </c>
      <c r="V149" t="s">
        <v>349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3">
        <v>43970.737210648149</v>
      </c>
      <c r="H150">
        <v>33</v>
      </c>
      <c r="I150" t="s">
        <v>349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349</v>
      </c>
      <c r="V150" t="s">
        <v>349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3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349</v>
      </c>
      <c r="V151" t="s">
        <v>349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3">
        <v>43970.737210648149</v>
      </c>
      <c r="H152">
        <v>33</v>
      </c>
      <c r="I152" t="s">
        <v>349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349</v>
      </c>
      <c r="V152" t="s">
        <v>349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3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349</v>
      </c>
      <c r="V153" t="s">
        <v>349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3">
        <v>43992.659548611111</v>
      </c>
      <c r="H154">
        <v>33</v>
      </c>
      <c r="I154" t="s">
        <v>349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349</v>
      </c>
      <c r="V154" t="s">
        <v>349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3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349</v>
      </c>
      <c r="V155" t="s">
        <v>349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3">
        <v>43992.659548611111</v>
      </c>
      <c r="H156">
        <v>33</v>
      </c>
      <c r="I156" t="s">
        <v>349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349</v>
      </c>
      <c r="V156" t="s">
        <v>349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3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349</v>
      </c>
      <c r="V157" t="s">
        <v>349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3">
        <v>43992.659548611111</v>
      </c>
      <c r="H158">
        <v>33</v>
      </c>
      <c r="I158" t="s">
        <v>349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349</v>
      </c>
      <c r="V158" t="s">
        <v>349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3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349</v>
      </c>
      <c r="V159" t="s">
        <v>349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3">
        <v>43992.659548611111</v>
      </c>
      <c r="H160">
        <v>33</v>
      </c>
      <c r="I160" t="s">
        <v>349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349</v>
      </c>
      <c r="V160" t="s">
        <v>349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3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349</v>
      </c>
      <c r="V161" t="s">
        <v>349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3">
        <v>43992.659548611111</v>
      </c>
      <c r="H162">
        <v>33</v>
      </c>
      <c r="I162" t="s">
        <v>349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349</v>
      </c>
      <c r="V162" t="s">
        <v>349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3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349</v>
      </c>
      <c r="V163" t="s">
        <v>349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3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349</v>
      </c>
      <c r="V164" t="s">
        <v>349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3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349</v>
      </c>
      <c r="V165" t="s">
        <v>349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3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349</v>
      </c>
      <c r="V166" t="s">
        <v>349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3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349</v>
      </c>
      <c r="V167" t="s">
        <v>349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3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349</v>
      </c>
      <c r="V168" t="s">
        <v>349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3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349</v>
      </c>
      <c r="V169" t="s">
        <v>349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3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349</v>
      </c>
      <c r="V170" t="s">
        <v>349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3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349</v>
      </c>
      <c r="V171" t="s">
        <v>349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3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349</v>
      </c>
      <c r="V172" t="s">
        <v>349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3">
        <v>44057.743877314817</v>
      </c>
      <c r="H173">
        <v>61</v>
      </c>
      <c r="I173" t="s">
        <v>349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349</v>
      </c>
      <c r="V173" t="s">
        <v>349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3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349</v>
      </c>
      <c r="V174" t="s">
        <v>349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3">
        <v>44057.743877314817</v>
      </c>
      <c r="H175">
        <v>61</v>
      </c>
      <c r="I175" t="s">
        <v>349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349</v>
      </c>
      <c r="V175" t="s">
        <v>349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3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349</v>
      </c>
      <c r="V176" t="s">
        <v>349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3">
        <v>44057.743877314817</v>
      </c>
      <c r="H177">
        <v>61</v>
      </c>
      <c r="I177" t="s">
        <v>349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349</v>
      </c>
      <c r="V177" t="s">
        <v>349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3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349</v>
      </c>
      <c r="V178" t="s">
        <v>349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3">
        <v>44057.743877314817</v>
      </c>
      <c r="H179">
        <v>61</v>
      </c>
      <c r="I179" t="s">
        <v>349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349</v>
      </c>
      <c r="V179" t="s">
        <v>349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3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349</v>
      </c>
      <c r="V180" t="s">
        <v>349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3">
        <v>44057.743877314817</v>
      </c>
      <c r="H181">
        <v>61</v>
      </c>
      <c r="I181" t="s">
        <v>349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349</v>
      </c>
      <c r="V181" t="s">
        <v>349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3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349</v>
      </c>
      <c r="V182" t="s">
        <v>349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3">
        <v>44082.485532407409</v>
      </c>
      <c r="H183">
        <v>33</v>
      </c>
      <c r="I183" t="s">
        <v>349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349</v>
      </c>
      <c r="V183" t="s">
        <v>349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3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349</v>
      </c>
      <c r="V184" t="s">
        <v>349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3">
        <v>44082.485532407409</v>
      </c>
      <c r="H185">
        <v>33</v>
      </c>
      <c r="I185" t="s">
        <v>349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349</v>
      </c>
      <c r="V185" t="s">
        <v>349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3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349</v>
      </c>
      <c r="V186" t="s">
        <v>349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3">
        <v>44082.485532407409</v>
      </c>
      <c r="H187">
        <v>33</v>
      </c>
      <c r="I187" t="s">
        <v>349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349</v>
      </c>
      <c r="V187" t="s">
        <v>349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3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349</v>
      </c>
      <c r="V188" t="s">
        <v>349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3">
        <v>44082.485532407409</v>
      </c>
      <c r="H189">
        <v>33</v>
      </c>
      <c r="I189" t="s">
        <v>349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349</v>
      </c>
      <c r="V189" t="s">
        <v>349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3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349</v>
      </c>
      <c r="V190" t="s">
        <v>349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3">
        <v>44082.485532407409</v>
      </c>
      <c r="H191">
        <v>33</v>
      </c>
      <c r="I191" t="s">
        <v>349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349</v>
      </c>
      <c r="V191" t="s">
        <v>349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3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349</v>
      </c>
      <c r="V192" t="s">
        <v>349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3">
        <v>44119.739837962959</v>
      </c>
      <c r="H193">
        <v>33</v>
      </c>
      <c r="I193" t="s">
        <v>349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349</v>
      </c>
      <c r="V193" t="s">
        <v>349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3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349</v>
      </c>
      <c r="V194" t="s">
        <v>349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3">
        <v>44119.739837962959</v>
      </c>
      <c r="H195">
        <v>33</v>
      </c>
      <c r="I195" t="s">
        <v>349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349</v>
      </c>
      <c r="V195" t="s">
        <v>349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3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349</v>
      </c>
      <c r="V196" t="s">
        <v>349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3">
        <v>44119.739837962959</v>
      </c>
      <c r="H197">
        <v>33</v>
      </c>
      <c r="I197" t="s">
        <v>349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349</v>
      </c>
      <c r="V197" t="s">
        <v>349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3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349</v>
      </c>
      <c r="V198" t="s">
        <v>349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3">
        <v>44119.739837962959</v>
      </c>
      <c r="H199">
        <v>33</v>
      </c>
      <c r="I199" t="s">
        <v>349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349</v>
      </c>
      <c r="V199" t="s">
        <v>349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3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349</v>
      </c>
      <c r="V200" t="s">
        <v>349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3">
        <v>44119.739837962959</v>
      </c>
      <c r="H201">
        <v>33</v>
      </c>
      <c r="I201" t="s">
        <v>349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349</v>
      </c>
      <c r="V201" t="s">
        <v>349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3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349</v>
      </c>
      <c r="V202" t="s">
        <v>349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3">
        <v>44153.723773148151</v>
      </c>
      <c r="H203">
        <v>61</v>
      </c>
      <c r="I203" t="s">
        <v>349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349</v>
      </c>
      <c r="V203" t="s">
        <v>349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3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349</v>
      </c>
      <c r="V204" t="s">
        <v>349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3">
        <v>44153.723773148151</v>
      </c>
      <c r="H205">
        <v>61</v>
      </c>
      <c r="I205" t="s">
        <v>349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349</v>
      </c>
      <c r="V205" t="s">
        <v>349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3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349</v>
      </c>
      <c r="V206" t="s">
        <v>349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3">
        <v>44153.723773148151</v>
      </c>
      <c r="H207">
        <v>61</v>
      </c>
      <c r="I207" t="s">
        <v>349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349</v>
      </c>
      <c r="V207" t="s">
        <v>349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3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349</v>
      </c>
      <c r="V208" t="s">
        <v>349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3">
        <v>44153.723773148151</v>
      </c>
      <c r="H209">
        <v>61</v>
      </c>
      <c r="I209" t="s">
        <v>349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349</v>
      </c>
      <c r="V209" t="s">
        <v>349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3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349</v>
      </c>
      <c r="V210" t="s">
        <v>349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3">
        <v>44153.723773148151</v>
      </c>
      <c r="H211">
        <v>61</v>
      </c>
      <c r="I211" t="s">
        <v>349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349</v>
      </c>
      <c r="V211" t="s">
        <v>349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3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349</v>
      </c>
      <c r="V212" t="s">
        <v>349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3">
        <v>44221.697384259256</v>
      </c>
      <c r="H213">
        <v>61</v>
      </c>
      <c r="I213" t="s">
        <v>349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349</v>
      </c>
      <c r="V213" t="s">
        <v>349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3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349</v>
      </c>
      <c r="V214" t="s">
        <v>349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3">
        <v>44221.697384259256</v>
      </c>
      <c r="H215">
        <v>61</v>
      </c>
      <c r="I215" t="s">
        <v>349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349</v>
      </c>
      <c r="V215" t="s">
        <v>349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3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349</v>
      </c>
      <c r="V216" t="s">
        <v>349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3">
        <v>44221.697384259256</v>
      </c>
      <c r="H217">
        <v>61</v>
      </c>
      <c r="I217" t="s">
        <v>349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349</v>
      </c>
      <c r="V217" t="s">
        <v>349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3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349</v>
      </c>
      <c r="V218" t="s">
        <v>349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3">
        <v>44221.697384259256</v>
      </c>
      <c r="H219">
        <v>61</v>
      </c>
      <c r="I219" t="s">
        <v>349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349</v>
      </c>
      <c r="V219" t="s">
        <v>349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3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349</v>
      </c>
      <c r="V220" t="s">
        <v>349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3">
        <v>44221.697384259256</v>
      </c>
      <c r="H221">
        <v>61</v>
      </c>
      <c r="I221" t="s">
        <v>349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349</v>
      </c>
      <c r="V221" t="s">
        <v>349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3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349</v>
      </c>
      <c r="V222" t="s">
        <v>349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3">
        <v>44215.508055555554</v>
      </c>
      <c r="H223">
        <v>61</v>
      </c>
      <c r="I223" t="s">
        <v>349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349</v>
      </c>
      <c r="V223" t="s">
        <v>349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3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349</v>
      </c>
      <c r="V224" t="s">
        <v>349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3">
        <v>44215.508055555554</v>
      </c>
      <c r="H225">
        <v>61</v>
      </c>
      <c r="I225" t="s">
        <v>349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349</v>
      </c>
      <c r="V225" t="s">
        <v>349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3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349</v>
      </c>
      <c r="V226" t="s">
        <v>349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3">
        <v>44215.508055555554</v>
      </c>
      <c r="H227">
        <v>61</v>
      </c>
      <c r="I227" t="s">
        <v>349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349</v>
      </c>
      <c r="V227" t="s">
        <v>349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3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349</v>
      </c>
      <c r="V228" t="s">
        <v>349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3">
        <v>44215.508055555554</v>
      </c>
      <c r="H229">
        <v>61</v>
      </c>
      <c r="I229" t="s">
        <v>349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349</v>
      </c>
      <c r="V229" t="s">
        <v>349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3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349</v>
      </c>
      <c r="V230" t="s">
        <v>349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3">
        <v>44215.508055555554</v>
      </c>
      <c r="H231">
        <v>61</v>
      </c>
      <c r="I231" t="s">
        <v>349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349</v>
      </c>
      <c r="V231" t="s">
        <v>349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3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349</v>
      </c>
      <c r="V232" t="s">
        <v>349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3">
        <v>44251.474293981482</v>
      </c>
      <c r="H233">
        <v>33</v>
      </c>
      <c r="I233" t="s">
        <v>349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349</v>
      </c>
      <c r="V233" t="s">
        <v>349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3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349</v>
      </c>
      <c r="V234" t="s">
        <v>349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3">
        <v>44251.474293981482</v>
      </c>
      <c r="H235">
        <v>33</v>
      </c>
      <c r="I235" t="s">
        <v>349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349</v>
      </c>
      <c r="V235" t="s">
        <v>349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3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349</v>
      </c>
      <c r="V236" t="s">
        <v>349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3">
        <v>44251.474293981482</v>
      </c>
      <c r="H237">
        <v>33</v>
      </c>
      <c r="I237" t="s">
        <v>349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349</v>
      </c>
      <c r="V237" t="s">
        <v>349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3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349</v>
      </c>
      <c r="V238" t="s">
        <v>349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3">
        <v>44251.474293981482</v>
      </c>
      <c r="H239">
        <v>33</v>
      </c>
      <c r="I239" t="s">
        <v>349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349</v>
      </c>
      <c r="V239" t="s">
        <v>349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3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349</v>
      </c>
      <c r="V240" t="s">
        <v>349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3">
        <v>44251.474293981482</v>
      </c>
      <c r="H241">
        <v>33</v>
      </c>
      <c r="I241" t="s">
        <v>349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349</v>
      </c>
      <c r="V241" t="s">
        <v>349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3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349</v>
      </c>
      <c r="V242" t="s">
        <v>349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3">
        <v>44273.429872685185</v>
      </c>
      <c r="H243">
        <v>61</v>
      </c>
      <c r="I243" t="s">
        <v>349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349</v>
      </c>
      <c r="V243" t="s">
        <v>349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3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349</v>
      </c>
      <c r="V244" t="s">
        <v>349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3">
        <v>44273.429872685185</v>
      </c>
      <c r="H245">
        <v>61</v>
      </c>
      <c r="I245" t="s">
        <v>349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349</v>
      </c>
      <c r="V245" t="s">
        <v>349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3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349</v>
      </c>
      <c r="V246" t="s">
        <v>349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3">
        <v>44273.429872685185</v>
      </c>
      <c r="H247">
        <v>61</v>
      </c>
      <c r="I247" t="s">
        <v>349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349</v>
      </c>
      <c r="V247" t="s">
        <v>349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3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349</v>
      </c>
      <c r="V248" t="s">
        <v>349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3">
        <v>44273.429872685185</v>
      </c>
      <c r="H249">
        <v>61</v>
      </c>
      <c r="I249" t="s">
        <v>349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349</v>
      </c>
      <c r="V249" t="s">
        <v>349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3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349</v>
      </c>
      <c r="V250" t="s">
        <v>349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3">
        <v>44273.429872685185</v>
      </c>
      <c r="H251">
        <v>61</v>
      </c>
      <c r="I251" t="s">
        <v>349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349</v>
      </c>
      <c r="V251" t="s">
        <v>349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3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349</v>
      </c>
      <c r="V252" t="s">
        <v>349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3">
        <v>44302.769236111111</v>
      </c>
      <c r="H253">
        <v>33</v>
      </c>
      <c r="I253" t="s">
        <v>349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349</v>
      </c>
      <c r="V253" t="s">
        <v>349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3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349</v>
      </c>
      <c r="V254" t="s">
        <v>349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3">
        <v>44302.769236111111</v>
      </c>
      <c r="H255">
        <v>33</v>
      </c>
      <c r="I255" t="s">
        <v>349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349</v>
      </c>
      <c r="V255" t="s">
        <v>349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3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349</v>
      </c>
      <c r="V256" t="s">
        <v>349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3">
        <v>44302.769236111111</v>
      </c>
      <c r="H257">
        <v>33</v>
      </c>
      <c r="I257" t="s">
        <v>349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349</v>
      </c>
      <c r="V257" t="s">
        <v>349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3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349</v>
      </c>
      <c r="V258" t="s">
        <v>349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3">
        <v>44302.769236111111</v>
      </c>
      <c r="H259">
        <v>33</v>
      </c>
      <c r="I259" t="s">
        <v>349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349</v>
      </c>
      <c r="V259" t="s">
        <v>349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3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349</v>
      </c>
      <c r="V260" t="s">
        <v>349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3">
        <v>44302.769236111111</v>
      </c>
      <c r="H261">
        <v>33</v>
      </c>
      <c r="I261" t="s">
        <v>349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349</v>
      </c>
      <c r="V261" t="s">
        <v>349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3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349</v>
      </c>
      <c r="V262" t="s">
        <v>349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3">
        <v>44327.522789351853</v>
      </c>
      <c r="H263">
        <v>33</v>
      </c>
      <c r="I263" t="s">
        <v>349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349</v>
      </c>
      <c r="V263" t="s">
        <v>349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3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349</v>
      </c>
      <c r="V264" t="s">
        <v>349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3">
        <v>44327.522789351853</v>
      </c>
      <c r="H265">
        <v>33</v>
      </c>
      <c r="I265" t="s">
        <v>349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349</v>
      </c>
      <c r="V265" t="s">
        <v>349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3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349</v>
      </c>
      <c r="V266" t="s">
        <v>349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3">
        <v>44327.522789351853</v>
      </c>
      <c r="H267">
        <v>33</v>
      </c>
      <c r="I267" t="s">
        <v>349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349</v>
      </c>
      <c r="V267" t="s">
        <v>349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3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349</v>
      </c>
      <c r="V268" t="s">
        <v>349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3">
        <v>44327.522789351853</v>
      </c>
      <c r="H269">
        <v>33</v>
      </c>
      <c r="I269" t="s">
        <v>349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349</v>
      </c>
      <c r="V269" t="s">
        <v>349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3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349</v>
      </c>
      <c r="V270" t="s">
        <v>349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3">
        <v>44327.522789351853</v>
      </c>
      <c r="H271">
        <v>33</v>
      </c>
      <c r="I271" t="s">
        <v>349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349</v>
      </c>
      <c r="V271" t="s">
        <v>349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3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349</v>
      </c>
      <c r="V272" t="s">
        <v>349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3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349</v>
      </c>
      <c r="V273" t="s">
        <v>349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3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349</v>
      </c>
      <c r="V274" t="s">
        <v>349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3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349</v>
      </c>
      <c r="V275" t="s">
        <v>349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3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349</v>
      </c>
      <c r="V276" t="s">
        <v>349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3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349</v>
      </c>
      <c r="V277" t="s">
        <v>349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3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349</v>
      </c>
      <c r="T2" t="s">
        <v>349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3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349</v>
      </c>
      <c r="T3" t="s">
        <v>349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3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349</v>
      </c>
      <c r="T4" t="s">
        <v>349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3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349</v>
      </c>
      <c r="T5" t="s">
        <v>349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3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349</v>
      </c>
      <c r="T6" t="s">
        <v>349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3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349</v>
      </c>
      <c r="T7" t="s">
        <v>349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3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349</v>
      </c>
      <c r="T8" t="s">
        <v>349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3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349</v>
      </c>
      <c r="T9" t="s">
        <v>349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3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349</v>
      </c>
      <c r="T10" t="s">
        <v>349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3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349</v>
      </c>
      <c r="T11" t="s">
        <v>349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3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349</v>
      </c>
      <c r="T12" t="s">
        <v>349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3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349</v>
      </c>
      <c r="T13" t="s">
        <v>349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3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349</v>
      </c>
      <c r="T14" t="s">
        <v>349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3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349</v>
      </c>
      <c r="T15" t="s">
        <v>349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3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349</v>
      </c>
      <c r="T16" t="s">
        <v>349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3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349</v>
      </c>
      <c r="T17" t="s">
        <v>349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3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349</v>
      </c>
      <c r="T18" t="s">
        <v>349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3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349</v>
      </c>
      <c r="T19" t="s">
        <v>349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3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349</v>
      </c>
      <c r="T20" t="s">
        <v>349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3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349</v>
      </c>
      <c r="T21" t="s">
        <v>349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3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349</v>
      </c>
      <c r="T22" t="s">
        <v>349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3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349</v>
      </c>
      <c r="T23" t="s">
        <v>349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3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349</v>
      </c>
      <c r="T24" t="s">
        <v>349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3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349</v>
      </c>
      <c r="T25" t="s">
        <v>349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3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349</v>
      </c>
      <c r="T26" t="s">
        <v>349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3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349</v>
      </c>
      <c r="T27" t="s">
        <v>349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3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349</v>
      </c>
      <c r="T28" t="s">
        <v>349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3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349</v>
      </c>
      <c r="T29" t="s">
        <v>349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3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349</v>
      </c>
      <c r="T30" t="s">
        <v>349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3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349</v>
      </c>
      <c r="T31" t="s">
        <v>349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3">
        <v>43944.47278935185</v>
      </c>
      <c r="H32">
        <v>61</v>
      </c>
      <c r="I32" t="s">
        <v>349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349</v>
      </c>
      <c r="T32" t="s">
        <v>349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3">
        <v>43944.47278935185</v>
      </c>
      <c r="H33">
        <v>61</v>
      </c>
      <c r="I33" t="s">
        <v>349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349</v>
      </c>
      <c r="T33" t="s">
        <v>349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3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349</v>
      </c>
      <c r="T34" t="s">
        <v>349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3">
        <v>43944.47278935185</v>
      </c>
      <c r="H35">
        <v>61</v>
      </c>
      <c r="I35" t="s">
        <v>349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349</v>
      </c>
      <c r="T35" t="s">
        <v>349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3">
        <v>43944.47278935185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349</v>
      </c>
      <c r="T36" t="s">
        <v>349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3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349</v>
      </c>
      <c r="T37" t="s">
        <v>349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3">
        <v>43944.47278935185</v>
      </c>
      <c r="H38">
        <v>61</v>
      </c>
      <c r="I38" t="s">
        <v>349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349</v>
      </c>
      <c r="T38" t="s">
        <v>349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3">
        <v>43944.47278935185</v>
      </c>
      <c r="H39">
        <v>61</v>
      </c>
      <c r="I39" t="s">
        <v>349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349</v>
      </c>
      <c r="T39" t="s">
        <v>349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3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349</v>
      </c>
      <c r="T40" t="s">
        <v>349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3">
        <v>43944.47278935185</v>
      </c>
      <c r="H41">
        <v>61</v>
      </c>
      <c r="I41" t="s">
        <v>349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349</v>
      </c>
      <c r="T41" t="s">
        <v>349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3">
        <v>43944.47278935185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349</v>
      </c>
      <c r="T42" t="s">
        <v>349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3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349</v>
      </c>
      <c r="T43" t="s">
        <v>349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3">
        <v>43944.47278935185</v>
      </c>
      <c r="H44">
        <v>61</v>
      </c>
      <c r="I44" t="s">
        <v>349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349</v>
      </c>
      <c r="T44" t="s">
        <v>349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3">
        <v>43944.47278935185</v>
      </c>
      <c r="H45">
        <v>61</v>
      </c>
      <c r="I45" t="s">
        <v>349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349</v>
      </c>
      <c r="T45" t="s">
        <v>349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3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349</v>
      </c>
      <c r="T46" t="s">
        <v>349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3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349</v>
      </c>
      <c r="T47" t="s">
        <v>349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3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349</v>
      </c>
      <c r="T48" t="s">
        <v>349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3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349</v>
      </c>
      <c r="T49" t="s">
        <v>349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3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349</v>
      </c>
      <c r="T50" t="s">
        <v>349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3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349</v>
      </c>
      <c r="T51" t="s">
        <v>349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3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349</v>
      </c>
      <c r="T52" t="s">
        <v>349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3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349</v>
      </c>
      <c r="T53" t="s">
        <v>349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3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349</v>
      </c>
      <c r="T54" t="s">
        <v>349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3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349</v>
      </c>
      <c r="T55" t="s">
        <v>349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3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349</v>
      </c>
      <c r="T56" t="s">
        <v>349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3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349</v>
      </c>
      <c r="T57" t="s">
        <v>349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3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349</v>
      </c>
      <c r="T58" t="s">
        <v>349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3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349</v>
      </c>
      <c r="T59" t="s">
        <v>349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3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349</v>
      </c>
      <c r="T60" t="s">
        <v>349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3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349</v>
      </c>
      <c r="T61" t="s">
        <v>349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3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349</v>
      </c>
      <c r="T62" t="s">
        <v>349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3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349</v>
      </c>
      <c r="T63" t="s">
        <v>349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3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349</v>
      </c>
      <c r="T64" t="s">
        <v>349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3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349</v>
      </c>
      <c r="T65" t="s">
        <v>349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3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349</v>
      </c>
      <c r="T66" t="s">
        <v>349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3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349</v>
      </c>
      <c r="T67" t="s">
        <v>349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3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349</v>
      </c>
      <c r="T68" t="s">
        <v>349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3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349</v>
      </c>
      <c r="T69" t="s">
        <v>349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3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349</v>
      </c>
      <c r="T70" t="s">
        <v>349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3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349</v>
      </c>
      <c r="T71" t="s">
        <v>349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3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349</v>
      </c>
      <c r="T72" t="s">
        <v>349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3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349</v>
      </c>
      <c r="T73" t="s">
        <v>349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3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349</v>
      </c>
      <c r="T74" t="s">
        <v>349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3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349</v>
      </c>
      <c r="T75" t="s">
        <v>349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3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349</v>
      </c>
      <c r="T76" t="s">
        <v>349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3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349</v>
      </c>
      <c r="T77" t="s">
        <v>349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3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349</v>
      </c>
      <c r="T78" t="s">
        <v>349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3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349</v>
      </c>
      <c r="T79" t="s">
        <v>349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3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349</v>
      </c>
      <c r="T80" t="s">
        <v>349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3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349</v>
      </c>
      <c r="T81" t="s">
        <v>349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3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349</v>
      </c>
      <c r="T82" t="s">
        <v>349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3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349</v>
      </c>
      <c r="T83" t="s">
        <v>349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3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349</v>
      </c>
      <c r="T84" t="s">
        <v>349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3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349</v>
      </c>
      <c r="T85" t="s">
        <v>349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3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349</v>
      </c>
      <c r="T86" t="s">
        <v>349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3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349</v>
      </c>
      <c r="T87" t="s">
        <v>349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3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349</v>
      </c>
      <c r="T88" t="s">
        <v>349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3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349</v>
      </c>
      <c r="T89" t="s">
        <v>349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3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349</v>
      </c>
      <c r="T90" t="s">
        <v>349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3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349</v>
      </c>
      <c r="T91" t="s">
        <v>349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3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349</v>
      </c>
      <c r="T92" t="s">
        <v>349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3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349</v>
      </c>
      <c r="T93" t="s">
        <v>349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3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349</v>
      </c>
      <c r="T94" t="s">
        <v>349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3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349</v>
      </c>
      <c r="T95" t="s">
        <v>349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3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349</v>
      </c>
      <c r="T96" t="s">
        <v>349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3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349</v>
      </c>
      <c r="T97" t="s">
        <v>349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3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349</v>
      </c>
      <c r="T98" t="s">
        <v>349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3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349</v>
      </c>
      <c r="T99" t="s">
        <v>349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3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349</v>
      </c>
      <c r="T100" t="s">
        <v>349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3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349</v>
      </c>
      <c r="T101" t="s">
        <v>349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3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349</v>
      </c>
      <c r="T102" t="s">
        <v>349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3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349</v>
      </c>
      <c r="T103" t="s">
        <v>349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3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349</v>
      </c>
      <c r="T104" t="s">
        <v>349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3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349</v>
      </c>
      <c r="T105" t="s">
        <v>349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3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349</v>
      </c>
      <c r="T106" t="s">
        <v>349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3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349</v>
      </c>
      <c r="T107" t="s">
        <v>349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3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349</v>
      </c>
      <c r="T108" t="s">
        <v>349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3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349</v>
      </c>
      <c r="T109" t="s">
        <v>349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3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349</v>
      </c>
      <c r="T110" t="s">
        <v>349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3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349</v>
      </c>
      <c r="T111" t="s">
        <v>349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3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349</v>
      </c>
      <c r="T112" t="s">
        <v>349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3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349</v>
      </c>
      <c r="T113" t="s">
        <v>349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3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349</v>
      </c>
      <c r="T114" t="s">
        <v>349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3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349</v>
      </c>
      <c r="T115" t="s">
        <v>349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3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349</v>
      </c>
      <c r="T116" t="s">
        <v>349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3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349</v>
      </c>
      <c r="T117" t="s">
        <v>349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3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349</v>
      </c>
      <c r="T118" t="s">
        <v>349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3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349</v>
      </c>
      <c r="T119" t="s">
        <v>349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3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349</v>
      </c>
      <c r="T120" t="s">
        <v>349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3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349</v>
      </c>
      <c r="T121" t="s">
        <v>349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3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349</v>
      </c>
      <c r="T122" t="s">
        <v>349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3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349</v>
      </c>
      <c r="T123" t="s">
        <v>349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3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349</v>
      </c>
      <c r="T124" t="s">
        <v>349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3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349</v>
      </c>
      <c r="T125" t="s">
        <v>349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3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349</v>
      </c>
      <c r="T126" t="s">
        <v>349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3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349</v>
      </c>
      <c r="T127" t="s">
        <v>349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3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349</v>
      </c>
      <c r="T128" t="s">
        <v>349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3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349</v>
      </c>
      <c r="T129" t="s">
        <v>349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3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349</v>
      </c>
      <c r="T130" t="s">
        <v>349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3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349</v>
      </c>
      <c r="T131" t="s">
        <v>349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3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349</v>
      </c>
      <c r="T132" t="s">
        <v>349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3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349</v>
      </c>
      <c r="T133" t="s">
        <v>349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3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349</v>
      </c>
      <c r="T134" t="s">
        <v>349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3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349</v>
      </c>
      <c r="T135" t="s">
        <v>349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3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349</v>
      </c>
      <c r="T136" t="s">
        <v>349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54" t="s">
        <v>18</v>
      </c>
      <c r="T1" s="34" t="s">
        <v>19</v>
      </c>
      <c r="U1" s="34" t="s">
        <v>75</v>
      </c>
      <c r="V1" s="34" t="s">
        <v>20</v>
      </c>
      <c r="W1" s="34" t="s">
        <v>76</v>
      </c>
      <c r="X1" s="34" t="s">
        <v>21</v>
      </c>
      <c r="Y1" s="34" t="s">
        <v>22</v>
      </c>
      <c r="Z1" s="34" t="s">
        <v>77</v>
      </c>
      <c r="AA1" s="34" t="s">
        <v>23</v>
      </c>
      <c r="AB1" s="34" t="s">
        <v>78</v>
      </c>
      <c r="AC1" s="34" t="s">
        <v>24</v>
      </c>
      <c r="AD1" s="34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5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5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5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5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5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5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5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5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5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5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5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5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5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5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5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5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5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5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5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5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5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5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5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5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5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5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5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5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5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5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5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5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5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5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5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5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5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5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5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5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5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5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5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5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5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5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5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5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5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5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5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5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5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5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5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5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5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5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5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5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5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5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5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5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5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5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5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5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5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5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5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5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5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5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5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5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5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5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5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5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5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5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5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5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5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5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5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5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5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5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5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5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5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5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5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5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5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5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5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5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5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5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5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5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5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5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5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5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5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5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5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5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5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5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5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5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5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5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5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5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5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5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5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5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5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5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5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5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5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5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5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5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5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5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5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5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5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5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5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5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5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5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5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5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5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5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5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5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5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5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5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5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5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5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5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5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5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5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5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5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5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5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5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5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5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5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5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5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5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5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5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5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5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5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5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5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5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5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5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5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5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5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5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5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5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5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5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5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5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5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5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5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5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5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5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5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5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5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5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5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5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5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5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5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5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5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5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5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5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5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5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5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5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5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5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5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5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5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5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5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5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5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5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5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5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5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5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5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5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5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5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5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5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5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5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5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5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5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5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5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5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5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5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5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5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5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5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5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5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5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5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5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5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5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5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5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5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5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5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5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5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5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5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5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5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5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5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5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5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5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5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5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5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5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5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5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5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5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5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5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5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5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5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5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5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5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5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5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5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5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5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5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5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5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5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5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5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5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5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5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5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5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5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5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5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5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5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5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5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5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5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5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5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5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5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5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5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5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5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5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5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5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5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5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5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5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5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5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5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5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5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5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5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5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5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5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5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5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5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5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5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5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5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5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5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5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5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5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5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5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5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5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5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5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5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5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5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5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5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5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5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5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5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5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5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5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5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5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5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5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5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5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5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5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5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5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5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5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5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5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5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5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5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5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5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5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5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5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5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5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5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5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5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5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5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5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5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5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5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5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5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5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5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5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5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5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5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5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5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5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5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5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5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5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5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5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5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5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5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5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5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5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5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5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5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5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5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5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5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5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5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5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5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5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5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5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5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5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5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5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5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5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5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5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5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5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5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5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5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5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5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5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5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5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5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5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5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5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5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5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5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5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5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5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5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5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5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5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75</v>
      </c>
      <c r="V1" s="34" t="s">
        <v>20</v>
      </c>
      <c r="W1" s="34" t="s">
        <v>76</v>
      </c>
      <c r="X1" s="34" t="s">
        <v>21</v>
      </c>
      <c r="Y1" s="34" t="s">
        <v>22</v>
      </c>
      <c r="Z1" s="34" t="s">
        <v>77</v>
      </c>
      <c r="AA1" s="34" t="s">
        <v>23</v>
      </c>
      <c r="AB1" s="34" t="s">
        <v>78</v>
      </c>
      <c r="AC1" s="34" t="s">
        <v>24</v>
      </c>
      <c r="AD1" s="34" t="s">
        <v>71</v>
      </c>
    </row>
    <row r="2" spans="1:30" x14ac:dyDescent="0.25">
      <c r="B2" s="40">
        <v>42370</v>
      </c>
      <c r="P2" s="35"/>
      <c r="AD2" s="35"/>
    </row>
    <row r="3" spans="1:30" x14ac:dyDescent="0.25">
      <c r="B3" s="40">
        <v>42401</v>
      </c>
      <c r="P3" s="35"/>
      <c r="AD3" s="35"/>
    </row>
    <row r="4" spans="1:30" x14ac:dyDescent="0.25">
      <c r="B4" s="40">
        <v>42430</v>
      </c>
      <c r="P4" s="35"/>
      <c r="AD4" s="35"/>
    </row>
    <row r="5" spans="1:30" x14ac:dyDescent="0.25">
      <c r="B5" s="40">
        <v>42461</v>
      </c>
      <c r="P5" s="35"/>
      <c r="AD5" s="35"/>
    </row>
    <row r="6" spans="1:30" x14ac:dyDescent="0.25">
      <c r="B6" s="40">
        <v>42491</v>
      </c>
      <c r="P6" s="35"/>
      <c r="AD6" s="35"/>
    </row>
    <row r="7" spans="1:30" x14ac:dyDescent="0.25">
      <c r="B7" s="40">
        <v>42522</v>
      </c>
      <c r="P7" s="35"/>
      <c r="AD7" s="35"/>
    </row>
    <row r="8" spans="1:30" x14ac:dyDescent="0.25">
      <c r="B8" s="40">
        <v>42552</v>
      </c>
      <c r="P8" s="35"/>
      <c r="AD8" s="35"/>
    </row>
    <row r="9" spans="1:30" x14ac:dyDescent="0.25">
      <c r="B9" s="40">
        <v>42583</v>
      </c>
      <c r="P9" s="35"/>
      <c r="AD9" s="35"/>
    </row>
    <row r="10" spans="1:30" x14ac:dyDescent="0.25">
      <c r="B10" s="40">
        <v>42614</v>
      </c>
      <c r="P10" s="35"/>
      <c r="AD10" s="35"/>
    </row>
    <row r="11" spans="1:30" x14ac:dyDescent="0.25">
      <c r="B11" s="40">
        <v>42644</v>
      </c>
      <c r="P11" s="35"/>
      <c r="AD11" s="35"/>
    </row>
    <row r="12" spans="1:30" x14ac:dyDescent="0.25">
      <c r="B12" s="40">
        <v>42675</v>
      </c>
      <c r="P12" s="35"/>
      <c r="AD12" s="35"/>
    </row>
    <row r="13" spans="1:30" x14ac:dyDescent="0.25">
      <c r="B13" s="40">
        <v>42705</v>
      </c>
      <c r="P13" s="35"/>
      <c r="AD13" s="35"/>
    </row>
    <row r="14" spans="1:30" x14ac:dyDescent="0.25">
      <c r="B14" s="40">
        <v>42736</v>
      </c>
      <c r="P14" s="35"/>
      <c r="AD14" s="35"/>
    </row>
    <row r="15" spans="1:30" x14ac:dyDescent="0.25">
      <c r="B15" s="40">
        <v>42767</v>
      </c>
      <c r="P15" s="35"/>
      <c r="AD15" s="35"/>
    </row>
    <row r="16" spans="1:30" x14ac:dyDescent="0.25">
      <c r="B16" s="40">
        <v>42795</v>
      </c>
      <c r="P16" s="35"/>
      <c r="AD16" s="35"/>
    </row>
    <row r="17" spans="2:30" x14ac:dyDescent="0.25">
      <c r="B17" s="40">
        <v>42826</v>
      </c>
      <c r="P17" s="35"/>
      <c r="AD17" s="35"/>
    </row>
    <row r="18" spans="2:30" x14ac:dyDescent="0.25">
      <c r="B18" s="40">
        <v>42856</v>
      </c>
      <c r="P18" s="35"/>
      <c r="AD18" s="35"/>
    </row>
    <row r="19" spans="2:30" x14ac:dyDescent="0.25">
      <c r="B19" s="40">
        <v>42887</v>
      </c>
      <c r="P19" s="35"/>
      <c r="AD19" s="35"/>
    </row>
    <row r="20" spans="2:30" x14ac:dyDescent="0.25">
      <c r="B20" s="40">
        <v>42917</v>
      </c>
      <c r="P20" s="35"/>
      <c r="AD20" s="35"/>
    </row>
    <row r="21" spans="2:30" x14ac:dyDescent="0.25">
      <c r="B21" s="40">
        <v>42948</v>
      </c>
      <c r="P21" s="35"/>
      <c r="AD21" s="35"/>
    </row>
    <row r="22" spans="2:30" x14ac:dyDescent="0.25">
      <c r="B22" s="40">
        <v>42979</v>
      </c>
      <c r="P22" s="35"/>
      <c r="AD22" s="35"/>
    </row>
    <row r="23" spans="2:30" x14ac:dyDescent="0.25">
      <c r="B23" s="40">
        <v>43009</v>
      </c>
      <c r="P23" s="35"/>
      <c r="AD23" s="35"/>
    </row>
    <row r="24" spans="2:30" x14ac:dyDescent="0.25">
      <c r="B24" s="40">
        <v>43040</v>
      </c>
      <c r="P24" s="35"/>
      <c r="AD24" s="35"/>
    </row>
    <row r="25" spans="2:30" x14ac:dyDescent="0.25">
      <c r="B25" s="40">
        <v>43070</v>
      </c>
      <c r="P25" s="35"/>
      <c r="AD25" s="35"/>
    </row>
    <row r="26" spans="2:30" x14ac:dyDescent="0.25">
      <c r="B26" s="40">
        <v>43101</v>
      </c>
      <c r="P26" s="35"/>
      <c r="AD26" s="35"/>
    </row>
    <row r="27" spans="2:30" x14ac:dyDescent="0.25">
      <c r="B27" s="40">
        <v>43132</v>
      </c>
      <c r="P27" s="35"/>
      <c r="AD27" s="35"/>
    </row>
    <row r="28" spans="2:30" x14ac:dyDescent="0.25">
      <c r="B28" s="40">
        <v>43160</v>
      </c>
      <c r="P28" s="35"/>
      <c r="AD28" s="35"/>
    </row>
    <row r="29" spans="2:30" x14ac:dyDescent="0.25">
      <c r="B29" s="40">
        <v>43191</v>
      </c>
      <c r="P29" s="35"/>
      <c r="AD29" s="35"/>
    </row>
    <row r="30" spans="2:30" x14ac:dyDescent="0.25">
      <c r="B30" s="40">
        <v>43221</v>
      </c>
      <c r="P30" s="35"/>
      <c r="AD30" s="35"/>
    </row>
    <row r="31" spans="2:30" x14ac:dyDescent="0.25">
      <c r="B31" s="40">
        <v>43252</v>
      </c>
      <c r="P31" s="35"/>
      <c r="AD31" s="35"/>
    </row>
    <row r="32" spans="2:30" x14ac:dyDescent="0.25">
      <c r="B32" s="40">
        <v>43282</v>
      </c>
      <c r="P32" s="35"/>
      <c r="AD32" s="35"/>
    </row>
    <row r="33" spans="2:30" x14ac:dyDescent="0.25">
      <c r="B33" s="40">
        <v>43313</v>
      </c>
      <c r="P33" s="35"/>
      <c r="AD33" s="35"/>
    </row>
    <row r="34" spans="2:30" x14ac:dyDescent="0.25">
      <c r="B34" s="40">
        <v>43344</v>
      </c>
      <c r="P34" s="35"/>
      <c r="AD34" s="35"/>
    </row>
    <row r="35" spans="2:30" x14ac:dyDescent="0.25">
      <c r="B35" s="40">
        <v>43374</v>
      </c>
      <c r="P35" s="35"/>
      <c r="AD35" s="35"/>
    </row>
    <row r="36" spans="2:30" x14ac:dyDescent="0.25">
      <c r="B36" s="40">
        <v>43405</v>
      </c>
      <c r="P36" s="35"/>
      <c r="AD36" s="35"/>
    </row>
    <row r="37" spans="2:30" x14ac:dyDescent="0.25">
      <c r="B37" s="40">
        <v>43435</v>
      </c>
      <c r="P37" s="35"/>
      <c r="AD37" s="35"/>
    </row>
    <row r="38" spans="2:30" x14ac:dyDescent="0.25">
      <c r="B38" s="40">
        <v>43466</v>
      </c>
      <c r="P38" s="35"/>
      <c r="AD38" s="35"/>
    </row>
    <row r="39" spans="2:30" x14ac:dyDescent="0.25">
      <c r="B39" s="40">
        <v>43497</v>
      </c>
      <c r="P39" s="35"/>
      <c r="AD39" s="35"/>
    </row>
    <row r="40" spans="2:30" x14ac:dyDescent="0.25">
      <c r="B40" s="40">
        <v>43525</v>
      </c>
      <c r="P40" s="35"/>
      <c r="AD40" s="35"/>
    </row>
    <row r="41" spans="2:30" x14ac:dyDescent="0.25">
      <c r="B41" s="40">
        <v>43556</v>
      </c>
      <c r="P41" s="35"/>
      <c r="AD41" s="35"/>
    </row>
    <row r="42" spans="2:30" x14ac:dyDescent="0.25">
      <c r="B42" s="40">
        <v>43586</v>
      </c>
      <c r="P42" s="35"/>
      <c r="AD42" s="35"/>
    </row>
    <row r="43" spans="2:30" x14ac:dyDescent="0.25">
      <c r="B43" s="40">
        <v>43617</v>
      </c>
      <c r="P43" s="35"/>
      <c r="AD43" s="35"/>
    </row>
    <row r="44" spans="2:30" x14ac:dyDescent="0.25">
      <c r="B44" s="40">
        <v>43647</v>
      </c>
      <c r="P44" s="35"/>
      <c r="AD44" s="35"/>
    </row>
    <row r="45" spans="2:30" x14ac:dyDescent="0.25">
      <c r="B45" s="40">
        <v>43678</v>
      </c>
      <c r="P45" s="35"/>
      <c r="AD45" s="35"/>
    </row>
    <row r="46" spans="2:30" x14ac:dyDescent="0.25">
      <c r="B46" s="40">
        <v>43709</v>
      </c>
      <c r="P46" s="35"/>
      <c r="AD46" s="35"/>
    </row>
    <row r="47" spans="2:30" x14ac:dyDescent="0.25">
      <c r="B47" s="40">
        <v>43739</v>
      </c>
      <c r="P47" s="35"/>
      <c r="AD47" s="35"/>
    </row>
    <row r="48" spans="2:30" x14ac:dyDescent="0.25">
      <c r="B48" s="40">
        <v>43770</v>
      </c>
      <c r="P48" s="35"/>
      <c r="AD48" s="35"/>
    </row>
    <row r="49" spans="2:30" x14ac:dyDescent="0.25">
      <c r="B49" s="40">
        <v>43800</v>
      </c>
      <c r="P49" s="35"/>
      <c r="AD49" s="35"/>
    </row>
    <row r="50" spans="2:30" x14ac:dyDescent="0.25">
      <c r="B50" s="40">
        <v>43831</v>
      </c>
      <c r="P50" s="35"/>
      <c r="AD50" s="35"/>
    </row>
    <row r="51" spans="2:30" x14ac:dyDescent="0.25">
      <c r="B51" s="40">
        <v>43862</v>
      </c>
      <c r="P51" s="35"/>
      <c r="AD51" s="35"/>
    </row>
    <row r="52" spans="2:30" x14ac:dyDescent="0.25">
      <c r="B52" s="40">
        <v>43891</v>
      </c>
      <c r="P52" s="35"/>
      <c r="AD52" s="35"/>
    </row>
    <row r="53" spans="2:30" x14ac:dyDescent="0.25">
      <c r="B53" s="40">
        <v>43922</v>
      </c>
      <c r="P53" s="35"/>
      <c r="AD53" s="35"/>
    </row>
    <row r="54" spans="2:30" x14ac:dyDescent="0.25">
      <c r="B54" s="40">
        <v>43952</v>
      </c>
      <c r="P54" s="35"/>
      <c r="AD54" s="35"/>
    </row>
    <row r="55" spans="2:30" x14ac:dyDescent="0.25">
      <c r="B55" s="40">
        <v>43983</v>
      </c>
      <c r="P55" s="35"/>
      <c r="AD55" s="35"/>
    </row>
    <row r="56" spans="2:30" x14ac:dyDescent="0.25">
      <c r="B56" s="40">
        <v>44013</v>
      </c>
      <c r="P56" s="35"/>
      <c r="AD56" s="35"/>
    </row>
    <row r="57" spans="2:30" x14ac:dyDescent="0.25">
      <c r="B57" s="40">
        <v>44044</v>
      </c>
      <c r="P57" s="35"/>
      <c r="AD57" s="35"/>
    </row>
    <row r="58" spans="2:30" x14ac:dyDescent="0.25">
      <c r="B58" s="40">
        <v>44075</v>
      </c>
      <c r="P58" s="35"/>
      <c r="AD58" s="35"/>
    </row>
    <row r="59" spans="2:30" x14ac:dyDescent="0.25">
      <c r="B59" s="40">
        <v>44105</v>
      </c>
      <c r="P59" s="35"/>
      <c r="AD59" s="35"/>
    </row>
    <row r="60" spans="2:30" x14ac:dyDescent="0.25">
      <c r="B60" s="40">
        <v>44136</v>
      </c>
      <c r="P60" s="35"/>
      <c r="AD60" s="35"/>
    </row>
    <row r="61" spans="2:30" x14ac:dyDescent="0.25">
      <c r="B61" s="40">
        <v>44166</v>
      </c>
      <c r="P61" s="35"/>
      <c r="AD61" s="35"/>
    </row>
    <row r="62" spans="2:30" x14ac:dyDescent="0.25">
      <c r="B62" s="40">
        <v>44197</v>
      </c>
      <c r="P62" s="35"/>
      <c r="AD62" s="35"/>
    </row>
    <row r="63" spans="2:30" x14ac:dyDescent="0.25">
      <c r="B63" s="40">
        <v>44228</v>
      </c>
      <c r="P63" s="35"/>
      <c r="AD63" s="35"/>
    </row>
    <row r="64" spans="2:30" x14ac:dyDescent="0.25">
      <c r="B64" s="40">
        <v>44256</v>
      </c>
      <c r="P64" s="35"/>
      <c r="AD64" s="35"/>
    </row>
    <row r="65" spans="2:30" x14ac:dyDescent="0.25">
      <c r="B65" s="40">
        <v>44287</v>
      </c>
      <c r="P65" s="35"/>
      <c r="AD65" s="35"/>
    </row>
    <row r="66" spans="2:30" x14ac:dyDescent="0.25">
      <c r="B66" s="40">
        <v>44317</v>
      </c>
      <c r="P66" s="35"/>
      <c r="AD66" s="35"/>
    </row>
    <row r="67" spans="2:30" x14ac:dyDescent="0.25">
      <c r="B67" s="40">
        <v>44348</v>
      </c>
      <c r="P67" s="35"/>
      <c r="AD67" s="35"/>
    </row>
    <row r="68" spans="2:30" x14ac:dyDescent="0.25">
      <c r="B68" s="40">
        <v>44378</v>
      </c>
      <c r="P68" s="35"/>
      <c r="AD68" s="35"/>
    </row>
    <row r="69" spans="2:30" x14ac:dyDescent="0.25">
      <c r="B69" s="40">
        <v>44409</v>
      </c>
      <c r="P69" s="35"/>
      <c r="AD69" s="35"/>
    </row>
    <row r="70" spans="2:30" x14ac:dyDescent="0.25">
      <c r="B70" s="40">
        <v>44440</v>
      </c>
      <c r="P70" s="35"/>
      <c r="AD70" s="35"/>
    </row>
    <row r="71" spans="2:30" x14ac:dyDescent="0.25">
      <c r="B71" s="40">
        <v>44470</v>
      </c>
      <c r="P71" s="35"/>
      <c r="AD71" s="35"/>
    </row>
    <row r="72" spans="2:30" x14ac:dyDescent="0.25">
      <c r="B72" s="40">
        <v>44501</v>
      </c>
      <c r="P72" s="35"/>
      <c r="AD72" s="35"/>
    </row>
    <row r="73" spans="2:30" x14ac:dyDescent="0.25">
      <c r="B73" s="40">
        <v>44531</v>
      </c>
      <c r="P73" s="35"/>
      <c r="AD73" s="35"/>
    </row>
    <row r="74" spans="2:30" x14ac:dyDescent="0.25">
      <c r="B74" s="40">
        <v>44562</v>
      </c>
      <c r="P74" s="35"/>
      <c r="AD74" s="35"/>
    </row>
    <row r="75" spans="2:30" x14ac:dyDescent="0.25">
      <c r="B75" s="40">
        <v>44593</v>
      </c>
      <c r="P75" s="35"/>
      <c r="AD75" s="35"/>
    </row>
    <row r="76" spans="2:30" x14ac:dyDescent="0.25">
      <c r="B76" s="40">
        <v>44621</v>
      </c>
      <c r="P76" s="35"/>
      <c r="AD76" s="35"/>
    </row>
    <row r="77" spans="2:30" x14ac:dyDescent="0.25">
      <c r="B77" s="40">
        <v>44652</v>
      </c>
      <c r="P77" s="35"/>
      <c r="AD77" s="35"/>
    </row>
    <row r="78" spans="2:30" x14ac:dyDescent="0.25">
      <c r="B78" s="40">
        <v>44682</v>
      </c>
      <c r="P78" s="35"/>
      <c r="AD78" s="35"/>
    </row>
    <row r="79" spans="2:30" x14ac:dyDescent="0.25">
      <c r="B79" s="40">
        <v>44713</v>
      </c>
      <c r="P79" s="35"/>
      <c r="AD79" s="35"/>
    </row>
    <row r="80" spans="2:30" x14ac:dyDescent="0.25">
      <c r="B80" s="40">
        <v>44743</v>
      </c>
      <c r="P80" s="35"/>
      <c r="AD80" s="35"/>
    </row>
    <row r="81" spans="2:30" x14ac:dyDescent="0.25">
      <c r="B81" s="40">
        <v>44774</v>
      </c>
      <c r="P81" s="35"/>
      <c r="AD81" s="35"/>
    </row>
    <row r="82" spans="2:30" x14ac:dyDescent="0.25">
      <c r="B82" s="40">
        <v>44805</v>
      </c>
      <c r="P82" s="35"/>
      <c r="AD82" s="35"/>
    </row>
    <row r="83" spans="2:30" x14ac:dyDescent="0.25">
      <c r="B83" s="40">
        <v>44835</v>
      </c>
      <c r="P83" s="35"/>
      <c r="AD83" s="35"/>
    </row>
    <row r="84" spans="2:30" x14ac:dyDescent="0.25">
      <c r="B84" s="40">
        <v>44866</v>
      </c>
      <c r="P84" s="35"/>
      <c r="AD84" s="35"/>
    </row>
    <row r="85" spans="2:30" x14ac:dyDescent="0.25">
      <c r="B85" s="40">
        <v>44896</v>
      </c>
      <c r="P85" s="35"/>
      <c r="AD85" s="35"/>
    </row>
    <row r="86" spans="2:30" x14ac:dyDescent="0.25">
      <c r="B86" s="40">
        <v>44927</v>
      </c>
      <c r="P86" s="35"/>
      <c r="AD86" s="35"/>
    </row>
    <row r="87" spans="2:30" x14ac:dyDescent="0.25">
      <c r="B87" s="40">
        <v>44958</v>
      </c>
      <c r="P87" s="35"/>
      <c r="AD87" s="35"/>
    </row>
    <row r="88" spans="2:30" x14ac:dyDescent="0.25">
      <c r="B88" s="40">
        <v>44986</v>
      </c>
      <c r="P88" s="35"/>
      <c r="AD88" s="35"/>
    </row>
    <row r="89" spans="2:30" x14ac:dyDescent="0.25">
      <c r="B89" s="40">
        <v>45017</v>
      </c>
      <c r="P89" s="35"/>
      <c r="AD89" s="35"/>
    </row>
    <row r="90" spans="2:30" x14ac:dyDescent="0.25">
      <c r="B90" s="40">
        <v>45047</v>
      </c>
      <c r="P90" s="35"/>
      <c r="AD90" s="35"/>
    </row>
    <row r="91" spans="2:30" x14ac:dyDescent="0.25">
      <c r="B91" s="40">
        <v>45078</v>
      </c>
      <c r="P91" s="35"/>
      <c r="AD91" s="35"/>
    </row>
    <row r="92" spans="2:30" x14ac:dyDescent="0.25">
      <c r="B92" s="40">
        <v>45108</v>
      </c>
      <c r="P92" s="35"/>
      <c r="AD92" s="35"/>
    </row>
    <row r="93" spans="2:30" x14ac:dyDescent="0.25">
      <c r="B93" s="40">
        <v>45139</v>
      </c>
      <c r="P93" s="35"/>
      <c r="AD93" s="35"/>
    </row>
    <row r="94" spans="2:30" x14ac:dyDescent="0.25">
      <c r="B94" s="40">
        <v>45170</v>
      </c>
      <c r="P94" s="35"/>
      <c r="AD94" s="35"/>
    </row>
    <row r="95" spans="2:30" x14ac:dyDescent="0.25">
      <c r="B95" s="40">
        <v>45200</v>
      </c>
      <c r="P95" s="35"/>
      <c r="AD95" s="35"/>
    </row>
    <row r="96" spans="2:30" x14ac:dyDescent="0.25">
      <c r="B96" s="40">
        <v>45231</v>
      </c>
      <c r="P96" s="35"/>
      <c r="AD96" s="35"/>
    </row>
    <row r="97" spans="2:30" x14ac:dyDescent="0.25">
      <c r="B97" s="40">
        <v>45261</v>
      </c>
      <c r="P97" s="35"/>
      <c r="AD97" s="35"/>
    </row>
    <row r="98" spans="2:30" x14ac:dyDescent="0.25">
      <c r="B98" s="40">
        <v>45292</v>
      </c>
      <c r="P98" s="35"/>
      <c r="AD98" s="35"/>
    </row>
    <row r="99" spans="2:30" x14ac:dyDescent="0.25">
      <c r="B99" s="40">
        <v>45323</v>
      </c>
      <c r="P99" s="35"/>
      <c r="AD99" s="35"/>
    </row>
    <row r="100" spans="2:30" x14ac:dyDescent="0.25">
      <c r="B100" s="40">
        <v>45352</v>
      </c>
      <c r="P100" s="35"/>
      <c r="AD100" s="35"/>
    </row>
    <row r="101" spans="2:30" x14ac:dyDescent="0.25">
      <c r="B101" s="40">
        <v>45383</v>
      </c>
      <c r="P101" s="35"/>
      <c r="AD101" s="35"/>
    </row>
    <row r="102" spans="2:30" x14ac:dyDescent="0.25">
      <c r="B102" s="40">
        <v>45413</v>
      </c>
      <c r="P102" s="35"/>
      <c r="AD102" s="35"/>
    </row>
    <row r="103" spans="2:30" x14ac:dyDescent="0.25">
      <c r="B103" s="40">
        <v>45444</v>
      </c>
      <c r="P103" s="35"/>
      <c r="AD103" s="35"/>
    </row>
    <row r="104" spans="2:30" x14ac:dyDescent="0.25">
      <c r="B104" s="40">
        <v>45474</v>
      </c>
      <c r="P104" s="35"/>
      <c r="AD104" s="35"/>
    </row>
    <row r="105" spans="2:30" x14ac:dyDescent="0.25">
      <c r="B105" s="40">
        <v>45505</v>
      </c>
      <c r="P105" s="35"/>
      <c r="AD105" s="35"/>
    </row>
    <row r="106" spans="2:30" x14ac:dyDescent="0.25">
      <c r="B106" s="40">
        <v>45536</v>
      </c>
      <c r="P106" s="35"/>
      <c r="AD106" s="35"/>
    </row>
    <row r="107" spans="2:30" x14ac:dyDescent="0.25">
      <c r="B107" s="40">
        <v>45566</v>
      </c>
      <c r="P107" s="35"/>
      <c r="AD107" s="35"/>
    </row>
    <row r="108" spans="2:30" x14ac:dyDescent="0.25">
      <c r="B108" s="40">
        <v>45597</v>
      </c>
      <c r="P108" s="35"/>
      <c r="AD108" s="35"/>
    </row>
    <row r="109" spans="2:30" x14ac:dyDescent="0.25">
      <c r="B109" s="40">
        <v>45627</v>
      </c>
      <c r="P109" s="35"/>
      <c r="AD109" s="35"/>
    </row>
    <row r="110" spans="2:30" x14ac:dyDescent="0.25">
      <c r="B110" s="40">
        <v>45658</v>
      </c>
      <c r="P110" s="35"/>
      <c r="AD110" s="35"/>
    </row>
    <row r="111" spans="2:30" x14ac:dyDescent="0.25">
      <c r="B111" s="40">
        <v>45689</v>
      </c>
      <c r="P111" s="35"/>
      <c r="AD111" s="35"/>
    </row>
    <row r="112" spans="2:30" x14ac:dyDescent="0.25">
      <c r="B112" s="40">
        <v>45717</v>
      </c>
      <c r="P112" s="35"/>
      <c r="AD112" s="35"/>
    </row>
    <row r="113" spans="2:30" x14ac:dyDescent="0.25">
      <c r="B113" s="40">
        <v>45748</v>
      </c>
      <c r="P113" s="35"/>
      <c r="AD113" s="35"/>
    </row>
    <row r="114" spans="2:30" x14ac:dyDescent="0.25">
      <c r="B114" s="40">
        <v>45778</v>
      </c>
      <c r="P114" s="35"/>
      <c r="AD114" s="35"/>
    </row>
    <row r="115" spans="2:30" x14ac:dyDescent="0.25">
      <c r="B115" s="40">
        <v>45809</v>
      </c>
      <c r="P115" s="35"/>
      <c r="AD115" s="35"/>
    </row>
    <row r="116" spans="2:30" x14ac:dyDescent="0.25">
      <c r="B116" s="40">
        <v>45839</v>
      </c>
      <c r="P116" s="35"/>
      <c r="AD116" s="35"/>
    </row>
    <row r="117" spans="2:30" x14ac:dyDescent="0.25">
      <c r="B117" s="40">
        <v>45870</v>
      </c>
      <c r="P117" s="35"/>
      <c r="AD117" s="35"/>
    </row>
    <row r="118" spans="2:30" x14ac:dyDescent="0.25">
      <c r="B118" s="40">
        <v>45901</v>
      </c>
      <c r="P118" s="35"/>
      <c r="AD118" s="35"/>
    </row>
    <row r="119" spans="2:30" x14ac:dyDescent="0.25">
      <c r="B119" s="40">
        <v>45931</v>
      </c>
      <c r="P119" s="35"/>
      <c r="AD119" s="35"/>
    </row>
    <row r="120" spans="2:30" x14ac:dyDescent="0.25">
      <c r="B120" s="40">
        <v>45962</v>
      </c>
      <c r="P120" s="35"/>
      <c r="AD120" s="35"/>
    </row>
    <row r="121" spans="2:30" x14ac:dyDescent="0.25">
      <c r="B121" s="40">
        <v>45992</v>
      </c>
      <c r="P121" s="35"/>
      <c r="AD121" s="35"/>
    </row>
    <row r="122" spans="2:30" x14ac:dyDescent="0.25">
      <c r="B122" s="40">
        <v>46023</v>
      </c>
      <c r="P122" s="35"/>
      <c r="AD122" s="35"/>
    </row>
    <row r="123" spans="2:30" x14ac:dyDescent="0.25">
      <c r="B123" s="40">
        <v>46054</v>
      </c>
      <c r="P123" s="35"/>
      <c r="AD123" s="35"/>
    </row>
    <row r="124" spans="2:30" x14ac:dyDescent="0.25">
      <c r="B124" s="40">
        <v>46082</v>
      </c>
      <c r="P124" s="35"/>
      <c r="AD124" s="35"/>
    </row>
    <row r="125" spans="2:30" x14ac:dyDescent="0.25">
      <c r="B125" s="40">
        <v>46113</v>
      </c>
      <c r="P125" s="35"/>
      <c r="AD125" s="35"/>
    </row>
    <row r="126" spans="2:30" x14ac:dyDescent="0.25">
      <c r="B126" s="40">
        <v>46143</v>
      </c>
      <c r="P126" s="35"/>
      <c r="AD126" s="35"/>
    </row>
    <row r="127" spans="2:30" x14ac:dyDescent="0.25">
      <c r="B127" s="40">
        <v>46174</v>
      </c>
      <c r="P127" s="35"/>
      <c r="AD127" s="35"/>
    </row>
    <row r="128" spans="2:30" x14ac:dyDescent="0.25">
      <c r="B128" s="40">
        <v>46204</v>
      </c>
      <c r="P128" s="35"/>
      <c r="AD128" s="35"/>
    </row>
    <row r="129" spans="2:30" x14ac:dyDescent="0.25">
      <c r="B129" s="40">
        <v>46235</v>
      </c>
      <c r="P129" s="35"/>
      <c r="AD129" s="35"/>
    </row>
    <row r="130" spans="2:30" x14ac:dyDescent="0.25">
      <c r="B130" s="40">
        <v>46266</v>
      </c>
      <c r="P130" s="35"/>
      <c r="AD130" s="35"/>
    </row>
    <row r="131" spans="2:30" x14ac:dyDescent="0.25">
      <c r="B131" s="40">
        <v>46296</v>
      </c>
      <c r="P131" s="35"/>
      <c r="AD131" s="35"/>
    </row>
    <row r="132" spans="2:30" x14ac:dyDescent="0.25">
      <c r="B132" s="40">
        <v>46327</v>
      </c>
      <c r="P132" s="35"/>
      <c r="AD132" s="35"/>
    </row>
    <row r="133" spans="2:30" x14ac:dyDescent="0.25">
      <c r="B133" s="40">
        <v>46357</v>
      </c>
      <c r="P133" s="35"/>
      <c r="AD133" s="35"/>
    </row>
    <row r="134" spans="2:30" x14ac:dyDescent="0.25">
      <c r="B134" s="40">
        <v>46388</v>
      </c>
      <c r="P134" s="35"/>
      <c r="AD134" s="35"/>
    </row>
    <row r="135" spans="2:30" x14ac:dyDescent="0.25">
      <c r="B135" s="40">
        <v>46419</v>
      </c>
      <c r="P135" s="35"/>
      <c r="AD135" s="35"/>
    </row>
    <row r="136" spans="2:30" x14ac:dyDescent="0.25">
      <c r="B136" s="40">
        <v>46447</v>
      </c>
      <c r="P136" s="35"/>
      <c r="AD136" s="35"/>
    </row>
    <row r="137" spans="2:30" x14ac:dyDescent="0.25">
      <c r="B137" s="40">
        <v>46478</v>
      </c>
      <c r="P137" s="35"/>
      <c r="AD137" s="35"/>
    </row>
    <row r="138" spans="2:30" x14ac:dyDescent="0.25">
      <c r="B138" s="40">
        <v>46508</v>
      </c>
      <c r="P138" s="35"/>
      <c r="AD138" s="35"/>
    </row>
    <row r="139" spans="2:30" x14ac:dyDescent="0.25">
      <c r="B139" s="40">
        <v>46539</v>
      </c>
      <c r="P139" s="35"/>
      <c r="AD139" s="35"/>
    </row>
    <row r="140" spans="2:30" x14ac:dyDescent="0.25">
      <c r="B140" s="40">
        <v>46569</v>
      </c>
      <c r="P140" s="35"/>
      <c r="AD140" s="35"/>
    </row>
    <row r="141" spans="2:30" x14ac:dyDescent="0.25">
      <c r="B141" s="40">
        <v>46600</v>
      </c>
      <c r="P141" s="35"/>
      <c r="AD141" s="35"/>
    </row>
    <row r="142" spans="2:30" x14ac:dyDescent="0.25">
      <c r="B142" s="40">
        <v>46631</v>
      </c>
      <c r="P142" s="35"/>
      <c r="AD142" s="35"/>
    </row>
    <row r="143" spans="2:30" x14ac:dyDescent="0.25">
      <c r="B143" s="40">
        <v>46661</v>
      </c>
      <c r="P143" s="35"/>
      <c r="AD143" s="35"/>
    </row>
    <row r="144" spans="2:30" x14ac:dyDescent="0.25">
      <c r="B144" s="40">
        <v>46692</v>
      </c>
      <c r="P144" s="35"/>
      <c r="AD144" s="35"/>
    </row>
    <row r="145" spans="2:30" x14ac:dyDescent="0.25">
      <c r="B145" s="40">
        <v>46722</v>
      </c>
      <c r="P145" s="35"/>
      <c r="AD145" s="35"/>
    </row>
    <row r="146" spans="2:30" x14ac:dyDescent="0.25">
      <c r="B146" s="40">
        <v>46753</v>
      </c>
      <c r="P146" s="35"/>
      <c r="AD146" s="35"/>
    </row>
    <row r="147" spans="2:30" x14ac:dyDescent="0.25">
      <c r="B147" s="40">
        <v>46784</v>
      </c>
      <c r="P147" s="35"/>
      <c r="AD147" s="35"/>
    </row>
    <row r="148" spans="2:30" x14ac:dyDescent="0.25">
      <c r="B148" s="40">
        <v>46813</v>
      </c>
      <c r="P148" s="35"/>
      <c r="AD148" s="35"/>
    </row>
    <row r="149" spans="2:30" x14ac:dyDescent="0.25">
      <c r="B149" s="40">
        <v>46844</v>
      </c>
      <c r="P149" s="35"/>
      <c r="AD149" s="35"/>
    </row>
    <row r="150" spans="2:30" x14ac:dyDescent="0.25">
      <c r="B150" s="40">
        <v>46874</v>
      </c>
      <c r="P150" s="35"/>
      <c r="AD150" s="35"/>
    </row>
    <row r="151" spans="2:30" x14ac:dyDescent="0.25">
      <c r="B151" s="40">
        <v>46905</v>
      </c>
      <c r="P151" s="35"/>
      <c r="AD151" s="35"/>
    </row>
    <row r="152" spans="2:30" x14ac:dyDescent="0.25">
      <c r="B152" s="40">
        <v>46935</v>
      </c>
      <c r="P152" s="35"/>
      <c r="AD152" s="35"/>
    </row>
    <row r="153" spans="2:30" x14ac:dyDescent="0.25">
      <c r="B153" s="40">
        <v>46966</v>
      </c>
      <c r="P153" s="35"/>
      <c r="AD153" s="35"/>
    </row>
    <row r="154" spans="2:30" x14ac:dyDescent="0.25">
      <c r="B154" s="40">
        <v>46997</v>
      </c>
      <c r="P154" s="35"/>
      <c r="AD154" s="35"/>
    </row>
    <row r="155" spans="2:30" x14ac:dyDescent="0.25">
      <c r="B155" s="40">
        <v>47027</v>
      </c>
      <c r="P155" s="35"/>
      <c r="AD155" s="35"/>
    </row>
    <row r="156" spans="2:30" x14ac:dyDescent="0.25">
      <c r="B156" s="40">
        <v>47058</v>
      </c>
      <c r="P156" s="35"/>
      <c r="AD156" s="35"/>
    </row>
    <row r="157" spans="2:30" x14ac:dyDescent="0.25">
      <c r="B157" s="40">
        <v>47088</v>
      </c>
      <c r="P157" s="35"/>
      <c r="AD157" s="35"/>
    </row>
    <row r="158" spans="2:30" x14ac:dyDescent="0.25">
      <c r="B158" s="40">
        <v>47119</v>
      </c>
      <c r="P158" s="35"/>
      <c r="AD158" s="35"/>
    </row>
    <row r="159" spans="2:30" x14ac:dyDescent="0.25">
      <c r="B159" s="40">
        <v>47150</v>
      </c>
      <c r="P159" s="35"/>
      <c r="AD159" s="35"/>
    </row>
    <row r="160" spans="2:30" x14ac:dyDescent="0.25">
      <c r="B160" s="40">
        <v>47178</v>
      </c>
      <c r="P160" s="35"/>
      <c r="AD160" s="35"/>
    </row>
    <row r="161" spans="2:30" x14ac:dyDescent="0.25">
      <c r="B161" s="40">
        <v>47209</v>
      </c>
      <c r="P161" s="35"/>
      <c r="AD161" s="35"/>
    </row>
    <row r="162" spans="2:30" x14ac:dyDescent="0.25">
      <c r="B162" s="40">
        <v>47239</v>
      </c>
      <c r="P162" s="35"/>
      <c r="AD162" s="35"/>
    </row>
    <row r="163" spans="2:30" x14ac:dyDescent="0.25">
      <c r="B163" s="40">
        <v>47270</v>
      </c>
      <c r="P163" s="35"/>
      <c r="AD163" s="35"/>
    </row>
    <row r="164" spans="2:30" x14ac:dyDescent="0.25">
      <c r="B164" s="40">
        <v>47300</v>
      </c>
      <c r="P164" s="35"/>
      <c r="AD164" s="35"/>
    </row>
    <row r="165" spans="2:30" x14ac:dyDescent="0.25">
      <c r="B165" s="40">
        <v>47331</v>
      </c>
      <c r="P165" s="35"/>
      <c r="AD165" s="35"/>
    </row>
    <row r="166" spans="2:30" x14ac:dyDescent="0.25">
      <c r="B166" s="40">
        <v>47362</v>
      </c>
      <c r="P166" s="35"/>
      <c r="AD166" s="35"/>
    </row>
    <row r="167" spans="2:30" x14ac:dyDescent="0.25">
      <c r="B167" s="40">
        <v>47392</v>
      </c>
      <c r="P167" s="35"/>
      <c r="AD167" s="35"/>
    </row>
    <row r="168" spans="2:30" x14ac:dyDescent="0.25">
      <c r="B168" s="40">
        <v>47423</v>
      </c>
      <c r="P168" s="35"/>
      <c r="AD168" s="35"/>
    </row>
    <row r="169" spans="2:30" x14ac:dyDescent="0.25">
      <c r="B169" s="40">
        <v>47453</v>
      </c>
      <c r="P169" s="35"/>
      <c r="AD169" s="35"/>
    </row>
    <row r="170" spans="2:30" x14ac:dyDescent="0.25">
      <c r="B170" s="40">
        <v>47484</v>
      </c>
      <c r="P170" s="35"/>
      <c r="AD170" s="35"/>
    </row>
    <row r="171" spans="2:30" x14ac:dyDescent="0.25">
      <c r="B171" s="40">
        <v>47515</v>
      </c>
      <c r="P171" s="35"/>
      <c r="AD171" s="35"/>
    </row>
    <row r="172" spans="2:30" x14ac:dyDescent="0.25">
      <c r="B172" s="40">
        <v>47543</v>
      </c>
      <c r="P172" s="35"/>
      <c r="AD172" s="35"/>
    </row>
    <row r="173" spans="2:30" x14ac:dyDescent="0.25">
      <c r="B173" s="40">
        <v>47574</v>
      </c>
      <c r="P173" s="35"/>
      <c r="AD173" s="35"/>
    </row>
    <row r="174" spans="2:30" x14ac:dyDescent="0.25">
      <c r="B174" s="40">
        <v>47604</v>
      </c>
      <c r="P174" s="35"/>
      <c r="AD174" s="35"/>
    </row>
    <row r="175" spans="2:30" x14ac:dyDescent="0.25">
      <c r="B175" s="40">
        <v>47635</v>
      </c>
      <c r="P175" s="35"/>
      <c r="AD175" s="35"/>
    </row>
    <row r="176" spans="2:30" x14ac:dyDescent="0.25">
      <c r="B176" s="40">
        <v>47665</v>
      </c>
      <c r="P176" s="35"/>
      <c r="AD176" s="35"/>
    </row>
    <row r="177" spans="2:30" x14ac:dyDescent="0.25">
      <c r="B177" s="40">
        <v>47696</v>
      </c>
      <c r="P177" s="35"/>
      <c r="AD177" s="35"/>
    </row>
    <row r="178" spans="2:30" x14ac:dyDescent="0.25">
      <c r="B178" s="40">
        <v>47727</v>
      </c>
      <c r="P178" s="35"/>
      <c r="AD178" s="35"/>
    </row>
    <row r="179" spans="2:30" x14ac:dyDescent="0.25">
      <c r="B179" s="40">
        <v>47757</v>
      </c>
      <c r="P179" s="35"/>
      <c r="AD179" s="35"/>
    </row>
    <row r="180" spans="2:30" x14ac:dyDescent="0.25">
      <c r="B180" s="40">
        <v>47788</v>
      </c>
      <c r="P180" s="35"/>
      <c r="AD180" s="35"/>
    </row>
    <row r="181" spans="2:30" x14ac:dyDescent="0.25">
      <c r="B181" s="40">
        <v>47818</v>
      </c>
      <c r="P181" s="35"/>
      <c r="AD181" s="35"/>
    </row>
    <row r="182" spans="2:30" x14ac:dyDescent="0.25">
      <c r="B182" s="40">
        <v>47849</v>
      </c>
      <c r="P182" s="35"/>
      <c r="AD182" s="35"/>
    </row>
    <row r="183" spans="2:30" x14ac:dyDescent="0.25">
      <c r="B183" s="40">
        <v>47880</v>
      </c>
      <c r="P183" s="35"/>
      <c r="AD183" s="35"/>
    </row>
    <row r="184" spans="2:30" x14ac:dyDescent="0.25">
      <c r="B184" s="40">
        <v>47908</v>
      </c>
      <c r="P184" s="35"/>
      <c r="AD184" s="35"/>
    </row>
    <row r="185" spans="2:30" x14ac:dyDescent="0.25">
      <c r="B185" s="40">
        <v>47939</v>
      </c>
      <c r="P185" s="35"/>
      <c r="AD185" s="35"/>
    </row>
    <row r="186" spans="2:30" x14ac:dyDescent="0.25">
      <c r="B186" s="40">
        <v>47969</v>
      </c>
      <c r="P186" s="35"/>
      <c r="AD186" s="35"/>
    </row>
    <row r="187" spans="2:30" x14ac:dyDescent="0.25">
      <c r="B187" s="40">
        <v>48000</v>
      </c>
      <c r="P187" s="35"/>
      <c r="AD187" s="35"/>
    </row>
    <row r="188" spans="2:30" x14ac:dyDescent="0.25">
      <c r="B188" s="40">
        <v>48030</v>
      </c>
      <c r="P188" s="35"/>
      <c r="AD188" s="35"/>
    </row>
    <row r="189" spans="2:30" x14ac:dyDescent="0.25">
      <c r="B189" s="40">
        <v>48061</v>
      </c>
      <c r="P189" s="35"/>
      <c r="AD189" s="35"/>
    </row>
    <row r="190" spans="2:30" x14ac:dyDescent="0.25">
      <c r="B190" s="40">
        <v>48092</v>
      </c>
      <c r="P190" s="35"/>
      <c r="AD190" s="35"/>
    </row>
    <row r="191" spans="2:30" x14ac:dyDescent="0.25">
      <c r="B191" s="40">
        <v>48122</v>
      </c>
      <c r="P191" s="35"/>
      <c r="AD191" s="35"/>
    </row>
    <row r="192" spans="2:30" x14ac:dyDescent="0.25">
      <c r="B192" s="40">
        <v>48153</v>
      </c>
      <c r="P192" s="35"/>
      <c r="AD192" s="35"/>
    </row>
    <row r="193" spans="2:30" x14ac:dyDescent="0.25">
      <c r="B193" s="40">
        <v>48183</v>
      </c>
      <c r="P193" s="35"/>
      <c r="AD193" s="35"/>
    </row>
    <row r="194" spans="2:30" x14ac:dyDescent="0.25">
      <c r="B194" s="40">
        <v>48214</v>
      </c>
      <c r="P194" s="35"/>
      <c r="AD194" s="35"/>
    </row>
    <row r="195" spans="2:30" x14ac:dyDescent="0.25">
      <c r="B195" s="40">
        <v>48245</v>
      </c>
      <c r="P195" s="35"/>
      <c r="AD195" s="35"/>
    </row>
    <row r="196" spans="2:30" x14ac:dyDescent="0.25">
      <c r="B196" s="40">
        <v>48274</v>
      </c>
      <c r="P196" s="35"/>
      <c r="AD196" s="35"/>
    </row>
    <row r="197" spans="2:30" x14ac:dyDescent="0.25">
      <c r="B197" s="40">
        <v>48305</v>
      </c>
      <c r="P197" s="35"/>
      <c r="AD197" s="35"/>
    </row>
    <row r="198" spans="2:30" x14ac:dyDescent="0.25">
      <c r="B198" s="40">
        <v>48335</v>
      </c>
      <c r="P198" s="35"/>
      <c r="AD198" s="35"/>
    </row>
    <row r="199" spans="2:30" x14ac:dyDescent="0.25">
      <c r="B199" s="40">
        <v>48366</v>
      </c>
      <c r="P199" s="35"/>
      <c r="AD199" s="35"/>
    </row>
    <row r="200" spans="2:30" x14ac:dyDescent="0.25">
      <c r="B200" s="40">
        <v>48396</v>
      </c>
      <c r="P200" s="35"/>
      <c r="AD200" s="35"/>
    </row>
    <row r="201" spans="2:30" x14ac:dyDescent="0.25">
      <c r="B201" s="40">
        <v>48427</v>
      </c>
      <c r="P201" s="35"/>
      <c r="AD201" s="35"/>
    </row>
    <row r="202" spans="2:30" x14ac:dyDescent="0.25">
      <c r="B202" s="40">
        <v>48458</v>
      </c>
      <c r="P202" s="35"/>
      <c r="AD202" s="35"/>
    </row>
    <row r="203" spans="2:30" x14ac:dyDescent="0.25">
      <c r="B203" s="40">
        <v>48488</v>
      </c>
      <c r="P203" s="35"/>
      <c r="AD203" s="35"/>
    </row>
    <row r="204" spans="2:30" x14ac:dyDescent="0.25">
      <c r="B204" s="40">
        <v>48519</v>
      </c>
      <c r="P204" s="35"/>
      <c r="AD204" s="35"/>
    </row>
    <row r="205" spans="2:30" x14ac:dyDescent="0.25">
      <c r="B205" s="40">
        <v>48549</v>
      </c>
      <c r="P205" s="35"/>
      <c r="AD205" s="35"/>
    </row>
    <row r="206" spans="2:30" x14ac:dyDescent="0.25">
      <c r="B206" s="40">
        <v>48580</v>
      </c>
      <c r="P206" s="35"/>
      <c r="AD206" s="35"/>
    </row>
    <row r="207" spans="2:30" x14ac:dyDescent="0.25">
      <c r="B207" s="40">
        <v>48611</v>
      </c>
      <c r="P207" s="35"/>
      <c r="AD207" s="35"/>
    </row>
    <row r="208" spans="2:30" x14ac:dyDescent="0.25">
      <c r="B208" s="40">
        <v>48639</v>
      </c>
      <c r="P208" s="35"/>
      <c r="AD208" s="35"/>
    </row>
    <row r="209" spans="2:30" x14ac:dyDescent="0.25">
      <c r="B209" s="40">
        <v>48670</v>
      </c>
      <c r="P209" s="35"/>
      <c r="AD209" s="35"/>
    </row>
    <row r="210" spans="2:30" x14ac:dyDescent="0.25">
      <c r="B210" s="40">
        <v>48700</v>
      </c>
      <c r="P210" s="35"/>
      <c r="AD210" s="35"/>
    </row>
    <row r="211" spans="2:30" x14ac:dyDescent="0.25">
      <c r="B211" s="40">
        <v>48731</v>
      </c>
      <c r="P211" s="35"/>
      <c r="AD211" s="35"/>
    </row>
    <row r="212" spans="2:30" x14ac:dyDescent="0.25">
      <c r="B212" s="40">
        <v>48761</v>
      </c>
      <c r="P212" s="35"/>
      <c r="AD212" s="35"/>
    </row>
    <row r="213" spans="2:30" x14ac:dyDescent="0.25">
      <c r="B213" s="40">
        <v>48792</v>
      </c>
      <c r="P213" s="35"/>
      <c r="AD213" s="35"/>
    </row>
    <row r="214" spans="2:30" x14ac:dyDescent="0.25">
      <c r="B214" s="40">
        <v>48823</v>
      </c>
      <c r="P214" s="35"/>
      <c r="AD214" s="35"/>
    </row>
    <row r="215" spans="2:30" x14ac:dyDescent="0.25">
      <c r="B215" s="40">
        <v>48853</v>
      </c>
      <c r="P215" s="35"/>
      <c r="AD215" s="35"/>
    </row>
    <row r="216" spans="2:30" x14ac:dyDescent="0.25">
      <c r="B216" s="40">
        <v>48884</v>
      </c>
      <c r="P216" s="35"/>
      <c r="AD216" s="35"/>
    </row>
    <row r="217" spans="2:30" x14ac:dyDescent="0.25">
      <c r="B217" s="40">
        <v>48914</v>
      </c>
      <c r="P217" s="35"/>
      <c r="AD217" s="35"/>
    </row>
    <row r="218" spans="2:30" x14ac:dyDescent="0.25">
      <c r="B218" s="40">
        <v>48945</v>
      </c>
      <c r="P218" s="35"/>
      <c r="AD218" s="35"/>
    </row>
    <row r="219" spans="2:30" x14ac:dyDescent="0.25">
      <c r="B219" s="40">
        <v>48976</v>
      </c>
      <c r="P219" s="35"/>
      <c r="AD219" s="35"/>
    </row>
    <row r="220" spans="2:30" x14ac:dyDescent="0.25">
      <c r="B220" s="40">
        <v>49004</v>
      </c>
      <c r="P220" s="35"/>
      <c r="AD220" s="35"/>
    </row>
    <row r="221" spans="2:30" x14ac:dyDescent="0.25">
      <c r="B221" s="40">
        <v>49035</v>
      </c>
      <c r="P221" s="35"/>
      <c r="AD221" s="35"/>
    </row>
    <row r="222" spans="2:30" x14ac:dyDescent="0.25">
      <c r="B222" s="40">
        <v>49065</v>
      </c>
      <c r="P222" s="35"/>
      <c r="AD222" s="35"/>
    </row>
    <row r="223" spans="2:30" x14ac:dyDescent="0.25">
      <c r="B223" s="40">
        <v>49096</v>
      </c>
      <c r="P223" s="35"/>
      <c r="AD223" s="35"/>
    </row>
    <row r="224" spans="2:30" x14ac:dyDescent="0.25">
      <c r="B224" s="40">
        <v>49126</v>
      </c>
      <c r="P224" s="35"/>
      <c r="AD224" s="35"/>
    </row>
    <row r="225" spans="2:30" x14ac:dyDescent="0.25">
      <c r="B225" s="40">
        <v>49157</v>
      </c>
      <c r="P225" s="35"/>
      <c r="AD225" s="35"/>
    </row>
    <row r="226" spans="2:30" x14ac:dyDescent="0.25">
      <c r="B226" s="40">
        <v>49188</v>
      </c>
      <c r="P226" s="35"/>
      <c r="AD226" s="35"/>
    </row>
    <row r="227" spans="2:30" x14ac:dyDescent="0.25">
      <c r="B227" s="40">
        <v>49218</v>
      </c>
      <c r="P227" s="35"/>
      <c r="AD227" s="35"/>
    </row>
    <row r="228" spans="2:30" x14ac:dyDescent="0.25">
      <c r="B228" s="40">
        <v>49249</v>
      </c>
      <c r="P228" s="35"/>
      <c r="AD228" s="35"/>
    </row>
    <row r="229" spans="2:30" x14ac:dyDescent="0.25">
      <c r="B229" s="40">
        <v>49279</v>
      </c>
      <c r="P229" s="35"/>
      <c r="AD229" s="35"/>
    </row>
    <row r="230" spans="2:30" x14ac:dyDescent="0.25">
      <c r="B230" s="40">
        <v>49310</v>
      </c>
      <c r="P230" s="35"/>
      <c r="AD230" s="35"/>
    </row>
    <row r="231" spans="2:30" x14ac:dyDescent="0.25">
      <c r="B231" s="40">
        <v>49341</v>
      </c>
      <c r="P231" s="35"/>
      <c r="AD231" s="35"/>
    </row>
    <row r="232" spans="2:30" x14ac:dyDescent="0.25">
      <c r="B232" s="40">
        <v>49369</v>
      </c>
      <c r="P232" s="35"/>
      <c r="AD232" s="35"/>
    </row>
    <row r="233" spans="2:30" x14ac:dyDescent="0.25">
      <c r="B233" s="40">
        <v>49400</v>
      </c>
      <c r="P233" s="35"/>
      <c r="AD233" s="35"/>
    </row>
    <row r="234" spans="2:30" x14ac:dyDescent="0.25">
      <c r="B234" s="40">
        <v>49430</v>
      </c>
      <c r="P234" s="35"/>
      <c r="AD234" s="35"/>
    </row>
    <row r="235" spans="2:30" x14ac:dyDescent="0.25">
      <c r="B235" s="40">
        <v>49461</v>
      </c>
      <c r="P235" s="35"/>
      <c r="AD235" s="3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2"/>
  <sheetViews>
    <sheetView workbookViewId="0">
      <selection activeCell="B14" sqref="B14"/>
    </sheetView>
  </sheetViews>
  <sheetFormatPr baseColWidth="10" defaultColWidth="11.5703125" defaultRowHeight="11.45" customHeight="1" x14ac:dyDescent="0.2"/>
  <cols>
    <col min="1" max="1" width="17.28515625" style="41" customWidth="1"/>
    <col min="2" max="2" width="14.42578125" style="42" customWidth="1"/>
    <col min="3" max="3" width="22.28515625" style="42" customWidth="1"/>
    <col min="4" max="4" width="9.28515625" style="42" bestFit="1" customWidth="1"/>
    <col min="5" max="5" width="11.5703125" style="42" customWidth="1"/>
    <col min="6" max="6" width="9.7109375" style="42" bestFit="1" customWidth="1"/>
    <col min="7" max="7" width="63.7109375" style="41" bestFit="1" customWidth="1"/>
    <col min="8" max="16384" width="11.5703125" style="41"/>
  </cols>
  <sheetData>
    <row r="1" spans="1:7" ht="12" x14ac:dyDescent="0.2">
      <c r="A1" s="43" t="s">
        <v>302</v>
      </c>
      <c r="B1" s="44" t="s">
        <v>303</v>
      </c>
      <c r="C1" s="44" t="s">
        <v>304</v>
      </c>
      <c r="D1" s="44" t="s">
        <v>305</v>
      </c>
      <c r="E1" s="44" t="s">
        <v>306</v>
      </c>
      <c r="F1" s="44" t="s">
        <v>307</v>
      </c>
      <c r="G1" s="44" t="s">
        <v>308</v>
      </c>
    </row>
    <row r="2" spans="1:7" ht="12" x14ac:dyDescent="0.2">
      <c r="A2" s="41" t="s">
        <v>331</v>
      </c>
      <c r="B2" s="45">
        <v>42588</v>
      </c>
      <c r="C2" s="42" t="s">
        <v>332</v>
      </c>
      <c r="D2" s="45">
        <v>42566</v>
      </c>
      <c r="E2" s="45">
        <v>42594</v>
      </c>
      <c r="F2" s="47">
        <v>5.4600000000000003E-2</v>
      </c>
      <c r="G2" s="41" t="s">
        <v>333</v>
      </c>
    </row>
    <row r="3" spans="1:7" ht="12" x14ac:dyDescent="0.2">
      <c r="A3" s="41" t="s">
        <v>334</v>
      </c>
      <c r="B3" s="45">
        <v>42614</v>
      </c>
      <c r="C3" s="42" t="s">
        <v>335</v>
      </c>
      <c r="D3" s="45">
        <v>42595</v>
      </c>
      <c r="E3" s="45">
        <v>42627</v>
      </c>
      <c r="F3" s="47">
        <v>5.4199999999999998E-2</v>
      </c>
      <c r="G3" s="41" t="s">
        <v>336</v>
      </c>
    </row>
    <row r="4" spans="1:7" ht="12" x14ac:dyDescent="0.2">
      <c r="A4" s="41" t="s">
        <v>337</v>
      </c>
      <c r="B4" s="45">
        <v>43018</v>
      </c>
      <c r="C4" s="42" t="s">
        <v>338</v>
      </c>
      <c r="D4" s="45">
        <v>42993</v>
      </c>
      <c r="E4" s="45">
        <v>43021</v>
      </c>
      <c r="F4" s="47">
        <v>4.1599999999999998E-2</v>
      </c>
      <c r="G4" s="41" t="s">
        <v>339</v>
      </c>
    </row>
    <row r="5" spans="1:7" ht="12" x14ac:dyDescent="0.2">
      <c r="A5" s="41" t="s">
        <v>340</v>
      </c>
      <c r="B5" s="45">
        <v>43018</v>
      </c>
      <c r="C5" s="42" t="s">
        <v>338</v>
      </c>
      <c r="D5" s="45">
        <v>42993</v>
      </c>
      <c r="E5" s="45">
        <v>43021</v>
      </c>
      <c r="F5" s="47">
        <v>4.1599999999999998E-2</v>
      </c>
      <c r="G5" s="41" t="s">
        <v>339</v>
      </c>
    </row>
    <row r="6" spans="1:7" ht="12" x14ac:dyDescent="0.2">
      <c r="A6" s="41" t="s">
        <v>341</v>
      </c>
      <c r="B6" s="45">
        <v>43183</v>
      </c>
      <c r="C6" s="42" t="s">
        <v>342</v>
      </c>
      <c r="D6" s="45">
        <v>43174</v>
      </c>
      <c r="E6" s="45">
        <v>43203</v>
      </c>
      <c r="F6" s="47">
        <v>4.2000000000000003E-2</v>
      </c>
      <c r="G6" s="41" t="s">
        <v>343</v>
      </c>
    </row>
    <row r="7" spans="1:7" ht="12" x14ac:dyDescent="0.2">
      <c r="A7" s="41" t="s">
        <v>344</v>
      </c>
      <c r="B7" s="45">
        <v>43371</v>
      </c>
      <c r="C7" s="42" t="s">
        <v>309</v>
      </c>
      <c r="D7" s="45">
        <v>43358</v>
      </c>
      <c r="E7" s="45">
        <v>43385</v>
      </c>
      <c r="F7" s="46">
        <v>4.3799999999999999E-2</v>
      </c>
      <c r="G7" s="41" t="s">
        <v>310</v>
      </c>
    </row>
    <row r="8" spans="1:7" ht="12" x14ac:dyDescent="0.2">
      <c r="A8" s="41" t="s">
        <v>345</v>
      </c>
      <c r="B8" s="45">
        <v>43591</v>
      </c>
      <c r="C8" s="42" t="s">
        <v>311</v>
      </c>
      <c r="D8" s="45">
        <v>43570</v>
      </c>
      <c r="E8" s="45">
        <v>43599</v>
      </c>
      <c r="F8" s="46">
        <v>4.4600000000000001E-2</v>
      </c>
      <c r="G8" s="41" t="s">
        <v>312</v>
      </c>
    </row>
    <row r="9" spans="1:7" ht="12" x14ac:dyDescent="0.2">
      <c r="A9" s="41" t="s">
        <v>346</v>
      </c>
      <c r="B9" s="45">
        <v>44137</v>
      </c>
      <c r="C9" s="42" t="s">
        <v>313</v>
      </c>
      <c r="D9" s="45">
        <v>44119</v>
      </c>
      <c r="E9" s="45">
        <v>44148</v>
      </c>
      <c r="F9" s="47">
        <v>3.61E-2</v>
      </c>
      <c r="G9" s="41" t="s">
        <v>314</v>
      </c>
    </row>
    <row r="10" spans="1:7" ht="12" x14ac:dyDescent="0.2">
      <c r="A10" s="41" t="s">
        <v>347</v>
      </c>
      <c r="B10" s="45">
        <v>44275</v>
      </c>
      <c r="C10" s="42" t="s">
        <v>315</v>
      </c>
      <c r="D10" s="45">
        <v>44270</v>
      </c>
      <c r="E10" s="45">
        <v>44300</v>
      </c>
      <c r="F10" s="47">
        <v>3.9100000000000003E-2</v>
      </c>
      <c r="G10" s="41" t="s">
        <v>316</v>
      </c>
    </row>
    <row r="11" spans="1:7" ht="11.45" customHeight="1" x14ac:dyDescent="0.2">
      <c r="A11" s="41" t="s">
        <v>348</v>
      </c>
      <c r="B11" s="45">
        <v>44336</v>
      </c>
      <c r="C11" s="42" t="s">
        <v>317</v>
      </c>
      <c r="D11" s="45">
        <v>44330</v>
      </c>
      <c r="F11" s="47">
        <v>3.2800000000000003E-2</v>
      </c>
      <c r="G11" s="41" t="s">
        <v>318</v>
      </c>
    </row>
    <row r="13" spans="1:7" ht="11.45" customHeight="1" x14ac:dyDescent="0.2">
      <c r="A13" s="41" t="s">
        <v>300</v>
      </c>
    </row>
    <row r="14" spans="1:7" ht="12" x14ac:dyDescent="0.2">
      <c r="A14" s="41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README</vt:lpstr>
      <vt:lpstr>MAPA_DATA</vt:lpstr>
      <vt:lpstr>ReliquidacionEFACT</vt:lpstr>
      <vt:lpstr>ReliquidacionCEN</vt:lpstr>
      <vt:lpstr>FACT_EMITIDA</vt:lpstr>
      <vt:lpstr>SIGGE_E</vt:lpstr>
      <vt:lpstr>SIGGE_P</vt:lpstr>
      <vt:lpstr>EFACT_CNE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2021-07-23T04:44:23Z</dcterms:modified>
</cp:coreProperties>
</file>