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Templates\"/>
    </mc:Choice>
  </mc:AlternateContent>
  <xr:revisionPtr revIDLastSave="0" documentId="13_ncr:1_{4C507C33-6DCF-4A5F-A96D-7D03A9DC52C8}" xr6:coauthVersionLast="47" xr6:coauthVersionMax="47" xr10:uidLastSave="{00000000-0000-0000-0000-000000000000}"/>
  <bookViews>
    <workbookView xWindow="-120" yWindow="-120" windowWidth="29040" windowHeight="15840" tabRatio="793" activeTab="3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ResumenRetiros" sheetId="22" r:id="rId5"/>
    <sheet name="FACT_EMITIDA" sheetId="2" r:id="rId6"/>
    <sheet name="SIGGE_E" sheetId="14" r:id="rId7"/>
    <sheet name="SIGGE_P" sheetId="15" r:id="rId8"/>
    <sheet name="FACT_EST_EFACT" sheetId="6" r:id="rId9"/>
    <sheet name="FactRealE" sheetId="23" r:id="rId10"/>
    <sheet name="FactRealP" sheetId="24" r:id="rId11"/>
    <sheet name="CEN_Energia" sheetId="11" r:id="rId12"/>
    <sheet name="CEN_Potencia" sheetId="21" r:id="rId13"/>
    <sheet name="EFACT_CNE" sheetId="1" r:id="rId14"/>
    <sheet name="EFACT_EST_CEN" sheetId="13" r:id="rId15"/>
    <sheet name="SIN_DATA" sheetId="16" r:id="rId16"/>
    <sheet name="INTERESES" sheetId="17" r:id="rId17"/>
  </sheets>
  <definedNames>
    <definedName name="_xlnm._FilterDatabase" localSheetId="13" hidden="1">EFACT_CNE!$A$1:$Y$415</definedName>
    <definedName name="_xlnm._FilterDatabase" localSheetId="5" hidden="1">FACT_EMITIDA!$A$1:$U$604</definedName>
    <definedName name="_xlnm._FilterDatabase" localSheetId="8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7" l="1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H65" i="7"/>
  <c r="G65" i="7"/>
  <c r="E65" i="7"/>
  <c r="D65" i="7"/>
  <c r="H64" i="7"/>
  <c r="G64" i="7"/>
  <c r="E64" i="7"/>
  <c r="D64" i="7"/>
  <c r="H63" i="7"/>
  <c r="G63" i="7"/>
  <c r="E63" i="7"/>
  <c r="D63" i="7"/>
  <c r="H62" i="7"/>
  <c r="G62" i="7"/>
  <c r="E62" i="7"/>
  <c r="D62" i="7"/>
  <c r="H61" i="7"/>
  <c r="G61" i="7"/>
  <c r="E61" i="7"/>
  <c r="D61" i="7"/>
  <c r="H60" i="7"/>
  <c r="G60" i="7"/>
  <c r="E60" i="7"/>
  <c r="D60" i="7"/>
  <c r="H59" i="7"/>
  <c r="G59" i="7"/>
  <c r="E59" i="7"/>
  <c r="D59" i="7"/>
  <c r="H58" i="7"/>
  <c r="G58" i="7"/>
  <c r="E58" i="7"/>
  <c r="D58" i="7"/>
  <c r="H57" i="7"/>
  <c r="G57" i="7"/>
  <c r="E57" i="7"/>
  <c r="D57" i="7"/>
  <c r="H56" i="7"/>
  <c r="G56" i="7"/>
  <c r="E56" i="7"/>
  <c r="D56" i="7"/>
  <c r="H55" i="7"/>
  <c r="G55" i="7"/>
  <c r="E55" i="7"/>
  <c r="D55" i="7"/>
  <c r="H54" i="7"/>
  <c r="G54" i="7"/>
  <c r="E54" i="7"/>
  <c r="D54" i="7"/>
  <c r="H53" i="7"/>
  <c r="G53" i="7"/>
  <c r="E53" i="7"/>
  <c r="D53" i="7"/>
  <c r="H52" i="7"/>
  <c r="E52" i="7"/>
  <c r="D52" i="7"/>
  <c r="H51" i="7"/>
  <c r="E51" i="7"/>
  <c r="D51" i="7"/>
  <c r="H50" i="7"/>
  <c r="E50" i="7"/>
  <c r="D50" i="7"/>
  <c r="H49" i="7"/>
  <c r="E49" i="7"/>
  <c r="D49" i="7"/>
  <c r="H48" i="7"/>
  <c r="E48" i="7"/>
  <c r="D48" i="7"/>
  <c r="H47" i="7"/>
  <c r="E47" i="7"/>
  <c r="D47" i="7"/>
  <c r="H46" i="7"/>
  <c r="E46" i="7"/>
  <c r="D46" i="7"/>
  <c r="H45" i="7"/>
  <c r="E45" i="7"/>
  <c r="D45" i="7"/>
  <c r="H44" i="7"/>
  <c r="E44" i="7"/>
  <c r="D44" i="7"/>
  <c r="H43" i="7"/>
  <c r="E43" i="7"/>
  <c r="D43" i="7"/>
  <c r="H42" i="7"/>
  <c r="E42" i="7"/>
  <c r="D42" i="7"/>
  <c r="H41" i="7"/>
  <c r="E41" i="7"/>
  <c r="D41" i="7"/>
  <c r="H40" i="7"/>
  <c r="E40" i="7"/>
  <c r="D40" i="7"/>
  <c r="H39" i="7"/>
  <c r="E39" i="7"/>
  <c r="D39" i="7"/>
  <c r="H38" i="7"/>
  <c r="E38" i="7"/>
  <c r="D38" i="7"/>
  <c r="H37" i="7"/>
  <c r="E37" i="7"/>
  <c r="D37" i="7"/>
  <c r="H36" i="7"/>
  <c r="E36" i="7"/>
  <c r="D36" i="7"/>
  <c r="H35" i="7"/>
  <c r="E35" i="7"/>
  <c r="D35" i="7"/>
  <c r="H34" i="7"/>
  <c r="E34" i="7"/>
  <c r="D34" i="7"/>
  <c r="H33" i="7"/>
  <c r="E33" i="7"/>
  <c r="D33" i="7"/>
  <c r="H32" i="7"/>
  <c r="E32" i="7"/>
  <c r="D32" i="7"/>
  <c r="H31" i="7"/>
  <c r="E31" i="7"/>
  <c r="D31" i="7"/>
  <c r="H30" i="7"/>
  <c r="E30" i="7"/>
  <c r="D30" i="7"/>
  <c r="H29" i="7"/>
  <c r="E29" i="7"/>
  <c r="D29" i="7"/>
  <c r="H28" i="7"/>
  <c r="E28" i="7"/>
  <c r="D28" i="7"/>
  <c r="H27" i="7"/>
  <c r="E27" i="7"/>
  <c r="D27" i="7"/>
  <c r="H26" i="7"/>
  <c r="E26" i="7"/>
  <c r="D26" i="7"/>
  <c r="H25" i="7"/>
  <c r="E25" i="7"/>
  <c r="D25" i="7"/>
  <c r="H24" i="7"/>
  <c r="E24" i="7"/>
  <c r="D24" i="7"/>
  <c r="H23" i="7"/>
  <c r="E23" i="7"/>
  <c r="D23" i="7"/>
  <c r="H22" i="7"/>
  <c r="E22" i="7"/>
  <c r="D22" i="7"/>
  <c r="H21" i="7"/>
  <c r="E21" i="7"/>
  <c r="D21" i="7"/>
  <c r="H20" i="7"/>
  <c r="E20" i="7"/>
  <c r="D20" i="7"/>
  <c r="H19" i="7"/>
  <c r="E19" i="7"/>
  <c r="D19" i="7"/>
  <c r="H18" i="7"/>
  <c r="E18" i="7"/>
  <c r="D18" i="7"/>
  <c r="H17" i="7"/>
  <c r="E17" i="7"/>
  <c r="D17" i="7"/>
  <c r="H16" i="7"/>
  <c r="E16" i="7"/>
  <c r="D16" i="7"/>
  <c r="H15" i="7"/>
  <c r="E15" i="7"/>
  <c r="D15" i="7"/>
  <c r="H14" i="7"/>
  <c r="E14" i="7"/>
  <c r="D14" i="7"/>
  <c r="H13" i="7"/>
  <c r="E13" i="7"/>
  <c r="D13" i="7"/>
  <c r="H12" i="7"/>
  <c r="E12" i="7"/>
  <c r="D12" i="7"/>
  <c r="H11" i="7"/>
  <c r="E11" i="7"/>
  <c r="D11" i="7"/>
  <c r="H10" i="7"/>
  <c r="E10" i="7"/>
  <c r="D10" i="7"/>
  <c r="H9" i="7"/>
  <c r="E9" i="7"/>
  <c r="D9" i="7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9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H66" i="22" l="1"/>
  <c r="G66" i="22"/>
  <c r="F66" i="22"/>
  <c r="E66" i="22"/>
  <c r="D66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9" i="22"/>
  <c r="G65" i="22"/>
  <c r="F65" i="22"/>
  <c r="E65" i="22"/>
  <c r="D65" i="22"/>
  <c r="G64" i="22"/>
  <c r="F64" i="22"/>
  <c r="E64" i="22"/>
  <c r="D64" i="22"/>
  <c r="G63" i="22"/>
  <c r="F63" i="22"/>
  <c r="E63" i="22"/>
  <c r="D63" i="22"/>
  <c r="G62" i="22"/>
  <c r="F62" i="22"/>
  <c r="E62" i="22"/>
  <c r="D62" i="22"/>
  <c r="G61" i="22"/>
  <c r="F61" i="22"/>
  <c r="E61" i="22"/>
  <c r="D61" i="22"/>
  <c r="G60" i="22"/>
  <c r="F60" i="22"/>
  <c r="E60" i="22"/>
  <c r="D60" i="22"/>
  <c r="G59" i="22"/>
  <c r="F59" i="22"/>
  <c r="E59" i="22"/>
  <c r="D59" i="22"/>
  <c r="G58" i="22"/>
  <c r="F58" i="22"/>
  <c r="E58" i="22"/>
  <c r="D58" i="22"/>
  <c r="G57" i="22"/>
  <c r="F57" i="22"/>
  <c r="E57" i="22"/>
  <c r="D57" i="22"/>
  <c r="G56" i="22"/>
  <c r="F56" i="22"/>
  <c r="E56" i="22"/>
  <c r="D56" i="22"/>
  <c r="G55" i="22"/>
  <c r="F55" i="22"/>
  <c r="E55" i="22"/>
  <c r="D55" i="22"/>
  <c r="G54" i="22"/>
  <c r="F54" i="22"/>
  <c r="E54" i="22"/>
  <c r="D54" i="22"/>
  <c r="G53" i="22"/>
  <c r="F53" i="22"/>
  <c r="E53" i="22"/>
  <c r="D53" i="22"/>
  <c r="G52" i="22"/>
  <c r="F52" i="22"/>
  <c r="E52" i="22"/>
  <c r="D52" i="22"/>
  <c r="G51" i="22"/>
  <c r="F51" i="22"/>
  <c r="E51" i="22"/>
  <c r="D51" i="22"/>
  <c r="G50" i="22"/>
  <c r="F50" i="22"/>
  <c r="E50" i="22"/>
  <c r="D50" i="22"/>
  <c r="G49" i="22"/>
  <c r="F49" i="22"/>
  <c r="E49" i="22"/>
  <c r="D49" i="22"/>
  <c r="G48" i="22"/>
  <c r="F48" i="22"/>
  <c r="E48" i="22"/>
  <c r="D48" i="22"/>
  <c r="G47" i="22"/>
  <c r="F47" i="22"/>
  <c r="E47" i="22"/>
  <c r="D47" i="22"/>
  <c r="G46" i="22"/>
  <c r="F46" i="22"/>
  <c r="E46" i="22"/>
  <c r="D46" i="22"/>
  <c r="G45" i="22"/>
  <c r="F45" i="22"/>
  <c r="E45" i="22"/>
  <c r="D45" i="22"/>
  <c r="G44" i="22"/>
  <c r="F44" i="22"/>
  <c r="E44" i="22"/>
  <c r="D44" i="22"/>
  <c r="G43" i="22"/>
  <c r="F43" i="22"/>
  <c r="E43" i="22"/>
  <c r="D43" i="22"/>
  <c r="G42" i="22"/>
  <c r="F42" i="22"/>
  <c r="E42" i="22"/>
  <c r="D42" i="22"/>
  <c r="G41" i="22"/>
  <c r="F41" i="22"/>
  <c r="E41" i="22"/>
  <c r="D41" i="22"/>
  <c r="G40" i="22"/>
  <c r="F40" i="22"/>
  <c r="E40" i="22"/>
  <c r="D40" i="22"/>
  <c r="G39" i="22"/>
  <c r="F39" i="22"/>
  <c r="E39" i="22"/>
  <c r="D39" i="22"/>
  <c r="G38" i="22"/>
  <c r="F38" i="22"/>
  <c r="E38" i="22"/>
  <c r="D38" i="22"/>
  <c r="G37" i="22"/>
  <c r="F37" i="22"/>
  <c r="E37" i="22"/>
  <c r="D37" i="22"/>
  <c r="G36" i="22"/>
  <c r="F36" i="22"/>
  <c r="E36" i="22"/>
  <c r="D36" i="22"/>
  <c r="G35" i="22"/>
  <c r="F35" i="22"/>
  <c r="E35" i="22"/>
  <c r="D35" i="22"/>
  <c r="G34" i="22"/>
  <c r="F34" i="22"/>
  <c r="E34" i="22"/>
  <c r="D34" i="22"/>
  <c r="G33" i="22"/>
  <c r="F33" i="22"/>
  <c r="E33" i="22"/>
  <c r="D33" i="22"/>
  <c r="G32" i="22"/>
  <c r="F32" i="22"/>
  <c r="E32" i="22"/>
  <c r="D32" i="22"/>
  <c r="G31" i="22"/>
  <c r="F31" i="22"/>
  <c r="E31" i="22"/>
  <c r="D31" i="22"/>
  <c r="G30" i="22"/>
  <c r="F30" i="22"/>
  <c r="E30" i="22"/>
  <c r="D30" i="22"/>
  <c r="G29" i="22"/>
  <c r="F29" i="22"/>
  <c r="E29" i="22"/>
  <c r="D29" i="22"/>
  <c r="G28" i="22"/>
  <c r="F28" i="22"/>
  <c r="E28" i="22"/>
  <c r="D28" i="22"/>
  <c r="G27" i="22"/>
  <c r="F27" i="22"/>
  <c r="E27" i="22"/>
  <c r="D27" i="22"/>
  <c r="G26" i="22"/>
  <c r="F26" i="22"/>
  <c r="E26" i="22"/>
  <c r="D26" i="22"/>
  <c r="G25" i="22"/>
  <c r="F25" i="22"/>
  <c r="E25" i="22"/>
  <c r="D25" i="22"/>
  <c r="G24" i="22"/>
  <c r="F24" i="22"/>
  <c r="E24" i="22"/>
  <c r="D24" i="22"/>
  <c r="G23" i="22"/>
  <c r="F23" i="22"/>
  <c r="E23" i="22"/>
  <c r="D23" i="22"/>
  <c r="G22" i="22"/>
  <c r="F22" i="22"/>
  <c r="E22" i="22"/>
  <c r="D22" i="22"/>
  <c r="G21" i="22"/>
  <c r="F21" i="22"/>
  <c r="E21" i="22"/>
  <c r="D21" i="22"/>
  <c r="G20" i="22"/>
  <c r="F20" i="22"/>
  <c r="E20" i="22"/>
  <c r="D20" i="22"/>
  <c r="G19" i="22"/>
  <c r="F19" i="22"/>
  <c r="E19" i="22"/>
  <c r="D19" i="22"/>
  <c r="G18" i="22"/>
  <c r="F18" i="22"/>
  <c r="E18" i="22"/>
  <c r="D18" i="22"/>
  <c r="G17" i="22"/>
  <c r="F17" i="22"/>
  <c r="E17" i="22"/>
  <c r="D17" i="22"/>
  <c r="G16" i="22"/>
  <c r="F16" i="22"/>
  <c r="E16" i="22"/>
  <c r="D16" i="22"/>
  <c r="G15" i="22"/>
  <c r="F15" i="22"/>
  <c r="E15" i="22"/>
  <c r="D15" i="22"/>
  <c r="G14" i="22"/>
  <c r="F14" i="22"/>
  <c r="E14" i="22"/>
  <c r="D14" i="22"/>
  <c r="G13" i="22"/>
  <c r="F13" i="22"/>
  <c r="E13" i="22"/>
  <c r="D13" i="22"/>
  <c r="G12" i="22"/>
  <c r="F12" i="22"/>
  <c r="E12" i="22"/>
  <c r="D12" i="22"/>
  <c r="G11" i="22"/>
  <c r="F11" i="22"/>
  <c r="E11" i="22"/>
  <c r="D11" i="22"/>
  <c r="G10" i="22"/>
  <c r="F10" i="22"/>
  <c r="E10" i="22"/>
  <c r="D10" i="22"/>
  <c r="G9" i="22"/>
  <c r="F9" i="22"/>
  <c r="E9" i="22"/>
  <c r="D9" i="22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M9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Q65" i="19" l="1"/>
  <c r="P65" i="19"/>
  <c r="N65" i="19"/>
  <c r="M65" i="19"/>
  <c r="H65" i="19"/>
  <c r="G65" i="19"/>
  <c r="E65" i="19"/>
  <c r="Q64" i="19"/>
  <c r="P64" i="19"/>
  <c r="N64" i="19"/>
  <c r="M64" i="19"/>
  <c r="H64" i="19"/>
  <c r="G64" i="19"/>
  <c r="E64" i="19"/>
  <c r="Q63" i="19"/>
  <c r="P63" i="19"/>
  <c r="N63" i="19"/>
  <c r="M63" i="19"/>
  <c r="H63" i="19"/>
  <c r="G63" i="19"/>
  <c r="E63" i="19"/>
  <c r="Q62" i="19"/>
  <c r="P62" i="19"/>
  <c r="N62" i="19"/>
  <c r="M62" i="19"/>
  <c r="H62" i="19"/>
  <c r="G62" i="19"/>
  <c r="E62" i="19"/>
  <c r="Q61" i="19"/>
  <c r="P61" i="19"/>
  <c r="N61" i="19"/>
  <c r="M61" i="19"/>
  <c r="H61" i="19"/>
  <c r="G61" i="19"/>
  <c r="E61" i="19"/>
  <c r="Q60" i="19"/>
  <c r="P60" i="19"/>
  <c r="N60" i="19"/>
  <c r="M60" i="19"/>
  <c r="H60" i="19"/>
  <c r="G60" i="19"/>
  <c r="E60" i="19"/>
  <c r="Q59" i="19"/>
  <c r="P59" i="19"/>
  <c r="N59" i="19"/>
  <c r="M59" i="19"/>
  <c r="H59" i="19"/>
  <c r="G59" i="19"/>
  <c r="E59" i="19"/>
  <c r="Q58" i="19"/>
  <c r="P58" i="19"/>
  <c r="N58" i="19"/>
  <c r="M58" i="19"/>
  <c r="H58" i="19"/>
  <c r="G58" i="19"/>
  <c r="E58" i="19"/>
  <c r="Q57" i="19"/>
  <c r="P57" i="19"/>
  <c r="N57" i="19"/>
  <c r="M57" i="19"/>
  <c r="H57" i="19"/>
  <c r="G57" i="19"/>
  <c r="E57" i="19"/>
  <c r="Q56" i="19"/>
  <c r="P56" i="19"/>
  <c r="N56" i="19"/>
  <c r="M56" i="19"/>
  <c r="H56" i="19"/>
  <c r="G56" i="19"/>
  <c r="E56" i="19"/>
  <c r="Q55" i="19"/>
  <c r="P55" i="19"/>
  <c r="N55" i="19"/>
  <c r="M55" i="19"/>
  <c r="H55" i="19"/>
  <c r="G55" i="19"/>
  <c r="E55" i="19"/>
  <c r="Q54" i="19"/>
  <c r="P54" i="19"/>
  <c r="N54" i="19"/>
  <c r="M54" i="19"/>
  <c r="H54" i="19"/>
  <c r="G54" i="19"/>
  <c r="E54" i="19"/>
  <c r="Q53" i="19"/>
  <c r="P53" i="19"/>
  <c r="N53" i="19"/>
  <c r="M53" i="19"/>
  <c r="H53" i="19"/>
  <c r="G53" i="19"/>
  <c r="E53" i="19"/>
  <c r="Q52" i="19"/>
  <c r="P52" i="19"/>
  <c r="N52" i="19"/>
  <c r="M52" i="19"/>
  <c r="Q51" i="19"/>
  <c r="P51" i="19"/>
  <c r="N51" i="19"/>
  <c r="M51" i="19"/>
  <c r="Q50" i="19"/>
  <c r="P50" i="19"/>
  <c r="N50" i="19"/>
  <c r="M50" i="19"/>
  <c r="Q49" i="19"/>
  <c r="P49" i="19"/>
  <c r="N49" i="19"/>
  <c r="M49" i="19"/>
  <c r="Q48" i="19"/>
  <c r="P48" i="19"/>
  <c r="N48" i="19"/>
  <c r="M48" i="19"/>
  <c r="Q47" i="19"/>
  <c r="P47" i="19"/>
  <c r="N47" i="19"/>
  <c r="M47" i="19"/>
  <c r="Q46" i="19"/>
  <c r="P46" i="19"/>
  <c r="N46" i="19"/>
  <c r="M46" i="19"/>
  <c r="Q45" i="19"/>
  <c r="P45" i="19"/>
  <c r="N45" i="19"/>
  <c r="M45" i="19"/>
  <c r="Q44" i="19"/>
  <c r="P44" i="19"/>
  <c r="N44" i="19"/>
  <c r="M44" i="19"/>
  <c r="Q43" i="19"/>
  <c r="P43" i="19"/>
  <c r="N43" i="19"/>
  <c r="M43" i="19"/>
  <c r="Q42" i="19"/>
  <c r="P42" i="19"/>
  <c r="N42" i="19"/>
  <c r="M42" i="19"/>
  <c r="Q41" i="19"/>
  <c r="P41" i="19"/>
  <c r="N41" i="19"/>
  <c r="M41" i="19"/>
  <c r="Q40" i="19"/>
  <c r="P40" i="19"/>
  <c r="N40" i="19"/>
  <c r="M40" i="19"/>
  <c r="Q39" i="19"/>
  <c r="P39" i="19"/>
  <c r="N39" i="19"/>
  <c r="M39" i="19"/>
  <c r="Q38" i="19"/>
  <c r="P38" i="19"/>
  <c r="N38" i="19"/>
  <c r="M38" i="19"/>
  <c r="Q37" i="19"/>
  <c r="P37" i="19"/>
  <c r="N37" i="19"/>
  <c r="M37" i="19"/>
  <c r="Q36" i="19"/>
  <c r="P36" i="19"/>
  <c r="N36" i="19"/>
  <c r="M36" i="19"/>
  <c r="Q35" i="19"/>
  <c r="P35" i="19"/>
  <c r="N35" i="19"/>
  <c r="M35" i="19"/>
  <c r="Q34" i="19"/>
  <c r="P34" i="19"/>
  <c r="N34" i="19"/>
  <c r="M34" i="19"/>
  <c r="Q33" i="19"/>
  <c r="P33" i="19"/>
  <c r="N33" i="19"/>
  <c r="M33" i="19"/>
  <c r="Q32" i="19"/>
  <c r="P32" i="19"/>
  <c r="N32" i="19"/>
  <c r="M32" i="19"/>
  <c r="Q31" i="19"/>
  <c r="P31" i="19"/>
  <c r="N31" i="19"/>
  <c r="M31" i="19"/>
  <c r="Q30" i="19"/>
  <c r="P30" i="19"/>
  <c r="N30" i="19"/>
  <c r="M30" i="19"/>
  <c r="Q29" i="19"/>
  <c r="P29" i="19"/>
  <c r="N29" i="19"/>
  <c r="M29" i="19"/>
  <c r="Q28" i="19"/>
  <c r="P28" i="19"/>
  <c r="N28" i="19"/>
  <c r="M28" i="19"/>
  <c r="Q27" i="19"/>
  <c r="P27" i="19"/>
  <c r="N27" i="19"/>
  <c r="M27" i="19"/>
  <c r="Q26" i="19"/>
  <c r="P26" i="19"/>
  <c r="N26" i="19"/>
  <c r="M26" i="19"/>
  <c r="Q25" i="19"/>
  <c r="P25" i="19"/>
  <c r="N25" i="19"/>
  <c r="M25" i="19"/>
  <c r="Q24" i="19"/>
  <c r="P24" i="19"/>
  <c r="N24" i="19"/>
  <c r="M24" i="19"/>
  <c r="Q23" i="19"/>
  <c r="P23" i="19"/>
  <c r="N23" i="19"/>
  <c r="M23" i="19"/>
  <c r="Q22" i="19"/>
  <c r="P22" i="19"/>
  <c r="N22" i="19"/>
  <c r="M22" i="19"/>
  <c r="Q21" i="19"/>
  <c r="P21" i="19"/>
  <c r="N21" i="19"/>
  <c r="M21" i="19"/>
  <c r="Q20" i="19"/>
  <c r="P20" i="19"/>
  <c r="N20" i="19"/>
  <c r="M20" i="19"/>
  <c r="Q19" i="19"/>
  <c r="P19" i="19"/>
  <c r="N19" i="19"/>
  <c r="M19" i="19"/>
  <c r="Q18" i="19"/>
  <c r="P18" i="19"/>
  <c r="N18" i="19"/>
  <c r="M18" i="19"/>
  <c r="Q17" i="19"/>
  <c r="P17" i="19"/>
  <c r="N17" i="19"/>
  <c r="M17" i="19"/>
  <c r="Q16" i="19"/>
  <c r="P16" i="19"/>
  <c r="N16" i="19"/>
  <c r="M16" i="19"/>
  <c r="Q15" i="19"/>
  <c r="P15" i="19"/>
  <c r="N15" i="19"/>
  <c r="M15" i="19"/>
  <c r="Q14" i="19"/>
  <c r="P14" i="19"/>
  <c r="N14" i="19"/>
  <c r="M14" i="19"/>
  <c r="Q13" i="19"/>
  <c r="P13" i="19"/>
  <c r="N13" i="19"/>
  <c r="M13" i="19"/>
  <c r="Q12" i="19"/>
  <c r="P12" i="19"/>
  <c r="N12" i="19"/>
  <c r="M12" i="19"/>
  <c r="Q11" i="19"/>
  <c r="P11" i="19"/>
  <c r="N11" i="19"/>
  <c r="M11" i="19"/>
  <c r="Q10" i="19"/>
  <c r="P10" i="19"/>
  <c r="N10" i="19"/>
  <c r="M10" i="19"/>
  <c r="Q9" i="19"/>
  <c r="P9" i="19"/>
  <c r="N9" i="19"/>
  <c r="M9" i="19"/>
  <c r="AE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A12" i="19"/>
  <c r="S12" i="19" s="1"/>
  <c r="R11" i="19"/>
  <c r="L11" i="19"/>
  <c r="I11" i="19"/>
  <c r="A11" i="19"/>
  <c r="AE11" i="19" s="1"/>
  <c r="AE10" i="19"/>
  <c r="AD10" i="19"/>
  <c r="AB10" i="19"/>
  <c r="AA10" i="19"/>
  <c r="AA11" i="19" s="1"/>
  <c r="AA12" i="19" s="1"/>
  <c r="AA13" i="19" s="1"/>
  <c r="AA14" i="19" s="1"/>
  <c r="AA15" i="19" s="1"/>
  <c r="AA16" i="19" s="1"/>
  <c r="AA17" i="19" s="1"/>
  <c r="AA18" i="19" s="1"/>
  <c r="AA19" i="19" s="1"/>
  <c r="AA20" i="19" s="1"/>
  <c r="AA21" i="19" s="1"/>
  <c r="AA22" i="19" s="1"/>
  <c r="AA23" i="19" s="1"/>
  <c r="AA24" i="19" s="1"/>
  <c r="AA25" i="19" s="1"/>
  <c r="AA26" i="19" s="1"/>
  <c r="AA27" i="19" s="1"/>
  <c r="AA28" i="19" s="1"/>
  <c r="AA29" i="19" s="1"/>
  <c r="AA30" i="19" s="1"/>
  <c r="AA31" i="19" s="1"/>
  <c r="AA32" i="19" s="1"/>
  <c r="AA33" i="19" s="1"/>
  <c r="AA34" i="19" s="1"/>
  <c r="AA35" i="19" s="1"/>
  <c r="AA36" i="19" s="1"/>
  <c r="AA37" i="19" s="1"/>
  <c r="AA38" i="19" s="1"/>
  <c r="AA39" i="19" s="1"/>
  <c r="AA40" i="19" s="1"/>
  <c r="AA41" i="19" s="1"/>
  <c r="AA42" i="19" s="1"/>
  <c r="AA43" i="19" s="1"/>
  <c r="AA44" i="19" s="1"/>
  <c r="AA45" i="19" s="1"/>
  <c r="AA46" i="19" s="1"/>
  <c r="AA47" i="19" s="1"/>
  <c r="AA48" i="19" s="1"/>
  <c r="AA49" i="19" s="1"/>
  <c r="AA50" i="19" s="1"/>
  <c r="AA51" i="19" s="1"/>
  <c r="AA52" i="19" s="1"/>
  <c r="AA53" i="19" s="1"/>
  <c r="AA54" i="19" s="1"/>
  <c r="AA55" i="19" s="1"/>
  <c r="AA56" i="19" s="1"/>
  <c r="AA57" i="19" s="1"/>
  <c r="AA58" i="19" s="1"/>
  <c r="AA59" i="19" s="1"/>
  <c r="AA60" i="19" s="1"/>
  <c r="AA61" i="19" s="1"/>
  <c r="AA62" i="19" s="1"/>
  <c r="AA63" i="19" s="1"/>
  <c r="AA64" i="19" s="1"/>
  <c r="AA65" i="19" s="1"/>
  <c r="S10" i="19"/>
  <c r="R10" i="19"/>
  <c r="L10" i="19"/>
  <c r="J10" i="19"/>
  <c r="I10" i="19"/>
  <c r="A10" i="19"/>
  <c r="AC10" i="19" s="1"/>
  <c r="AE9" i="19"/>
  <c r="AD9" i="19"/>
  <c r="AC9" i="19"/>
  <c r="AB9" i="19"/>
  <c r="V9" i="19"/>
  <c r="S9" i="19"/>
  <c r="R9" i="19"/>
  <c r="O9" i="19"/>
  <c r="L9" i="19"/>
  <c r="J9" i="19"/>
  <c r="I9" i="19"/>
  <c r="F9" i="19"/>
  <c r="AE66" i="7"/>
  <c r="V12" i="19" l="1"/>
  <c r="J11" i="19"/>
  <c r="S11" i="19"/>
  <c r="V11" i="19"/>
  <c r="AB12" i="19"/>
  <c r="F12" i="19"/>
  <c r="O12" i="19"/>
  <c r="AC12" i="19"/>
  <c r="V10" i="19"/>
  <c r="AB11" i="19"/>
  <c r="AD12" i="19"/>
  <c r="F11" i="19"/>
  <c r="O11" i="19"/>
  <c r="AC11" i="19"/>
  <c r="AE12" i="19"/>
  <c r="AD11" i="19"/>
  <c r="I12" i="19"/>
  <c r="R12" i="19"/>
  <c r="A13" i="19"/>
  <c r="F10" i="19"/>
  <c r="O10" i="19"/>
  <c r="J12" i="19"/>
  <c r="AE65" i="7"/>
  <c r="AD65" i="7"/>
  <c r="AC65" i="7"/>
  <c r="AB65" i="7"/>
  <c r="V65" i="7"/>
  <c r="AE64" i="7"/>
  <c r="AD64" i="7"/>
  <c r="AC64" i="7"/>
  <c r="AB64" i="7"/>
  <c r="V64" i="7"/>
  <c r="AE63" i="7"/>
  <c r="AD63" i="7"/>
  <c r="AC63" i="7"/>
  <c r="AB63" i="7"/>
  <c r="V63" i="7"/>
  <c r="AE62" i="7"/>
  <c r="AD62" i="7"/>
  <c r="AC62" i="7"/>
  <c r="AB62" i="7"/>
  <c r="V62" i="7"/>
  <c r="AE61" i="7"/>
  <c r="AD61" i="7"/>
  <c r="AC61" i="7"/>
  <c r="AB61" i="7"/>
  <c r="V61" i="7"/>
  <c r="AE60" i="7"/>
  <c r="AD60" i="7"/>
  <c r="AC60" i="7"/>
  <c r="AB60" i="7"/>
  <c r="V60" i="7"/>
  <c r="AE59" i="7"/>
  <c r="AD59" i="7"/>
  <c r="AC59" i="7"/>
  <c r="AB59" i="7"/>
  <c r="V59" i="7"/>
  <c r="AE58" i="7"/>
  <c r="AD58" i="7"/>
  <c r="AC58" i="7"/>
  <c r="AB58" i="7"/>
  <c r="V58" i="7"/>
  <c r="AE57" i="7"/>
  <c r="AD57" i="7"/>
  <c r="AC57" i="7"/>
  <c r="AB57" i="7"/>
  <c r="V57" i="7"/>
  <c r="AE56" i="7"/>
  <c r="AD56" i="7"/>
  <c r="AC56" i="7"/>
  <c r="AB56" i="7"/>
  <c r="V56" i="7"/>
  <c r="AE55" i="7"/>
  <c r="AD55" i="7"/>
  <c r="AC55" i="7"/>
  <c r="AB55" i="7"/>
  <c r="V55" i="7"/>
  <c r="AE54" i="7"/>
  <c r="AD54" i="7"/>
  <c r="AC54" i="7"/>
  <c r="AB54" i="7"/>
  <c r="V54" i="7"/>
  <c r="AE53" i="7"/>
  <c r="AD53" i="7"/>
  <c r="AC53" i="7"/>
  <c r="AB53" i="7"/>
  <c r="V53" i="7"/>
  <c r="AE52" i="7"/>
  <c r="AD52" i="7"/>
  <c r="AC52" i="7"/>
  <c r="AB52" i="7"/>
  <c r="V52" i="7"/>
  <c r="AE51" i="7"/>
  <c r="AD51" i="7"/>
  <c r="AC51" i="7"/>
  <c r="AB51" i="7"/>
  <c r="V51" i="7"/>
  <c r="AE50" i="7"/>
  <c r="AD50" i="7"/>
  <c r="AC50" i="7"/>
  <c r="AB50" i="7"/>
  <c r="V50" i="7"/>
  <c r="AE49" i="7"/>
  <c r="AD49" i="7"/>
  <c r="AC49" i="7"/>
  <c r="AB49" i="7"/>
  <c r="V49" i="7"/>
  <c r="AE48" i="7"/>
  <c r="AD48" i="7"/>
  <c r="AC48" i="7"/>
  <c r="AB48" i="7"/>
  <c r="V48" i="7"/>
  <c r="AE47" i="7"/>
  <c r="AD47" i="7"/>
  <c r="AC47" i="7"/>
  <c r="AB47" i="7"/>
  <c r="V47" i="7"/>
  <c r="AE46" i="7"/>
  <c r="AD46" i="7"/>
  <c r="AC46" i="7"/>
  <c r="AB46" i="7"/>
  <c r="V46" i="7"/>
  <c r="AE45" i="7"/>
  <c r="AD45" i="7"/>
  <c r="AC45" i="7"/>
  <c r="AB45" i="7"/>
  <c r="V45" i="7"/>
  <c r="AE44" i="7"/>
  <c r="AD44" i="7"/>
  <c r="AC44" i="7"/>
  <c r="AB44" i="7"/>
  <c r="V44" i="7"/>
  <c r="AE43" i="7"/>
  <c r="AD43" i="7"/>
  <c r="AC43" i="7"/>
  <c r="AB43" i="7"/>
  <c r="V43" i="7"/>
  <c r="AE42" i="7"/>
  <c r="AD42" i="7"/>
  <c r="AC42" i="7"/>
  <c r="AB42" i="7"/>
  <c r="V42" i="7"/>
  <c r="AE41" i="7"/>
  <c r="AD41" i="7"/>
  <c r="AC41" i="7"/>
  <c r="AB41" i="7"/>
  <c r="V41" i="7"/>
  <c r="AE40" i="7"/>
  <c r="AD40" i="7"/>
  <c r="AC40" i="7"/>
  <c r="AB40" i="7"/>
  <c r="V40" i="7"/>
  <c r="AE39" i="7"/>
  <c r="AD39" i="7"/>
  <c r="AC39" i="7"/>
  <c r="AB39" i="7"/>
  <c r="V39" i="7"/>
  <c r="AE38" i="7"/>
  <c r="AD38" i="7"/>
  <c r="AC38" i="7"/>
  <c r="AB38" i="7"/>
  <c r="V38" i="7"/>
  <c r="AE37" i="7"/>
  <c r="AD37" i="7"/>
  <c r="AC37" i="7"/>
  <c r="AB37" i="7"/>
  <c r="V37" i="7"/>
  <c r="AE36" i="7"/>
  <c r="AD36" i="7"/>
  <c r="AC36" i="7"/>
  <c r="AB36" i="7"/>
  <c r="V36" i="7"/>
  <c r="AE35" i="7"/>
  <c r="AD35" i="7"/>
  <c r="AC35" i="7"/>
  <c r="AB35" i="7"/>
  <c r="V35" i="7"/>
  <c r="AE34" i="7"/>
  <c r="AD34" i="7"/>
  <c r="AC34" i="7"/>
  <c r="AB34" i="7"/>
  <c r="V34" i="7"/>
  <c r="AE33" i="7"/>
  <c r="AD33" i="7"/>
  <c r="AC33" i="7"/>
  <c r="AB33" i="7"/>
  <c r="V33" i="7"/>
  <c r="AE32" i="7"/>
  <c r="AD32" i="7"/>
  <c r="AC32" i="7"/>
  <c r="AB32" i="7"/>
  <c r="V32" i="7"/>
  <c r="AE31" i="7"/>
  <c r="AD31" i="7"/>
  <c r="AC31" i="7"/>
  <c r="AB31" i="7"/>
  <c r="V31" i="7"/>
  <c r="AE30" i="7"/>
  <c r="AD30" i="7"/>
  <c r="AC30" i="7"/>
  <c r="AB30" i="7"/>
  <c r="V30" i="7"/>
  <c r="AE29" i="7"/>
  <c r="AD29" i="7"/>
  <c r="AC29" i="7"/>
  <c r="AB29" i="7"/>
  <c r="V29" i="7"/>
  <c r="AE28" i="7"/>
  <c r="AD28" i="7"/>
  <c r="AC28" i="7"/>
  <c r="AB28" i="7"/>
  <c r="V28" i="7"/>
  <c r="AE27" i="7"/>
  <c r="AD27" i="7"/>
  <c r="AC27" i="7"/>
  <c r="AB27" i="7"/>
  <c r="V27" i="7"/>
  <c r="AE26" i="7"/>
  <c r="AD26" i="7"/>
  <c r="AC26" i="7"/>
  <c r="AB26" i="7"/>
  <c r="V26" i="7"/>
  <c r="AE25" i="7"/>
  <c r="AD25" i="7"/>
  <c r="AC25" i="7"/>
  <c r="AB25" i="7"/>
  <c r="V25" i="7"/>
  <c r="AE24" i="7"/>
  <c r="AD24" i="7"/>
  <c r="AC24" i="7"/>
  <c r="AB24" i="7"/>
  <c r="V24" i="7"/>
  <c r="AE23" i="7"/>
  <c r="AD23" i="7"/>
  <c r="AC23" i="7"/>
  <c r="AB23" i="7"/>
  <c r="V23" i="7"/>
  <c r="AE22" i="7"/>
  <c r="AD22" i="7"/>
  <c r="AC22" i="7"/>
  <c r="AB22" i="7"/>
  <c r="V22" i="7"/>
  <c r="AE21" i="7"/>
  <c r="AD21" i="7"/>
  <c r="AC21" i="7"/>
  <c r="AB21" i="7"/>
  <c r="V21" i="7"/>
  <c r="AE20" i="7"/>
  <c r="AD20" i="7"/>
  <c r="AC20" i="7"/>
  <c r="AB20" i="7"/>
  <c r="V20" i="7"/>
  <c r="AE19" i="7"/>
  <c r="AD19" i="7"/>
  <c r="AC19" i="7"/>
  <c r="AB19" i="7"/>
  <c r="V19" i="7"/>
  <c r="AE18" i="7"/>
  <c r="AD18" i="7"/>
  <c r="AC18" i="7"/>
  <c r="AB18" i="7"/>
  <c r="V18" i="7"/>
  <c r="AE17" i="7"/>
  <c r="AD17" i="7"/>
  <c r="AC17" i="7"/>
  <c r="AB17" i="7"/>
  <c r="V17" i="7"/>
  <c r="AE16" i="7"/>
  <c r="AD16" i="7"/>
  <c r="AC16" i="7"/>
  <c r="AB16" i="7"/>
  <c r="V16" i="7"/>
  <c r="AE15" i="7"/>
  <c r="AD15" i="7"/>
  <c r="AC15" i="7"/>
  <c r="AB15" i="7"/>
  <c r="V15" i="7"/>
  <c r="AE14" i="7"/>
  <c r="AD14" i="7"/>
  <c r="AC14" i="7"/>
  <c r="AB14" i="7"/>
  <c r="V14" i="7"/>
  <c r="AE13" i="7"/>
  <c r="AD13" i="7"/>
  <c r="AC13" i="7"/>
  <c r="AB13" i="7"/>
  <c r="V13" i="7"/>
  <c r="AE12" i="7"/>
  <c r="AD12" i="7"/>
  <c r="AC12" i="7"/>
  <c r="AB12" i="7"/>
  <c r="V12" i="7"/>
  <c r="AE11" i="7"/>
  <c r="AD11" i="7"/>
  <c r="AC11" i="7"/>
  <c r="AB11" i="7"/>
  <c r="V11" i="7"/>
  <c r="AE10" i="7"/>
  <c r="AD10" i="7"/>
  <c r="AC10" i="7"/>
  <c r="AB10" i="7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V10" i="7"/>
  <c r="AE9" i="7"/>
  <c r="AD9" i="7"/>
  <c r="AC9" i="7"/>
  <c r="AB9" i="7"/>
  <c r="V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9" i="7"/>
  <c r="V13" i="19" l="1"/>
  <c r="S13" i="19"/>
  <c r="J13" i="19"/>
  <c r="A14" i="19"/>
  <c r="R13" i="19"/>
  <c r="I13" i="19"/>
  <c r="AE13" i="19"/>
  <c r="AD13" i="19"/>
  <c r="AC13" i="19"/>
  <c r="O13" i="19"/>
  <c r="F13" i="19"/>
  <c r="AB13" i="19"/>
  <c r="A10" i="7"/>
  <c r="AD14" i="19" l="1"/>
  <c r="O14" i="19"/>
  <c r="F14" i="19"/>
  <c r="AC14" i="19"/>
  <c r="AB14" i="19"/>
  <c r="V14" i="19"/>
  <c r="S14" i="19"/>
  <c r="J14" i="19"/>
  <c r="R14" i="19"/>
  <c r="I14" i="19"/>
  <c r="A15" i="19"/>
  <c r="AE14" i="19"/>
  <c r="A11" i="7"/>
  <c r="AC15" i="19" l="1"/>
  <c r="O15" i="19"/>
  <c r="F15" i="19"/>
  <c r="V15" i="19"/>
  <c r="J15" i="19"/>
  <c r="S15" i="19"/>
  <c r="I15" i="19"/>
  <c r="R15" i="19"/>
  <c r="A16" i="19"/>
  <c r="AE15" i="19"/>
  <c r="AD15" i="19"/>
  <c r="AB15" i="19"/>
  <c r="A12" i="7"/>
  <c r="AE16" i="19" l="1"/>
  <c r="A17" i="19"/>
  <c r="F16" i="19"/>
  <c r="AD16" i="19"/>
  <c r="O16" i="19"/>
  <c r="AC16" i="19"/>
  <c r="AB16" i="19"/>
  <c r="V16" i="19"/>
  <c r="J16" i="19"/>
  <c r="S16" i="19"/>
  <c r="I16" i="19"/>
  <c r="R16" i="19"/>
  <c r="A13" i="7"/>
  <c r="S17" i="19" l="1"/>
  <c r="J17" i="19"/>
  <c r="AB17" i="19"/>
  <c r="V17" i="19"/>
  <c r="I17" i="19"/>
  <c r="R17" i="19"/>
  <c r="A18" i="19"/>
  <c r="AE17" i="19"/>
  <c r="F17" i="19"/>
  <c r="AD17" i="19"/>
  <c r="O17" i="19"/>
  <c r="AC17" i="19"/>
  <c r="A14" i="7"/>
  <c r="R18" i="19" l="1"/>
  <c r="A19" i="19"/>
  <c r="AE18" i="19"/>
  <c r="F18" i="19"/>
  <c r="AD18" i="19"/>
  <c r="O18" i="19"/>
  <c r="AC18" i="19"/>
  <c r="AB18" i="19"/>
  <c r="V18" i="19"/>
  <c r="J18" i="19"/>
  <c r="S18" i="19"/>
  <c r="I18" i="19"/>
  <c r="A15" i="7"/>
  <c r="AC19" i="19" l="1"/>
  <c r="O19" i="19"/>
  <c r="F19" i="19"/>
  <c r="AD19" i="19"/>
  <c r="AB19" i="19"/>
  <c r="V19" i="19"/>
  <c r="J19" i="19"/>
  <c r="S19" i="19"/>
  <c r="I19" i="19"/>
  <c r="R19" i="19"/>
  <c r="A20" i="19"/>
  <c r="AE19" i="19"/>
  <c r="A16" i="7"/>
  <c r="AE20" i="19" l="1"/>
  <c r="V20" i="19"/>
  <c r="J20" i="19"/>
  <c r="S20" i="19"/>
  <c r="I20" i="19"/>
  <c r="R20" i="19"/>
  <c r="A21" i="19"/>
  <c r="F20" i="19"/>
  <c r="AD20" i="19"/>
  <c r="O20" i="19"/>
  <c r="AC20" i="19"/>
  <c r="AB20" i="19"/>
  <c r="A17" i="7"/>
  <c r="V21" i="19" l="1"/>
  <c r="S21" i="19"/>
  <c r="J21" i="19"/>
  <c r="AE21" i="19"/>
  <c r="F21" i="19"/>
  <c r="O21" i="19"/>
  <c r="A22" i="19"/>
  <c r="AD21" i="19"/>
  <c r="AC21" i="19"/>
  <c r="AB21" i="19"/>
  <c r="I21" i="19"/>
  <c r="R21" i="19"/>
  <c r="A18" i="7"/>
  <c r="AB22" i="19" l="1"/>
  <c r="S22" i="19"/>
  <c r="J22" i="19"/>
  <c r="V22" i="19"/>
  <c r="R22" i="19"/>
  <c r="F22" i="19"/>
  <c r="A23" i="19"/>
  <c r="O22" i="19"/>
  <c r="AE22" i="19"/>
  <c r="AD22" i="19"/>
  <c r="I22" i="19"/>
  <c r="AC22" i="19"/>
  <c r="A19" i="7"/>
  <c r="AD23" i="19" l="1"/>
  <c r="AC23" i="19"/>
  <c r="O23" i="19"/>
  <c r="F23" i="19"/>
  <c r="AB23" i="19"/>
  <c r="A24" i="19"/>
  <c r="J23" i="19"/>
  <c r="AE23" i="19"/>
  <c r="I23" i="19"/>
  <c r="V23" i="19"/>
  <c r="S23" i="19"/>
  <c r="R23" i="19"/>
  <c r="A20" i="7"/>
  <c r="A25" i="19" l="1"/>
  <c r="R24" i="19"/>
  <c r="I24" i="19"/>
  <c r="AE24" i="19"/>
  <c r="AD24" i="19"/>
  <c r="AC24" i="19"/>
  <c r="O24" i="19"/>
  <c r="F24" i="19"/>
  <c r="V24" i="19"/>
  <c r="S24" i="19"/>
  <c r="J24" i="19"/>
  <c r="AB24" i="19"/>
  <c r="A21" i="7"/>
  <c r="V25" i="19" l="1"/>
  <c r="S25" i="19"/>
  <c r="J25" i="19"/>
  <c r="A26" i="19"/>
  <c r="R25" i="19"/>
  <c r="I25" i="19"/>
  <c r="AE25" i="19"/>
  <c r="AD25" i="19"/>
  <c r="AC25" i="19"/>
  <c r="AB25" i="19"/>
  <c r="F25" i="19"/>
  <c r="O25" i="19"/>
  <c r="A22" i="7"/>
  <c r="AB26" i="19" l="1"/>
  <c r="V26" i="19"/>
  <c r="S26" i="19"/>
  <c r="J26" i="19"/>
  <c r="R26" i="19"/>
  <c r="F26" i="19"/>
  <c r="O26" i="19"/>
  <c r="A27" i="19"/>
  <c r="AE26" i="19"/>
  <c r="I26" i="19"/>
  <c r="AD26" i="19"/>
  <c r="AC26" i="19"/>
  <c r="A23" i="7"/>
  <c r="AD27" i="19" l="1"/>
  <c r="AC27" i="19"/>
  <c r="O27" i="19"/>
  <c r="F27" i="19"/>
  <c r="AB27" i="19"/>
  <c r="J27" i="19"/>
  <c r="A28" i="19"/>
  <c r="I27" i="19"/>
  <c r="AE27" i="19"/>
  <c r="V27" i="19"/>
  <c r="S27" i="19"/>
  <c r="R27" i="19"/>
  <c r="A24" i="7"/>
  <c r="A29" i="19" l="1"/>
  <c r="R28" i="19"/>
  <c r="I28" i="19"/>
  <c r="AE28" i="19"/>
  <c r="AD28" i="19"/>
  <c r="AC28" i="19"/>
  <c r="O28" i="19"/>
  <c r="F28" i="19"/>
  <c r="AB28" i="19"/>
  <c r="V28" i="19"/>
  <c r="S28" i="19"/>
  <c r="J28" i="19"/>
  <c r="A25" i="7"/>
  <c r="V29" i="19" l="1"/>
  <c r="S29" i="19"/>
  <c r="J29" i="19"/>
  <c r="A30" i="19"/>
  <c r="R29" i="19"/>
  <c r="I29" i="19"/>
  <c r="AE29" i="19"/>
  <c r="O29" i="19"/>
  <c r="AD29" i="19"/>
  <c r="AC29" i="19"/>
  <c r="AB29" i="19"/>
  <c r="F29" i="19"/>
  <c r="A26" i="7"/>
  <c r="AB30" i="19" l="1"/>
  <c r="V30" i="19"/>
  <c r="S30" i="19"/>
  <c r="J30" i="19"/>
  <c r="AD30" i="19"/>
  <c r="AC30" i="19"/>
  <c r="R30" i="19"/>
  <c r="F30" i="19"/>
  <c r="O30" i="19"/>
  <c r="A31" i="19"/>
  <c r="AE30" i="19"/>
  <c r="I30" i="19"/>
  <c r="A27" i="7"/>
  <c r="AD31" i="19" l="1"/>
  <c r="AC31" i="19"/>
  <c r="O31" i="19"/>
  <c r="F31" i="19"/>
  <c r="AB31" i="19"/>
  <c r="R31" i="19"/>
  <c r="J31" i="19"/>
  <c r="A32" i="19"/>
  <c r="I31" i="19"/>
  <c r="AE31" i="19"/>
  <c r="V31" i="19"/>
  <c r="S31" i="19"/>
  <c r="A28" i="7"/>
  <c r="A33" i="19" l="1"/>
  <c r="R32" i="19"/>
  <c r="I32" i="19"/>
  <c r="AE32" i="19"/>
  <c r="AD32" i="19"/>
  <c r="AC32" i="19"/>
  <c r="O32" i="19"/>
  <c r="F32" i="19"/>
  <c r="J32" i="19"/>
  <c r="AB32" i="19"/>
  <c r="V32" i="19"/>
  <c r="S32" i="19"/>
  <c r="A29" i="7"/>
  <c r="V33" i="19" l="1"/>
  <c r="S33" i="19"/>
  <c r="J33" i="19"/>
  <c r="A34" i="19"/>
  <c r="R33" i="19"/>
  <c r="I33" i="19"/>
  <c r="AE33" i="19"/>
  <c r="O33" i="19"/>
  <c r="AD33" i="19"/>
  <c r="AC33" i="19"/>
  <c r="AB33" i="19"/>
  <c r="F33" i="19"/>
  <c r="A30" i="7"/>
  <c r="AB34" i="19" l="1"/>
  <c r="V34" i="19"/>
  <c r="S34" i="19"/>
  <c r="J34" i="19"/>
  <c r="A35" i="19"/>
  <c r="AE34" i="19"/>
  <c r="I34" i="19"/>
  <c r="AD34" i="19"/>
  <c r="AC34" i="19"/>
  <c r="R34" i="19"/>
  <c r="F34" i="19"/>
  <c r="O34" i="19"/>
  <c r="A31" i="7"/>
  <c r="A36" i="19" l="1"/>
  <c r="AE35" i="19"/>
  <c r="F35" i="19"/>
  <c r="AD35" i="19"/>
  <c r="O35" i="19"/>
  <c r="AC35" i="19"/>
  <c r="AB35" i="19"/>
  <c r="V35" i="19"/>
  <c r="S35" i="19"/>
  <c r="R35" i="19"/>
  <c r="J35" i="19"/>
  <c r="I35" i="19"/>
  <c r="A32" i="7"/>
  <c r="AC36" i="19" l="1"/>
  <c r="O36" i="19"/>
  <c r="F36" i="19"/>
  <c r="A37" i="19"/>
  <c r="R36" i="19"/>
  <c r="AD36" i="19"/>
  <c r="AB36" i="19"/>
  <c r="J36" i="19"/>
  <c r="V36" i="19"/>
  <c r="I36" i="19"/>
  <c r="AE36" i="19"/>
  <c r="S36" i="19"/>
  <c r="A33" i="7"/>
  <c r="AE37" i="19" l="1"/>
  <c r="AB37" i="19"/>
  <c r="V37" i="19"/>
  <c r="AD37" i="19"/>
  <c r="AC37" i="19"/>
  <c r="J37" i="19"/>
  <c r="I37" i="19"/>
  <c r="S37" i="19"/>
  <c r="O37" i="19"/>
  <c r="F37" i="19"/>
  <c r="A38" i="19"/>
  <c r="R37" i="19"/>
  <c r="A34" i="7"/>
  <c r="S38" i="19" l="1"/>
  <c r="J38" i="19"/>
  <c r="AD38" i="19"/>
  <c r="AB38" i="19"/>
  <c r="O38" i="19"/>
  <c r="A39" i="19"/>
  <c r="AE38" i="19"/>
  <c r="AC38" i="19"/>
  <c r="I38" i="19"/>
  <c r="F38" i="19"/>
  <c r="V38" i="19"/>
  <c r="R38" i="19"/>
  <c r="A35" i="7"/>
  <c r="A40" i="19" l="1"/>
  <c r="R39" i="19"/>
  <c r="I39" i="19"/>
  <c r="AD39" i="19"/>
  <c r="S39" i="19"/>
  <c r="O39" i="19"/>
  <c r="V39" i="19"/>
  <c r="J39" i="19"/>
  <c r="F39" i="19"/>
  <c r="AE39" i="19"/>
  <c r="AC39" i="19"/>
  <c r="AB39" i="19"/>
  <c r="A36" i="7"/>
  <c r="AC40" i="19" l="1"/>
  <c r="O40" i="19"/>
  <c r="F40" i="19"/>
  <c r="V40" i="19"/>
  <c r="A41" i="19"/>
  <c r="R40" i="19"/>
  <c r="I40" i="19"/>
  <c r="S40" i="19"/>
  <c r="AB40" i="19"/>
  <c r="J40" i="19"/>
  <c r="AE40" i="19"/>
  <c r="AD40" i="19"/>
  <c r="A37" i="7"/>
  <c r="AE41" i="19" l="1"/>
  <c r="AB41" i="19"/>
  <c r="V41" i="19"/>
  <c r="AC41" i="19"/>
  <c r="J41" i="19"/>
  <c r="I41" i="19"/>
  <c r="S41" i="19"/>
  <c r="R41" i="19"/>
  <c r="F41" i="19"/>
  <c r="A42" i="19"/>
  <c r="AD41" i="19"/>
  <c r="O41" i="19"/>
  <c r="A38" i="7"/>
  <c r="S42" i="19" l="1"/>
  <c r="J42" i="19"/>
  <c r="AD42" i="19"/>
  <c r="AB42" i="19"/>
  <c r="A43" i="19"/>
  <c r="AE42" i="19"/>
  <c r="AC42" i="19"/>
  <c r="I42" i="19"/>
  <c r="V42" i="19"/>
  <c r="F42" i="19"/>
  <c r="R42" i="19"/>
  <c r="O42" i="19"/>
  <c r="A39" i="7"/>
  <c r="A44" i="19" l="1"/>
  <c r="R43" i="19"/>
  <c r="I43" i="19"/>
  <c r="AD43" i="19"/>
  <c r="O43" i="19"/>
  <c r="AE43" i="19"/>
  <c r="AC43" i="19"/>
  <c r="J43" i="19"/>
  <c r="F43" i="19"/>
  <c r="AB43" i="19"/>
  <c r="V43" i="19"/>
  <c r="S43" i="19"/>
  <c r="A40" i="7"/>
  <c r="AC44" i="19" l="1"/>
  <c r="O44" i="19"/>
  <c r="F44" i="19"/>
  <c r="V44" i="19"/>
  <c r="A45" i="19"/>
  <c r="R44" i="19"/>
  <c r="I44" i="19"/>
  <c r="S44" i="19"/>
  <c r="AE44" i="19"/>
  <c r="AB44" i="19"/>
  <c r="J44" i="19"/>
  <c r="AD44" i="19"/>
  <c r="A41" i="7"/>
  <c r="AE45" i="19" l="1"/>
  <c r="AB45" i="19"/>
  <c r="V45" i="19"/>
  <c r="I45" i="19"/>
  <c r="S45" i="19"/>
  <c r="R45" i="19"/>
  <c r="F45" i="19"/>
  <c r="O45" i="19"/>
  <c r="A46" i="19"/>
  <c r="AD45" i="19"/>
  <c r="AC45" i="19"/>
  <c r="J45" i="19"/>
  <c r="A42" i="7"/>
  <c r="S46" i="19" l="1"/>
  <c r="J46" i="19"/>
  <c r="AD46" i="19"/>
  <c r="AB46" i="19"/>
  <c r="A47" i="19"/>
  <c r="AE46" i="19"/>
  <c r="I46" i="19"/>
  <c r="AC46" i="19"/>
  <c r="V46" i="19"/>
  <c r="F46" i="19"/>
  <c r="R46" i="19"/>
  <c r="O46" i="19"/>
  <c r="A43" i="7"/>
  <c r="A48" i="19" l="1"/>
  <c r="R47" i="19"/>
  <c r="I47" i="19"/>
  <c r="AD47" i="19"/>
  <c r="AC47" i="19"/>
  <c r="O47" i="19"/>
  <c r="F47" i="19"/>
  <c r="V47" i="19"/>
  <c r="S47" i="19"/>
  <c r="AB47" i="19"/>
  <c r="J47" i="19"/>
  <c r="AE47" i="19"/>
  <c r="A44" i="7"/>
  <c r="AC48" i="19" l="1"/>
  <c r="O48" i="19"/>
  <c r="F48" i="19"/>
  <c r="V48" i="19"/>
  <c r="A49" i="19"/>
  <c r="R48" i="19"/>
  <c r="I48" i="19"/>
  <c r="AE48" i="19"/>
  <c r="AD48" i="19"/>
  <c r="J48" i="19"/>
  <c r="AB48" i="19"/>
  <c r="S48" i="19"/>
  <c r="A45" i="7"/>
  <c r="AE49" i="19" l="1"/>
  <c r="AB49" i="19"/>
  <c r="V49" i="19"/>
  <c r="S49" i="19"/>
  <c r="J49" i="19"/>
  <c r="F49" i="19"/>
  <c r="R49" i="19"/>
  <c r="O49" i="19"/>
  <c r="I49" i="19"/>
  <c r="A50" i="19"/>
  <c r="AD49" i="19"/>
  <c r="AC49" i="19"/>
  <c r="A46" i="7"/>
  <c r="S50" i="19" l="1"/>
  <c r="J50" i="19"/>
  <c r="AD50" i="19"/>
  <c r="AB50" i="19"/>
  <c r="O50" i="19"/>
  <c r="A51" i="19"/>
  <c r="I50" i="19"/>
  <c r="AE50" i="19"/>
  <c r="AC50" i="19"/>
  <c r="F50" i="19"/>
  <c r="V50" i="19"/>
  <c r="R50" i="19"/>
  <c r="A47" i="7"/>
  <c r="A52" i="19" l="1"/>
  <c r="R51" i="19"/>
  <c r="I51" i="19"/>
  <c r="AD51" i="19"/>
  <c r="AC51" i="19"/>
  <c r="O51" i="19"/>
  <c r="F51" i="19"/>
  <c r="AE51" i="19"/>
  <c r="AB51" i="19"/>
  <c r="V51" i="19"/>
  <c r="S51" i="19"/>
  <c r="J51" i="19"/>
  <c r="A48" i="7"/>
  <c r="AC52" i="19" l="1"/>
  <c r="O52" i="19"/>
  <c r="F52" i="19"/>
  <c r="V52" i="19"/>
  <c r="A53" i="19"/>
  <c r="R52" i="19"/>
  <c r="I52" i="19"/>
  <c r="AE52" i="19"/>
  <c r="AD52" i="19"/>
  <c r="J52" i="19"/>
  <c r="S52" i="19"/>
  <c r="AB52" i="19"/>
  <c r="A49" i="7"/>
  <c r="AE53" i="19" l="1"/>
  <c r="AB53" i="19"/>
  <c r="V53" i="19"/>
  <c r="S53" i="19"/>
  <c r="J53" i="19"/>
  <c r="AD53" i="19"/>
  <c r="I53" i="19"/>
  <c r="AC53" i="19"/>
  <c r="F53" i="19"/>
  <c r="R53" i="19"/>
  <c r="A54" i="19"/>
  <c r="O53" i="19"/>
  <c r="A50" i="7"/>
  <c r="S54" i="19" l="1"/>
  <c r="J54" i="19"/>
  <c r="AD54" i="19"/>
  <c r="AB54" i="19"/>
  <c r="R54" i="19"/>
  <c r="O54" i="19"/>
  <c r="A55" i="19"/>
  <c r="I54" i="19"/>
  <c r="F54" i="19"/>
  <c r="AE54" i="19"/>
  <c r="AC54" i="19"/>
  <c r="V54" i="19"/>
  <c r="A51" i="7"/>
  <c r="A56" i="19" l="1"/>
  <c r="R55" i="19"/>
  <c r="I55" i="19"/>
  <c r="AD55" i="19"/>
  <c r="AC55" i="19"/>
  <c r="O55" i="19"/>
  <c r="F55" i="19"/>
  <c r="J55" i="19"/>
  <c r="AE55" i="19"/>
  <c r="AB55" i="19"/>
  <c r="V55" i="19"/>
  <c r="S55" i="19"/>
  <c r="A52" i="7"/>
  <c r="AC56" i="19" l="1"/>
  <c r="O56" i="19"/>
  <c r="F56" i="19"/>
  <c r="V56" i="19"/>
  <c r="A57" i="19"/>
  <c r="R56" i="19"/>
  <c r="I56" i="19"/>
  <c r="AE56" i="19"/>
  <c r="S56" i="19"/>
  <c r="AD56" i="19"/>
  <c r="AB56" i="19"/>
  <c r="J56" i="19"/>
  <c r="A53" i="7"/>
  <c r="AE57" i="19" l="1"/>
  <c r="AB57" i="19"/>
  <c r="V57" i="19"/>
  <c r="S57" i="19"/>
  <c r="J57" i="19"/>
  <c r="A58" i="19"/>
  <c r="AD57" i="19"/>
  <c r="I57" i="19"/>
  <c r="AC57" i="19"/>
  <c r="F57" i="19"/>
  <c r="O57" i="19"/>
  <c r="R57" i="19"/>
  <c r="A54" i="7"/>
  <c r="S58" i="19" l="1"/>
  <c r="J58" i="19"/>
  <c r="AD58" i="19"/>
  <c r="AB58" i="19"/>
  <c r="AC58" i="19"/>
  <c r="F58" i="19"/>
  <c r="V58" i="19"/>
  <c r="R58" i="19"/>
  <c r="O58" i="19"/>
  <c r="A59" i="19"/>
  <c r="AE58" i="19"/>
  <c r="I58" i="19"/>
  <c r="A55" i="7"/>
  <c r="A60" i="19" l="1"/>
  <c r="R59" i="19"/>
  <c r="I59" i="19"/>
  <c r="AD59" i="19"/>
  <c r="AC59" i="19"/>
  <c r="O59" i="19"/>
  <c r="F59" i="19"/>
  <c r="J59" i="19"/>
  <c r="AE59" i="19"/>
  <c r="AB59" i="19"/>
  <c r="V59" i="19"/>
  <c r="S59" i="19"/>
  <c r="A56" i="7"/>
  <c r="AC60" i="19" l="1"/>
  <c r="O60" i="19"/>
  <c r="F60" i="19"/>
  <c r="V60" i="19"/>
  <c r="A61" i="19"/>
  <c r="R60" i="19"/>
  <c r="I60" i="19"/>
  <c r="AE60" i="19"/>
  <c r="AD60" i="19"/>
  <c r="J60" i="19"/>
  <c r="AB60" i="19"/>
  <c r="S60" i="19"/>
  <c r="A57" i="7"/>
  <c r="AE61" i="19" l="1"/>
  <c r="AB61" i="19"/>
  <c r="V61" i="19"/>
  <c r="S61" i="19"/>
  <c r="J61" i="19"/>
  <c r="O61" i="19"/>
  <c r="A62" i="19"/>
  <c r="AD61" i="19"/>
  <c r="I61" i="19"/>
  <c r="AC61" i="19"/>
  <c r="R61" i="19"/>
  <c r="F61" i="19"/>
  <c r="A58" i="7"/>
  <c r="S62" i="19" l="1"/>
  <c r="J62" i="19"/>
  <c r="AD62" i="19"/>
  <c r="AB62" i="19"/>
  <c r="A63" i="19"/>
  <c r="I62" i="19"/>
  <c r="AE62" i="19"/>
  <c r="AC62" i="19"/>
  <c r="F62" i="19"/>
  <c r="V62" i="19"/>
  <c r="R62" i="19"/>
  <c r="O62" i="19"/>
  <c r="A59" i="7"/>
  <c r="A64" i="19" l="1"/>
  <c r="R63" i="19"/>
  <c r="I63" i="19"/>
  <c r="AD63" i="19"/>
  <c r="AC63" i="19"/>
  <c r="O63" i="19"/>
  <c r="F63" i="19"/>
  <c r="V63" i="19"/>
  <c r="S63" i="19"/>
  <c r="AE63" i="19"/>
  <c r="AB63" i="19"/>
  <c r="J63" i="19"/>
  <c r="A60" i="7"/>
  <c r="AC64" i="19" l="1"/>
  <c r="O64" i="19"/>
  <c r="F64" i="19"/>
  <c r="V64" i="19"/>
  <c r="A65" i="19"/>
  <c r="R64" i="19"/>
  <c r="I64" i="19"/>
  <c r="AE64" i="19"/>
  <c r="AD64" i="19"/>
  <c r="J64" i="19"/>
  <c r="AB64" i="19"/>
  <c r="S64" i="19"/>
  <c r="A61" i="7"/>
  <c r="AE65" i="19" l="1"/>
  <c r="AD65" i="19"/>
  <c r="AC65" i="19"/>
  <c r="AB65" i="19"/>
  <c r="V65" i="19"/>
  <c r="S65" i="19"/>
  <c r="J65" i="19"/>
  <c r="F65" i="19"/>
  <c r="R65" i="19"/>
  <c r="O65" i="19"/>
  <c r="I65" i="19"/>
  <c r="A62" i="7"/>
  <c r="A63" i="7" l="1"/>
  <c r="A64" i="7" l="1"/>
  <c r="A65" i="7" l="1"/>
</calcChain>
</file>

<file path=xl/sharedStrings.xml><?xml version="1.0" encoding="utf-8"?>
<sst xmlns="http://schemas.openxmlformats.org/spreadsheetml/2006/main" count="43585" uniqueCount="480">
  <si>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</si>
  <si>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</si>
  <si>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</si>
  <si>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</si>
  <si>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</si>
  <si>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</si>
  <si>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</si>
  <si>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</si>
  <si>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</si>
  <si>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</si>
  <si>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</si>
  <si>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</si>
  <si>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</si>
  <si>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</si>
  <si>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</si>
  <si>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</si>
  <si>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</si>
  <si>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</si>
  <si>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</si>
  <si>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</si>
  <si>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</si>
  <si>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</si>
  <si>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</si>
  <si>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</si>
  <si>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</si>
  <si>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</si>
  <si>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</si>
  <si>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</si>
  <si>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</si>
  <si>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</si>
  <si>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</si>
  <si>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</si>
  <si>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</si>
  <si>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</si>
  <si>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</si>
  <si>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</si>
  <si>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</si>
  <si>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</si>
  <si>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</si>
  <si>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</si>
  <si>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</si>
  <si>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</si>
  <si>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</si>
  <si>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</si>
  <si>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</si>
  <si>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</si>
  <si>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</si>
  <si>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</si>
  <si>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</si>
  <si>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</si>
  <si>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</si>
  <si>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</si>
  <si>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</si>
  <si>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</si>
  <si>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</si>
  <si>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</si>
  <si>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</si>
  <si>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</si>
  <si>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</si>
  <si>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</si>
  <si>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</si>
  <si>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</si>
  <si>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</si>
  <si>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</si>
  <si>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</si>
  <si>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</si>
  <si>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</si>
  <si>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</si>
  <si>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</si>
  <si>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</si>
  <si>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</si>
  <si>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</si>
  <si>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</si>
  <si>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</si>
  <si>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</si>
  <si>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</si>
  <si>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</si>
  <si>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</si>
  <si>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</si>
  <si>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</si>
  <si>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</si>
  <si>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</si>
  <si>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</si>
  <si>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</si>
  <si>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</si>
  <si>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</si>
  <si>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</si>
  <si>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</si>
  <si>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</si>
  <si>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</si>
  <si>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</si>
  <si>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</si>
  <si>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</si>
  <si>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</si>
  <si>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</si>
  <si>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</si>
  <si>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</si>
  <si>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</si>
  <si>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</si>
  <si>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</si>
  <si>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</si>
  <si>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</si>
  <si>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</si>
  <si>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</si>
  <si>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</si>
  <si>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</si>
  <si>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</si>
  <si>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</si>
  <si>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</si>
  <si>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</si>
  <si>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</si>
  <si>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</si>
  <si>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</si>
  <si>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</si>
  <si>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</si>
  <si>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</si>
  <si>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</si>
  <si>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</si>
  <si>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</si>
  <si>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</si>
  <si>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</si>
  <si>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</si>
  <si>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</si>
  <si>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</si>
  <si>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</si>
  <si>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</si>
  <si>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</si>
  <si>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</si>
  <si>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</si>
  <si>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</si>
  <si>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</si>
  <si>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</si>
  <si>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</si>
  <si>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</si>
  <si>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</si>
  <si>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</si>
  <si>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</si>
  <si>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</si>
  <si>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</si>
  <si>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</si>
  <si>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</si>
  <si>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</si>
  <si>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</si>
  <si>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</si>
  <si>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</si>
  <si>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</si>
  <si>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</si>
  <si>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</si>
  <si>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</si>
  <si>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</si>
  <si>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</si>
  <si>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</si>
  <si>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</si>
  <si>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</si>
  <si>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</si>
  <si>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</si>
  <si>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</si>
  <si>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</si>
  <si>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</si>
  <si>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</si>
  <si>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</si>
  <si>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</si>
  <si>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</si>
  <si>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</si>
  <si>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</si>
  <si>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</si>
  <si>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</si>
  <si>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</si>
  <si>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</si>
  <si>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</si>
  <si>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</si>
  <si>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</si>
  <si>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</si>
  <si>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</si>
  <si>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</si>
  <si>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</si>
  <si>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</si>
  <si>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</si>
  <si>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</si>
  <si>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</si>
  <si>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</si>
  <si>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</si>
  <si>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</si>
  <si>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</si>
  <si>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</si>
  <si>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</si>
  <si>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</si>
  <si>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</si>
  <si>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</si>
  <si>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</si>
  <si>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</si>
  <si>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</si>
  <si>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</si>
  <si>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</si>
  <si>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</si>
  <si>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</si>
  <si>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</si>
  <si>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</si>
  <si>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</si>
  <si>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</si>
  <si>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</si>
  <si>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</si>
  <si>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</si>
  <si>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</si>
  <si>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</si>
  <si>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</si>
  <si>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</si>
  <si>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</si>
  <si>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</si>
  <si>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</si>
  <si>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</si>
  <si>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</si>
  <si>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</si>
  <si>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</si>
  <si>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</si>
  <si>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</si>
  <si>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</si>
  <si>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</si>
  <si>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</si>
  <si>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</si>
  <si>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</si>
  <si>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</si>
  <si>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</si>
  <si>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</si>
  <si>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</si>
  <si>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</si>
  <si>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</si>
  <si>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</si>
  <si>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</si>
  <si>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</si>
  <si>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</si>
  <si>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</si>
  <si>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</si>
  <si>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</si>
  <si>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</si>
  <si>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</si>
  <si>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</si>
  <si>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</si>
  <si>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</si>
  <si>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</si>
  <si>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</si>
  <si>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</si>
  <si>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</si>
  <si>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</si>
  <si>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</si>
  <si>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</si>
  <si>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</si>
  <si>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</si>
  <si>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</si>
  <si>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</si>
  <si>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</si>
  <si>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</si>
  <si>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</si>
  <si>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</si>
  <si>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</si>
  <si>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</si>
  <si>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</si>
  <si>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</si>
  <si>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</si>
  <si>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</si>
  <si>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</si>
  <si>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</si>
  <si>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</si>
  <si>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</si>
  <si>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</si>
  <si>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</si>
  <si>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</si>
  <si>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</si>
  <si>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</si>
  <si>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</si>
  <si>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</si>
  <si>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</si>
  <si>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</si>
  <si>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</si>
  <si>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</si>
  <si>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</si>
  <si>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</si>
  <si>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</si>
  <si>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</si>
  <si>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</si>
  <si>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</si>
  <si>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</si>
  <si>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</si>
  <si>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</si>
  <si>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</si>
  <si>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</si>
  <si>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</si>
  <si>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</si>
  <si>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</si>
  <si>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</si>
  <si>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</si>
  <si>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</si>
  <si>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</si>
  <si>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</si>
  <si>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</si>
  <si>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</si>
  <si>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</si>
  <si>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</si>
  <si>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</si>
  <si>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</si>
  <si>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</si>
  <si>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</si>
  <si>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</si>
  <si>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</si>
  <si>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</si>
  <si>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</si>
  <si>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</si>
  <si>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</si>
  <si>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</si>
  <si>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</si>
  <si>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</si>
  <si>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</si>
  <si>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</si>
  <si>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</si>
  <si>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</si>
  <si>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</si>
  <si>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</si>
  <si>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</si>
  <si>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</si>
  <si>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</si>
  <si>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</si>
  <si>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</si>
  <si>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</si>
  <si>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</si>
  <si>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</si>
  <si>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</si>
  <si>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</si>
  <si>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</si>
  <si>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</si>
  <si>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</si>
  <si>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</si>
  <si>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</si>
  <si>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</si>
  <si>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</si>
  <si>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</si>
  <si>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</si>
  <si>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</si>
  <si>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</si>
  <si>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</si>
  <si>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</si>
  <si>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</si>
  <si>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</si>
  <si>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</si>
  <si>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</si>
  <si>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</si>
  <si>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</si>
  <si>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</si>
  <si>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</si>
  <si>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</si>
  <si>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</si>
  <si>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</si>
  <si>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</si>
  <si>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</si>
  <si>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</si>
  <si>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</si>
  <si>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</si>
  <si>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</si>
  <si>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</si>
  <si>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</si>
  <si>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</si>
  <si>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</si>
  <si>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</si>
  <si>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</si>
  <si>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</si>
  <si>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</si>
  <si>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</si>
  <si>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</si>
  <si>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</si>
  <si>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</si>
  <si>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</si>
  <si>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</si>
  <si>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</si>
  <si>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</si>
  <si>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</si>
  <si>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</si>
  <si>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</si>
  <si>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</si>
  <si>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</si>
  <si>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</si>
  <si>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</si>
  <si>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</si>
  <si>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</si>
  <si>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</si>
  <si>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</si>
  <si>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</si>
  <si>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</si>
  <si>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</si>
  <si>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</si>
  <si>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</si>
  <si>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</si>
  <si>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</si>
  <si>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</si>
  <si>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</si>
  <si>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</si>
  <si>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</si>
  <si>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</si>
  <si>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</si>
  <si>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</si>
  <si>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</si>
  <si>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</si>
  <si>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</si>
  <si>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</si>
  <si>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</si>
  <si>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</si>
  <si>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</si>
  <si>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</si>
  <si>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</si>
  <si>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</si>
  <si>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</si>
  <si>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</si>
  <si>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</si>
  <si>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</si>
  <si>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</si>
  <si>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</si>
  <si>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</si>
  <si>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</si>
  <si>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</si>
  <si>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</si>
  <si>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</si>
  <si>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</si>
  <si>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</si>
  <si>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</si>
  <si>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</si>
  <si>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</si>
  <si>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</si>
  <si>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</si>
  <si>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</si>
  <si>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</si>
  <si>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</si>
  <si>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</si>
  <si>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</si>
  <si>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</si>
  <si>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</si>
  <si>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</si>
  <si>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</si>
  <si>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</si>
  <si>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</si>
  <si>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</si>
  <si>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</si>
  <si>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</si>
  <si>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</si>
  <si>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</si>
  <si>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</si>
  <si>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</si>
  <si>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</si>
  <si>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</si>
  <si>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</si>
  <si>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</si>
  <si>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</si>
  <si>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</si>
  <si>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</si>
  <si>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</si>
  <si>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</si>
  <si>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</si>
  <si>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</si>
  <si>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</si>
  <si>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</si>
  <si>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</si>
  <si>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</si>
  <si>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</si>
  <si>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</si>
  <si>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</si>
  <si>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</si>
  <si>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</si>
  <si>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</si>
  <si>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IdAgrupacion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</si>
  <si>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</si>
  <si>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</si>
  <si>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</si>
  <si>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</si>
  <si>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</si>
  <si>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</si>
  <si>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</si>
  <si>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VENTA PPA ENERGIA</t>
  </si>
  <si>
    <t>VENTA PPA POTENCIA</t>
  </si>
  <si>
    <t>FactReal</t>
  </si>
  <si>
    <t>TotalUSD</t>
  </si>
  <si>
    <t>SAN_JUAN_LAP</t>
  </si>
  <si>
    <t>BS3</t>
  </si>
  <si>
    <t>COOPERATIVA DE ABASTECIMIENTO DE ENERGIA ELECTRICA CURICO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</si>
</sst>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50" xfId="0" applyBorder="1"/>
    <xf numFmtId="0" fontId="0" fillId="0" borderId="51" xfId="0" applyBorder="1"/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14" fontId="0" fillId="0" borderId="14" xfId="0" applyNumberFormat="1" applyBorder="1" applyAlignment="1">
      <alignment horizontal="left"/>
    </xf>
    <xf numFmtId="0" fontId="3" fillId="73" borderId="44" xfId="0" applyFont="1" applyFill="1" applyBorder="1"/>
    <xf numFmtId="0" fontId="3" fillId="70" borderId="44" xfId="0" applyFont="1" applyFill="1" applyBorder="1"/>
    <xf numFmtId="0" fontId="3" fillId="74" borderId="44" xfId="0" applyFont="1" applyFill="1" applyBorder="1"/>
    <xf numFmtId="0" fontId="3" fillId="75" borderId="46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165" fontId="0" fillId="0" borderId="46" xfId="1" applyFont="1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7"/>
  <sheetViews>
    <sheetView workbookViewId="0">
      <selection activeCell="A2" sqref="A2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62"/>
  </cols>
  <sheetData>
    <row r="1" spans="1:2" x14ac:dyDescent="0.25">
      <c r="A1" s="38" t="s">
        <v>355</v>
      </c>
      <c r="B1" s="38" t="s">
        <v>356</v>
      </c>
    </row>
    <row r="2" spans="1:2" x14ac:dyDescent="0.25">
      <c r="A2" s="60" t="s">
        <v>289</v>
      </c>
      <c r="B2" s="60" t="s">
        <v>352</v>
      </c>
    </row>
    <row r="3" spans="1:2" x14ac:dyDescent="0.25">
      <c r="A3" s="61" t="s">
        <v>290</v>
      </c>
      <c r="B3" s="60" t="s">
        <v>353</v>
      </c>
    </row>
    <row r="4" spans="1:2" x14ac:dyDescent="0.25">
      <c r="A4" s="61" t="s">
        <v>357</v>
      </c>
      <c r="B4" s="60" t="s">
        <v>359</v>
      </c>
    </row>
    <row r="5" spans="1:2" x14ac:dyDescent="0.25">
      <c r="A5" s="61" t="s">
        <v>358</v>
      </c>
      <c r="B5" s="60" t="s">
        <v>360</v>
      </c>
    </row>
    <row r="6" spans="1:2" x14ac:dyDescent="0.25">
      <c r="A6" s="61" t="s">
        <v>292</v>
      </c>
      <c r="B6" s="61" t="s">
        <v>354</v>
      </c>
    </row>
    <row r="7" spans="1:2" x14ac:dyDescent="0.25">
      <c r="A7" t="s">
        <v>293</v>
      </c>
      <c r="B7" s="61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J2" sqref="J2:J5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8" t="s">
        <v>31</v>
      </c>
      <c r="B1" s="38" t="s">
        <v>2</v>
      </c>
      <c r="C1" s="38" t="s">
        <v>3</v>
      </c>
      <c r="D1" s="38" t="s">
        <v>71</v>
      </c>
      <c r="E1" s="38" t="s">
        <v>290</v>
      </c>
      <c r="F1" s="38" t="s">
        <v>292</v>
      </c>
      <c r="G1" s="38" t="s">
        <v>293</v>
      </c>
      <c r="H1" s="38" t="s">
        <v>289</v>
      </c>
      <c r="I1" s="38" t="s">
        <v>291</v>
      </c>
      <c r="J1" s="38" t="s">
        <v>331</v>
      </c>
      <c r="K1" s="38" t="s">
        <v>332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69"/>
  <sheetViews>
    <sheetView topLeftCell="E33" workbookViewId="0">
      <selection activeCell="G52" sqref="G52"/>
    </sheetView>
  </sheetViews>
  <sheetFormatPr baseColWidth="10" defaultRowHeight="15" x14ac:dyDescent="0.25"/>
  <cols>
    <col min="1" max="1" width="12.28515625" style="42" bestFit="1" customWidth="1"/>
    <col min="2" max="2" width="19" style="5" bestFit="1" customWidth="1"/>
    <col min="3" max="3" width="16.28515625" style="5" bestFit="1" customWidth="1"/>
    <col min="4" max="4" width="67.42578125" customWidth="1"/>
    <col min="5" max="5" width="67.7109375" customWidth="1"/>
    <col min="6" max="6" width="20.140625" bestFit="1" customWidth="1"/>
    <col min="7" max="7" width="68.28515625" customWidth="1"/>
    <col min="8" max="8" width="68.1406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4" width="59.5703125" bestFit="1" customWidth="1"/>
    <col min="15" max="15" width="21" bestFit="1" customWidth="1"/>
    <col min="16" max="16" width="60.14062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4" t="s">
        <v>294</v>
      </c>
      <c r="D7" s="74"/>
      <c r="E7" s="74"/>
      <c r="F7" s="74"/>
      <c r="G7" s="74"/>
      <c r="H7" s="74"/>
      <c r="I7" s="74"/>
      <c r="J7" s="75"/>
      <c r="L7" s="76" t="s">
        <v>295</v>
      </c>
      <c r="M7" s="76"/>
      <c r="N7" s="76"/>
      <c r="O7" s="76"/>
      <c r="P7" s="76"/>
      <c r="Q7" s="76"/>
      <c r="R7" s="76"/>
      <c r="S7" s="76"/>
      <c r="U7" s="77" t="s">
        <v>297</v>
      </c>
      <c r="V7" s="78"/>
      <c r="W7" s="78"/>
      <c r="X7" s="78"/>
      <c r="Y7" s="78"/>
      <c r="Z7" s="78"/>
      <c r="AA7" s="78"/>
      <c r="AB7" s="78"/>
      <c r="AC7" s="78"/>
      <c r="AD7" s="78"/>
      <c r="AE7" s="79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37" t="s">
        <v>62</v>
      </c>
      <c r="E8" s="24" t="s">
        <v>68</v>
      </c>
      <c r="F8" s="37" t="s">
        <v>64</v>
      </c>
      <c r="G8" s="37" t="s">
        <v>66</v>
      </c>
      <c r="H8" s="24" t="s">
        <v>69</v>
      </c>
      <c r="I8" s="37" t="s">
        <v>67</v>
      </c>
      <c r="J8" s="25" t="s">
        <v>63</v>
      </c>
      <c r="L8" s="37" t="s">
        <v>296</v>
      </c>
      <c r="M8" s="37" t="s">
        <v>62</v>
      </c>
      <c r="N8" s="24" t="s">
        <v>68</v>
      </c>
      <c r="O8" s="37" t="s">
        <v>64</v>
      </c>
      <c r="P8" s="37" t="s">
        <v>66</v>
      </c>
      <c r="Q8" s="24" t="s">
        <v>69</v>
      </c>
      <c r="R8" s="37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475</v>
      </c>
      <c r="D9" s="11" t="str">
        <f>CONCATENATE("SUMIF(",IF(C9="FactReal","FactRealE",C9),"!B:B,ReliquidacionEFACT!B",A9,",",IF(C9="FactReal","FactRealE",C9),"!N:N)")</f>
        <v>SUMIF(FactRealE!B:B,ReliquidacionEFACT!B9,FactRealE!N:N)</v>
      </c>
      <c r="E9" s="11" t="str">
        <f t="shared" ref="E9:E21" si="0">CONCATENATE("SUMIF(",IF(C9="FactReal","FactRealE",C9),"!B:B,ReliquidacionEFACT!B",A9,",",IF(C9="FactReal","FactRealE",C9),"!L:L)")</f>
        <v>SUMIF(FactRealE!B:B,ReliquidacionEFACT!B9,FactRealE!L:L)</v>
      </c>
      <c r="F9" s="12" t="str">
        <f>CONCATENATE("IFERROR((E",A9,"/D",A9,"),0)")</f>
        <v>IFERROR((E9/D9),0)</v>
      </c>
      <c r="G9" s="13" t="str">
        <f>CONCATENATE("SUMIF(",IF(C9="FactReal","FactRealP",C9),"!B:B,ReliquidacionEFACT!B",A9,",",IF(C9="FactReal","FactRealP",C9),"!N:N)")</f>
        <v>SUMIF(FactRealP!B:B,ReliquidacionEFACT!B9,FactRealP!N:N)</v>
      </c>
      <c r="H9" s="11" t="str">
        <f t="shared" ref="H9:H23" si="1">CONCATENATE("SUMIF(",IF(C9="FactReal","FactRealP",C9),"!B:B,ReliquidacionEFACT!B",A9,",",IF(C9="FactReal","FactRealP",C9),"!L:L)")</f>
        <v>SUMIF(FactRealP!B:B,ReliquidacionEFACT!B9,FactRealP!L:L)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1" t="str">
        <f>(MAPA_DATA!K2)</f>
        <v>EFACT_CNE</v>
      </c>
      <c r="M9" s="11" t="str">
        <f t="shared" ref="M9:M40" si="2">CONCATENATE("SUMIF(",L9,"!B:B,ReliquidacionEFACT!B",A9,",",L9,"!S:S)")</f>
        <v>SUMIF(EFACT_CNE!B:B,ReliquidacionEFACT!B9,EFACT_CNE!S:S)</v>
      </c>
      <c r="N9" s="11" t="str">
        <f t="shared" ref="N9:N40" si="3">CONCATENATE("SUMIF(",L9,"!B:B,ReliquidacionEFACT!B",A9,",",L9,"!T:T)")</f>
        <v>SUMIF(EFACT_CNE!B:B,ReliquidacionEFACT!B9,EFACT_CNE!T:T)</v>
      </c>
      <c r="O9" s="12" t="str">
        <f>CONCATENATE("IFERROR((N",A9,"/M",A9,"),0)")</f>
        <v>IFERROR((N9/M9),0)</v>
      </c>
      <c r="P9" s="13" t="str">
        <f t="shared" ref="P9:P40" si="4">CONCATENATE("SUMIF(",L9,"!B:B,ReliquidacionEFACT!B",A9,",",L9,"!U:U)")</f>
        <v>SUMIF(EFACT_CNE!B:B,ReliquidacionEFACT!B9,EFACT_CNE!U:U)</v>
      </c>
      <c r="Q9" s="11" t="str">
        <f t="shared" ref="Q9:Q40" si="5">CONCATENATE("SUMIF(",L9,"!B:B,ReliquidacionEFACT!B",A9,",",L9,"!V:V)")</f>
        <v>SUMIF(EFACT_CNE!B:B,ReliquidacionEFACT!B9,EFACT_CNE!V:V)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475</v>
      </c>
      <c r="D10" s="11" t="str">
        <f t="shared" ref="D10:D52" si="6">CONCATENATE("SUMIF(",IF(C10="FactReal","FactRealE",C10),"!B:B,ReliquidacionEFACT!B",A10,",",IF(C10="FactReal","FactRealE",C10),"!N:N)")</f>
        <v>SUMIF(FactRealE!B:B,ReliquidacionEFACT!B10,FactRealE!N:N)</v>
      </c>
      <c r="E10" s="11" t="str">
        <f t="shared" si="0"/>
        <v>SUMIF(FactRealE!B:B,ReliquidacionEFACT!B10,FactRealE!L:L)</v>
      </c>
      <c r="F10" s="12" t="str">
        <f t="shared" ref="F10:F65" si="7">CONCATENATE("IFERROR((E",A10,"/D",A10,"),0)")</f>
        <v>IFERROR((E10/D10),0)</v>
      </c>
      <c r="G10" s="13" t="str">
        <f t="shared" ref="G10:G52" si="8">CONCATENATE("SUMIF(",IF(C10="FactReal","FactRealP",C10),"!B:B,ReliquidacionEFACT!B",A10,",",IF(C10="FactReal","FactRealP",C10),"!N:N)")</f>
        <v>SUMIF(FactRealP!B:B,ReliquidacionEFACT!B10,FactRealP!N:N)</v>
      </c>
      <c r="H10" s="11" t="str">
        <f t="shared" si="1"/>
        <v>SUMIF(FactRealP!B:B,ReliquidacionEFACT!B10,FactRealP!L:L)</v>
      </c>
      <c r="I10" s="12" t="str">
        <f t="shared" ref="I10:I65" si="9">CONCATENATE("IFERROR((H",A10,"/G",A10,"),0)")</f>
        <v>IFERROR((H10/G10),0)</v>
      </c>
      <c r="J10" s="11" t="str">
        <f t="shared" ref="J10:J65" si="10">CONCATENATE("(E",A10,"+H",A10,")")</f>
        <v>(E10+H10)</v>
      </c>
      <c r="L10" s="41" t="str">
        <f>(MAPA_DATA!K3)</f>
        <v>EFACT_CNE</v>
      </c>
      <c r="M10" s="11" t="str">
        <f t="shared" si="2"/>
        <v>SUMIF(EFACT_CNE!B:B,ReliquidacionEFACT!B10,EFACT_CNE!S:S)</v>
      </c>
      <c r="N10" s="11" t="str">
        <f t="shared" si="3"/>
        <v>SUMIF(EFACT_CNE!B:B,ReliquidacionEFACT!B10,EFACT_CNE!T:T)</v>
      </c>
      <c r="O10" s="12" t="str">
        <f t="shared" ref="O10:O65" si="11">CONCATENATE("IFERROR((N",A10,"/M",A10,"),0)")</f>
        <v>IFERROR((N10/M10),0)</v>
      </c>
      <c r="P10" s="13" t="str">
        <f t="shared" si="4"/>
        <v>SUMIF(EFACT_CNE!B:B,ReliquidacionEFACT!B10,EFACT_CNE!U:U)</v>
      </c>
      <c r="Q10" s="11" t="str">
        <f t="shared" si="5"/>
        <v>SUMIF(EFACT_CNE!B:B,ReliquidacionEFACT!B10,EFACT_CNE!V:V)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475</v>
      </c>
      <c r="D11" s="11" t="str">
        <f t="shared" si="6"/>
        <v>SUMIF(FactRealE!B:B,ReliquidacionEFACT!B11,FactRealE!N:N)</v>
      </c>
      <c r="E11" s="11" t="str">
        <f t="shared" si="0"/>
        <v>SUMIF(FactRealE!B:B,ReliquidacionEFACT!B11,FactRealE!L:L)</v>
      </c>
      <c r="F11" s="12" t="str">
        <f t="shared" si="7"/>
        <v>IFERROR((E11/D11),0)</v>
      </c>
      <c r="G11" s="13" t="str">
        <f t="shared" si="8"/>
        <v>SUMIF(FactRealP!B:B,ReliquidacionEFACT!B11,FactRealP!N:N)</v>
      </c>
      <c r="H11" s="11" t="str">
        <f t="shared" si="1"/>
        <v>SUMIF(FactRealP!B:B,ReliquidacionEFACT!B11,FactRealP!L:L)</v>
      </c>
      <c r="I11" s="12" t="str">
        <f t="shared" si="9"/>
        <v>IFERROR((H11/G11),0)</v>
      </c>
      <c r="J11" s="11" t="str">
        <f t="shared" si="10"/>
        <v>(E11+H11)</v>
      </c>
      <c r="L11" s="41" t="str">
        <f>(MAPA_DATA!K4)</f>
        <v>EFACT_CNE</v>
      </c>
      <c r="M11" s="11" t="str">
        <f t="shared" si="2"/>
        <v>SUMIF(EFACT_CNE!B:B,ReliquidacionEFACT!B11,EFACT_CNE!S:S)</v>
      </c>
      <c r="N11" s="11" t="str">
        <f t="shared" si="3"/>
        <v>SUMIF(EFACT_CNE!B:B,ReliquidacionEFACT!B11,EFACT_CNE!T:T)</v>
      </c>
      <c r="O11" s="12" t="str">
        <f t="shared" si="11"/>
        <v>IFERROR((N11/M11),0)</v>
      </c>
      <c r="P11" s="13" t="str">
        <f t="shared" si="4"/>
        <v>SUMIF(EFACT_CNE!B:B,ReliquidacionEFACT!B11,EFACT_CNE!U:U)</v>
      </c>
      <c r="Q11" s="11" t="str">
        <f t="shared" si="5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475</v>
      </c>
      <c r="D12" s="11" t="str">
        <f t="shared" si="6"/>
        <v>SUMIF(FactRealE!B:B,ReliquidacionEFACT!B12,FactRealE!N:N)</v>
      </c>
      <c r="E12" s="11" t="str">
        <f t="shared" si="0"/>
        <v>SUMIF(FactRealE!B:B,ReliquidacionEFACT!B12,FactRealE!L:L)</v>
      </c>
      <c r="F12" s="12" t="str">
        <f t="shared" si="7"/>
        <v>IFERROR((E12/D12),0)</v>
      </c>
      <c r="G12" s="13" t="str">
        <f t="shared" si="8"/>
        <v>SUMIF(FactRealP!B:B,ReliquidacionEFACT!B12,FactRealP!N:N)</v>
      </c>
      <c r="H12" s="11" t="str">
        <f t="shared" si="1"/>
        <v>SUMIF(FactRealP!B:B,ReliquidacionEFACT!B12,FactRealP!L:L)</v>
      </c>
      <c r="I12" s="12" t="str">
        <f t="shared" si="9"/>
        <v>IFERROR((H12/G12),0)</v>
      </c>
      <c r="J12" s="11" t="str">
        <f t="shared" si="10"/>
        <v>(E12+H12)</v>
      </c>
      <c r="L12" s="41" t="str">
        <f>(MAPA_DATA!K5)</f>
        <v>EFACT_CNE</v>
      </c>
      <c r="M12" s="11" t="str">
        <f t="shared" si="2"/>
        <v>SUMIF(EFACT_CNE!B:B,ReliquidacionEFACT!B12,EFACT_CNE!S:S)</v>
      </c>
      <c r="N12" s="11" t="str">
        <f t="shared" si="3"/>
        <v>SUMIF(EFACT_CNE!B:B,ReliquidacionEFACT!B12,EFACT_CNE!T:T)</v>
      </c>
      <c r="O12" s="12" t="str">
        <f t="shared" si="11"/>
        <v>IFERROR((N12/M12),0)</v>
      </c>
      <c r="P12" s="13" t="str">
        <f t="shared" si="4"/>
        <v>SUMIF(EFACT_CNE!B:B,ReliquidacionEFACT!B12,EFACT_CNE!U:U)</v>
      </c>
      <c r="Q12" s="11" t="str">
        <f t="shared" si="5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475</v>
      </c>
      <c r="D13" s="11" t="str">
        <f t="shared" si="6"/>
        <v>SUMIF(FactRealE!B:B,ReliquidacionEFACT!B13,FactRealE!N:N)</v>
      </c>
      <c r="E13" s="11" t="str">
        <f t="shared" si="0"/>
        <v>SUMIF(FactRealE!B:B,ReliquidacionEFACT!B13,FactRealE!L:L)</v>
      </c>
      <c r="F13" s="12" t="str">
        <f t="shared" si="7"/>
        <v>IFERROR((E13/D13),0)</v>
      </c>
      <c r="G13" s="13" t="str">
        <f t="shared" si="8"/>
        <v>SUMIF(FactRealP!B:B,ReliquidacionEFACT!B13,FactRealP!N:N)</v>
      </c>
      <c r="H13" s="11" t="str">
        <f t="shared" si="1"/>
        <v>SUMIF(FactRealP!B:B,ReliquidacionEFACT!B13,FactRealP!L:L)</v>
      </c>
      <c r="I13" s="12" t="str">
        <f t="shared" si="9"/>
        <v>IFERROR((H13/G13),0)</v>
      </c>
      <c r="J13" s="11" t="str">
        <f t="shared" si="10"/>
        <v>(E13+H13)</v>
      </c>
      <c r="L13" s="41" t="str">
        <f>(MAPA_DATA!K6)</f>
        <v>EFACT_CNE</v>
      </c>
      <c r="M13" s="11" t="str">
        <f t="shared" si="2"/>
        <v>SUMIF(EFACT_CNE!B:B,ReliquidacionEFACT!B13,EFACT_CNE!S:S)</v>
      </c>
      <c r="N13" s="11" t="str">
        <f t="shared" si="3"/>
        <v>SUMIF(EFACT_CNE!B:B,ReliquidacionEFACT!B13,EFACT_CNE!T:T)</v>
      </c>
      <c r="O13" s="12" t="str">
        <f t="shared" si="11"/>
        <v>IFERROR((N13/M13),0)</v>
      </c>
      <c r="P13" s="13" t="str">
        <f t="shared" si="4"/>
        <v>SUMIF(EFACT_CNE!B:B,ReliquidacionEFACT!B13,EFACT_CNE!U:U)</v>
      </c>
      <c r="Q13" s="11" t="str">
        <f t="shared" si="5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475</v>
      </c>
      <c r="D14" s="11" t="str">
        <f t="shared" si="6"/>
        <v>SUMIF(FactRealE!B:B,ReliquidacionEFACT!B14,FactRealE!N:N)</v>
      </c>
      <c r="E14" s="11" t="str">
        <f t="shared" si="0"/>
        <v>SUMIF(FactRealE!B:B,ReliquidacionEFACT!B14,FactRealE!L:L)</v>
      </c>
      <c r="F14" s="12" t="str">
        <f t="shared" si="7"/>
        <v>IFERROR((E14/D14),0)</v>
      </c>
      <c r="G14" s="13" t="str">
        <f t="shared" si="8"/>
        <v>SUMIF(FactRealP!B:B,ReliquidacionEFACT!B14,FactRealP!N:N)</v>
      </c>
      <c r="H14" s="11" t="str">
        <f t="shared" si="1"/>
        <v>SUMIF(FactRealP!B:B,ReliquidacionEFACT!B14,FactRealP!L:L)</v>
      </c>
      <c r="I14" s="12" t="str">
        <f t="shared" si="9"/>
        <v>IFERROR((H14/G14),0)</v>
      </c>
      <c r="J14" s="11" t="str">
        <f t="shared" si="10"/>
        <v>(E14+H14)</v>
      </c>
      <c r="L14" s="41" t="str">
        <f>(MAPA_DATA!K7)</f>
        <v>EFACT_CNE</v>
      </c>
      <c r="M14" s="11" t="str">
        <f t="shared" si="2"/>
        <v>SUMIF(EFACT_CNE!B:B,ReliquidacionEFACT!B14,EFACT_CNE!S:S)</v>
      </c>
      <c r="N14" s="11" t="str">
        <f t="shared" si="3"/>
        <v>SUMIF(EFACT_CNE!B:B,ReliquidacionEFACT!B14,EFACT_CNE!T:T)</v>
      </c>
      <c r="O14" s="12" t="str">
        <f t="shared" si="11"/>
        <v>IFERROR((N14/M14),0)</v>
      </c>
      <c r="P14" s="13" t="str">
        <f t="shared" si="4"/>
        <v>SUMIF(EFACT_CNE!B:B,ReliquidacionEFACT!B14,EFACT_CNE!U:U)</v>
      </c>
      <c r="Q14" s="11" t="str">
        <f t="shared" si="5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475</v>
      </c>
      <c r="D15" s="11" t="str">
        <f t="shared" si="6"/>
        <v>SUMIF(FactRealE!B:B,ReliquidacionEFACT!B15,FactRealE!N:N)</v>
      </c>
      <c r="E15" s="11" t="str">
        <f t="shared" si="0"/>
        <v>SUMIF(FactRealE!B:B,ReliquidacionEFACT!B15,FactRealE!L:L)</v>
      </c>
      <c r="F15" s="12" t="str">
        <f t="shared" si="7"/>
        <v>IFERROR((E15/D15),0)</v>
      </c>
      <c r="G15" s="13" t="str">
        <f t="shared" si="8"/>
        <v>SUMIF(FactRealP!B:B,ReliquidacionEFACT!B15,FactRealP!N:N)</v>
      </c>
      <c r="H15" s="11" t="str">
        <f t="shared" si="1"/>
        <v>SUMIF(FactRealP!B:B,ReliquidacionEFACT!B15,FactRealP!L:L)</v>
      </c>
      <c r="I15" s="12" t="str">
        <f t="shared" si="9"/>
        <v>IFERROR((H15/G15),0)</v>
      </c>
      <c r="J15" s="11" t="str">
        <f t="shared" si="10"/>
        <v>(E15+H15)</v>
      </c>
      <c r="L15" s="41" t="str">
        <f>(MAPA_DATA!K8)</f>
        <v>EFACT_CNE</v>
      </c>
      <c r="M15" s="11" t="str">
        <f t="shared" si="2"/>
        <v>SUMIF(EFACT_CNE!B:B,ReliquidacionEFACT!B15,EFACT_CNE!S:S)</v>
      </c>
      <c r="N15" s="11" t="str">
        <f t="shared" si="3"/>
        <v>SUMIF(EFACT_CNE!B:B,ReliquidacionEFACT!B15,EFACT_CNE!T:T)</v>
      </c>
      <c r="O15" s="12" t="str">
        <f t="shared" si="11"/>
        <v>IFERROR((N15/M15),0)</v>
      </c>
      <c r="P15" s="13" t="str">
        <f t="shared" si="4"/>
        <v>SUMIF(EFACT_CNE!B:B,ReliquidacionEFACT!B15,EFACT_CNE!U:U)</v>
      </c>
      <c r="Q15" s="11" t="str">
        <f t="shared" si="5"/>
        <v>SUMIF(EFACT_CNE!B:B,ReliquidacionEFACT!B15,EFACT_CNE!V:V)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475</v>
      </c>
      <c r="D16" s="11" t="str">
        <f t="shared" si="6"/>
        <v>SUMIF(FactRealE!B:B,ReliquidacionEFACT!B16,FactRealE!N:N)</v>
      </c>
      <c r="E16" s="11" t="str">
        <f t="shared" si="0"/>
        <v>SUMIF(FactRealE!B:B,ReliquidacionEFACT!B16,FactRealE!L:L)</v>
      </c>
      <c r="F16" s="12" t="str">
        <f t="shared" si="7"/>
        <v>IFERROR((E16/D16),0)</v>
      </c>
      <c r="G16" s="13" t="str">
        <f t="shared" si="8"/>
        <v>SUMIF(FactRealP!B:B,ReliquidacionEFACT!B16,FactRealP!N:N)</v>
      </c>
      <c r="H16" s="11" t="str">
        <f t="shared" si="1"/>
        <v>SUMIF(FactRealP!B:B,ReliquidacionEFACT!B16,FactRealP!L:L)</v>
      </c>
      <c r="I16" s="12" t="str">
        <f t="shared" si="9"/>
        <v>IFERROR((H16/G16),0)</v>
      </c>
      <c r="J16" s="11" t="str">
        <f t="shared" si="10"/>
        <v>(E16+H16)</v>
      </c>
      <c r="L16" s="41" t="str">
        <f>(MAPA_DATA!K9)</f>
        <v>EFACT_CNE</v>
      </c>
      <c r="M16" s="11" t="str">
        <f t="shared" si="2"/>
        <v>SUMIF(EFACT_CNE!B:B,ReliquidacionEFACT!B16,EFACT_CNE!S:S)</v>
      </c>
      <c r="N16" s="11" t="str">
        <f t="shared" si="3"/>
        <v>SUMIF(EFACT_CNE!B:B,ReliquidacionEFACT!B16,EFACT_CNE!T:T)</v>
      </c>
      <c r="O16" s="12" t="str">
        <f t="shared" si="11"/>
        <v>IFERROR((N16/M16),0)</v>
      </c>
      <c r="P16" s="13" t="str">
        <f t="shared" si="4"/>
        <v>SUMIF(EFACT_CNE!B:B,ReliquidacionEFACT!B16,EFACT_CNE!U:U)</v>
      </c>
      <c r="Q16" s="11" t="str">
        <f t="shared" si="5"/>
        <v>SUMIF(EFACT_CNE!B:B,ReliquidacionEFACT!B16,EFACT_CNE!V:V)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475</v>
      </c>
      <c r="D17" s="11" t="str">
        <f t="shared" si="6"/>
        <v>SUMIF(FactRealE!B:B,ReliquidacionEFACT!B17,FactRealE!N:N)</v>
      </c>
      <c r="E17" s="11" t="str">
        <f t="shared" si="0"/>
        <v>SUMIF(FactRealE!B:B,ReliquidacionEFACT!B17,FactRealE!L:L)</v>
      </c>
      <c r="F17" s="12" t="str">
        <f t="shared" si="7"/>
        <v>IFERROR((E17/D17),0)</v>
      </c>
      <c r="G17" s="13" t="str">
        <f t="shared" si="8"/>
        <v>SUMIF(FactRealP!B:B,ReliquidacionEFACT!B17,FactRealP!N:N)</v>
      </c>
      <c r="H17" s="11" t="str">
        <f t="shared" si="1"/>
        <v>SUMIF(FactRealP!B:B,ReliquidacionEFACT!B17,FactRealP!L:L)</v>
      </c>
      <c r="I17" s="12" t="str">
        <f t="shared" si="9"/>
        <v>IFERROR((H17/G17),0)</v>
      </c>
      <c r="J17" s="11" t="str">
        <f t="shared" si="10"/>
        <v>(E17+H17)</v>
      </c>
      <c r="L17" s="41" t="str">
        <f>(MAPA_DATA!K10)</f>
        <v>EFACT_CNE</v>
      </c>
      <c r="M17" s="11" t="str">
        <f t="shared" si="2"/>
        <v>SUMIF(EFACT_CNE!B:B,ReliquidacionEFACT!B17,EFACT_CNE!S:S)</v>
      </c>
      <c r="N17" s="11" t="str">
        <f t="shared" si="3"/>
        <v>SUMIF(EFACT_CNE!B:B,ReliquidacionEFACT!B17,EFACT_CNE!T:T)</v>
      </c>
      <c r="O17" s="12" t="str">
        <f t="shared" si="11"/>
        <v>IFERROR((N17/M17),0)</v>
      </c>
      <c r="P17" s="13" t="str">
        <f t="shared" si="4"/>
        <v>SUMIF(EFACT_CNE!B:B,ReliquidacionEFACT!B17,EFACT_CNE!U:U)</v>
      </c>
      <c r="Q17" s="11" t="str">
        <f t="shared" si="5"/>
        <v>SUMIF(EFACT_CNE!B:B,ReliquidacionEFACT!B17,EFACT_CNE!V:V)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475</v>
      </c>
      <c r="D18" s="11" t="str">
        <f t="shared" si="6"/>
        <v>SUMIF(FactRealE!B:B,ReliquidacionEFACT!B18,FactRealE!N:N)</v>
      </c>
      <c r="E18" s="11" t="str">
        <f t="shared" si="0"/>
        <v>SUMIF(FactRealE!B:B,ReliquidacionEFACT!B18,FactRealE!L:L)</v>
      </c>
      <c r="F18" s="12" t="str">
        <f t="shared" si="7"/>
        <v>IFERROR((E18/D18),0)</v>
      </c>
      <c r="G18" s="13" t="str">
        <f t="shared" si="8"/>
        <v>SUMIF(FactRealP!B:B,ReliquidacionEFACT!B18,FactRealP!N:N)</v>
      </c>
      <c r="H18" s="11" t="str">
        <f t="shared" si="1"/>
        <v>SUMIF(FactRealP!B:B,ReliquidacionEFACT!B18,FactRealP!L:L)</v>
      </c>
      <c r="I18" s="12" t="str">
        <f t="shared" si="9"/>
        <v>IFERROR((H18/G18),0)</v>
      </c>
      <c r="J18" s="11" t="str">
        <f t="shared" si="10"/>
        <v>(E18+H18)</v>
      </c>
      <c r="L18" s="41" t="str">
        <f>(MAPA_DATA!K11)</f>
        <v>EFACT_CNE</v>
      </c>
      <c r="M18" s="11" t="str">
        <f t="shared" si="2"/>
        <v>SUMIF(EFACT_CNE!B:B,ReliquidacionEFACT!B18,EFACT_CNE!S:S)</v>
      </c>
      <c r="N18" s="11" t="str">
        <f t="shared" si="3"/>
        <v>SUMIF(EFACT_CNE!B:B,ReliquidacionEFACT!B18,EFACT_CNE!T:T)</v>
      </c>
      <c r="O18" s="12" t="str">
        <f t="shared" si="11"/>
        <v>IFERROR((N18/M18),0)</v>
      </c>
      <c r="P18" s="13" t="str">
        <f t="shared" si="4"/>
        <v>SUMIF(EFACT_CNE!B:B,ReliquidacionEFACT!B18,EFACT_CNE!U:U)</v>
      </c>
      <c r="Q18" s="11" t="str">
        <f t="shared" si="5"/>
        <v>SUMIF(EFACT_CNE!B:B,ReliquidacionEFACT!B18,EFACT_CNE!V:V)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475</v>
      </c>
      <c r="D19" s="11" t="str">
        <f t="shared" si="6"/>
        <v>SUMIF(FactRealE!B:B,ReliquidacionEFACT!B19,FactRealE!N:N)</v>
      </c>
      <c r="E19" s="11" t="str">
        <f t="shared" si="0"/>
        <v>SUMIF(FactRealE!B:B,ReliquidacionEFACT!B19,FactRealE!L:L)</v>
      </c>
      <c r="F19" s="12" t="str">
        <f t="shared" si="7"/>
        <v>IFERROR((E19/D19),0)</v>
      </c>
      <c r="G19" s="13" t="str">
        <f t="shared" si="8"/>
        <v>SUMIF(FactRealP!B:B,ReliquidacionEFACT!B19,FactRealP!N:N)</v>
      </c>
      <c r="H19" s="11" t="str">
        <f t="shared" si="1"/>
        <v>SUMIF(FactRealP!B:B,ReliquidacionEFACT!B19,FactRealP!L:L)</v>
      </c>
      <c r="I19" s="12" t="str">
        <f t="shared" si="9"/>
        <v>IFERROR((H19/G19),0)</v>
      </c>
      <c r="J19" s="11" t="str">
        <f t="shared" si="10"/>
        <v>(E19+H19)</v>
      </c>
      <c r="L19" s="41" t="str">
        <f>(MAPA_DATA!K12)</f>
        <v>EFACT_CNE</v>
      </c>
      <c r="M19" s="11" t="str">
        <f t="shared" si="2"/>
        <v>SUMIF(EFACT_CNE!B:B,ReliquidacionEFACT!B19,EFACT_CNE!S:S)</v>
      </c>
      <c r="N19" s="11" t="str">
        <f t="shared" si="3"/>
        <v>SUMIF(EFACT_CNE!B:B,ReliquidacionEFACT!B19,EFACT_CNE!T:T)</v>
      </c>
      <c r="O19" s="12" t="str">
        <f t="shared" si="11"/>
        <v>IFERROR((N19/M19),0)</v>
      </c>
      <c r="P19" s="13" t="str">
        <f t="shared" si="4"/>
        <v>SUMIF(EFACT_CNE!B:B,ReliquidacionEFACT!B19,EFACT_CNE!U:U)</v>
      </c>
      <c r="Q19" s="11" t="str">
        <f t="shared" si="5"/>
        <v>SUMIF(EFACT_CNE!B:B,ReliquidacionEFACT!B19,EFACT_CNE!V:V)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475</v>
      </c>
      <c r="D20" s="11" t="str">
        <f t="shared" si="6"/>
        <v>SUMIF(FactRealE!B:B,ReliquidacionEFACT!B20,FactRealE!N:N)</v>
      </c>
      <c r="E20" s="11" t="str">
        <f t="shared" si="0"/>
        <v>SUMIF(FactRealE!B:B,ReliquidacionEFACT!B20,FactRealE!L:L)</v>
      </c>
      <c r="F20" s="12" t="str">
        <f t="shared" si="7"/>
        <v>IFERROR((E20/D20),0)</v>
      </c>
      <c r="G20" s="13" t="str">
        <f t="shared" si="8"/>
        <v>SUMIF(FactRealP!B:B,ReliquidacionEFACT!B20,FactRealP!N:N)</v>
      </c>
      <c r="H20" s="11" t="str">
        <f t="shared" si="1"/>
        <v>SUMIF(FactRealP!B:B,ReliquidacionEFACT!B20,FactRealP!L:L)</v>
      </c>
      <c r="I20" s="12" t="str">
        <f t="shared" si="9"/>
        <v>IFERROR((H20/G20),0)</v>
      </c>
      <c r="J20" s="11" t="str">
        <f t="shared" si="10"/>
        <v>(E20+H20)</v>
      </c>
      <c r="L20" s="41" t="str">
        <f>(MAPA_DATA!K13)</f>
        <v>EFACT_CNE</v>
      </c>
      <c r="M20" s="11" t="str">
        <f t="shared" si="2"/>
        <v>SUMIF(EFACT_CNE!B:B,ReliquidacionEFACT!B20,EFACT_CNE!S:S)</v>
      </c>
      <c r="N20" s="11" t="str">
        <f t="shared" si="3"/>
        <v>SUMIF(EFACT_CNE!B:B,ReliquidacionEFACT!B20,EFACT_CNE!T:T)</v>
      </c>
      <c r="O20" s="12" t="str">
        <f t="shared" si="11"/>
        <v>IFERROR((N20/M20),0)</v>
      </c>
      <c r="P20" s="13" t="str">
        <f t="shared" si="4"/>
        <v>SUMIF(EFACT_CNE!B:B,ReliquidacionEFACT!B20,EFACT_CNE!U:U)</v>
      </c>
      <c r="Q20" s="11" t="str">
        <f t="shared" si="5"/>
        <v>SUMIF(EFACT_CNE!B:B,ReliquidacionEFACT!B20,EFACT_CNE!V:V)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475</v>
      </c>
      <c r="D21" s="11" t="str">
        <f t="shared" si="6"/>
        <v>SUMIF(FactRealE!B:B,ReliquidacionEFACT!B21,FactRealE!N:N)</v>
      </c>
      <c r="E21" s="11" t="str">
        <f t="shared" si="0"/>
        <v>SUMIF(FactRealE!B:B,ReliquidacionEFACT!B21,FactRealE!L:L)</v>
      </c>
      <c r="F21" s="12" t="str">
        <f t="shared" si="7"/>
        <v>IFERROR((E21/D21),0)</v>
      </c>
      <c r="G21" s="13" t="str">
        <f t="shared" si="8"/>
        <v>SUMIF(FactRealP!B:B,ReliquidacionEFACT!B21,FactRealP!N:N)</v>
      </c>
      <c r="H21" s="11" t="str">
        <f t="shared" si="1"/>
        <v>SUMIF(FactRealP!B:B,ReliquidacionEFACT!B21,FactRealP!L:L)</v>
      </c>
      <c r="I21" s="12" t="str">
        <f t="shared" si="9"/>
        <v>IFERROR((H21/G21),0)</v>
      </c>
      <c r="J21" s="11" t="str">
        <f t="shared" si="10"/>
        <v>(E21+H21)</v>
      </c>
      <c r="L21" s="41" t="str">
        <f>(MAPA_DATA!K14)</f>
        <v>EFACT_CNE</v>
      </c>
      <c r="M21" s="11" t="str">
        <f t="shared" si="2"/>
        <v>SUMIF(EFACT_CNE!B:B,ReliquidacionEFACT!B21,EFACT_CNE!S:S)</v>
      </c>
      <c r="N21" s="11" t="str">
        <f t="shared" si="3"/>
        <v>SUMIF(EFACT_CNE!B:B,ReliquidacionEFACT!B21,EFACT_CNE!T:T)</v>
      </c>
      <c r="O21" s="12" t="str">
        <f t="shared" si="11"/>
        <v>IFERROR((N21/M21),0)</v>
      </c>
      <c r="P21" s="13" t="str">
        <f t="shared" si="4"/>
        <v>SUMIF(EFACT_CNE!B:B,ReliquidacionEFACT!B21,EFACT_CNE!U:U)</v>
      </c>
      <c r="Q21" s="11" t="str">
        <f t="shared" si="5"/>
        <v>SUMIF(EFACT_CNE!B:B,ReliquidacionEFACT!B21,EFACT_CNE!V:V)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475</v>
      </c>
      <c r="D22" s="11" t="str">
        <f t="shared" si="6"/>
        <v>SUMIF(FactRealE!B:B,ReliquidacionEFACT!B22,FactRealE!N:N)</v>
      </c>
      <c r="E22" s="11" t="str">
        <f t="shared" ref="E22:E52" si="21">CONCATENATE("SUMIF(",IF(C22="FactReal","FactRealE",C22),"!B:B,ReliquidacionEFACT!B",A22,",",IF(C22="FactReal","FactRealE",C22),"!L:L)")</f>
        <v>SUMIF(FactRealE!B:B,ReliquidacionEFACT!B22,FactRealE!L:L)</v>
      </c>
      <c r="F22" s="12" t="str">
        <f t="shared" si="7"/>
        <v>IFERROR((E22/D22),0)</v>
      </c>
      <c r="G22" s="13" t="str">
        <f t="shared" si="8"/>
        <v>SUMIF(FactRealP!B:B,ReliquidacionEFACT!B22,FactRealP!N:N)</v>
      </c>
      <c r="H22" s="11" t="str">
        <f t="shared" si="1"/>
        <v>SUMIF(FactRealP!B:B,ReliquidacionEFACT!B22,FactRealP!L:L)</v>
      </c>
      <c r="I22" s="12" t="str">
        <f t="shared" si="9"/>
        <v>IFERROR((H22/G22),0)</v>
      </c>
      <c r="J22" s="11" t="str">
        <f t="shared" si="10"/>
        <v>(E22+H22)</v>
      </c>
      <c r="L22" s="41" t="str">
        <f>(MAPA_DATA!K15)</f>
        <v>EFACT_CNE</v>
      </c>
      <c r="M22" s="11" t="str">
        <f t="shared" si="2"/>
        <v>SUMIF(EFACT_CNE!B:B,ReliquidacionEFACT!B22,EFACT_CNE!S:S)</v>
      </c>
      <c r="N22" s="11" t="str">
        <f t="shared" si="3"/>
        <v>SUMIF(EFACT_CNE!B:B,ReliquidacionEFACT!B22,EFACT_CNE!T:T)</v>
      </c>
      <c r="O22" s="12" t="str">
        <f t="shared" si="11"/>
        <v>IFERROR((N22/M22),0)</v>
      </c>
      <c r="P22" s="13" t="str">
        <f t="shared" si="4"/>
        <v>SUMIF(EFACT_CNE!B:B,ReliquidacionEFACT!B22,EFACT_CNE!U:U)</v>
      </c>
      <c r="Q22" s="11" t="str">
        <f t="shared" si="5"/>
        <v>SUMIF(EFACT_CNE!B:B,ReliquidacionEFACT!B22,EFACT_CNE!V:V)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475</v>
      </c>
      <c r="D23" s="11" t="str">
        <f t="shared" si="6"/>
        <v>SUMIF(FactRealE!B:B,ReliquidacionEFACT!B23,FactRealE!N:N)</v>
      </c>
      <c r="E23" s="11" t="str">
        <f t="shared" si="21"/>
        <v>SUMIF(FactRealE!B:B,ReliquidacionEFACT!B23,FactRealE!L:L)</v>
      </c>
      <c r="F23" s="12" t="str">
        <f t="shared" si="7"/>
        <v>IFERROR((E23/D23),0)</v>
      </c>
      <c r="G23" s="13" t="str">
        <f t="shared" si="8"/>
        <v>SUMIF(FactRealP!B:B,ReliquidacionEFACT!B23,FactRealP!N:N)</v>
      </c>
      <c r="H23" s="11" t="str">
        <f t="shared" si="1"/>
        <v>SUMIF(FactRealP!B:B,ReliquidacionEFACT!B23,FactRealP!L:L)</v>
      </c>
      <c r="I23" s="12" t="str">
        <f t="shared" si="9"/>
        <v>IFERROR((H23/G23),0)</v>
      </c>
      <c r="J23" s="11" t="str">
        <f t="shared" si="10"/>
        <v>(E23+H23)</v>
      </c>
      <c r="L23" s="41" t="str">
        <f>(MAPA_DATA!K16)</f>
        <v>EFACT_CNE</v>
      </c>
      <c r="M23" s="11" t="str">
        <f t="shared" si="2"/>
        <v>SUMIF(EFACT_CNE!B:B,ReliquidacionEFACT!B23,EFACT_CNE!S:S)</v>
      </c>
      <c r="N23" s="11" t="str">
        <f t="shared" si="3"/>
        <v>SUMIF(EFACT_CNE!B:B,ReliquidacionEFACT!B23,EFACT_CNE!T:T)</v>
      </c>
      <c r="O23" s="12" t="str">
        <f t="shared" si="11"/>
        <v>IFERROR((N23/M23),0)</v>
      </c>
      <c r="P23" s="13" t="str">
        <f t="shared" si="4"/>
        <v>SUMIF(EFACT_CNE!B:B,ReliquidacionEFACT!B23,EFACT_CNE!U:U)</v>
      </c>
      <c r="Q23" s="11" t="str">
        <f t="shared" si="5"/>
        <v>SUMIF(EFACT_CNE!B:B,ReliquidacionEFACT!B23,EFACT_CNE!V:V)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475</v>
      </c>
      <c r="D24" s="11" t="str">
        <f t="shared" si="6"/>
        <v>SUMIF(FactRealE!B:B,ReliquidacionEFACT!B24,FactRealE!N:N)</v>
      </c>
      <c r="E24" s="11" t="str">
        <f t="shared" si="21"/>
        <v>SUMIF(FactRealE!B:B,ReliquidacionEFACT!B24,FactRealE!L:L)</v>
      </c>
      <c r="F24" s="12" t="str">
        <f t="shared" si="7"/>
        <v>IFERROR((E24/D24),0)</v>
      </c>
      <c r="G24" s="13" t="str">
        <f t="shared" si="8"/>
        <v>SUMIF(FactRealP!B:B,ReliquidacionEFACT!B24,FactRealP!N:N)</v>
      </c>
      <c r="H24" s="11" t="str">
        <f t="shared" ref="H24:H52" si="22">CONCATENATE("SUMIF(",IF(C24="FactReal","FactRealP",C24),"!B:B,ReliquidacionEFACT!B",A24,",",IF(C24="FactReal","FactRealP",C24),"!L:L)")</f>
        <v>SUMIF(FactRealP!B:B,ReliquidacionEFACT!B24,FactRealP!L:L)</v>
      </c>
      <c r="I24" s="12" t="str">
        <f t="shared" si="9"/>
        <v>IFERROR((H24/G24),0)</v>
      </c>
      <c r="J24" s="11" t="str">
        <f t="shared" si="10"/>
        <v>(E24+H24)</v>
      </c>
      <c r="L24" s="41" t="str">
        <f>(MAPA_DATA!K17)</f>
        <v>EFACT_CNE</v>
      </c>
      <c r="M24" s="11" t="str">
        <f t="shared" si="2"/>
        <v>SUMIF(EFACT_CNE!B:B,ReliquidacionEFACT!B24,EFACT_CNE!S:S)</v>
      </c>
      <c r="N24" s="11" t="str">
        <f t="shared" si="3"/>
        <v>SUMIF(EFACT_CNE!B:B,ReliquidacionEFACT!B24,EFACT_CNE!T:T)</v>
      </c>
      <c r="O24" s="12" t="str">
        <f t="shared" si="11"/>
        <v>IFERROR((N24/M24),0)</v>
      </c>
      <c r="P24" s="13" t="str">
        <f t="shared" si="4"/>
        <v>SUMIF(EFACT_CNE!B:B,ReliquidacionEFACT!B24,EFACT_CNE!U:U)</v>
      </c>
      <c r="Q24" s="11" t="str">
        <f t="shared" si="5"/>
        <v>SUMIF(EFACT_CNE!B:B,ReliquidacionEFACT!B24,EFACT_CNE!V:V)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475</v>
      </c>
      <c r="D25" s="11" t="str">
        <f t="shared" si="6"/>
        <v>SUMIF(FactRealE!B:B,ReliquidacionEFACT!B25,FactRealE!N:N)</v>
      </c>
      <c r="E25" s="11" t="str">
        <f t="shared" si="21"/>
        <v>SUMIF(FactRealE!B:B,ReliquidacionEFACT!B25,FactRealE!L:L)</v>
      </c>
      <c r="F25" s="12" t="str">
        <f t="shared" si="7"/>
        <v>IFERROR((E25/D25),0)</v>
      </c>
      <c r="G25" s="13" t="str">
        <f t="shared" si="8"/>
        <v>SUMIF(FactRealP!B:B,ReliquidacionEFACT!B25,FactRealP!N:N)</v>
      </c>
      <c r="H25" s="11" t="str">
        <f t="shared" si="22"/>
        <v>SUMIF(FactRealP!B:B,ReliquidacionEFACT!B25,FactRealP!L:L)</v>
      </c>
      <c r="I25" s="12" t="str">
        <f t="shared" si="9"/>
        <v>IFERROR((H25/G25),0)</v>
      </c>
      <c r="J25" s="11" t="str">
        <f t="shared" si="10"/>
        <v>(E25+H25)</v>
      </c>
      <c r="L25" s="41" t="str">
        <f>(MAPA_DATA!K18)</f>
        <v>EFACT_CNE</v>
      </c>
      <c r="M25" s="11" t="str">
        <f t="shared" si="2"/>
        <v>SUMIF(EFACT_CNE!B:B,ReliquidacionEFACT!B25,EFACT_CNE!S:S)</v>
      </c>
      <c r="N25" s="11" t="str">
        <f t="shared" si="3"/>
        <v>SUMIF(EFACT_CNE!B:B,ReliquidacionEFACT!B25,EFACT_CNE!T:T)</v>
      </c>
      <c r="O25" s="12" t="str">
        <f t="shared" si="11"/>
        <v>IFERROR((N25/M25),0)</v>
      </c>
      <c r="P25" s="13" t="str">
        <f t="shared" si="4"/>
        <v>SUMIF(EFACT_CNE!B:B,ReliquidacionEFACT!B25,EFACT_CNE!U:U)</v>
      </c>
      <c r="Q25" s="11" t="str">
        <f t="shared" si="5"/>
        <v>SUMIF(EFACT_CNE!B:B,ReliquidacionEFACT!B25,EFACT_CNE!V:V)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475</v>
      </c>
      <c r="D26" s="11" t="str">
        <f t="shared" si="6"/>
        <v>SUMIF(FactRealE!B:B,ReliquidacionEFACT!B26,FactRealE!N:N)</v>
      </c>
      <c r="E26" s="11" t="str">
        <f t="shared" si="21"/>
        <v>SUMIF(FactRealE!B:B,ReliquidacionEFACT!B26,FactRealE!L:L)</v>
      </c>
      <c r="F26" s="12" t="str">
        <f t="shared" si="7"/>
        <v>IFERROR((E26/D26),0)</v>
      </c>
      <c r="G26" s="13" t="str">
        <f t="shared" si="8"/>
        <v>SUMIF(FactRealP!B:B,ReliquidacionEFACT!B26,FactRealP!N:N)</v>
      </c>
      <c r="H26" s="11" t="str">
        <f t="shared" si="22"/>
        <v>SUMIF(FactRealP!B:B,ReliquidacionEFACT!B26,FactRealP!L:L)</v>
      </c>
      <c r="I26" s="12" t="str">
        <f t="shared" si="9"/>
        <v>IFERROR((H26/G26),0)</v>
      </c>
      <c r="J26" s="11" t="str">
        <f t="shared" si="10"/>
        <v>(E26+H26)</v>
      </c>
      <c r="L26" s="41" t="str">
        <f>(MAPA_DATA!K19)</f>
        <v>EFACT_CNE</v>
      </c>
      <c r="M26" s="11" t="str">
        <f t="shared" si="2"/>
        <v>SUMIF(EFACT_CNE!B:B,ReliquidacionEFACT!B26,EFACT_CNE!S:S)</v>
      </c>
      <c r="N26" s="11" t="str">
        <f t="shared" si="3"/>
        <v>SUMIF(EFACT_CNE!B:B,ReliquidacionEFACT!B26,EFACT_CNE!T:T)</v>
      </c>
      <c r="O26" s="12" t="str">
        <f t="shared" si="11"/>
        <v>IFERROR((N26/M26),0)</v>
      </c>
      <c r="P26" s="13" t="str">
        <f t="shared" si="4"/>
        <v>SUMIF(EFACT_CNE!B:B,ReliquidacionEFACT!B26,EFACT_CNE!U:U)</v>
      </c>
      <c r="Q26" s="11" t="str">
        <f t="shared" si="5"/>
        <v>SUMIF(EFACT_CNE!B:B,ReliquidacionEFACT!B26,EFACT_CNE!V:V)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475</v>
      </c>
      <c r="D27" s="11" t="str">
        <f t="shared" si="6"/>
        <v>SUMIF(FactRealE!B:B,ReliquidacionEFACT!B27,FactRealE!N:N)</v>
      </c>
      <c r="E27" s="11" t="str">
        <f t="shared" si="21"/>
        <v>SUMIF(FactRealE!B:B,ReliquidacionEFACT!B27,FactRealE!L:L)</v>
      </c>
      <c r="F27" s="12" t="str">
        <f t="shared" si="7"/>
        <v>IFERROR((E27/D27),0)</v>
      </c>
      <c r="G27" s="13" t="str">
        <f t="shared" si="8"/>
        <v>SUMIF(FactRealP!B:B,ReliquidacionEFACT!B27,FactRealP!N:N)</v>
      </c>
      <c r="H27" s="11" t="str">
        <f t="shared" si="22"/>
        <v>SUMIF(FactRealP!B:B,ReliquidacionEFACT!B27,FactRealP!L:L)</v>
      </c>
      <c r="I27" s="12" t="str">
        <f t="shared" si="9"/>
        <v>IFERROR((H27/G27),0)</v>
      </c>
      <c r="J27" s="11" t="str">
        <f t="shared" si="10"/>
        <v>(E27+H27)</v>
      </c>
      <c r="L27" s="41" t="str">
        <f>(MAPA_DATA!K20)</f>
        <v>EFACT_CNE</v>
      </c>
      <c r="M27" s="11" t="str">
        <f t="shared" si="2"/>
        <v>SUMIF(EFACT_CNE!B:B,ReliquidacionEFACT!B27,EFACT_CNE!S:S)</v>
      </c>
      <c r="N27" s="11" t="str">
        <f t="shared" si="3"/>
        <v>SUMIF(EFACT_CNE!B:B,ReliquidacionEFACT!B27,EFACT_CNE!T:T)</v>
      </c>
      <c r="O27" s="12" t="str">
        <f t="shared" si="11"/>
        <v>IFERROR((N27/M27),0)</v>
      </c>
      <c r="P27" s="13" t="str">
        <f t="shared" si="4"/>
        <v>SUMIF(EFACT_CNE!B:B,ReliquidacionEFACT!B27,EFACT_CNE!U:U)</v>
      </c>
      <c r="Q27" s="11" t="str">
        <f t="shared" si="5"/>
        <v>SUMIF(EFACT_CNE!B:B,ReliquidacionEFACT!B27,EFACT_CNE!V:V)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475</v>
      </c>
      <c r="D28" s="11" t="str">
        <f t="shared" si="6"/>
        <v>SUMIF(FactRealE!B:B,ReliquidacionEFACT!B28,FactRealE!N:N)</v>
      </c>
      <c r="E28" s="11" t="str">
        <f t="shared" si="21"/>
        <v>SUMIF(FactRealE!B:B,ReliquidacionEFACT!B28,FactRealE!L:L)</v>
      </c>
      <c r="F28" s="12" t="str">
        <f t="shared" si="7"/>
        <v>IFERROR((E28/D28),0)</v>
      </c>
      <c r="G28" s="13" t="str">
        <f t="shared" si="8"/>
        <v>SUMIF(FactRealP!B:B,ReliquidacionEFACT!B28,FactRealP!N:N)</v>
      </c>
      <c r="H28" s="11" t="str">
        <f t="shared" si="22"/>
        <v>SUMIF(FactRealP!B:B,ReliquidacionEFACT!B28,FactRealP!L:L)</v>
      </c>
      <c r="I28" s="12" t="str">
        <f t="shared" si="9"/>
        <v>IFERROR((H28/G28),0)</v>
      </c>
      <c r="J28" s="11" t="str">
        <f t="shared" si="10"/>
        <v>(E28+H28)</v>
      </c>
      <c r="L28" s="41" t="str">
        <f>(MAPA_DATA!K21)</f>
        <v>EFACT_CNE</v>
      </c>
      <c r="M28" s="11" t="str">
        <f t="shared" si="2"/>
        <v>SUMIF(EFACT_CNE!B:B,ReliquidacionEFACT!B28,EFACT_CNE!S:S)</v>
      </c>
      <c r="N28" s="11" t="str">
        <f t="shared" si="3"/>
        <v>SUMIF(EFACT_CNE!B:B,ReliquidacionEFACT!B28,EFACT_CNE!T:T)</v>
      </c>
      <c r="O28" s="12" t="str">
        <f t="shared" si="11"/>
        <v>IFERROR((N28/M28),0)</v>
      </c>
      <c r="P28" s="13" t="str">
        <f t="shared" si="4"/>
        <v>SUMIF(EFACT_CNE!B:B,ReliquidacionEFACT!B28,EFACT_CNE!U:U)</v>
      </c>
      <c r="Q28" s="11" t="str">
        <f t="shared" si="5"/>
        <v>SUMIF(EFACT_CNE!B:B,ReliquidacionEFACT!B28,EFACT_CNE!V:V)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475</v>
      </c>
      <c r="D29" s="11" t="str">
        <f t="shared" si="6"/>
        <v>SUMIF(FactRealE!B:B,ReliquidacionEFACT!B29,FactRealE!N:N)</v>
      </c>
      <c r="E29" s="11" t="str">
        <f t="shared" si="21"/>
        <v>SUMIF(FactRealE!B:B,ReliquidacionEFACT!B29,FactRealE!L:L)</v>
      </c>
      <c r="F29" s="12" t="str">
        <f t="shared" si="7"/>
        <v>IFERROR((E29/D29),0)</v>
      </c>
      <c r="G29" s="13" t="str">
        <f t="shared" si="8"/>
        <v>SUMIF(FactRealP!B:B,ReliquidacionEFACT!B29,FactRealP!N:N)</v>
      </c>
      <c r="H29" s="11" t="str">
        <f t="shared" si="22"/>
        <v>SUMIF(FactRealP!B:B,ReliquidacionEFACT!B29,FactRealP!L:L)</v>
      </c>
      <c r="I29" s="12" t="str">
        <f t="shared" si="9"/>
        <v>IFERROR((H29/G29),0)</v>
      </c>
      <c r="J29" s="11" t="str">
        <f t="shared" si="10"/>
        <v>(E29+H29)</v>
      </c>
      <c r="L29" s="41" t="str">
        <f>(MAPA_DATA!K22)</f>
        <v>EFACT_CNE</v>
      </c>
      <c r="M29" s="11" t="str">
        <f t="shared" si="2"/>
        <v>SUMIF(EFACT_CNE!B:B,ReliquidacionEFACT!B29,EFACT_CNE!S:S)</v>
      </c>
      <c r="N29" s="11" t="str">
        <f t="shared" si="3"/>
        <v>SUMIF(EFACT_CNE!B:B,ReliquidacionEFACT!B29,EFACT_CNE!T:T)</v>
      </c>
      <c r="O29" s="12" t="str">
        <f t="shared" si="11"/>
        <v>IFERROR((N29/M29),0)</v>
      </c>
      <c r="P29" s="13" t="str">
        <f t="shared" si="4"/>
        <v>SUMIF(EFACT_CNE!B:B,ReliquidacionEFACT!B29,EFACT_CNE!U:U)</v>
      </c>
      <c r="Q29" s="11" t="str">
        <f t="shared" si="5"/>
        <v>SUMIF(EFACT_CNE!B:B,ReliquidacionEFACT!B29,EFACT_CNE!V:V)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475</v>
      </c>
      <c r="D30" s="11" t="str">
        <f t="shared" si="6"/>
        <v>SUMIF(FactRealE!B:B,ReliquidacionEFACT!B30,FactRealE!N:N)</v>
      </c>
      <c r="E30" s="11" t="str">
        <f t="shared" si="21"/>
        <v>SUMIF(FactRealE!B:B,ReliquidacionEFACT!B30,FactRealE!L:L)</v>
      </c>
      <c r="F30" s="12" t="str">
        <f t="shared" si="7"/>
        <v>IFERROR((E30/D30),0)</v>
      </c>
      <c r="G30" s="13" t="str">
        <f t="shared" si="8"/>
        <v>SUMIF(FactRealP!B:B,ReliquidacionEFACT!B30,FactRealP!N:N)</v>
      </c>
      <c r="H30" s="11" t="str">
        <f t="shared" si="22"/>
        <v>SUMIF(FactRealP!B:B,ReliquidacionEFACT!B30,FactRealP!L:L)</v>
      </c>
      <c r="I30" s="12" t="str">
        <f t="shared" si="9"/>
        <v>IFERROR((H30/G30),0)</v>
      </c>
      <c r="J30" s="11" t="str">
        <f t="shared" si="10"/>
        <v>(E30+H30)</v>
      </c>
      <c r="L30" s="41" t="str">
        <f>(MAPA_DATA!K23)</f>
        <v>EFACT_CNE</v>
      </c>
      <c r="M30" s="11" t="str">
        <f t="shared" si="2"/>
        <v>SUMIF(EFACT_CNE!B:B,ReliquidacionEFACT!B30,EFACT_CNE!S:S)</v>
      </c>
      <c r="N30" s="11" t="str">
        <f t="shared" si="3"/>
        <v>SUMIF(EFACT_CNE!B:B,ReliquidacionEFACT!B30,EFACT_CNE!T:T)</v>
      </c>
      <c r="O30" s="12" t="str">
        <f t="shared" si="11"/>
        <v>IFERROR((N30/M30),0)</v>
      </c>
      <c r="P30" s="13" t="str">
        <f t="shared" si="4"/>
        <v>SUMIF(EFACT_CNE!B:B,ReliquidacionEFACT!B30,EFACT_CNE!U:U)</v>
      </c>
      <c r="Q30" s="11" t="str">
        <f t="shared" si="5"/>
        <v>SUMIF(EFACT_CNE!B:B,ReliquidacionEFACT!B30,EFACT_CNE!V:V)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475</v>
      </c>
      <c r="D31" s="11" t="str">
        <f t="shared" si="6"/>
        <v>SUMIF(FactRealE!B:B,ReliquidacionEFACT!B31,FactRealE!N:N)</v>
      </c>
      <c r="E31" s="11" t="str">
        <f t="shared" si="21"/>
        <v>SUMIF(FactRealE!B:B,ReliquidacionEFACT!B31,FactRealE!L:L)</v>
      </c>
      <c r="F31" s="12" t="str">
        <f t="shared" si="7"/>
        <v>IFERROR((E31/D31),0)</v>
      </c>
      <c r="G31" s="13" t="str">
        <f t="shared" si="8"/>
        <v>SUMIF(FactRealP!B:B,ReliquidacionEFACT!B31,FactRealP!N:N)</v>
      </c>
      <c r="H31" s="11" t="str">
        <f t="shared" si="22"/>
        <v>SUMIF(FactRealP!B:B,ReliquidacionEFACT!B31,FactRealP!L:L)</v>
      </c>
      <c r="I31" s="12" t="str">
        <f t="shared" si="9"/>
        <v>IFERROR((H31/G31),0)</v>
      </c>
      <c r="J31" s="11" t="str">
        <f t="shared" si="10"/>
        <v>(E31+H31)</v>
      </c>
      <c r="L31" s="41" t="str">
        <f>(MAPA_DATA!K24)</f>
        <v>EFACT_CNE</v>
      </c>
      <c r="M31" s="11" t="str">
        <f t="shared" si="2"/>
        <v>SUMIF(EFACT_CNE!B:B,ReliquidacionEFACT!B31,EFACT_CNE!S:S)</v>
      </c>
      <c r="N31" s="11" t="str">
        <f t="shared" si="3"/>
        <v>SUMIF(EFACT_CNE!B:B,ReliquidacionEFACT!B31,EFACT_CNE!T:T)</v>
      </c>
      <c r="O31" s="12" t="str">
        <f t="shared" si="11"/>
        <v>IFERROR((N31/M31),0)</v>
      </c>
      <c r="P31" s="13" t="str">
        <f t="shared" si="4"/>
        <v>SUMIF(EFACT_CNE!B:B,ReliquidacionEFACT!B31,EFACT_CNE!U:U)</v>
      </c>
      <c r="Q31" s="11" t="str">
        <f t="shared" si="5"/>
        <v>SUMIF(EFACT_CNE!B:B,ReliquidacionEFACT!B31,EFACT_CNE!V:V)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475</v>
      </c>
      <c r="D32" s="11" t="str">
        <f t="shared" si="6"/>
        <v>SUMIF(FactRealE!B:B,ReliquidacionEFACT!B32,FactRealE!N:N)</v>
      </c>
      <c r="E32" s="11" t="str">
        <f t="shared" si="21"/>
        <v>SUMIF(FactRealE!B:B,ReliquidacionEFACT!B32,FactRealE!L:L)</v>
      </c>
      <c r="F32" s="12" t="str">
        <f t="shared" si="7"/>
        <v>IFERROR((E32/D32),0)</v>
      </c>
      <c r="G32" s="13" t="str">
        <f t="shared" si="8"/>
        <v>SUMIF(FactRealP!B:B,ReliquidacionEFACT!B32,FactRealP!N:N)</v>
      </c>
      <c r="H32" s="11" t="str">
        <f t="shared" si="22"/>
        <v>SUMIF(FactRealP!B:B,ReliquidacionEFACT!B32,FactRealP!L:L)</v>
      </c>
      <c r="I32" s="12" t="str">
        <f t="shared" si="9"/>
        <v>IFERROR((H32/G32),0)</v>
      </c>
      <c r="J32" s="11" t="str">
        <f t="shared" si="10"/>
        <v>(E32+H32)</v>
      </c>
      <c r="L32" s="41" t="str">
        <f>(MAPA_DATA!K25)</f>
        <v>EFACT_CNE</v>
      </c>
      <c r="M32" s="11" t="str">
        <f t="shared" si="2"/>
        <v>SUMIF(EFACT_CNE!B:B,ReliquidacionEFACT!B32,EFACT_CNE!S:S)</v>
      </c>
      <c r="N32" s="11" t="str">
        <f t="shared" si="3"/>
        <v>SUMIF(EFACT_CNE!B:B,ReliquidacionEFACT!B32,EFACT_CNE!T:T)</v>
      </c>
      <c r="O32" s="12" t="str">
        <f t="shared" si="11"/>
        <v>IFERROR((N32/M32),0)</v>
      </c>
      <c r="P32" s="13" t="str">
        <f t="shared" si="4"/>
        <v>SUMIF(EFACT_CNE!B:B,ReliquidacionEFACT!B32,EFACT_CNE!U:U)</v>
      </c>
      <c r="Q32" s="11" t="str">
        <f t="shared" si="5"/>
        <v>SUMIF(EFACT_CNE!B:B,ReliquidacionEFACT!B32,EFACT_CNE!V:V)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475</v>
      </c>
      <c r="D33" s="11" t="str">
        <f t="shared" si="6"/>
        <v>SUMIF(FactRealE!B:B,ReliquidacionEFACT!B33,FactRealE!N:N)</v>
      </c>
      <c r="E33" s="11" t="str">
        <f t="shared" si="21"/>
        <v>SUMIF(FactRealE!B:B,ReliquidacionEFACT!B33,FactRealE!L:L)</v>
      </c>
      <c r="F33" s="12" t="str">
        <f t="shared" si="7"/>
        <v>IFERROR((E33/D33),0)</v>
      </c>
      <c r="G33" s="13" t="str">
        <f t="shared" si="8"/>
        <v>SUMIF(FactRealP!B:B,ReliquidacionEFACT!B33,FactRealP!N:N)</v>
      </c>
      <c r="H33" s="11" t="str">
        <f t="shared" si="22"/>
        <v>SUMIF(FactRealP!B:B,ReliquidacionEFACT!B33,FactRealP!L:L)</v>
      </c>
      <c r="I33" s="12" t="str">
        <f t="shared" si="9"/>
        <v>IFERROR((H33/G33),0)</v>
      </c>
      <c r="J33" s="11" t="str">
        <f t="shared" si="10"/>
        <v>(E33+H33)</v>
      </c>
      <c r="L33" s="41" t="str">
        <f>(MAPA_DATA!K26)</f>
        <v>EFACT_CNE</v>
      </c>
      <c r="M33" s="11" t="str">
        <f t="shared" si="2"/>
        <v>SUMIF(EFACT_CNE!B:B,ReliquidacionEFACT!B33,EFACT_CNE!S:S)</v>
      </c>
      <c r="N33" s="11" t="str">
        <f t="shared" si="3"/>
        <v>SUMIF(EFACT_CNE!B:B,ReliquidacionEFACT!B33,EFACT_CNE!T:T)</v>
      </c>
      <c r="O33" s="12" t="str">
        <f t="shared" si="11"/>
        <v>IFERROR((N33/M33),0)</v>
      </c>
      <c r="P33" s="13" t="str">
        <f t="shared" si="4"/>
        <v>SUMIF(EFACT_CNE!B:B,ReliquidacionEFACT!B33,EFACT_CNE!U:U)</v>
      </c>
      <c r="Q33" s="11" t="str">
        <f t="shared" si="5"/>
        <v>SUMIF(EFACT_CNE!B:B,ReliquidacionEFACT!B33,EFACT_CNE!V:V)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475</v>
      </c>
      <c r="D34" s="11" t="str">
        <f t="shared" si="6"/>
        <v>SUMIF(FactRealE!B:B,ReliquidacionEFACT!B34,FactRealE!N:N)</v>
      </c>
      <c r="E34" s="11" t="str">
        <f t="shared" si="21"/>
        <v>SUMIF(FactRealE!B:B,ReliquidacionEFACT!B34,FactRealE!L:L)</v>
      </c>
      <c r="F34" s="12" t="str">
        <f t="shared" si="7"/>
        <v>IFERROR((E34/D34),0)</v>
      </c>
      <c r="G34" s="13" t="str">
        <f t="shared" si="8"/>
        <v>SUMIF(FactRealP!B:B,ReliquidacionEFACT!B34,FactRealP!N:N)</v>
      </c>
      <c r="H34" s="11" t="str">
        <f t="shared" si="22"/>
        <v>SUMIF(FactRealP!B:B,ReliquidacionEFACT!B34,FactRealP!L:L)</v>
      </c>
      <c r="I34" s="12" t="str">
        <f t="shared" si="9"/>
        <v>IFERROR((H34/G34),0)</v>
      </c>
      <c r="J34" s="11" t="str">
        <f t="shared" si="10"/>
        <v>(E34+H34)</v>
      </c>
      <c r="L34" s="41" t="str">
        <f>(MAPA_DATA!K27)</f>
        <v>EFACT_CNE</v>
      </c>
      <c r="M34" s="11" t="str">
        <f t="shared" si="2"/>
        <v>SUMIF(EFACT_CNE!B:B,ReliquidacionEFACT!B34,EFACT_CNE!S:S)</v>
      </c>
      <c r="N34" s="11" t="str">
        <f t="shared" si="3"/>
        <v>SUMIF(EFACT_CNE!B:B,ReliquidacionEFACT!B34,EFACT_CNE!T:T)</v>
      </c>
      <c r="O34" s="12" t="str">
        <f t="shared" si="11"/>
        <v>IFERROR((N34/M34),0)</v>
      </c>
      <c r="P34" s="13" t="str">
        <f t="shared" si="4"/>
        <v>SUMIF(EFACT_CNE!B:B,ReliquidacionEFACT!B34,EFACT_CNE!U:U)</v>
      </c>
      <c r="Q34" s="11" t="str">
        <f t="shared" si="5"/>
        <v>SUMIF(EFACT_CNE!B:B,ReliquidacionEFACT!B34,EFACT_CNE!V:V)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475</v>
      </c>
      <c r="D35" s="11" t="str">
        <f t="shared" si="6"/>
        <v>SUMIF(FactRealE!B:B,ReliquidacionEFACT!B35,FactRealE!N:N)</v>
      </c>
      <c r="E35" s="11" t="str">
        <f t="shared" si="21"/>
        <v>SUMIF(FactRealE!B:B,ReliquidacionEFACT!B35,FactRealE!L:L)</v>
      </c>
      <c r="F35" s="12" t="str">
        <f t="shared" si="7"/>
        <v>IFERROR((E35/D35),0)</v>
      </c>
      <c r="G35" s="13" t="str">
        <f t="shared" si="8"/>
        <v>SUMIF(FactRealP!B:B,ReliquidacionEFACT!B35,FactRealP!N:N)</v>
      </c>
      <c r="H35" s="11" t="str">
        <f t="shared" si="22"/>
        <v>SUMIF(FactRealP!B:B,ReliquidacionEFACT!B35,FactRealP!L:L)</v>
      </c>
      <c r="I35" s="12" t="str">
        <f t="shared" si="9"/>
        <v>IFERROR((H35/G35),0)</v>
      </c>
      <c r="J35" s="11" t="str">
        <f t="shared" si="10"/>
        <v>(E35+H35)</v>
      </c>
      <c r="L35" s="41" t="str">
        <f>(MAPA_DATA!K28)</f>
        <v>EFACT_CNE</v>
      </c>
      <c r="M35" s="11" t="str">
        <f t="shared" si="2"/>
        <v>SUMIF(EFACT_CNE!B:B,ReliquidacionEFACT!B35,EFACT_CNE!S:S)</v>
      </c>
      <c r="N35" s="11" t="str">
        <f t="shared" si="3"/>
        <v>SUMIF(EFACT_CNE!B:B,ReliquidacionEFACT!B35,EFACT_CNE!T:T)</v>
      </c>
      <c r="O35" s="12" t="str">
        <f t="shared" si="11"/>
        <v>IFERROR((N35/M35),0)</v>
      </c>
      <c r="P35" s="13" t="str">
        <f t="shared" si="4"/>
        <v>SUMIF(EFACT_CNE!B:B,ReliquidacionEFACT!B35,EFACT_CNE!U:U)</v>
      </c>
      <c r="Q35" s="11" t="str">
        <f t="shared" si="5"/>
        <v>SUMIF(EFACT_CNE!B:B,ReliquidacionEFACT!B35,EFACT_CNE!V:V)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475</v>
      </c>
      <c r="D36" s="11" t="str">
        <f t="shared" si="6"/>
        <v>SUMIF(FactRealE!B:B,ReliquidacionEFACT!B36,FactRealE!N:N)</v>
      </c>
      <c r="E36" s="11" t="str">
        <f t="shared" si="21"/>
        <v>SUMIF(FactRealE!B:B,ReliquidacionEFACT!B36,FactRealE!L:L)</v>
      </c>
      <c r="F36" s="12" t="str">
        <f t="shared" si="7"/>
        <v>IFERROR((E36/D36),0)</v>
      </c>
      <c r="G36" s="13" t="str">
        <f t="shared" si="8"/>
        <v>SUMIF(FactRealP!B:B,ReliquidacionEFACT!B36,FactRealP!N:N)</v>
      </c>
      <c r="H36" s="11" t="str">
        <f t="shared" si="22"/>
        <v>SUMIF(FactRealP!B:B,ReliquidacionEFACT!B36,FactRealP!L:L)</v>
      </c>
      <c r="I36" s="12" t="str">
        <f t="shared" si="9"/>
        <v>IFERROR((H36/G36),0)</v>
      </c>
      <c r="J36" s="11" t="str">
        <f t="shared" si="10"/>
        <v>(E36+H36)</v>
      </c>
      <c r="L36" s="41" t="str">
        <f>(MAPA_DATA!K29)</f>
        <v>EFACT_CNE</v>
      </c>
      <c r="M36" s="11" t="str">
        <f t="shared" si="2"/>
        <v>SUMIF(EFACT_CNE!B:B,ReliquidacionEFACT!B36,EFACT_CNE!S:S)</v>
      </c>
      <c r="N36" s="11" t="str">
        <f t="shared" si="3"/>
        <v>SUMIF(EFACT_CNE!B:B,ReliquidacionEFACT!B36,EFACT_CNE!T:T)</v>
      </c>
      <c r="O36" s="12" t="str">
        <f t="shared" si="11"/>
        <v>IFERROR((N36/M36),0)</v>
      </c>
      <c r="P36" s="13" t="str">
        <f t="shared" si="4"/>
        <v>SUMIF(EFACT_CNE!B:B,ReliquidacionEFACT!B36,EFACT_CNE!U:U)</v>
      </c>
      <c r="Q36" s="11" t="str">
        <f t="shared" si="5"/>
        <v>SUMIF(EFACT_CNE!B:B,ReliquidacionEFACT!B36,EFACT_CNE!V:V)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475</v>
      </c>
      <c r="D37" s="11" t="str">
        <f t="shared" si="6"/>
        <v>SUMIF(FactRealE!B:B,ReliquidacionEFACT!B37,FactRealE!N:N)</v>
      </c>
      <c r="E37" s="11" t="str">
        <f t="shared" si="21"/>
        <v>SUMIF(FactRealE!B:B,ReliquidacionEFACT!B37,FactRealE!L:L)</v>
      </c>
      <c r="F37" s="12" t="str">
        <f t="shared" si="7"/>
        <v>IFERROR((E37/D37),0)</v>
      </c>
      <c r="G37" s="13" t="str">
        <f t="shared" si="8"/>
        <v>SUMIF(FactRealP!B:B,ReliquidacionEFACT!B37,FactRealP!N:N)</v>
      </c>
      <c r="H37" s="11" t="str">
        <f t="shared" si="22"/>
        <v>SUMIF(FactRealP!B:B,ReliquidacionEFACT!B37,FactRealP!L:L)</v>
      </c>
      <c r="I37" s="12" t="str">
        <f t="shared" si="9"/>
        <v>IFERROR((H37/G37),0)</v>
      </c>
      <c r="J37" s="11" t="str">
        <f t="shared" si="10"/>
        <v>(E37+H37)</v>
      </c>
      <c r="L37" s="41" t="str">
        <f>(MAPA_DATA!K30)</f>
        <v>EFACT_CNE</v>
      </c>
      <c r="M37" s="11" t="str">
        <f t="shared" si="2"/>
        <v>SUMIF(EFACT_CNE!B:B,ReliquidacionEFACT!B37,EFACT_CNE!S:S)</v>
      </c>
      <c r="N37" s="11" t="str">
        <f t="shared" si="3"/>
        <v>SUMIF(EFACT_CNE!B:B,ReliquidacionEFACT!B37,EFACT_CNE!T:T)</v>
      </c>
      <c r="O37" s="12" t="str">
        <f t="shared" si="11"/>
        <v>IFERROR((N37/M37),0)</v>
      </c>
      <c r="P37" s="13" t="str">
        <f t="shared" si="4"/>
        <v>SUMIF(EFACT_CNE!B:B,ReliquidacionEFACT!B37,EFACT_CNE!U:U)</v>
      </c>
      <c r="Q37" s="11" t="str">
        <f t="shared" si="5"/>
        <v>SUMIF(EFACT_CNE!B:B,ReliquidacionEFACT!B37,EFACT_CNE!V:V)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475</v>
      </c>
      <c r="D38" s="11" t="str">
        <f t="shared" si="6"/>
        <v>SUMIF(FactRealE!B:B,ReliquidacionEFACT!B38,FactRealE!N:N)</v>
      </c>
      <c r="E38" s="11" t="str">
        <f t="shared" si="21"/>
        <v>SUMIF(FactRealE!B:B,ReliquidacionEFACT!B38,FactRealE!L:L)</v>
      </c>
      <c r="F38" s="12" t="str">
        <f t="shared" si="7"/>
        <v>IFERROR((E38/D38),0)</v>
      </c>
      <c r="G38" s="13" t="str">
        <f t="shared" si="8"/>
        <v>SUMIF(FactRealP!B:B,ReliquidacionEFACT!B38,FactRealP!N:N)</v>
      </c>
      <c r="H38" s="11" t="str">
        <f t="shared" si="22"/>
        <v>SUMIF(FactRealP!B:B,ReliquidacionEFACT!B38,FactRealP!L:L)</v>
      </c>
      <c r="I38" s="12" t="str">
        <f t="shared" si="9"/>
        <v>IFERROR((H38/G38),0)</v>
      </c>
      <c r="J38" s="11" t="str">
        <f t="shared" si="10"/>
        <v>(E38+H38)</v>
      </c>
      <c r="L38" s="41" t="str">
        <f>(MAPA_DATA!K31)</f>
        <v>EFACT_CNE</v>
      </c>
      <c r="M38" s="11" t="str">
        <f t="shared" si="2"/>
        <v>SUMIF(EFACT_CNE!B:B,ReliquidacionEFACT!B38,EFACT_CNE!S:S)</v>
      </c>
      <c r="N38" s="11" t="str">
        <f t="shared" si="3"/>
        <v>SUMIF(EFACT_CNE!B:B,ReliquidacionEFACT!B38,EFACT_CNE!T:T)</v>
      </c>
      <c r="O38" s="12" t="str">
        <f t="shared" si="11"/>
        <v>IFERROR((N38/M38),0)</v>
      </c>
      <c r="P38" s="13" t="str">
        <f t="shared" si="4"/>
        <v>SUMIF(EFACT_CNE!B:B,ReliquidacionEFACT!B38,EFACT_CNE!U:U)</v>
      </c>
      <c r="Q38" s="11" t="str">
        <f t="shared" si="5"/>
        <v>SUMIF(EFACT_CNE!B:B,ReliquidacionEFACT!B38,EFACT_CNE!V:V)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475</v>
      </c>
      <c r="D39" s="11" t="str">
        <f t="shared" si="6"/>
        <v>SUMIF(FactRealE!B:B,ReliquidacionEFACT!B39,FactRealE!N:N)</v>
      </c>
      <c r="E39" s="11" t="str">
        <f t="shared" si="21"/>
        <v>SUMIF(FactRealE!B:B,ReliquidacionEFACT!B39,FactRealE!L:L)</v>
      </c>
      <c r="F39" s="12" t="str">
        <f t="shared" si="7"/>
        <v>IFERROR((E39/D39),0)</v>
      </c>
      <c r="G39" s="13" t="str">
        <f t="shared" si="8"/>
        <v>SUMIF(FactRealP!B:B,ReliquidacionEFACT!B39,FactRealP!N:N)</v>
      </c>
      <c r="H39" s="11" t="str">
        <f t="shared" si="22"/>
        <v>SUMIF(FactRealP!B:B,ReliquidacionEFACT!B39,FactRealP!L:L)</v>
      </c>
      <c r="I39" s="12" t="str">
        <f t="shared" si="9"/>
        <v>IFERROR((H39/G39),0)</v>
      </c>
      <c r="J39" s="11" t="str">
        <f t="shared" si="10"/>
        <v>(E39+H39)</v>
      </c>
      <c r="L39" s="41" t="str">
        <f>(MAPA_DATA!K32)</f>
        <v>EFACT_CNE</v>
      </c>
      <c r="M39" s="11" t="str">
        <f t="shared" si="2"/>
        <v>SUMIF(EFACT_CNE!B:B,ReliquidacionEFACT!B39,EFACT_CNE!S:S)</v>
      </c>
      <c r="N39" s="11" t="str">
        <f t="shared" si="3"/>
        <v>SUMIF(EFACT_CNE!B:B,ReliquidacionEFACT!B39,EFACT_CNE!T:T)</v>
      </c>
      <c r="O39" s="12" t="str">
        <f t="shared" si="11"/>
        <v>IFERROR((N39/M39),0)</v>
      </c>
      <c r="P39" s="13" t="str">
        <f t="shared" si="4"/>
        <v>SUMIF(EFACT_CNE!B:B,ReliquidacionEFACT!B39,EFACT_CNE!U:U)</v>
      </c>
      <c r="Q39" s="11" t="str">
        <f t="shared" si="5"/>
        <v>SUMIF(EFACT_CNE!B:B,ReliquidacionEFACT!B39,EFACT_CNE!V:V)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475</v>
      </c>
      <c r="D40" s="11" t="str">
        <f t="shared" si="6"/>
        <v>SUMIF(FactRealE!B:B,ReliquidacionEFACT!B40,FactRealE!N:N)</v>
      </c>
      <c r="E40" s="11" t="str">
        <f t="shared" si="21"/>
        <v>SUMIF(FactRealE!B:B,ReliquidacionEFACT!B40,FactRealE!L:L)</v>
      </c>
      <c r="F40" s="12" t="str">
        <f t="shared" si="7"/>
        <v>IFERROR((E40/D40),0)</v>
      </c>
      <c r="G40" s="13" t="str">
        <f t="shared" si="8"/>
        <v>SUMIF(FactRealP!B:B,ReliquidacionEFACT!B40,FactRealP!N:N)</v>
      </c>
      <c r="H40" s="11" t="str">
        <f t="shared" si="22"/>
        <v>SUMIF(FactRealP!B:B,ReliquidacionEFACT!B40,FactRealP!L:L)</v>
      </c>
      <c r="I40" s="12" t="str">
        <f t="shared" si="9"/>
        <v>IFERROR((H40/G40),0)</v>
      </c>
      <c r="J40" s="11" t="str">
        <f t="shared" si="10"/>
        <v>(E40+H40)</v>
      </c>
      <c r="L40" s="41" t="str">
        <f>(MAPA_DATA!K33)</f>
        <v>EFACT_CNE</v>
      </c>
      <c r="M40" s="11" t="str">
        <f t="shared" si="2"/>
        <v>SUMIF(EFACT_CNE!B:B,ReliquidacionEFACT!B40,EFACT_CNE!S:S)</v>
      </c>
      <c r="N40" s="11" t="str">
        <f t="shared" si="3"/>
        <v>SUMIF(EFACT_CNE!B:B,ReliquidacionEFACT!B40,EFACT_CNE!T:T)</v>
      </c>
      <c r="O40" s="12" t="str">
        <f t="shared" si="11"/>
        <v>IFERROR((N40/M40),0)</v>
      </c>
      <c r="P40" s="13" t="str">
        <f t="shared" si="4"/>
        <v>SUMIF(EFACT_CNE!B:B,ReliquidacionEFACT!B40,EFACT_CNE!U:U)</v>
      </c>
      <c r="Q40" s="11" t="str">
        <f t="shared" si="5"/>
        <v>SUMIF(EFACT_CNE!B:B,ReliquidacionEFACT!B40,EFACT_CNE!V:V)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475</v>
      </c>
      <c r="D41" s="11" t="str">
        <f t="shared" si="6"/>
        <v>SUMIF(FactRealE!B:B,ReliquidacionEFACT!B41,FactRealE!N:N)</v>
      </c>
      <c r="E41" s="11" t="str">
        <f t="shared" si="21"/>
        <v>SUMIF(FactRealE!B:B,ReliquidacionEFACT!B41,FactRealE!L:L)</v>
      </c>
      <c r="F41" s="12" t="str">
        <f t="shared" si="7"/>
        <v>IFERROR((E41/D41),0)</v>
      </c>
      <c r="G41" s="13" t="str">
        <f t="shared" si="8"/>
        <v>SUMIF(FactRealP!B:B,ReliquidacionEFACT!B41,FactRealP!N:N)</v>
      </c>
      <c r="H41" s="11" t="str">
        <f t="shared" si="22"/>
        <v>SUMIF(FactRealP!B:B,ReliquidacionEFACT!B41,FactRealP!L:L)</v>
      </c>
      <c r="I41" s="12" t="str">
        <f t="shared" si="9"/>
        <v>IFERROR((H41/G41),0)</v>
      </c>
      <c r="J41" s="11" t="str">
        <f t="shared" si="10"/>
        <v>(E41+H41)</v>
      </c>
      <c r="L41" s="41" t="str">
        <f>(MAPA_DATA!K34)</f>
        <v>EFACT_CNE</v>
      </c>
      <c r="M41" s="11" t="str">
        <f t="shared" ref="M41:M65" si="23">CONCATENATE("SUMIF(",L41,"!B:B,ReliquidacionEFACT!B",A41,",",L41,"!S:S)")</f>
        <v>SUMIF(EFACT_CNE!B:B,ReliquidacionEFACT!B41,EFACT_CNE!S:S)</v>
      </c>
      <c r="N41" s="11" t="str">
        <f t="shared" ref="N41:N65" si="24">CONCATENATE("SUMIF(",L41,"!B:B,ReliquidacionEFACT!B",A41,",",L41,"!T:T)")</f>
        <v>SUMIF(EFACT_CNE!B:B,ReliquidacionEFACT!B41,EFACT_CNE!T:T)</v>
      </c>
      <c r="O41" s="12" t="str">
        <f t="shared" si="11"/>
        <v>IFERROR((N41/M41),0)</v>
      </c>
      <c r="P41" s="13" t="str">
        <f t="shared" ref="P41:P65" si="25">CONCATENATE("SUMIF(",L41,"!B:B,ReliquidacionEFACT!B",A41,",",L41,"!U:U)")</f>
        <v>SUMIF(EFACT_CNE!B:B,ReliquidacionEFACT!B41,EFACT_CNE!U:U)</v>
      </c>
      <c r="Q41" s="11" t="str">
        <f t="shared" ref="Q41:Q65" si="26">CONCATENATE("SUMIF(",L41,"!B:B,ReliquidacionEFACT!B",A41,",",L41,"!V:V)")</f>
        <v>SUMIF(EFACT_CNE!B:B,ReliquidacionEFACT!B41,EFACT_CNE!V:V)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475</v>
      </c>
      <c r="D42" s="11" t="str">
        <f t="shared" si="6"/>
        <v>SUMIF(FactRealE!B:B,ReliquidacionEFACT!B42,FactRealE!N:N)</v>
      </c>
      <c r="E42" s="11" t="str">
        <f t="shared" si="21"/>
        <v>SUMIF(FactRealE!B:B,ReliquidacionEFACT!B42,FactRealE!L:L)</v>
      </c>
      <c r="F42" s="12" t="str">
        <f t="shared" si="7"/>
        <v>IFERROR((E42/D42),0)</v>
      </c>
      <c r="G42" s="13" t="str">
        <f t="shared" si="8"/>
        <v>SUMIF(FactRealP!B:B,ReliquidacionEFACT!B42,FactRealP!N:N)</v>
      </c>
      <c r="H42" s="11" t="str">
        <f t="shared" si="22"/>
        <v>SUMIF(FactRealP!B:B,ReliquidacionEFACT!B42,FactRealP!L:L)</v>
      </c>
      <c r="I42" s="12" t="str">
        <f t="shared" si="9"/>
        <v>IFERROR((H42/G42),0)</v>
      </c>
      <c r="J42" s="11" t="str">
        <f t="shared" si="10"/>
        <v>(E42+H42)</v>
      </c>
      <c r="L42" s="41" t="str">
        <f>(MAPA_DATA!K35)</f>
        <v>EFACT_CNE</v>
      </c>
      <c r="M42" s="11" t="str">
        <f t="shared" si="23"/>
        <v>SUMIF(EFACT_CNE!B:B,ReliquidacionEFACT!B42,EFACT_CNE!S:S)</v>
      </c>
      <c r="N42" s="11" t="str">
        <f t="shared" si="24"/>
        <v>SUMIF(EFACT_CNE!B:B,ReliquidacionEFACT!B42,EFACT_CNE!T:T)</v>
      </c>
      <c r="O42" s="12" t="str">
        <f t="shared" si="11"/>
        <v>IFERROR((N42/M42),0)</v>
      </c>
      <c r="P42" s="13" t="str">
        <f t="shared" si="25"/>
        <v>SUMIF(EFACT_CNE!B:B,ReliquidacionEFACT!B42,EFACT_CNE!U:U)</v>
      </c>
      <c r="Q42" s="11" t="str">
        <f t="shared" si="26"/>
        <v>SUMIF(EFACT_CNE!B:B,ReliquidacionEFACT!B42,EFACT_CNE!V:V)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475</v>
      </c>
      <c r="D43" s="11" t="str">
        <f t="shared" si="6"/>
        <v>SUMIF(FactRealE!B:B,ReliquidacionEFACT!B43,FactRealE!N:N)</v>
      </c>
      <c r="E43" s="11" t="str">
        <f t="shared" si="21"/>
        <v>SUMIF(FactRealE!B:B,ReliquidacionEFACT!B43,FactRealE!L:L)</v>
      </c>
      <c r="F43" s="12" t="str">
        <f t="shared" si="7"/>
        <v>IFERROR((E43/D43),0)</v>
      </c>
      <c r="G43" s="13" t="str">
        <f t="shared" si="8"/>
        <v>SUMIF(FactRealP!B:B,ReliquidacionEFACT!B43,FactRealP!N:N)</v>
      </c>
      <c r="H43" s="11" t="str">
        <f t="shared" si="22"/>
        <v>SUMIF(FactRealP!B:B,ReliquidacionEFACT!B43,FactRealP!L:L)</v>
      </c>
      <c r="I43" s="12" t="str">
        <f t="shared" si="9"/>
        <v>IFERROR((H43/G43),0)</v>
      </c>
      <c r="J43" s="11" t="str">
        <f t="shared" si="10"/>
        <v>(E43+H43)</v>
      </c>
      <c r="L43" s="41" t="str">
        <f>(MAPA_DATA!K36)</f>
        <v>EFACT_CNE</v>
      </c>
      <c r="M43" s="11" t="str">
        <f t="shared" si="23"/>
        <v>SUMIF(EFACT_CNE!B:B,ReliquidacionEFACT!B43,EFACT_CNE!S:S)</v>
      </c>
      <c r="N43" s="11" t="str">
        <f t="shared" si="24"/>
        <v>SUMIF(EFACT_CNE!B:B,ReliquidacionEFACT!B43,EFACT_CNE!T:T)</v>
      </c>
      <c r="O43" s="12" t="str">
        <f t="shared" si="11"/>
        <v>IFERROR((N43/M43),0)</v>
      </c>
      <c r="P43" s="13" t="str">
        <f t="shared" si="25"/>
        <v>SUMIF(EFACT_CNE!B:B,ReliquidacionEFACT!B43,EFACT_CNE!U:U)</v>
      </c>
      <c r="Q43" s="11" t="str">
        <f t="shared" si="26"/>
        <v>SUMIF(EFACT_CNE!B:B,ReliquidacionEFACT!B43,EFACT_CNE!V:V)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475</v>
      </c>
      <c r="D44" s="11" t="str">
        <f t="shared" si="6"/>
        <v>SUMIF(FactRealE!B:B,ReliquidacionEFACT!B44,FactRealE!N:N)</v>
      </c>
      <c r="E44" s="11" t="str">
        <f t="shared" si="21"/>
        <v>SUMIF(FactRealE!B:B,ReliquidacionEFACT!B44,FactRealE!L:L)</v>
      </c>
      <c r="F44" s="12" t="str">
        <f t="shared" si="7"/>
        <v>IFERROR((E44/D44),0)</v>
      </c>
      <c r="G44" s="13" t="str">
        <f t="shared" si="8"/>
        <v>SUMIF(FactRealP!B:B,ReliquidacionEFACT!B44,FactRealP!N:N)</v>
      </c>
      <c r="H44" s="11" t="str">
        <f t="shared" si="22"/>
        <v>SUMIF(FactRealP!B:B,ReliquidacionEFACT!B44,FactRealP!L:L)</v>
      </c>
      <c r="I44" s="12" t="str">
        <f t="shared" si="9"/>
        <v>IFERROR((H44/G44),0)</v>
      </c>
      <c r="J44" s="11" t="str">
        <f t="shared" si="10"/>
        <v>(E44+H44)</v>
      </c>
      <c r="L44" s="41" t="str">
        <f>(MAPA_DATA!K37)</f>
        <v>EFACT_CNE</v>
      </c>
      <c r="M44" s="11" t="str">
        <f t="shared" si="23"/>
        <v>SUMIF(EFACT_CNE!B:B,ReliquidacionEFACT!B44,EFACT_CNE!S:S)</v>
      </c>
      <c r="N44" s="11" t="str">
        <f t="shared" si="24"/>
        <v>SUMIF(EFACT_CNE!B:B,ReliquidacionEFACT!B44,EFACT_CNE!T:T)</v>
      </c>
      <c r="O44" s="12" t="str">
        <f t="shared" si="11"/>
        <v>IFERROR((N44/M44),0)</v>
      </c>
      <c r="P44" s="13" t="str">
        <f t="shared" si="25"/>
        <v>SUMIF(EFACT_CNE!B:B,ReliquidacionEFACT!B44,EFACT_CNE!U:U)</v>
      </c>
      <c r="Q44" s="11" t="str">
        <f t="shared" si="26"/>
        <v>SUMIF(EFACT_CNE!B:B,ReliquidacionEFACT!B44,EFACT_CNE!V:V)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475</v>
      </c>
      <c r="D45" s="11" t="str">
        <f t="shared" si="6"/>
        <v>SUMIF(FactRealE!B:B,ReliquidacionEFACT!B45,FactRealE!N:N)</v>
      </c>
      <c r="E45" s="11" t="str">
        <f t="shared" si="21"/>
        <v>SUMIF(FactRealE!B:B,ReliquidacionEFACT!B45,FactRealE!L:L)</v>
      </c>
      <c r="F45" s="12" t="str">
        <f t="shared" si="7"/>
        <v>IFERROR((E45/D45),0)</v>
      </c>
      <c r="G45" s="13" t="str">
        <f t="shared" si="8"/>
        <v>SUMIF(FactRealP!B:B,ReliquidacionEFACT!B45,FactRealP!N:N)</v>
      </c>
      <c r="H45" s="11" t="str">
        <f t="shared" si="22"/>
        <v>SUMIF(FactRealP!B:B,ReliquidacionEFACT!B45,FactRealP!L:L)</v>
      </c>
      <c r="I45" s="12" t="str">
        <f t="shared" si="9"/>
        <v>IFERROR((H45/G45),0)</v>
      </c>
      <c r="J45" s="11" t="str">
        <f t="shared" si="10"/>
        <v>(E45+H45)</v>
      </c>
      <c r="L45" s="41" t="str">
        <f>(MAPA_DATA!K38)</f>
        <v>EFACT_CNE</v>
      </c>
      <c r="M45" s="11" t="str">
        <f t="shared" si="23"/>
        <v>SUMIF(EFACT_CNE!B:B,ReliquidacionEFACT!B45,EFACT_CNE!S:S)</v>
      </c>
      <c r="N45" s="11" t="str">
        <f t="shared" si="24"/>
        <v>SUMIF(EFACT_CNE!B:B,ReliquidacionEFACT!B45,EFACT_CNE!T:T)</v>
      </c>
      <c r="O45" s="12" t="str">
        <f t="shared" si="11"/>
        <v>IFERROR((N45/M45),0)</v>
      </c>
      <c r="P45" s="13" t="str">
        <f t="shared" si="25"/>
        <v>SUMIF(EFACT_CNE!B:B,ReliquidacionEFACT!B45,EFACT_CNE!U:U)</v>
      </c>
      <c r="Q45" s="11" t="str">
        <f t="shared" si="26"/>
        <v>SUMIF(EFACT_CNE!B:B,ReliquidacionEFACT!B45,EFACT_CNE!V:V)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475</v>
      </c>
      <c r="D46" s="11" t="str">
        <f t="shared" si="6"/>
        <v>SUMIF(FactRealE!B:B,ReliquidacionEFACT!B46,FactRealE!N:N)</v>
      </c>
      <c r="E46" s="11" t="str">
        <f t="shared" si="21"/>
        <v>SUMIF(FactRealE!B:B,ReliquidacionEFACT!B46,FactRealE!L:L)</v>
      </c>
      <c r="F46" s="12" t="str">
        <f t="shared" si="7"/>
        <v>IFERROR((E46/D46),0)</v>
      </c>
      <c r="G46" s="13" t="str">
        <f t="shared" si="8"/>
        <v>SUMIF(FactRealP!B:B,ReliquidacionEFACT!B46,FactRealP!N:N)</v>
      </c>
      <c r="H46" s="11" t="str">
        <f t="shared" si="22"/>
        <v>SUMIF(FactRealP!B:B,ReliquidacionEFACT!B46,FactRealP!L:L)</v>
      </c>
      <c r="I46" s="12" t="str">
        <f t="shared" si="9"/>
        <v>IFERROR((H46/G46),0)</v>
      </c>
      <c r="J46" s="11" t="str">
        <f t="shared" si="10"/>
        <v>(E46+H46)</v>
      </c>
      <c r="L46" s="41" t="str">
        <f>(MAPA_DATA!K39)</f>
        <v>EFACT_CNE</v>
      </c>
      <c r="M46" s="11" t="str">
        <f t="shared" si="23"/>
        <v>SUMIF(EFACT_CNE!B:B,ReliquidacionEFACT!B46,EFACT_CNE!S:S)</v>
      </c>
      <c r="N46" s="11" t="str">
        <f t="shared" si="24"/>
        <v>SUMIF(EFACT_CNE!B:B,ReliquidacionEFACT!B46,EFACT_CNE!T:T)</v>
      </c>
      <c r="O46" s="12" t="str">
        <f t="shared" si="11"/>
        <v>IFERROR((N46/M46),0)</v>
      </c>
      <c r="P46" s="13" t="str">
        <f t="shared" si="25"/>
        <v>SUMIF(EFACT_CNE!B:B,ReliquidacionEFACT!B46,EFACT_CNE!U:U)</v>
      </c>
      <c r="Q46" s="11" t="str">
        <f t="shared" si="26"/>
        <v>SUMIF(EFACT_CNE!B:B,ReliquidacionEFACT!B46,EFACT_CNE!V:V)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475</v>
      </c>
      <c r="D47" s="11" t="str">
        <f t="shared" si="6"/>
        <v>SUMIF(FactRealE!B:B,ReliquidacionEFACT!B47,FactRealE!N:N)</v>
      </c>
      <c r="E47" s="11" t="str">
        <f t="shared" si="21"/>
        <v>SUMIF(FactRealE!B:B,ReliquidacionEFACT!B47,FactRealE!L:L)</v>
      </c>
      <c r="F47" s="12" t="str">
        <f t="shared" si="7"/>
        <v>IFERROR((E47/D47),0)</v>
      </c>
      <c r="G47" s="13" t="str">
        <f t="shared" si="8"/>
        <v>SUMIF(FactRealP!B:B,ReliquidacionEFACT!B47,FactRealP!N:N)</v>
      </c>
      <c r="H47" s="11" t="str">
        <f t="shared" si="22"/>
        <v>SUMIF(FactRealP!B:B,ReliquidacionEFACT!B47,FactRealP!L:L)</v>
      </c>
      <c r="I47" s="12" t="str">
        <f t="shared" si="9"/>
        <v>IFERROR((H47/G47),0)</v>
      </c>
      <c r="J47" s="11" t="str">
        <f t="shared" si="10"/>
        <v>(E47+H47)</v>
      </c>
      <c r="L47" s="41" t="str">
        <f>(MAPA_DATA!K40)</f>
        <v>EFACT_CNE</v>
      </c>
      <c r="M47" s="11" t="str">
        <f t="shared" si="23"/>
        <v>SUMIF(EFACT_CNE!B:B,ReliquidacionEFACT!B47,EFACT_CNE!S:S)</v>
      </c>
      <c r="N47" s="11" t="str">
        <f t="shared" si="24"/>
        <v>SUMIF(EFACT_CNE!B:B,ReliquidacionEFACT!B47,EFACT_CNE!T:T)</v>
      </c>
      <c r="O47" s="12" t="str">
        <f t="shared" si="11"/>
        <v>IFERROR((N47/M47),0)</v>
      </c>
      <c r="P47" s="13" t="str">
        <f t="shared" si="25"/>
        <v>SUMIF(EFACT_CNE!B:B,ReliquidacionEFACT!B47,EFACT_CNE!U:U)</v>
      </c>
      <c r="Q47" s="11" t="str">
        <f t="shared" si="26"/>
        <v>SUMIF(EFACT_CNE!B:B,ReliquidacionEFACT!B47,EFACT_CNE!V:V)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475</v>
      </c>
      <c r="D48" s="11" t="str">
        <f t="shared" si="6"/>
        <v>SUMIF(FactRealE!B:B,ReliquidacionEFACT!B48,FactRealE!N:N)</v>
      </c>
      <c r="E48" s="11" t="str">
        <f t="shared" si="21"/>
        <v>SUMIF(FactRealE!B:B,ReliquidacionEFACT!B48,FactRealE!L:L)</v>
      </c>
      <c r="F48" s="12" t="str">
        <f t="shared" si="7"/>
        <v>IFERROR((E48/D48),0)</v>
      </c>
      <c r="G48" s="13" t="str">
        <f t="shared" si="8"/>
        <v>SUMIF(FactRealP!B:B,ReliquidacionEFACT!B48,FactRealP!N:N)</v>
      </c>
      <c r="H48" s="11" t="str">
        <f t="shared" si="22"/>
        <v>SUMIF(FactRealP!B:B,ReliquidacionEFACT!B48,FactRealP!L:L)</v>
      </c>
      <c r="I48" s="12" t="str">
        <f t="shared" si="9"/>
        <v>IFERROR((H48/G48),0)</v>
      </c>
      <c r="J48" s="11" t="str">
        <f t="shared" si="10"/>
        <v>(E48+H48)</v>
      </c>
      <c r="L48" s="41" t="str">
        <f>(MAPA_DATA!K41)</f>
        <v>EFACT_CNE</v>
      </c>
      <c r="M48" s="11" t="str">
        <f t="shared" si="23"/>
        <v>SUMIF(EFACT_CNE!B:B,ReliquidacionEFACT!B48,EFACT_CNE!S:S)</v>
      </c>
      <c r="N48" s="11" t="str">
        <f t="shared" si="24"/>
        <v>SUMIF(EFACT_CNE!B:B,ReliquidacionEFACT!B48,EFACT_CNE!T:T)</v>
      </c>
      <c r="O48" s="12" t="str">
        <f t="shared" si="11"/>
        <v>IFERROR((N48/M48),0)</v>
      </c>
      <c r="P48" s="13" t="str">
        <f t="shared" si="25"/>
        <v>SUMIF(EFACT_CNE!B:B,ReliquidacionEFACT!B48,EFACT_CNE!U:U)</v>
      </c>
      <c r="Q48" s="11" t="str">
        <f t="shared" si="26"/>
        <v>SUMIF(EFACT_CNE!B:B,ReliquidacionEFACT!B48,EFACT_CNE!V:V)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475</v>
      </c>
      <c r="D49" s="11" t="str">
        <f t="shared" si="6"/>
        <v>SUMIF(FactRealE!B:B,ReliquidacionEFACT!B49,FactRealE!N:N)</v>
      </c>
      <c r="E49" s="11" t="str">
        <f t="shared" si="21"/>
        <v>SUMIF(FactRealE!B:B,ReliquidacionEFACT!B49,FactRealE!L:L)</v>
      </c>
      <c r="F49" s="12" t="str">
        <f t="shared" si="7"/>
        <v>IFERROR((E49/D49),0)</v>
      </c>
      <c r="G49" s="13" t="str">
        <f t="shared" si="8"/>
        <v>SUMIF(FactRealP!B:B,ReliquidacionEFACT!B49,FactRealP!N:N)</v>
      </c>
      <c r="H49" s="11" t="str">
        <f t="shared" si="22"/>
        <v>SUMIF(FactRealP!B:B,ReliquidacionEFACT!B49,FactRealP!L:L)</v>
      </c>
      <c r="I49" s="12" t="str">
        <f t="shared" si="9"/>
        <v>IFERROR((H49/G49),0)</v>
      </c>
      <c r="J49" s="11" t="str">
        <f t="shared" si="10"/>
        <v>(E49+H49)</v>
      </c>
      <c r="L49" s="41" t="str">
        <f>(MAPA_DATA!K42)</f>
        <v>EFACT_CNE</v>
      </c>
      <c r="M49" s="11" t="str">
        <f t="shared" si="23"/>
        <v>SUMIF(EFACT_CNE!B:B,ReliquidacionEFACT!B49,EFACT_CNE!S:S)</v>
      </c>
      <c r="N49" s="11" t="str">
        <f t="shared" si="24"/>
        <v>SUMIF(EFACT_CNE!B:B,ReliquidacionEFACT!B49,EFACT_CNE!T:T)</v>
      </c>
      <c r="O49" s="12" t="str">
        <f t="shared" si="11"/>
        <v>IFERROR((N49/M49),0)</v>
      </c>
      <c r="P49" s="13" t="str">
        <f t="shared" si="25"/>
        <v>SUMIF(EFACT_CNE!B:B,ReliquidacionEFACT!B49,EFACT_CNE!U:U)</v>
      </c>
      <c r="Q49" s="11" t="str">
        <f t="shared" si="26"/>
        <v>SUMIF(EFACT_CNE!B:B,ReliquidacionEFACT!B49,EFACT_CNE!V:V)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475</v>
      </c>
      <c r="D50" s="11" t="str">
        <f t="shared" si="6"/>
        <v>SUMIF(FactRealE!B:B,ReliquidacionEFACT!B50,FactRealE!N:N)</v>
      </c>
      <c r="E50" s="11" t="str">
        <f t="shared" si="21"/>
        <v>SUMIF(FactRealE!B:B,ReliquidacionEFACT!B50,FactRealE!L:L)</v>
      </c>
      <c r="F50" s="12" t="str">
        <f t="shared" si="7"/>
        <v>IFERROR((E50/D50),0)</v>
      </c>
      <c r="G50" s="13" t="str">
        <f t="shared" si="8"/>
        <v>SUMIF(FactRealP!B:B,ReliquidacionEFACT!B50,FactRealP!N:N)</v>
      </c>
      <c r="H50" s="11" t="str">
        <f t="shared" si="22"/>
        <v>SUMIF(FactRealP!B:B,ReliquidacionEFACT!B50,FactRealP!L:L)</v>
      </c>
      <c r="I50" s="12" t="str">
        <f t="shared" si="9"/>
        <v>IFERROR((H50/G50),0)</v>
      </c>
      <c r="J50" s="11" t="str">
        <f t="shared" si="10"/>
        <v>(E50+H50)</v>
      </c>
      <c r="L50" s="41" t="str">
        <f>(MAPA_DATA!K43)</f>
        <v>EFACT_CNE</v>
      </c>
      <c r="M50" s="11" t="str">
        <f t="shared" si="23"/>
        <v>SUMIF(EFACT_CNE!B:B,ReliquidacionEFACT!B50,EFACT_CNE!S:S)</v>
      </c>
      <c r="N50" s="11" t="str">
        <f t="shared" si="24"/>
        <v>SUMIF(EFACT_CNE!B:B,ReliquidacionEFACT!B50,EFACT_CNE!T:T)</v>
      </c>
      <c r="O50" s="12" t="str">
        <f t="shared" si="11"/>
        <v>IFERROR((N50/M50),0)</v>
      </c>
      <c r="P50" s="13" t="str">
        <f t="shared" si="25"/>
        <v>SUMIF(EFACT_CNE!B:B,ReliquidacionEFACT!B50,EFACT_CNE!U:U)</v>
      </c>
      <c r="Q50" s="11" t="str">
        <f t="shared" si="26"/>
        <v>SUMIF(EFACT_CNE!B:B,ReliquidacionEFACT!B50,EFACT_CNE!V:V)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475</v>
      </c>
      <c r="D51" s="11" t="str">
        <f t="shared" si="6"/>
        <v>SUMIF(FactRealE!B:B,ReliquidacionEFACT!B51,FactRealE!N:N)</v>
      </c>
      <c r="E51" s="11" t="str">
        <f t="shared" si="21"/>
        <v>SUMIF(FactRealE!B:B,ReliquidacionEFACT!B51,FactRealE!L:L)</v>
      </c>
      <c r="F51" s="12" t="str">
        <f t="shared" si="7"/>
        <v>IFERROR((E51/D51),0)</v>
      </c>
      <c r="G51" s="13" t="str">
        <f t="shared" si="8"/>
        <v>SUMIF(FactRealP!B:B,ReliquidacionEFACT!B51,FactRealP!N:N)</v>
      </c>
      <c r="H51" s="11" t="str">
        <f t="shared" si="22"/>
        <v>SUMIF(FactRealP!B:B,ReliquidacionEFACT!B51,FactRealP!L:L)</v>
      </c>
      <c r="I51" s="12" t="str">
        <f t="shared" si="9"/>
        <v>IFERROR((H51/G51),0)</v>
      </c>
      <c r="J51" s="11" t="str">
        <f t="shared" si="10"/>
        <v>(E51+H51)</v>
      </c>
      <c r="L51" s="41" t="str">
        <f>(MAPA_DATA!K44)</f>
        <v>EFACT_CNE</v>
      </c>
      <c r="M51" s="11" t="str">
        <f t="shared" si="23"/>
        <v>SUMIF(EFACT_CNE!B:B,ReliquidacionEFACT!B51,EFACT_CNE!S:S)</v>
      </c>
      <c r="N51" s="11" t="str">
        <f t="shared" si="24"/>
        <v>SUMIF(EFACT_CNE!B:B,ReliquidacionEFACT!B51,EFACT_CNE!T:T)</v>
      </c>
      <c r="O51" s="12" t="str">
        <f t="shared" si="11"/>
        <v>IFERROR((N51/M51),0)</v>
      </c>
      <c r="P51" s="13" t="str">
        <f t="shared" si="25"/>
        <v>SUMIF(EFACT_CNE!B:B,ReliquidacionEFACT!B51,EFACT_CNE!U:U)</v>
      </c>
      <c r="Q51" s="11" t="str">
        <f t="shared" si="26"/>
        <v>SUMIF(EFACT_CNE!B:B,ReliquidacionEFACT!B51,EFACT_CNE!V:V)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475</v>
      </c>
      <c r="D52" s="11" t="str">
        <f t="shared" si="6"/>
        <v>SUMIF(FactRealE!B:B,ReliquidacionEFACT!B52,FactRealE!N:N)</v>
      </c>
      <c r="E52" s="11" t="str">
        <f t="shared" si="21"/>
        <v>SUMIF(FactRealE!B:B,ReliquidacionEFACT!B52,FactRealE!L:L)</v>
      </c>
      <c r="F52" s="12" t="str">
        <f t="shared" si="7"/>
        <v>IFERROR((E52/D52),0)</v>
      </c>
      <c r="G52" s="13" t="str">
        <f t="shared" si="8"/>
        <v>SUMIF(FactRealP!B:B,ReliquidacionEFACT!B52,FactRealP!N:N)</v>
      </c>
      <c r="H52" s="11" t="str">
        <f t="shared" si="22"/>
        <v>SUMIF(FactRealP!B:B,ReliquidacionEFACT!B52,FactRealP!L:L)</v>
      </c>
      <c r="I52" s="12" t="str">
        <f t="shared" si="9"/>
        <v>IFERROR((H52/G52),0)</v>
      </c>
      <c r="J52" s="11" t="str">
        <f t="shared" si="10"/>
        <v>(E52+H52)</v>
      </c>
      <c r="L52" s="41" t="str">
        <f>(MAPA_DATA!K45)</f>
        <v>EFACT_CNE</v>
      </c>
      <c r="M52" s="11" t="str">
        <f t="shared" si="23"/>
        <v>SUMIF(EFACT_CNE!B:B,ReliquidacionEFACT!B52,EFACT_CNE!S:S)</v>
      </c>
      <c r="N52" s="11" t="str">
        <f t="shared" si="24"/>
        <v>SUMIF(EFACT_CNE!B:B,ReliquidacionEFACT!B52,EFACT_CNE!T:T)</v>
      </c>
      <c r="O52" s="12" t="str">
        <f t="shared" si="11"/>
        <v>IFERROR((N52/M52),0)</v>
      </c>
      <c r="P52" s="13" t="str">
        <f t="shared" si="25"/>
        <v>SUMIF(EFACT_CNE!B:B,ReliquidacionEFACT!B52,EFACT_CNE!U:U)</v>
      </c>
      <c r="Q52" s="11" t="str">
        <f t="shared" si="26"/>
        <v>SUMIF(EFACT_CNE!B:B,ReliquidacionEFACT!B52,EFACT_CNE!V:V)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290</v>
      </c>
      <c r="D53" s="11" t="str">
        <f t="shared" ref="D53:D65" si="27">CONCATENATE("SUMIF(",IF(C53="FACT_EMITIDA","SIGGE_E",C53),"!B:B,ReliquidacionEFACT!B",A53,",",IF(C53="FACT_EMITIDA","SIGGE_E",C53),"!S:S)")</f>
        <v>SUMIF(SIGGE_E!B:B,ReliquidacionEFACT!B53,SIGGE_E!S:S)</v>
      </c>
      <c r="E53" s="11" t="str">
        <f t="shared" ref="E53:E65" si="28">CONCATENATE("SUMIF(",IF(C53="FACT_EMITIDA","SIGGE_E",C53),"!B:B,ReliquidacionEFACT!B",A53,",",IF(C53="FACT_EMITIDA","SIGGE_E",C53),"!T:T)")</f>
        <v>SUMIF(SIGGE_E!B:B,ReliquidacionEFACT!B53,SIGGE_E!T:T)</v>
      </c>
      <c r="F53" s="12" t="str">
        <f t="shared" si="7"/>
        <v>IFERROR((E53/D53),0)</v>
      </c>
      <c r="G53" s="13" t="str">
        <f t="shared" ref="G53:G65" si="29">CONCATENATE("SUMIF(",IF(C53="FACT_EMITIDA","SIGGE_P",C53),"!B:B,ReliquidacionEFACT!B",A53,",",IF(C53="FACT_EMITIDA","SIGGE_P",C53),"!U:U)")</f>
        <v>SUMIF(SIGGE_P!B:B,ReliquidacionEFACT!B53,SIGGE_P!U:U)</v>
      </c>
      <c r="H53" s="11" t="str">
        <f t="shared" ref="H53:H65" si="30">CONCATENATE("SUMIF(",IF(C53="FACT_EMITIDA","SIGGE_P",C53),"!B:B,ReliquidacionEFACT!B",A53,",",IF(C53="FACT_EMITIDA","SIGGE_P",C53),"!V:V)")</f>
        <v>SUMIF(SIGGE_P!B:B,ReliquidacionEFACT!B53,SIGGE_P!V:V)</v>
      </c>
      <c r="I53" s="12" t="str">
        <f t="shared" si="9"/>
        <v>IFERROR((H53/G53),0)</v>
      </c>
      <c r="J53" s="11" t="str">
        <f t="shared" si="10"/>
        <v>(E53+H53)</v>
      </c>
      <c r="L53" s="41" t="str">
        <f>(MAPA_DATA!K46)</f>
        <v>EFACT_CNE</v>
      </c>
      <c r="M53" s="11" t="str">
        <f t="shared" si="23"/>
        <v>SUMIF(EFACT_CNE!B:B,ReliquidacionEFACT!B53,EFACT_CNE!S:S)</v>
      </c>
      <c r="N53" s="11" t="str">
        <f t="shared" si="24"/>
        <v>SUMIF(EFACT_CNE!B:B,ReliquidacionEFACT!B53,EFACT_CNE!T:T)</v>
      </c>
      <c r="O53" s="12" t="str">
        <f t="shared" si="11"/>
        <v>IFERROR((N53/M53),0)</v>
      </c>
      <c r="P53" s="13" t="str">
        <f t="shared" si="25"/>
        <v>SUMIF(EFACT_CNE!B:B,ReliquidacionEFACT!B53,EFACT_CNE!U:U)</v>
      </c>
      <c r="Q53" s="11" t="str">
        <f t="shared" si="26"/>
        <v>SUMIF(EFACT_CNE!B:B,ReliquidacionEFACT!B53,EFACT_CNE!V:V)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290</v>
      </c>
      <c r="D54" s="11" t="str">
        <f t="shared" si="27"/>
        <v>SUMIF(SIGGE_E!B:B,ReliquidacionEFACT!B54,SIGGE_E!S:S)</v>
      </c>
      <c r="E54" s="11" t="str">
        <f t="shared" si="28"/>
        <v>SUMIF(SIGGE_E!B:B,ReliquidacionEFACT!B54,SIGGE_E!T:T)</v>
      </c>
      <c r="F54" s="12" t="str">
        <f t="shared" si="7"/>
        <v>IFERROR((E54/D54),0)</v>
      </c>
      <c r="G54" s="13" t="str">
        <f t="shared" si="29"/>
        <v>SUMIF(SIGGE_P!B:B,ReliquidacionEFACT!B54,SIGGE_P!U:U)</v>
      </c>
      <c r="H54" s="11" t="str">
        <f t="shared" si="30"/>
        <v>SUMIF(SIGGE_P!B:B,ReliquidacionEFACT!B54,SIGGE_P!V:V)</v>
      </c>
      <c r="I54" s="12" t="str">
        <f t="shared" si="9"/>
        <v>IFERROR((H54/G54),0)</v>
      </c>
      <c r="J54" s="11" t="str">
        <f t="shared" si="10"/>
        <v>(E54+H54)</v>
      </c>
      <c r="L54" s="41" t="str">
        <f>(MAPA_DATA!K47)</f>
        <v>EFACT_CNE</v>
      </c>
      <c r="M54" s="11" t="str">
        <f t="shared" si="23"/>
        <v>SUMIF(EFACT_CNE!B:B,ReliquidacionEFACT!B54,EFACT_CNE!S:S)</v>
      </c>
      <c r="N54" s="11" t="str">
        <f t="shared" si="24"/>
        <v>SUMIF(EFACT_CNE!B:B,ReliquidacionEFACT!B54,EFACT_CNE!T:T)</v>
      </c>
      <c r="O54" s="12" t="str">
        <f t="shared" si="11"/>
        <v>IFERROR((N54/M54),0)</v>
      </c>
      <c r="P54" s="13" t="str">
        <f t="shared" si="25"/>
        <v>SUMIF(EFACT_CNE!B:B,ReliquidacionEFACT!B54,EFACT_CNE!U:U)</v>
      </c>
      <c r="Q54" s="11" t="str">
        <f t="shared" si="26"/>
        <v>SUMIF(EFACT_CNE!B:B,ReliquidacionEFACT!B54,EFACT_CNE!V:V)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290</v>
      </c>
      <c r="D55" s="11" t="str">
        <f t="shared" si="27"/>
        <v>SUMIF(SIGGE_E!B:B,ReliquidacionEFACT!B55,SIGGE_E!S:S)</v>
      </c>
      <c r="E55" s="11" t="str">
        <f t="shared" si="28"/>
        <v>SUMIF(SIGGE_E!B:B,ReliquidacionEFACT!B55,SIGGE_E!T:T)</v>
      </c>
      <c r="F55" s="12" t="str">
        <f t="shared" si="7"/>
        <v>IFERROR((E55/D55),0)</v>
      </c>
      <c r="G55" s="13" t="str">
        <f t="shared" si="29"/>
        <v>SUMIF(SIGGE_P!B:B,ReliquidacionEFACT!B55,SIGGE_P!U:U)</v>
      </c>
      <c r="H55" s="11" t="str">
        <f t="shared" si="30"/>
        <v>SUMIF(SIGGE_P!B:B,ReliquidacionEFACT!B55,SIGGE_P!V:V)</v>
      </c>
      <c r="I55" s="12" t="str">
        <f t="shared" si="9"/>
        <v>IFERROR((H55/G55),0)</v>
      </c>
      <c r="J55" s="11" t="str">
        <f t="shared" si="10"/>
        <v>(E55+H55)</v>
      </c>
      <c r="L55" s="41" t="str">
        <f>(MAPA_DATA!K48)</f>
        <v>EFACT_CNE</v>
      </c>
      <c r="M55" s="11" t="str">
        <f t="shared" si="23"/>
        <v>SUMIF(EFACT_CNE!B:B,ReliquidacionEFACT!B55,EFACT_CNE!S:S)</v>
      </c>
      <c r="N55" s="11" t="str">
        <f t="shared" si="24"/>
        <v>SUMIF(EFACT_CNE!B:B,ReliquidacionEFACT!B55,EFACT_CNE!T:T)</v>
      </c>
      <c r="O55" s="12" t="str">
        <f t="shared" si="11"/>
        <v>IFERROR((N55/M55),0)</v>
      </c>
      <c r="P55" s="13" t="str">
        <f t="shared" si="25"/>
        <v>SUMIF(EFACT_CNE!B:B,ReliquidacionEFACT!B55,EFACT_CNE!U:U)</v>
      </c>
      <c r="Q55" s="11" t="str">
        <f t="shared" si="26"/>
        <v>SUMIF(EFACT_CNE!B:B,ReliquidacionEFACT!B55,EFACT_CNE!V:V)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290</v>
      </c>
      <c r="D56" s="11" t="str">
        <f t="shared" si="27"/>
        <v>SUMIF(SIGGE_E!B:B,ReliquidacionEFACT!B56,SIGGE_E!S:S)</v>
      </c>
      <c r="E56" s="11" t="str">
        <f t="shared" si="28"/>
        <v>SUMIF(SIGGE_E!B:B,ReliquidacionEFACT!B56,SIGGE_E!T:T)</v>
      </c>
      <c r="F56" s="12" t="str">
        <f t="shared" si="7"/>
        <v>IFERROR((E56/D56),0)</v>
      </c>
      <c r="G56" s="13" t="str">
        <f t="shared" si="29"/>
        <v>SUMIF(SIGGE_P!B:B,ReliquidacionEFACT!B56,SIGGE_P!U:U)</v>
      </c>
      <c r="H56" s="11" t="str">
        <f t="shared" si="30"/>
        <v>SUMIF(SIGGE_P!B:B,ReliquidacionEFACT!B56,SIGGE_P!V:V)</v>
      </c>
      <c r="I56" s="12" t="str">
        <f t="shared" si="9"/>
        <v>IFERROR((H56/G56),0)</v>
      </c>
      <c r="J56" s="11" t="str">
        <f t="shared" si="10"/>
        <v>(E56+H56)</v>
      </c>
      <c r="L56" s="41" t="str">
        <f>(MAPA_DATA!K49)</f>
        <v>EFACT_CNE</v>
      </c>
      <c r="M56" s="11" t="str">
        <f t="shared" si="23"/>
        <v>SUMIF(EFACT_CNE!B:B,ReliquidacionEFACT!B56,EFACT_CNE!S:S)</v>
      </c>
      <c r="N56" s="11" t="str">
        <f t="shared" si="24"/>
        <v>SUMIF(EFACT_CNE!B:B,ReliquidacionEFACT!B56,EFACT_CNE!T:T)</v>
      </c>
      <c r="O56" s="12" t="str">
        <f t="shared" si="11"/>
        <v>IFERROR((N56/M56),0)</v>
      </c>
      <c r="P56" s="13" t="str">
        <f t="shared" si="25"/>
        <v>SUMIF(EFACT_CNE!B:B,ReliquidacionEFACT!B56,EFACT_CNE!U:U)</v>
      </c>
      <c r="Q56" s="11" t="str">
        <f t="shared" si="26"/>
        <v>SUMIF(EFACT_CNE!B:B,ReliquidacionEFACT!B56,EFACT_CNE!V:V)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290</v>
      </c>
      <c r="D57" s="11" t="str">
        <f t="shared" si="27"/>
        <v>SUMIF(SIGGE_E!B:B,ReliquidacionEFACT!B57,SIGGE_E!S:S)</v>
      </c>
      <c r="E57" s="11" t="str">
        <f t="shared" si="28"/>
        <v>SUMIF(SIGGE_E!B:B,ReliquidacionEFACT!B57,SIGGE_E!T:T)</v>
      </c>
      <c r="F57" s="12" t="str">
        <f t="shared" si="7"/>
        <v>IFERROR((E57/D57),0)</v>
      </c>
      <c r="G57" s="13" t="str">
        <f t="shared" si="29"/>
        <v>SUMIF(SIGGE_P!B:B,ReliquidacionEFACT!B57,SIGGE_P!U:U)</v>
      </c>
      <c r="H57" s="11" t="str">
        <f t="shared" si="30"/>
        <v>SUMIF(SIGGE_P!B:B,ReliquidacionEFACT!B57,SIGGE_P!V:V)</v>
      </c>
      <c r="I57" s="12" t="str">
        <f t="shared" si="9"/>
        <v>IFERROR((H57/G57),0)</v>
      </c>
      <c r="J57" s="11" t="str">
        <f t="shared" si="10"/>
        <v>(E57+H57)</v>
      </c>
      <c r="L57" s="41" t="str">
        <f>(MAPA_DATA!K50)</f>
        <v>EFACT_CNE</v>
      </c>
      <c r="M57" s="11" t="str">
        <f t="shared" si="23"/>
        <v>SUMIF(EFACT_CNE!B:B,ReliquidacionEFACT!B57,EFACT_CNE!S:S)</v>
      </c>
      <c r="N57" s="11" t="str">
        <f t="shared" si="24"/>
        <v>SUMIF(EFACT_CNE!B:B,ReliquidacionEFACT!B57,EFACT_CNE!T:T)</v>
      </c>
      <c r="O57" s="12" t="str">
        <f t="shared" si="11"/>
        <v>IFERROR((N57/M57),0)</v>
      </c>
      <c r="P57" s="13" t="str">
        <f t="shared" si="25"/>
        <v>SUMIF(EFACT_CNE!B:B,ReliquidacionEFACT!B57,EFACT_CNE!U:U)</v>
      </c>
      <c r="Q57" s="11" t="str">
        <f t="shared" si="26"/>
        <v>SUMIF(EFACT_CNE!B:B,ReliquidacionEFACT!B57,EFACT_CNE!V:V)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290</v>
      </c>
      <c r="D58" s="11" t="str">
        <f t="shared" si="27"/>
        <v>SUMIF(SIGGE_E!B:B,ReliquidacionEFACT!B58,SIGGE_E!S:S)</v>
      </c>
      <c r="E58" s="11" t="str">
        <f t="shared" si="28"/>
        <v>SUMIF(SIGGE_E!B:B,ReliquidacionEFACT!B58,SIGGE_E!T:T)</v>
      </c>
      <c r="F58" s="12" t="str">
        <f t="shared" si="7"/>
        <v>IFERROR((E58/D58),0)</v>
      </c>
      <c r="G58" s="13" t="str">
        <f t="shared" si="29"/>
        <v>SUMIF(SIGGE_P!B:B,ReliquidacionEFACT!B58,SIGGE_P!U:U)</v>
      </c>
      <c r="H58" s="11" t="str">
        <f t="shared" si="30"/>
        <v>SUMIF(SIGGE_P!B:B,ReliquidacionEFACT!B58,SIGGE_P!V:V)</v>
      </c>
      <c r="I58" s="12" t="str">
        <f t="shared" si="9"/>
        <v>IFERROR((H58/G58),0)</v>
      </c>
      <c r="J58" s="11" t="str">
        <f t="shared" si="10"/>
        <v>(E58+H58)</v>
      </c>
      <c r="L58" s="41" t="str">
        <f>(MAPA_DATA!K51)</f>
        <v>EFACT_CNE</v>
      </c>
      <c r="M58" s="11" t="str">
        <f t="shared" si="23"/>
        <v>SUMIF(EFACT_CNE!B:B,ReliquidacionEFACT!B58,EFACT_CNE!S:S)</v>
      </c>
      <c r="N58" s="11" t="str">
        <f t="shared" si="24"/>
        <v>SUMIF(EFACT_CNE!B:B,ReliquidacionEFACT!B58,EFACT_CNE!T:T)</v>
      </c>
      <c r="O58" s="12" t="str">
        <f t="shared" si="11"/>
        <v>IFERROR((N58/M58),0)</v>
      </c>
      <c r="P58" s="13" t="str">
        <f t="shared" si="25"/>
        <v>SUMIF(EFACT_CNE!B:B,ReliquidacionEFACT!B58,EFACT_CNE!U:U)</v>
      </c>
      <c r="Q58" s="11" t="str">
        <f t="shared" si="26"/>
        <v>SUMIF(EFACT_CNE!B:B,ReliquidacionEFACT!B58,EFACT_CNE!V:V)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290</v>
      </c>
      <c r="D59" s="11" t="str">
        <f t="shared" si="27"/>
        <v>SUMIF(SIGGE_E!B:B,ReliquidacionEFACT!B59,SIGGE_E!S:S)</v>
      </c>
      <c r="E59" s="11" t="str">
        <f t="shared" si="28"/>
        <v>SUMIF(SIGGE_E!B:B,ReliquidacionEFACT!B59,SIGGE_E!T:T)</v>
      </c>
      <c r="F59" s="12" t="str">
        <f t="shared" si="7"/>
        <v>IFERROR((E59/D59),0)</v>
      </c>
      <c r="G59" s="13" t="str">
        <f t="shared" si="29"/>
        <v>SUMIF(SIGGE_P!B:B,ReliquidacionEFACT!B59,SIGGE_P!U:U)</v>
      </c>
      <c r="H59" s="11" t="str">
        <f t="shared" si="30"/>
        <v>SUMIF(SIGGE_P!B:B,ReliquidacionEFACT!B59,SIGGE_P!V:V)</v>
      </c>
      <c r="I59" s="12" t="str">
        <f t="shared" si="9"/>
        <v>IFERROR((H59/G59),0)</v>
      </c>
      <c r="J59" s="11" t="str">
        <f t="shared" si="10"/>
        <v>(E59+H59)</v>
      </c>
      <c r="L59" s="41" t="str">
        <f>(MAPA_DATA!K52)</f>
        <v>EFACT_CNE</v>
      </c>
      <c r="M59" s="11" t="str">
        <f t="shared" si="23"/>
        <v>SUMIF(EFACT_CNE!B:B,ReliquidacionEFACT!B59,EFACT_CNE!S:S)</v>
      </c>
      <c r="N59" s="11" t="str">
        <f t="shared" si="24"/>
        <v>SUMIF(EFACT_CNE!B:B,ReliquidacionEFACT!B59,EFACT_CNE!T:T)</v>
      </c>
      <c r="O59" s="12" t="str">
        <f t="shared" si="11"/>
        <v>IFERROR((N59/M59),0)</v>
      </c>
      <c r="P59" s="13" t="str">
        <f t="shared" si="25"/>
        <v>SUMIF(EFACT_CNE!B:B,ReliquidacionEFACT!B59,EFACT_CNE!U:U)</v>
      </c>
      <c r="Q59" s="11" t="str">
        <f t="shared" si="26"/>
        <v>SUMIF(EFACT_CNE!B:B,ReliquidacionEFACT!B59,EFACT_CNE!V:V)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290</v>
      </c>
      <c r="D60" s="11" t="str">
        <f t="shared" si="27"/>
        <v>SUMIF(SIGGE_E!B:B,ReliquidacionEFACT!B60,SIGGE_E!S:S)</v>
      </c>
      <c r="E60" s="11" t="str">
        <f t="shared" si="28"/>
        <v>SUMIF(SIGGE_E!B:B,ReliquidacionEFACT!B60,SIGGE_E!T:T)</v>
      </c>
      <c r="F60" s="12" t="str">
        <f t="shared" si="7"/>
        <v>IFERROR((E60/D60),0)</v>
      </c>
      <c r="G60" s="13" t="str">
        <f t="shared" si="29"/>
        <v>SUMIF(SIGGE_P!B:B,ReliquidacionEFACT!B60,SIGGE_P!U:U)</v>
      </c>
      <c r="H60" s="11" t="str">
        <f t="shared" si="30"/>
        <v>SUMIF(SIGGE_P!B:B,ReliquidacionEFACT!B60,SIGGE_P!V:V)</v>
      </c>
      <c r="I60" s="12" t="str">
        <f t="shared" si="9"/>
        <v>IFERROR((H60/G60),0)</v>
      </c>
      <c r="J60" s="11" t="str">
        <f t="shared" si="10"/>
        <v>(E60+H60)</v>
      </c>
      <c r="L60" s="41" t="str">
        <f>(MAPA_DATA!K53)</f>
        <v>EFACT_CNE</v>
      </c>
      <c r="M60" s="11" t="str">
        <f t="shared" si="23"/>
        <v>SUMIF(EFACT_CNE!B:B,ReliquidacionEFACT!B60,EFACT_CNE!S:S)</v>
      </c>
      <c r="N60" s="11" t="str">
        <f t="shared" si="24"/>
        <v>SUMIF(EFACT_CNE!B:B,ReliquidacionEFACT!B60,EFACT_CNE!T:T)</v>
      </c>
      <c r="O60" s="12" t="str">
        <f t="shared" si="11"/>
        <v>IFERROR((N60/M60),0)</v>
      </c>
      <c r="P60" s="13" t="str">
        <f t="shared" si="25"/>
        <v>SUMIF(EFACT_CNE!B:B,ReliquidacionEFACT!B60,EFACT_CNE!U:U)</v>
      </c>
      <c r="Q60" s="11" t="str">
        <f t="shared" si="26"/>
        <v>SUMIF(EFACT_CNE!B:B,ReliquidacionEFACT!B60,EFACT_CNE!V:V)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290</v>
      </c>
      <c r="D61" s="11" t="str">
        <f t="shared" si="27"/>
        <v>SUMIF(SIGGE_E!B:B,ReliquidacionEFACT!B61,SIGGE_E!S:S)</v>
      </c>
      <c r="E61" s="11" t="str">
        <f t="shared" si="28"/>
        <v>SUMIF(SIGGE_E!B:B,ReliquidacionEFACT!B61,SIGGE_E!T:T)</v>
      </c>
      <c r="F61" s="12" t="str">
        <f t="shared" si="7"/>
        <v>IFERROR((E61/D61),0)</v>
      </c>
      <c r="G61" s="13" t="str">
        <f t="shared" si="29"/>
        <v>SUMIF(SIGGE_P!B:B,ReliquidacionEFACT!B61,SIGGE_P!U:U)</v>
      </c>
      <c r="H61" s="11" t="str">
        <f t="shared" si="30"/>
        <v>SUMIF(SIGGE_P!B:B,ReliquidacionEFACT!B61,SIGGE_P!V:V)</v>
      </c>
      <c r="I61" s="12" t="str">
        <f t="shared" si="9"/>
        <v>IFERROR((H61/G61),0)</v>
      </c>
      <c r="J61" s="11" t="str">
        <f t="shared" si="10"/>
        <v>(E61+H61)</v>
      </c>
      <c r="L61" s="41" t="str">
        <f>(MAPA_DATA!K54)</f>
        <v>EFACT_CNE</v>
      </c>
      <c r="M61" s="11" t="str">
        <f t="shared" si="23"/>
        <v>SUMIF(EFACT_CNE!B:B,ReliquidacionEFACT!B61,EFACT_CNE!S:S)</v>
      </c>
      <c r="N61" s="11" t="str">
        <f t="shared" si="24"/>
        <v>SUMIF(EFACT_CNE!B:B,ReliquidacionEFACT!B61,EFACT_CNE!T:T)</v>
      </c>
      <c r="O61" s="12" t="str">
        <f t="shared" si="11"/>
        <v>IFERROR((N61/M61),0)</v>
      </c>
      <c r="P61" s="13" t="str">
        <f t="shared" si="25"/>
        <v>SUMIF(EFACT_CNE!B:B,ReliquidacionEFACT!B61,EFACT_CNE!U:U)</v>
      </c>
      <c r="Q61" s="11" t="str">
        <f t="shared" si="26"/>
        <v>SUMIF(EFACT_CNE!B:B,ReliquidacionEFACT!B61,EFACT_CNE!V:V)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290</v>
      </c>
      <c r="D62" s="11" t="str">
        <f t="shared" si="27"/>
        <v>SUMIF(SIGGE_E!B:B,ReliquidacionEFACT!B62,SIGGE_E!S:S)</v>
      </c>
      <c r="E62" s="11" t="str">
        <f t="shared" si="28"/>
        <v>SUMIF(SIGGE_E!B:B,ReliquidacionEFACT!B62,SIGGE_E!T:T)</v>
      </c>
      <c r="F62" s="12" t="str">
        <f t="shared" si="7"/>
        <v>IFERROR((E62/D62),0)</v>
      </c>
      <c r="G62" s="13" t="str">
        <f t="shared" si="29"/>
        <v>SUMIF(SIGGE_P!B:B,ReliquidacionEFACT!B62,SIGGE_P!U:U)</v>
      </c>
      <c r="H62" s="11" t="str">
        <f t="shared" si="30"/>
        <v>SUMIF(SIGGE_P!B:B,ReliquidacionEFACT!B62,SIGGE_P!V:V)</v>
      </c>
      <c r="I62" s="12" t="str">
        <f t="shared" si="9"/>
        <v>IFERROR((H62/G62),0)</v>
      </c>
      <c r="J62" s="11" t="str">
        <f t="shared" si="10"/>
        <v>(E62+H62)</v>
      </c>
      <c r="L62" s="41" t="str">
        <f>(MAPA_DATA!K55)</f>
        <v>EFACT_CNE</v>
      </c>
      <c r="M62" s="11" t="str">
        <f t="shared" si="23"/>
        <v>SUMIF(EFACT_CNE!B:B,ReliquidacionEFACT!B62,EFACT_CNE!S:S)</v>
      </c>
      <c r="N62" s="11" t="str">
        <f t="shared" si="24"/>
        <v>SUMIF(EFACT_CNE!B:B,ReliquidacionEFACT!B62,EFACT_CNE!T:T)</v>
      </c>
      <c r="O62" s="12" t="str">
        <f t="shared" si="11"/>
        <v>IFERROR((N62/M62),0)</v>
      </c>
      <c r="P62" s="13" t="str">
        <f t="shared" si="25"/>
        <v>SUMIF(EFACT_CNE!B:B,ReliquidacionEFACT!B62,EFACT_CNE!U:U)</v>
      </c>
      <c r="Q62" s="11" t="str">
        <f t="shared" si="26"/>
        <v>SUMIF(EFACT_CNE!B:B,ReliquidacionEFACT!B62,EFACT_CNE!V:V)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290</v>
      </c>
      <c r="D63" s="11" t="str">
        <f t="shared" si="27"/>
        <v>SUMIF(SIGGE_E!B:B,ReliquidacionEFACT!B63,SIGGE_E!S:S)</v>
      </c>
      <c r="E63" s="11" t="str">
        <f t="shared" si="28"/>
        <v>SUMIF(SIGGE_E!B:B,ReliquidacionEFACT!B63,SIGGE_E!T:T)</v>
      </c>
      <c r="F63" s="12" t="str">
        <f t="shared" si="7"/>
        <v>IFERROR((E63/D63),0)</v>
      </c>
      <c r="G63" s="13" t="str">
        <f t="shared" si="29"/>
        <v>SUMIF(SIGGE_P!B:B,ReliquidacionEFACT!B63,SIGGE_P!U:U)</v>
      </c>
      <c r="H63" s="11" t="str">
        <f t="shared" si="30"/>
        <v>SUMIF(SIGGE_P!B:B,ReliquidacionEFACT!B63,SIGGE_P!V:V)</v>
      </c>
      <c r="I63" s="12" t="str">
        <f t="shared" si="9"/>
        <v>IFERROR((H63/G63),0)</v>
      </c>
      <c r="J63" s="11" t="str">
        <f t="shared" si="10"/>
        <v>(E63+H63)</v>
      </c>
      <c r="L63" s="41" t="str">
        <f>(MAPA_DATA!K56)</f>
        <v>EFACT_CNE</v>
      </c>
      <c r="M63" s="11" t="str">
        <f t="shared" si="23"/>
        <v>SUMIF(EFACT_CNE!B:B,ReliquidacionEFACT!B63,EFACT_CNE!S:S)</v>
      </c>
      <c r="N63" s="11" t="str">
        <f t="shared" si="24"/>
        <v>SUMIF(EFACT_CNE!B:B,ReliquidacionEFACT!B63,EFACT_CNE!T:T)</v>
      </c>
      <c r="O63" s="12" t="str">
        <f t="shared" si="11"/>
        <v>IFERROR((N63/M63),0)</v>
      </c>
      <c r="P63" s="13" t="str">
        <f t="shared" si="25"/>
        <v>SUMIF(EFACT_CNE!B:B,ReliquidacionEFACT!B63,EFACT_CNE!U:U)</v>
      </c>
      <c r="Q63" s="11" t="str">
        <f t="shared" si="26"/>
        <v>SUMIF(EFACT_CNE!B:B,ReliquidacionEFACT!B63,EFACT_CNE!V:V)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290</v>
      </c>
      <c r="D64" s="11" t="str">
        <f t="shared" si="27"/>
        <v>SUMIF(SIGGE_E!B:B,ReliquidacionEFACT!B64,SIGGE_E!S:S)</v>
      </c>
      <c r="E64" s="11" t="str">
        <f t="shared" si="28"/>
        <v>SUMIF(SIGGE_E!B:B,ReliquidacionEFACT!B64,SIGGE_E!T:T)</v>
      </c>
      <c r="F64" s="12" t="str">
        <f t="shared" si="7"/>
        <v>IFERROR((E64/D64),0)</v>
      </c>
      <c r="G64" s="13" t="str">
        <f t="shared" si="29"/>
        <v>SUMIF(SIGGE_P!B:B,ReliquidacionEFACT!B64,SIGGE_P!U:U)</v>
      </c>
      <c r="H64" s="11" t="str">
        <f t="shared" si="30"/>
        <v>SUMIF(SIGGE_P!B:B,ReliquidacionEFACT!B64,SIGGE_P!V:V)</v>
      </c>
      <c r="I64" s="12" t="str">
        <f t="shared" si="9"/>
        <v>IFERROR((H64/G64),0)</v>
      </c>
      <c r="J64" s="11" t="str">
        <f t="shared" si="10"/>
        <v>(E64+H64)</v>
      </c>
      <c r="L64" s="41" t="str">
        <f>(MAPA_DATA!K57)</f>
        <v>EFACT_CNE</v>
      </c>
      <c r="M64" s="11" t="str">
        <f t="shared" si="23"/>
        <v>SUMIF(EFACT_CNE!B:B,ReliquidacionEFACT!B64,EFACT_CNE!S:S)</v>
      </c>
      <c r="N64" s="11" t="str">
        <f t="shared" si="24"/>
        <v>SUMIF(EFACT_CNE!B:B,ReliquidacionEFACT!B64,EFACT_CNE!T:T)</v>
      </c>
      <c r="O64" s="12" t="str">
        <f t="shared" si="11"/>
        <v>IFERROR((N64/M64),0)</v>
      </c>
      <c r="P64" s="13" t="str">
        <f t="shared" si="25"/>
        <v>SUMIF(EFACT_CNE!B:B,ReliquidacionEFACT!B64,EFACT_CNE!U:U)</v>
      </c>
      <c r="Q64" s="11" t="str">
        <f t="shared" si="26"/>
        <v>SUMIF(EFACT_CNE!B:B,ReliquidacionEFACT!B64,EFACT_CNE!V:V)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290</v>
      </c>
      <c r="D65" s="11" t="str">
        <f t="shared" si="27"/>
        <v>SUMIF(SIGGE_E!B:B,ReliquidacionEFACT!B65,SIGGE_E!S:S)</v>
      </c>
      <c r="E65" s="11" t="str">
        <f t="shared" si="28"/>
        <v>SUMIF(SIGGE_E!B:B,ReliquidacionEFACT!B65,SIGGE_E!T:T)</v>
      </c>
      <c r="F65" s="12" t="str">
        <f t="shared" si="7"/>
        <v>IFERROR((E65/D65),0)</v>
      </c>
      <c r="G65" s="13" t="str">
        <f t="shared" si="29"/>
        <v>SUMIF(SIGGE_P!B:B,ReliquidacionEFACT!B65,SIGGE_P!U:U)</v>
      </c>
      <c r="H65" s="11" t="str">
        <f t="shared" si="30"/>
        <v>SUMIF(SIGGE_P!B:B,ReliquidacionEFACT!B65,SIGGE_P!V:V)</v>
      </c>
      <c r="I65" s="12" t="str">
        <f t="shared" si="9"/>
        <v>IFERROR((H65/G65),0)</v>
      </c>
      <c r="J65" s="11" t="str">
        <f t="shared" si="10"/>
        <v>(E65+H65)</v>
      </c>
      <c r="L65" s="41" t="str">
        <f>(MAPA_DATA!K58)</f>
        <v>EFACT_CNE</v>
      </c>
      <c r="M65" s="11" t="str">
        <f t="shared" si="23"/>
        <v>SUMIF(EFACT_CNE!B:B,ReliquidacionEFACT!B65,EFACT_CNE!S:S)</v>
      </c>
      <c r="N65" s="11" t="str">
        <f t="shared" si="24"/>
        <v>SUMIF(EFACT_CNE!B:B,ReliquidacionEFACT!B65,EFACT_CNE!T:T)</v>
      </c>
      <c r="O65" s="12" t="str">
        <f t="shared" si="11"/>
        <v>IFERROR((N65/M65),0)</v>
      </c>
      <c r="P65" s="13" t="str">
        <f t="shared" si="25"/>
        <v>SUMIF(EFACT_CNE!B:B,ReliquidacionEFACT!B65,EFACT_CNE!U:U)</v>
      </c>
      <c r="Q65" s="11" t="str">
        <f t="shared" si="26"/>
        <v>SUMIF(EFACT_CNE!B:B,ReliquidacionEFACT!B65,EFACT_CNE!V:V)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zoomScaleNormal="100" workbookViewId="0">
      <selection activeCell="A6" sqref="A6"/>
    </sheetView>
  </sheetViews>
  <sheetFormatPr baseColWidth="10" defaultRowHeight="15" x14ac:dyDescent="0.25"/>
  <cols>
    <col min="1" max="1" width="12.28515625" style="42" bestFit="1" customWidth="1"/>
    <col min="2" max="2" width="18" style="5" customWidth="1"/>
    <col min="3" max="3" width="13.85546875" style="5" bestFit="1" customWidth="1"/>
    <col min="4" max="4" width="55.28515625" bestFit="1" customWidth="1"/>
    <col min="5" max="5" width="54.140625" bestFit="1" customWidth="1"/>
    <col min="6" max="6" width="20.140625" bestFit="1" customWidth="1"/>
    <col min="7" max="7" width="57.5703125" bestFit="1" customWidth="1"/>
    <col min="8" max="8" width="54.42578125" bestFit="1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62.28515625" customWidth="1"/>
    <col min="14" max="14" width="65.28515625" customWidth="1"/>
    <col min="15" max="15" width="20.140625" bestFit="1" customWidth="1"/>
    <col min="16" max="16" width="63.7109375" customWidth="1"/>
    <col min="17" max="17" width="67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4" t="s">
        <v>458</v>
      </c>
      <c r="D7" s="74"/>
      <c r="E7" s="74"/>
      <c r="F7" s="74"/>
      <c r="G7" s="74"/>
      <c r="H7" s="74"/>
      <c r="I7" s="74"/>
      <c r="J7" s="75"/>
      <c r="L7" s="76" t="s">
        <v>459</v>
      </c>
      <c r="M7" s="76"/>
      <c r="N7" s="76"/>
      <c r="O7" s="76"/>
      <c r="P7" s="76"/>
      <c r="Q7" s="76"/>
      <c r="R7" s="76"/>
      <c r="S7" s="76"/>
      <c r="U7" s="77" t="s">
        <v>297</v>
      </c>
      <c r="V7" s="78"/>
      <c r="W7" s="78"/>
      <c r="X7" s="78"/>
      <c r="Y7" s="78"/>
      <c r="Z7" s="78"/>
      <c r="AA7" s="78"/>
      <c r="AB7" s="78"/>
      <c r="AC7" s="78"/>
      <c r="AD7" s="78"/>
      <c r="AE7" s="79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7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475</v>
      </c>
      <c r="D9" s="11" t="str">
        <f t="shared" ref="D9:D52" si="0">CONCATENATE("SUMIF(",IF(C9="FactReal","FactRealE",C9),"!B:B,ReliquidacionCEN!B",A9,",",IF(C9="FactReal","FactRealE",C9),"!N:N)")</f>
        <v>SUMIF(FactRealE!B:B,ReliquidacionCEN!B9,FactRealE!N:N)</v>
      </c>
      <c r="E9" s="11" t="str">
        <f t="shared" ref="E9:E52" si="1">CONCATENATE("SUMIF(",IF(C9="FactReal","FactRealE",C9),"!B:B,ReliquidacionCEN!B",A9,",",IF(C9="FactReal","FactRealE",C9),"!L:L)")</f>
        <v>SUMIF(FactRealE!B:B,ReliquidacionCEN!B9,FactRealE!L:L)</v>
      </c>
      <c r="F9" s="12" t="str">
        <f>CONCATENATE("IFERROR((E",A9,"/D",A9,"),0)")</f>
        <v>IFERROR((E9/D9),0)</v>
      </c>
      <c r="G9" s="13" t="str">
        <f t="shared" ref="G9:G52" si="2">CONCATENATE("SUMIF(",IF(C9="FactReal","FactRealP",C9),"!B:B,ReliquidacionCEN!B",A9,",",IF(C9="FactReal","FactRealP",C9),"!N:N)")</f>
        <v>SUMIF(FactRealP!B:B,ReliquidacionCEN!B9,FactRealP!N:N)</v>
      </c>
      <c r="H9" s="11" t="str">
        <f t="shared" ref="H9:H52" si="3">CONCATENATE("SUMIF(",IF(C9="FactReal","FactRealP",C9),"!B:B,ReliquidacionCEN!B",A9,",",IF(C9="FactReal","FactRealP",C9),"!L:L)")</f>
        <v>SUMIF(FactRealP!B:B,ReliquidacionCEN!B9,FactRealP!L:L)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4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475</v>
      </c>
      <c r="D10" s="11" t="str">
        <f t="shared" si="0"/>
        <v>SUMIF(FactRealE!B:B,ReliquidacionCEN!B10,FactRealE!N:N)</v>
      </c>
      <c r="E10" s="11" t="str">
        <f t="shared" si="1"/>
        <v>SUMIF(FactRealE!B:B,ReliquidacionCEN!B10,FactRealE!L:L)</v>
      </c>
      <c r="F10" s="12" t="str">
        <f t="shared" ref="F10:F65" si="4">CONCATENATE("IFERROR((E",A10,"/D",A10,"),0)")</f>
        <v>IFERROR((E10/D10),0)</v>
      </c>
      <c r="G10" s="13" t="str">
        <f t="shared" si="2"/>
        <v>SUMIF(FactRealP!B:B,ReliquidacionCEN!B10,FactRealP!N:N)</v>
      </c>
      <c r="H10" s="11" t="str">
        <f t="shared" si="3"/>
        <v>SUMIF(FactRealP!B:B,ReliquidacionCEN!B10,FactRealP!L:L)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54" t="s">
        <v>293</v>
      </c>
      <c r="M10" s="11" t="str">
        <f t="shared" ref="M10:M65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65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65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475</v>
      </c>
      <c r="D11" s="11" t="str">
        <f t="shared" si="0"/>
        <v>SUMIF(FactRealE!B:B,ReliquidacionCEN!B11,FactRealE!N:N)</v>
      </c>
      <c r="E11" s="11" t="str">
        <f t="shared" si="1"/>
        <v>SUMIF(FactRealE!B:B,ReliquidacionCEN!B11,FactRealE!L:L)</v>
      </c>
      <c r="F11" s="12" t="str">
        <f t="shared" si="4"/>
        <v>IFERROR((E11/D11),0)</v>
      </c>
      <c r="G11" s="13" t="str">
        <f t="shared" si="2"/>
        <v>SUMIF(FactRealP!B:B,ReliquidacionCEN!B11,FactRealP!N:N)</v>
      </c>
      <c r="H11" s="11" t="str">
        <f t="shared" si="3"/>
        <v>SUMIF(FactRealP!B:B,ReliquidacionCEN!B11,FactRealP!L:L)</v>
      </c>
      <c r="I11" s="12" t="str">
        <f t="shared" si="5"/>
        <v>IFERROR((H11/G11),0)</v>
      </c>
      <c r="J11" s="11" t="str">
        <f t="shared" si="6"/>
        <v>(E11+H11)</v>
      </c>
      <c r="L11" s="54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475</v>
      </c>
      <c r="D12" s="11" t="str">
        <f t="shared" si="0"/>
        <v>SUMIF(FactRealE!B:B,ReliquidacionCEN!B12,FactRealE!N:N)</v>
      </c>
      <c r="E12" s="11" t="str">
        <f t="shared" si="1"/>
        <v>SUMIF(FactRealE!B:B,ReliquidacionCEN!B12,FactRealE!L:L)</v>
      </c>
      <c r="F12" s="12" t="str">
        <f t="shared" si="4"/>
        <v>IFERROR((E12/D12),0)</v>
      </c>
      <c r="G12" s="13" t="str">
        <f t="shared" si="2"/>
        <v>SUMIF(FactRealP!B:B,ReliquidacionCEN!B12,FactRealP!N:N)</v>
      </c>
      <c r="H12" s="11" t="str">
        <f t="shared" si="3"/>
        <v>SUMIF(FactRealP!B:B,ReliquidacionCEN!B12,FactRealP!L:L)</v>
      </c>
      <c r="I12" s="12" t="str">
        <f t="shared" si="5"/>
        <v>IFERROR((H12/G12),0)</v>
      </c>
      <c r="J12" s="11" t="str">
        <f t="shared" si="6"/>
        <v>(E12+H12)</v>
      </c>
      <c r="L12" s="54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475</v>
      </c>
      <c r="D13" s="11" t="str">
        <f t="shared" si="0"/>
        <v>SUMIF(FactRealE!B:B,ReliquidacionCEN!B13,FactRealE!N:N)</v>
      </c>
      <c r="E13" s="11" t="str">
        <f t="shared" si="1"/>
        <v>SUMIF(FactRealE!B:B,ReliquidacionCEN!B13,FactRealE!L:L)</v>
      </c>
      <c r="F13" s="12" t="str">
        <f t="shared" si="4"/>
        <v>IFERROR((E13/D13),0)</v>
      </c>
      <c r="G13" s="13" t="str">
        <f t="shared" si="2"/>
        <v>SUMIF(FactRealP!B:B,ReliquidacionCEN!B13,FactRealP!N:N)</v>
      </c>
      <c r="H13" s="11" t="str">
        <f t="shared" si="3"/>
        <v>SUMIF(FactRealP!B:B,ReliquidacionCEN!B13,FactRealP!L:L)</v>
      </c>
      <c r="I13" s="12" t="str">
        <f t="shared" si="5"/>
        <v>IFERROR((H13/G13),0)</v>
      </c>
      <c r="J13" s="11" t="str">
        <f t="shared" si="6"/>
        <v>(E13+H13)</v>
      </c>
      <c r="L13" s="54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475</v>
      </c>
      <c r="D14" s="11" t="str">
        <f t="shared" si="0"/>
        <v>SUMIF(FactRealE!B:B,ReliquidacionCEN!B14,FactRealE!N:N)</v>
      </c>
      <c r="E14" s="11" t="str">
        <f t="shared" si="1"/>
        <v>SUMIF(FactRealE!B:B,ReliquidacionCEN!B14,FactRealE!L:L)</v>
      </c>
      <c r="F14" s="12" t="str">
        <f t="shared" si="4"/>
        <v>IFERROR((E14/D14),0)</v>
      </c>
      <c r="G14" s="13" t="str">
        <f t="shared" si="2"/>
        <v>SUMIF(FactRealP!B:B,ReliquidacionCEN!B14,FactRealP!N:N)</v>
      </c>
      <c r="H14" s="11" t="str">
        <f t="shared" si="3"/>
        <v>SUMIF(FactRealP!B:B,ReliquidacionCEN!B14,FactRealP!L:L)</v>
      </c>
      <c r="I14" s="12" t="str">
        <f t="shared" si="5"/>
        <v>IFERROR((H14/G14),0)</v>
      </c>
      <c r="J14" s="11" t="str">
        <f t="shared" si="6"/>
        <v>(E14+H14)</v>
      </c>
      <c r="L14" s="54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475</v>
      </c>
      <c r="D15" s="11" t="str">
        <f t="shared" si="0"/>
        <v>SUMIF(FactRealE!B:B,ReliquidacionCEN!B15,FactRealE!N:N)</v>
      </c>
      <c r="E15" s="11" t="str">
        <f t="shared" si="1"/>
        <v>SUMIF(FactRealE!B:B,ReliquidacionCEN!B15,FactRealE!L:L)</v>
      </c>
      <c r="F15" s="12" t="str">
        <f t="shared" si="4"/>
        <v>IFERROR((E15/D15),0)</v>
      </c>
      <c r="G15" s="13" t="str">
        <f t="shared" si="2"/>
        <v>SUMIF(FactRealP!B:B,ReliquidacionCEN!B15,FactRealP!N:N)</v>
      </c>
      <c r="H15" s="11" t="str">
        <f t="shared" si="3"/>
        <v>SUMIF(FactRealP!B:B,ReliquidacionCEN!B15,FactRealP!L:L)</v>
      </c>
      <c r="I15" s="12" t="str">
        <f t="shared" si="5"/>
        <v>IFERROR((H15/G15),0)</v>
      </c>
      <c r="J15" s="11" t="str">
        <f t="shared" si="6"/>
        <v>(E15+H15)</v>
      </c>
      <c r="L15" s="54" t="s">
        <v>293</v>
      </c>
      <c r="M15" s="11" t="str">
        <f t="shared" si="7"/>
        <v>SUMIF(CEN_Energia!B:B,ReliquidacionCEN!B15,CEN_Energia!Z:Z)</v>
      </c>
      <c r="N15" s="11" t="str">
        <f t="shared" si="8"/>
        <v>SUMIF(CEN_Energia!B:B,ReliquidacionCEN!B15,CEN_Energia!BK:BK)</v>
      </c>
      <c r="O15" s="12" t="str">
        <f t="shared" si="9"/>
        <v>IFERROR((N15/M15),0)</v>
      </c>
      <c r="P15" s="13" t="str">
        <f t="shared" si="10"/>
        <v>SUMIF(CEN_Potencia!B:B,ReliquidacionCEN!B15,CEN_Potencia!R:R)</v>
      </c>
      <c r="Q15" s="11" t="str">
        <f t="shared" si="11"/>
        <v>SUMIF(CEN_Potencia!B:B,ReliquidacionCEN!B15,CEN_Potencia!BC:BC)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475</v>
      </c>
      <c r="D16" s="11" t="str">
        <f t="shared" si="0"/>
        <v>SUMIF(FactRealE!B:B,ReliquidacionCEN!B16,FactRealE!N:N)</v>
      </c>
      <c r="E16" s="11" t="str">
        <f t="shared" si="1"/>
        <v>SUMIF(FactRealE!B:B,ReliquidacionCEN!B16,FactRealE!L:L)</v>
      </c>
      <c r="F16" s="12" t="str">
        <f t="shared" si="4"/>
        <v>IFERROR((E16/D16),0)</v>
      </c>
      <c r="G16" s="13" t="str">
        <f t="shared" si="2"/>
        <v>SUMIF(FactRealP!B:B,ReliquidacionCEN!B16,FactRealP!N:N)</v>
      </c>
      <c r="H16" s="11" t="str">
        <f t="shared" si="3"/>
        <v>SUMIF(FactRealP!B:B,ReliquidacionCEN!B16,FactRealP!L:L)</v>
      </c>
      <c r="I16" s="12" t="str">
        <f t="shared" si="5"/>
        <v>IFERROR((H16/G16),0)</v>
      </c>
      <c r="J16" s="11" t="str">
        <f t="shared" si="6"/>
        <v>(E16+H16)</v>
      </c>
      <c r="L16" s="54" t="s">
        <v>293</v>
      </c>
      <c r="M16" s="11" t="str">
        <f t="shared" si="7"/>
        <v>SUMIF(CEN_Energia!B:B,ReliquidacionCEN!B16,CEN_Energia!Z:Z)</v>
      </c>
      <c r="N16" s="11" t="str">
        <f t="shared" si="8"/>
        <v>SUMIF(CEN_Energia!B:B,ReliquidacionCEN!B16,CEN_Energia!BK:BK)</v>
      </c>
      <c r="O16" s="12" t="str">
        <f t="shared" si="9"/>
        <v>IFERROR((N16/M16),0)</v>
      </c>
      <c r="P16" s="13" t="str">
        <f t="shared" si="10"/>
        <v>SUMIF(CEN_Potencia!B:B,ReliquidacionCEN!B16,CEN_Potencia!R:R)</v>
      </c>
      <c r="Q16" s="11" t="str">
        <f t="shared" si="11"/>
        <v>SUMIF(CEN_Potencia!B:B,ReliquidacionCEN!B16,CEN_Potencia!BC:BC)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475</v>
      </c>
      <c r="D17" s="11" t="str">
        <f t="shared" si="0"/>
        <v>SUMIF(FactRealE!B:B,ReliquidacionCEN!B17,FactRealE!N:N)</v>
      </c>
      <c r="E17" s="11" t="str">
        <f t="shared" si="1"/>
        <v>SUMIF(FactRealE!B:B,ReliquidacionCEN!B17,FactRealE!L:L)</v>
      </c>
      <c r="F17" s="12" t="str">
        <f t="shared" si="4"/>
        <v>IFERROR((E17/D17),0)</v>
      </c>
      <c r="G17" s="13" t="str">
        <f t="shared" si="2"/>
        <v>SUMIF(FactRealP!B:B,ReliquidacionCEN!B17,FactRealP!N:N)</v>
      </c>
      <c r="H17" s="11" t="str">
        <f t="shared" si="3"/>
        <v>SUMIF(FactRealP!B:B,ReliquidacionCEN!B17,FactRealP!L:L)</v>
      </c>
      <c r="I17" s="12" t="str">
        <f t="shared" si="5"/>
        <v>IFERROR((H17/G17),0)</v>
      </c>
      <c r="J17" s="11" t="str">
        <f t="shared" si="6"/>
        <v>(E17+H17)</v>
      </c>
      <c r="L17" s="54" t="s">
        <v>293</v>
      </c>
      <c r="M17" s="11" t="str">
        <f t="shared" si="7"/>
        <v>SUMIF(CEN_Energia!B:B,ReliquidacionCEN!B17,CEN_Energia!Z:Z)</v>
      </c>
      <c r="N17" s="11" t="str">
        <f t="shared" si="8"/>
        <v>SUMIF(CEN_Energia!B:B,ReliquidacionCEN!B17,CEN_Energia!BK:BK)</v>
      </c>
      <c r="O17" s="12" t="str">
        <f t="shared" si="9"/>
        <v>IFERROR((N17/M17),0)</v>
      </c>
      <c r="P17" s="13" t="str">
        <f t="shared" si="10"/>
        <v>SUMIF(CEN_Potencia!B:B,ReliquidacionCEN!B17,CEN_Potencia!R:R)</v>
      </c>
      <c r="Q17" s="11" t="str">
        <f t="shared" si="11"/>
        <v>SUMIF(CEN_Potencia!B:B,ReliquidacionCEN!B17,CEN_Potencia!BC:BC)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475</v>
      </c>
      <c r="D18" s="11" t="str">
        <f t="shared" si="0"/>
        <v>SUMIF(FactRealE!B:B,ReliquidacionCEN!B18,FactRealE!N:N)</v>
      </c>
      <c r="E18" s="11" t="str">
        <f t="shared" si="1"/>
        <v>SUMIF(FactRealE!B:B,ReliquidacionCEN!B18,FactRealE!L:L)</v>
      </c>
      <c r="F18" s="12" t="str">
        <f t="shared" si="4"/>
        <v>IFERROR((E18/D18),0)</v>
      </c>
      <c r="G18" s="13" t="str">
        <f t="shared" si="2"/>
        <v>SUMIF(FactRealP!B:B,ReliquidacionCEN!B18,FactRealP!N:N)</v>
      </c>
      <c r="H18" s="11" t="str">
        <f t="shared" si="3"/>
        <v>SUMIF(FactRealP!B:B,ReliquidacionCEN!B18,FactRealP!L:L)</v>
      </c>
      <c r="I18" s="12" t="str">
        <f t="shared" si="5"/>
        <v>IFERROR((H18/G18),0)</v>
      </c>
      <c r="J18" s="11" t="str">
        <f t="shared" si="6"/>
        <v>(E18+H18)</v>
      </c>
      <c r="L18" s="54" t="s">
        <v>293</v>
      </c>
      <c r="M18" s="11" t="str">
        <f t="shared" si="7"/>
        <v>SUMIF(CEN_Energia!B:B,ReliquidacionCEN!B18,CEN_Energia!Z:Z)</v>
      </c>
      <c r="N18" s="11" t="str">
        <f t="shared" si="8"/>
        <v>SUMIF(CEN_Energia!B:B,ReliquidacionCEN!B18,CEN_Energia!BK:BK)</v>
      </c>
      <c r="O18" s="12" t="str">
        <f t="shared" si="9"/>
        <v>IFERROR((N18/M18),0)</v>
      </c>
      <c r="P18" s="13" t="str">
        <f t="shared" si="10"/>
        <v>SUMIF(CEN_Potencia!B:B,ReliquidacionCEN!B18,CEN_Potencia!R:R)</v>
      </c>
      <c r="Q18" s="11" t="str">
        <f t="shared" si="11"/>
        <v>SUMIF(CEN_Potencia!B:B,ReliquidacionCEN!B18,CEN_Potencia!BC:BC)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475</v>
      </c>
      <c r="D19" s="11" t="str">
        <f t="shared" si="0"/>
        <v>SUMIF(FactRealE!B:B,ReliquidacionCEN!B19,FactRealE!N:N)</v>
      </c>
      <c r="E19" s="11" t="str">
        <f t="shared" si="1"/>
        <v>SUMIF(FactRealE!B:B,ReliquidacionCEN!B19,FactRealE!L:L)</v>
      </c>
      <c r="F19" s="12" t="str">
        <f t="shared" si="4"/>
        <v>IFERROR((E19/D19),0)</v>
      </c>
      <c r="G19" s="13" t="str">
        <f t="shared" si="2"/>
        <v>SUMIF(FactRealP!B:B,ReliquidacionCEN!B19,FactRealP!N:N)</v>
      </c>
      <c r="H19" s="11" t="str">
        <f t="shared" si="3"/>
        <v>SUMIF(FactRealP!B:B,ReliquidacionCEN!B19,FactRealP!L:L)</v>
      </c>
      <c r="I19" s="12" t="str">
        <f t="shared" si="5"/>
        <v>IFERROR((H19/G19),0)</v>
      </c>
      <c r="J19" s="11" t="str">
        <f t="shared" si="6"/>
        <v>(E19+H19)</v>
      </c>
      <c r="L19" s="54" t="s">
        <v>293</v>
      </c>
      <c r="M19" s="11" t="str">
        <f t="shared" si="7"/>
        <v>SUMIF(CEN_Energia!B:B,ReliquidacionCEN!B19,CEN_Energia!Z:Z)</v>
      </c>
      <c r="N19" s="11" t="str">
        <f t="shared" si="8"/>
        <v>SUMIF(CEN_Energia!B:B,ReliquidacionCEN!B19,CEN_Energia!BK:BK)</v>
      </c>
      <c r="O19" s="12" t="str">
        <f t="shared" si="9"/>
        <v>IFERROR((N19/M19),0)</v>
      </c>
      <c r="P19" s="13" t="str">
        <f t="shared" si="10"/>
        <v>SUMIF(CEN_Potencia!B:B,ReliquidacionCEN!B19,CEN_Potencia!R:R)</v>
      </c>
      <c r="Q19" s="11" t="str">
        <f t="shared" si="11"/>
        <v>SUMIF(CEN_Potencia!B:B,ReliquidacionCEN!B19,CEN_Potencia!BC:BC)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475</v>
      </c>
      <c r="D20" s="11" t="str">
        <f t="shared" si="0"/>
        <v>SUMIF(FactRealE!B:B,ReliquidacionCEN!B20,FactRealE!N:N)</v>
      </c>
      <c r="E20" s="11" t="str">
        <f t="shared" si="1"/>
        <v>SUMIF(FactRealE!B:B,ReliquidacionCEN!B20,FactRealE!L:L)</v>
      </c>
      <c r="F20" s="12" t="str">
        <f t="shared" si="4"/>
        <v>IFERROR((E20/D20),0)</v>
      </c>
      <c r="G20" s="13" t="str">
        <f t="shared" si="2"/>
        <v>SUMIF(FactRealP!B:B,ReliquidacionCEN!B20,FactRealP!N:N)</v>
      </c>
      <c r="H20" s="11" t="str">
        <f t="shared" si="3"/>
        <v>SUMIF(FactRealP!B:B,ReliquidacionCEN!B20,FactRealP!L:L)</v>
      </c>
      <c r="I20" s="12" t="str">
        <f t="shared" si="5"/>
        <v>IFERROR((H20/G20),0)</v>
      </c>
      <c r="J20" s="11" t="str">
        <f t="shared" si="6"/>
        <v>(E20+H20)</v>
      </c>
      <c r="L20" s="54" t="s">
        <v>293</v>
      </c>
      <c r="M20" s="11" t="str">
        <f t="shared" si="7"/>
        <v>SUMIF(CEN_Energia!B:B,ReliquidacionCEN!B20,CEN_Energia!Z:Z)</v>
      </c>
      <c r="N20" s="11" t="str">
        <f t="shared" si="8"/>
        <v>SUMIF(CEN_Energia!B:B,ReliquidacionCEN!B20,CEN_Energia!BK:BK)</v>
      </c>
      <c r="O20" s="12" t="str">
        <f t="shared" si="9"/>
        <v>IFERROR((N20/M20),0)</v>
      </c>
      <c r="P20" s="13" t="str">
        <f t="shared" si="10"/>
        <v>SUMIF(CEN_Potencia!B:B,ReliquidacionCEN!B20,CEN_Potencia!R:R)</v>
      </c>
      <c r="Q20" s="11" t="str">
        <f t="shared" si="11"/>
        <v>SUMIF(CEN_Potencia!B:B,ReliquidacionCEN!B20,CEN_Potencia!BC:BC)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475</v>
      </c>
      <c r="D21" s="11" t="str">
        <f t="shared" si="0"/>
        <v>SUMIF(FactRealE!B:B,ReliquidacionCEN!B21,FactRealE!N:N)</v>
      </c>
      <c r="E21" s="11" t="str">
        <f t="shared" si="1"/>
        <v>SUMIF(FactRealE!B:B,ReliquidacionCEN!B21,FactRealE!L:L)</v>
      </c>
      <c r="F21" s="12" t="str">
        <f t="shared" si="4"/>
        <v>IFERROR((E21/D21),0)</v>
      </c>
      <c r="G21" s="13" t="str">
        <f t="shared" si="2"/>
        <v>SUMIF(FactRealP!B:B,ReliquidacionCEN!B21,FactRealP!N:N)</v>
      </c>
      <c r="H21" s="11" t="str">
        <f t="shared" si="3"/>
        <v>SUMIF(FactRealP!B:B,ReliquidacionCEN!B21,FactRealP!L:L)</v>
      </c>
      <c r="I21" s="12" t="str">
        <f t="shared" si="5"/>
        <v>IFERROR((H21/G21),0)</v>
      </c>
      <c r="J21" s="11" t="str">
        <f t="shared" si="6"/>
        <v>(E21+H21)</v>
      </c>
      <c r="L21" s="54" t="s">
        <v>293</v>
      </c>
      <c r="M21" s="11" t="str">
        <f t="shared" si="7"/>
        <v>SUMIF(CEN_Energia!B:B,ReliquidacionCEN!B21,CEN_Energia!Z:Z)</v>
      </c>
      <c r="N21" s="11" t="str">
        <f t="shared" si="8"/>
        <v>SUMIF(CEN_Energia!B:B,ReliquidacionCEN!B21,CEN_Energia!BK:BK)</v>
      </c>
      <c r="O21" s="12" t="str">
        <f t="shared" si="9"/>
        <v>IFERROR((N21/M21),0)</v>
      </c>
      <c r="P21" s="13" t="str">
        <f t="shared" si="10"/>
        <v>SUMIF(CEN_Potencia!B:B,ReliquidacionCEN!B21,CEN_Potencia!R:R)</v>
      </c>
      <c r="Q21" s="11" t="str">
        <f t="shared" si="11"/>
        <v>SUMIF(CEN_Potencia!B:B,ReliquidacionCEN!B21,CEN_Potencia!BC:BC)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475</v>
      </c>
      <c r="D22" s="11" t="str">
        <f t="shared" si="0"/>
        <v>SUMIF(FactRealE!B:B,ReliquidacionCEN!B22,FactRealE!N:N)</v>
      </c>
      <c r="E22" s="11" t="str">
        <f t="shared" si="1"/>
        <v>SUMIF(FactRealE!B:B,ReliquidacionCEN!B22,FactRealE!L:L)</v>
      </c>
      <c r="F22" s="12" t="str">
        <f t="shared" si="4"/>
        <v>IFERROR((E22/D22),0)</v>
      </c>
      <c r="G22" s="13" t="str">
        <f t="shared" si="2"/>
        <v>SUMIF(FactRealP!B:B,ReliquidacionCEN!B22,FactRealP!N:N)</v>
      </c>
      <c r="H22" s="11" t="str">
        <f t="shared" si="3"/>
        <v>SUMIF(FactRealP!B:B,ReliquidacionCEN!B22,FactRealP!L:L)</v>
      </c>
      <c r="I22" s="12" t="str">
        <f t="shared" si="5"/>
        <v>IFERROR((H22/G22),0)</v>
      </c>
      <c r="J22" s="11" t="str">
        <f t="shared" si="6"/>
        <v>(E22+H22)</v>
      </c>
      <c r="L22" s="54" t="s">
        <v>293</v>
      </c>
      <c r="M22" s="11" t="str">
        <f t="shared" si="7"/>
        <v>SUMIF(CEN_Energia!B:B,ReliquidacionCEN!B22,CEN_Energia!Z:Z)</v>
      </c>
      <c r="N22" s="11" t="str">
        <f t="shared" si="8"/>
        <v>SUMIF(CEN_Energia!B:B,ReliquidacionCEN!B22,CEN_Energia!BK:BK)</v>
      </c>
      <c r="O22" s="12" t="str">
        <f t="shared" si="9"/>
        <v>IFERROR((N22/M22),0)</v>
      </c>
      <c r="P22" s="13" t="str">
        <f t="shared" si="10"/>
        <v>SUMIF(CEN_Potencia!B:B,ReliquidacionCEN!B22,CEN_Potencia!R:R)</v>
      </c>
      <c r="Q22" s="11" t="str">
        <f t="shared" si="11"/>
        <v>SUMIF(CEN_Potencia!B:B,ReliquidacionCEN!B22,CEN_Potencia!BC:BC)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475</v>
      </c>
      <c r="D23" s="11" t="str">
        <f t="shared" si="0"/>
        <v>SUMIF(FactRealE!B:B,ReliquidacionCEN!B23,FactRealE!N:N)</v>
      </c>
      <c r="E23" s="11" t="str">
        <f t="shared" si="1"/>
        <v>SUMIF(FactRealE!B:B,ReliquidacionCEN!B23,FactRealE!L:L)</v>
      </c>
      <c r="F23" s="12" t="str">
        <f t="shared" si="4"/>
        <v>IFERROR((E23/D23),0)</v>
      </c>
      <c r="G23" s="13" t="str">
        <f t="shared" si="2"/>
        <v>SUMIF(FactRealP!B:B,ReliquidacionCEN!B23,FactRealP!N:N)</v>
      </c>
      <c r="H23" s="11" t="str">
        <f t="shared" si="3"/>
        <v>SUMIF(FactRealP!B:B,ReliquidacionCEN!B23,FactRealP!L:L)</v>
      </c>
      <c r="I23" s="12" t="str">
        <f t="shared" si="5"/>
        <v>IFERROR((H23/G23),0)</v>
      </c>
      <c r="J23" s="11" t="str">
        <f t="shared" si="6"/>
        <v>(E23+H23)</v>
      </c>
      <c r="L23" s="54" t="s">
        <v>293</v>
      </c>
      <c r="M23" s="11" t="str">
        <f t="shared" si="7"/>
        <v>SUMIF(CEN_Energia!B:B,ReliquidacionCEN!B23,CEN_Energia!Z:Z)</v>
      </c>
      <c r="N23" s="11" t="str">
        <f t="shared" si="8"/>
        <v>SUMIF(CEN_Energia!B:B,ReliquidacionCEN!B23,CEN_Energia!BK:BK)</v>
      </c>
      <c r="O23" s="12" t="str">
        <f t="shared" si="9"/>
        <v>IFERROR((N23/M23),0)</v>
      </c>
      <c r="P23" s="13" t="str">
        <f t="shared" si="10"/>
        <v>SUMIF(CEN_Potencia!B:B,ReliquidacionCEN!B23,CEN_Potencia!R:R)</v>
      </c>
      <c r="Q23" s="11" t="str">
        <f t="shared" si="11"/>
        <v>SUMIF(CEN_Potencia!B:B,ReliquidacionCEN!B23,CEN_Potencia!BC:BC)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475</v>
      </c>
      <c r="D24" s="11" t="str">
        <f t="shared" si="0"/>
        <v>SUMIF(FactRealE!B:B,ReliquidacionCEN!B24,FactRealE!N:N)</v>
      </c>
      <c r="E24" s="11" t="str">
        <f t="shared" si="1"/>
        <v>SUMIF(FactRealE!B:B,ReliquidacionCEN!B24,FactRealE!L:L)</v>
      </c>
      <c r="F24" s="12" t="str">
        <f t="shared" si="4"/>
        <v>IFERROR((E24/D24),0)</v>
      </c>
      <c r="G24" s="13" t="str">
        <f t="shared" si="2"/>
        <v>SUMIF(FactRealP!B:B,ReliquidacionCEN!B24,FactRealP!N:N)</v>
      </c>
      <c r="H24" s="11" t="str">
        <f t="shared" si="3"/>
        <v>SUMIF(FactRealP!B:B,ReliquidacionCEN!B24,FactRealP!L:L)</v>
      </c>
      <c r="I24" s="12" t="str">
        <f t="shared" si="5"/>
        <v>IFERROR((H24/G24),0)</v>
      </c>
      <c r="J24" s="11" t="str">
        <f t="shared" si="6"/>
        <v>(E24+H24)</v>
      </c>
      <c r="L24" s="54" t="s">
        <v>293</v>
      </c>
      <c r="M24" s="11" t="str">
        <f t="shared" si="7"/>
        <v>SUMIF(CEN_Energia!B:B,ReliquidacionCEN!B24,CEN_Energia!Z:Z)</v>
      </c>
      <c r="N24" s="11" t="str">
        <f t="shared" si="8"/>
        <v>SUMIF(CEN_Energia!B:B,ReliquidacionCEN!B24,CEN_Energia!BK:BK)</v>
      </c>
      <c r="O24" s="12" t="str">
        <f t="shared" si="9"/>
        <v>IFERROR((N24/M24),0)</v>
      </c>
      <c r="P24" s="13" t="str">
        <f t="shared" si="10"/>
        <v>SUMIF(CEN_Potencia!B:B,ReliquidacionCEN!B24,CEN_Potencia!R:R)</v>
      </c>
      <c r="Q24" s="11" t="str">
        <f t="shared" si="11"/>
        <v>SUMIF(CEN_Potencia!B:B,ReliquidacionCEN!B24,CEN_Potencia!BC:BC)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475</v>
      </c>
      <c r="D25" s="11" t="str">
        <f t="shared" si="0"/>
        <v>SUMIF(FactRealE!B:B,ReliquidacionCEN!B25,FactRealE!N:N)</v>
      </c>
      <c r="E25" s="11" t="str">
        <f t="shared" si="1"/>
        <v>SUMIF(FactRealE!B:B,ReliquidacionCEN!B25,FactRealE!L:L)</v>
      </c>
      <c r="F25" s="12" t="str">
        <f t="shared" si="4"/>
        <v>IFERROR((E25/D25),0)</v>
      </c>
      <c r="G25" s="13" t="str">
        <f t="shared" si="2"/>
        <v>SUMIF(FactRealP!B:B,ReliquidacionCEN!B25,FactRealP!N:N)</v>
      </c>
      <c r="H25" s="11" t="str">
        <f t="shared" si="3"/>
        <v>SUMIF(FactRealP!B:B,ReliquidacionCEN!B25,FactRealP!L:L)</v>
      </c>
      <c r="I25" s="12" t="str">
        <f t="shared" si="5"/>
        <v>IFERROR((H25/G25),0)</v>
      </c>
      <c r="J25" s="11" t="str">
        <f t="shared" si="6"/>
        <v>(E25+H25)</v>
      </c>
      <c r="L25" s="54" t="s">
        <v>293</v>
      </c>
      <c r="M25" s="11" t="str">
        <f t="shared" si="7"/>
        <v>SUMIF(CEN_Energia!B:B,ReliquidacionCEN!B25,CEN_Energia!Z:Z)</v>
      </c>
      <c r="N25" s="11" t="str">
        <f t="shared" si="8"/>
        <v>SUMIF(CEN_Energia!B:B,ReliquidacionCEN!B25,CEN_Energia!BK:BK)</v>
      </c>
      <c r="O25" s="12" t="str">
        <f t="shared" si="9"/>
        <v>IFERROR((N25/M25),0)</v>
      </c>
      <c r="P25" s="13" t="str">
        <f t="shared" si="10"/>
        <v>SUMIF(CEN_Potencia!B:B,ReliquidacionCEN!B25,CEN_Potencia!R:R)</v>
      </c>
      <c r="Q25" s="11" t="str">
        <f t="shared" si="11"/>
        <v>SUMIF(CEN_Potencia!B:B,ReliquidacionCEN!B25,CEN_Potencia!BC:BC)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475</v>
      </c>
      <c r="D26" s="11" t="str">
        <f t="shared" si="0"/>
        <v>SUMIF(FactRealE!B:B,ReliquidacionCEN!B26,FactRealE!N:N)</v>
      </c>
      <c r="E26" s="11" t="str">
        <f t="shared" si="1"/>
        <v>SUMIF(FactRealE!B:B,ReliquidacionCEN!B26,FactRealE!L:L)</v>
      </c>
      <c r="F26" s="12" t="str">
        <f t="shared" si="4"/>
        <v>IFERROR((E26/D26),0)</v>
      </c>
      <c r="G26" s="13" t="str">
        <f t="shared" si="2"/>
        <v>SUMIF(FactRealP!B:B,ReliquidacionCEN!B26,FactRealP!N:N)</v>
      </c>
      <c r="H26" s="11" t="str">
        <f t="shared" si="3"/>
        <v>SUMIF(FactRealP!B:B,ReliquidacionCEN!B26,FactRealP!L:L)</v>
      </c>
      <c r="I26" s="12" t="str">
        <f t="shared" si="5"/>
        <v>IFERROR((H26/G26),0)</v>
      </c>
      <c r="J26" s="11" t="str">
        <f t="shared" si="6"/>
        <v>(E26+H26)</v>
      </c>
      <c r="L26" s="54" t="s">
        <v>293</v>
      </c>
      <c r="M26" s="11" t="str">
        <f t="shared" si="7"/>
        <v>SUMIF(CEN_Energia!B:B,ReliquidacionCEN!B26,CEN_Energia!Z:Z)</v>
      </c>
      <c r="N26" s="11" t="str">
        <f t="shared" si="8"/>
        <v>SUMIF(CEN_Energia!B:B,ReliquidacionCEN!B26,CEN_Energia!BK:BK)</v>
      </c>
      <c r="O26" s="12" t="str">
        <f t="shared" si="9"/>
        <v>IFERROR((N26/M26),0)</v>
      </c>
      <c r="P26" s="13" t="str">
        <f t="shared" si="10"/>
        <v>SUMIF(CEN_Potencia!B:B,ReliquidacionCEN!B26,CEN_Potencia!R:R)</v>
      </c>
      <c r="Q26" s="11" t="str">
        <f t="shared" si="11"/>
        <v>SUMIF(CEN_Potencia!B:B,ReliquidacionCEN!B26,CEN_Potencia!BC:BC)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475</v>
      </c>
      <c r="D27" s="11" t="str">
        <f t="shared" si="0"/>
        <v>SUMIF(FactRealE!B:B,ReliquidacionCEN!B27,FactRealE!N:N)</v>
      </c>
      <c r="E27" s="11" t="str">
        <f t="shared" si="1"/>
        <v>SUMIF(FactRealE!B:B,ReliquidacionCEN!B27,FactRealE!L:L)</v>
      </c>
      <c r="F27" s="12" t="str">
        <f t="shared" si="4"/>
        <v>IFERROR((E27/D27),0)</v>
      </c>
      <c r="G27" s="13" t="str">
        <f t="shared" si="2"/>
        <v>SUMIF(FactRealP!B:B,ReliquidacionCEN!B27,FactRealP!N:N)</v>
      </c>
      <c r="H27" s="11" t="str">
        <f t="shared" si="3"/>
        <v>SUMIF(FactRealP!B:B,ReliquidacionCEN!B27,FactRealP!L:L)</v>
      </c>
      <c r="I27" s="12" t="str">
        <f t="shared" si="5"/>
        <v>IFERROR((H27/G27),0)</v>
      </c>
      <c r="J27" s="11" t="str">
        <f t="shared" si="6"/>
        <v>(E27+H27)</v>
      </c>
      <c r="L27" s="54" t="s">
        <v>293</v>
      </c>
      <c r="M27" s="11" t="str">
        <f t="shared" si="7"/>
        <v>SUMIF(CEN_Energia!B:B,ReliquidacionCEN!B27,CEN_Energia!Z:Z)</v>
      </c>
      <c r="N27" s="11" t="str">
        <f t="shared" si="8"/>
        <v>SUMIF(CEN_Energia!B:B,ReliquidacionCEN!B27,CEN_Energia!BK:BK)</v>
      </c>
      <c r="O27" s="12" t="str">
        <f t="shared" si="9"/>
        <v>IFERROR((N27/M27),0)</v>
      </c>
      <c r="P27" s="13" t="str">
        <f t="shared" si="10"/>
        <v>SUMIF(CEN_Potencia!B:B,ReliquidacionCEN!B27,CEN_Potencia!R:R)</v>
      </c>
      <c r="Q27" s="11" t="str">
        <f t="shared" si="11"/>
        <v>SUMIF(CEN_Potencia!B:B,ReliquidacionCEN!B27,CEN_Potencia!BC:BC)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475</v>
      </c>
      <c r="D28" s="11" t="str">
        <f t="shared" si="0"/>
        <v>SUMIF(FactRealE!B:B,ReliquidacionCEN!B28,FactRealE!N:N)</v>
      </c>
      <c r="E28" s="11" t="str">
        <f t="shared" si="1"/>
        <v>SUMIF(FactRealE!B:B,ReliquidacionCEN!B28,FactRealE!L:L)</v>
      </c>
      <c r="F28" s="12" t="str">
        <f t="shared" si="4"/>
        <v>IFERROR((E28/D28),0)</v>
      </c>
      <c r="G28" s="13" t="str">
        <f t="shared" si="2"/>
        <v>SUMIF(FactRealP!B:B,ReliquidacionCEN!B28,FactRealP!N:N)</v>
      </c>
      <c r="H28" s="11" t="str">
        <f t="shared" si="3"/>
        <v>SUMIF(FactRealP!B:B,ReliquidacionCEN!B28,FactRealP!L:L)</v>
      </c>
      <c r="I28" s="12" t="str">
        <f t="shared" si="5"/>
        <v>IFERROR((H28/G28),0)</v>
      </c>
      <c r="J28" s="11" t="str">
        <f t="shared" si="6"/>
        <v>(E28+H28)</v>
      </c>
      <c r="L28" s="54" t="s">
        <v>293</v>
      </c>
      <c r="M28" s="11" t="str">
        <f t="shared" si="7"/>
        <v>SUMIF(CEN_Energia!B:B,ReliquidacionCEN!B28,CEN_Energia!Z:Z)</v>
      </c>
      <c r="N28" s="11" t="str">
        <f t="shared" si="8"/>
        <v>SUMIF(CEN_Energia!B:B,ReliquidacionCEN!B28,CEN_Energia!BK:BK)</v>
      </c>
      <c r="O28" s="12" t="str">
        <f t="shared" si="9"/>
        <v>IFERROR((N28/M28),0)</v>
      </c>
      <c r="P28" s="13" t="str">
        <f t="shared" si="10"/>
        <v>SUMIF(CEN_Potencia!B:B,ReliquidacionCEN!B28,CEN_Potencia!R:R)</v>
      </c>
      <c r="Q28" s="11" t="str">
        <f t="shared" si="11"/>
        <v>SUMIF(CEN_Potencia!B:B,ReliquidacionCEN!B28,CEN_Potencia!BC:BC)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475</v>
      </c>
      <c r="D29" s="11" t="str">
        <f t="shared" si="0"/>
        <v>SUMIF(FactRealE!B:B,ReliquidacionCEN!B29,FactRealE!N:N)</v>
      </c>
      <c r="E29" s="11" t="str">
        <f t="shared" si="1"/>
        <v>SUMIF(FactRealE!B:B,ReliquidacionCEN!B29,FactRealE!L:L)</v>
      </c>
      <c r="F29" s="12" t="str">
        <f t="shared" si="4"/>
        <v>IFERROR((E29/D29),0)</v>
      </c>
      <c r="G29" s="13" t="str">
        <f t="shared" si="2"/>
        <v>SUMIF(FactRealP!B:B,ReliquidacionCEN!B29,FactRealP!N:N)</v>
      </c>
      <c r="H29" s="11" t="str">
        <f t="shared" si="3"/>
        <v>SUMIF(FactRealP!B:B,ReliquidacionCEN!B29,FactRealP!L:L)</v>
      </c>
      <c r="I29" s="12" t="str">
        <f t="shared" si="5"/>
        <v>IFERROR((H29/G29),0)</v>
      </c>
      <c r="J29" s="11" t="str">
        <f t="shared" si="6"/>
        <v>(E29+H29)</v>
      </c>
      <c r="L29" s="54" t="s">
        <v>293</v>
      </c>
      <c r="M29" s="11" t="str">
        <f t="shared" si="7"/>
        <v>SUMIF(CEN_Energia!B:B,ReliquidacionCEN!B29,CEN_Energia!Z:Z)</v>
      </c>
      <c r="N29" s="11" t="str">
        <f t="shared" si="8"/>
        <v>SUMIF(CEN_Energia!B:B,ReliquidacionCEN!B29,CEN_Energia!BK:BK)</v>
      </c>
      <c r="O29" s="12" t="str">
        <f t="shared" si="9"/>
        <v>IFERROR((N29/M29),0)</v>
      </c>
      <c r="P29" s="13" t="str">
        <f t="shared" si="10"/>
        <v>SUMIF(CEN_Potencia!B:B,ReliquidacionCEN!B29,CEN_Potencia!R:R)</v>
      </c>
      <c r="Q29" s="11" t="str">
        <f t="shared" si="11"/>
        <v>SUMIF(CEN_Potencia!B:B,ReliquidacionCEN!B29,CEN_Potencia!BC:BC)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475</v>
      </c>
      <c r="D30" s="11" t="str">
        <f t="shared" si="0"/>
        <v>SUMIF(FactRealE!B:B,ReliquidacionCEN!B30,FactRealE!N:N)</v>
      </c>
      <c r="E30" s="11" t="str">
        <f t="shared" si="1"/>
        <v>SUMIF(FactRealE!B:B,ReliquidacionCEN!B30,FactRealE!L:L)</v>
      </c>
      <c r="F30" s="12" t="str">
        <f t="shared" si="4"/>
        <v>IFERROR((E30/D30),0)</v>
      </c>
      <c r="G30" s="13" t="str">
        <f t="shared" si="2"/>
        <v>SUMIF(FactRealP!B:B,ReliquidacionCEN!B30,FactRealP!N:N)</v>
      </c>
      <c r="H30" s="11" t="str">
        <f t="shared" si="3"/>
        <v>SUMIF(FactRealP!B:B,ReliquidacionCEN!B30,FactRealP!L:L)</v>
      </c>
      <c r="I30" s="12" t="str">
        <f t="shared" si="5"/>
        <v>IFERROR((H30/G30),0)</v>
      </c>
      <c r="J30" s="11" t="str">
        <f t="shared" si="6"/>
        <v>(E30+H30)</v>
      </c>
      <c r="L30" s="54" t="s">
        <v>293</v>
      </c>
      <c r="M30" s="11" t="str">
        <f t="shared" si="7"/>
        <v>SUMIF(CEN_Energia!B:B,ReliquidacionCEN!B30,CEN_Energia!Z:Z)</v>
      </c>
      <c r="N30" s="11" t="str">
        <f t="shared" si="8"/>
        <v>SUMIF(CEN_Energia!B:B,ReliquidacionCEN!B30,CEN_Energia!BK:BK)</v>
      </c>
      <c r="O30" s="12" t="str">
        <f t="shared" si="9"/>
        <v>IFERROR((N30/M30),0)</v>
      </c>
      <c r="P30" s="13" t="str">
        <f t="shared" si="10"/>
        <v>SUMIF(CEN_Potencia!B:B,ReliquidacionCEN!B30,CEN_Potencia!R:R)</v>
      </c>
      <c r="Q30" s="11" t="str">
        <f t="shared" si="11"/>
        <v>SUMIF(CEN_Potencia!B:B,ReliquidacionCEN!B30,CEN_Potencia!BC:BC)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475</v>
      </c>
      <c r="D31" s="11" t="str">
        <f t="shared" si="0"/>
        <v>SUMIF(FactRealE!B:B,ReliquidacionCEN!B31,FactRealE!N:N)</v>
      </c>
      <c r="E31" s="11" t="str">
        <f t="shared" si="1"/>
        <v>SUMIF(FactRealE!B:B,ReliquidacionCEN!B31,FactRealE!L:L)</v>
      </c>
      <c r="F31" s="12" t="str">
        <f t="shared" si="4"/>
        <v>IFERROR((E31/D31),0)</v>
      </c>
      <c r="G31" s="13" t="str">
        <f t="shared" si="2"/>
        <v>SUMIF(FactRealP!B:B,ReliquidacionCEN!B31,FactRealP!N:N)</v>
      </c>
      <c r="H31" s="11" t="str">
        <f t="shared" si="3"/>
        <v>SUMIF(FactRealP!B:B,ReliquidacionCEN!B31,FactRealP!L:L)</v>
      </c>
      <c r="I31" s="12" t="str">
        <f t="shared" si="5"/>
        <v>IFERROR((H31/G31),0)</v>
      </c>
      <c r="J31" s="11" t="str">
        <f t="shared" si="6"/>
        <v>(E31+H31)</v>
      </c>
      <c r="L31" s="54" t="s">
        <v>293</v>
      </c>
      <c r="M31" s="11" t="str">
        <f t="shared" si="7"/>
        <v>SUMIF(CEN_Energia!B:B,ReliquidacionCEN!B31,CEN_Energia!Z:Z)</v>
      </c>
      <c r="N31" s="11" t="str">
        <f t="shared" si="8"/>
        <v>SUMIF(CEN_Energia!B:B,ReliquidacionCEN!B31,CEN_Energia!BK:BK)</v>
      </c>
      <c r="O31" s="12" t="str">
        <f t="shared" si="9"/>
        <v>IFERROR((N31/M31),0)</v>
      </c>
      <c r="P31" s="13" t="str">
        <f t="shared" si="10"/>
        <v>SUMIF(CEN_Potencia!B:B,ReliquidacionCEN!B31,CEN_Potencia!R:R)</v>
      </c>
      <c r="Q31" s="11" t="str">
        <f t="shared" si="11"/>
        <v>SUMIF(CEN_Potencia!B:B,ReliquidacionCEN!B31,CEN_Potencia!BC:BC)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475</v>
      </c>
      <c r="D32" s="11" t="str">
        <f t="shared" si="0"/>
        <v>SUMIF(FactRealE!B:B,ReliquidacionCEN!B32,FactRealE!N:N)</v>
      </c>
      <c r="E32" s="11" t="str">
        <f t="shared" si="1"/>
        <v>SUMIF(FactRealE!B:B,ReliquidacionCEN!B32,FactRealE!L:L)</v>
      </c>
      <c r="F32" s="12" t="str">
        <f t="shared" si="4"/>
        <v>IFERROR((E32/D32),0)</v>
      </c>
      <c r="G32" s="13" t="str">
        <f t="shared" si="2"/>
        <v>SUMIF(FactRealP!B:B,ReliquidacionCEN!B32,FactRealP!N:N)</v>
      </c>
      <c r="H32" s="11" t="str">
        <f t="shared" si="3"/>
        <v>SUMIF(FactRealP!B:B,ReliquidacionCEN!B32,FactRealP!L:L)</v>
      </c>
      <c r="I32" s="12" t="str">
        <f t="shared" si="5"/>
        <v>IFERROR((H32/G32),0)</v>
      </c>
      <c r="J32" s="11" t="str">
        <f t="shared" si="6"/>
        <v>(E32+H32)</v>
      </c>
      <c r="L32" s="54" t="s">
        <v>293</v>
      </c>
      <c r="M32" s="11" t="str">
        <f t="shared" si="7"/>
        <v>SUMIF(CEN_Energia!B:B,ReliquidacionCEN!B32,CEN_Energia!Z:Z)</v>
      </c>
      <c r="N32" s="11" t="str">
        <f t="shared" si="8"/>
        <v>SUMIF(CEN_Energia!B:B,ReliquidacionCEN!B32,CEN_Energia!BK:BK)</v>
      </c>
      <c r="O32" s="12" t="str">
        <f t="shared" si="9"/>
        <v>IFERROR((N32/M32),0)</v>
      </c>
      <c r="P32" s="13" t="str">
        <f t="shared" si="10"/>
        <v>SUMIF(CEN_Potencia!B:B,ReliquidacionCEN!B32,CEN_Potencia!R:R)</v>
      </c>
      <c r="Q32" s="11" t="str">
        <f t="shared" si="11"/>
        <v>SUMIF(CEN_Potencia!B:B,ReliquidacionCEN!B32,CEN_Potencia!BC:BC)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475</v>
      </c>
      <c r="D33" s="11" t="str">
        <f t="shared" si="0"/>
        <v>SUMIF(FactRealE!B:B,ReliquidacionCEN!B33,FactRealE!N:N)</v>
      </c>
      <c r="E33" s="11" t="str">
        <f t="shared" si="1"/>
        <v>SUMIF(FactRealE!B:B,ReliquidacionCEN!B33,FactRealE!L:L)</v>
      </c>
      <c r="F33" s="12" t="str">
        <f t="shared" si="4"/>
        <v>IFERROR((E33/D33),0)</v>
      </c>
      <c r="G33" s="13" t="str">
        <f t="shared" si="2"/>
        <v>SUMIF(FactRealP!B:B,ReliquidacionCEN!B33,FactRealP!N:N)</v>
      </c>
      <c r="H33" s="11" t="str">
        <f t="shared" si="3"/>
        <v>SUMIF(FactRealP!B:B,ReliquidacionCEN!B33,FactRealP!L:L)</v>
      </c>
      <c r="I33" s="12" t="str">
        <f t="shared" si="5"/>
        <v>IFERROR((H33/G33),0)</v>
      </c>
      <c r="J33" s="11" t="str">
        <f t="shared" si="6"/>
        <v>(E33+H33)</v>
      </c>
      <c r="L33" s="54" t="s">
        <v>293</v>
      </c>
      <c r="M33" s="11" t="str">
        <f t="shared" si="7"/>
        <v>SUMIF(CEN_Energia!B:B,ReliquidacionCEN!B33,CEN_Energia!Z:Z)</v>
      </c>
      <c r="N33" s="11" t="str">
        <f t="shared" si="8"/>
        <v>SUMIF(CEN_Energia!B:B,ReliquidacionCEN!B33,CEN_Energia!BK:BK)</v>
      </c>
      <c r="O33" s="12" t="str">
        <f t="shared" si="9"/>
        <v>IFERROR((N33/M33),0)</v>
      </c>
      <c r="P33" s="13" t="str">
        <f t="shared" si="10"/>
        <v>SUMIF(CEN_Potencia!B:B,ReliquidacionCEN!B33,CEN_Potencia!R:R)</v>
      </c>
      <c r="Q33" s="11" t="str">
        <f t="shared" si="11"/>
        <v>SUMIF(CEN_Potencia!B:B,ReliquidacionCEN!B33,CEN_Potencia!BC:BC)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475</v>
      </c>
      <c r="D34" s="11" t="str">
        <f t="shared" si="0"/>
        <v>SUMIF(FactRealE!B:B,ReliquidacionCEN!B34,FactRealE!N:N)</v>
      </c>
      <c r="E34" s="11" t="str">
        <f t="shared" si="1"/>
        <v>SUMIF(FactRealE!B:B,ReliquidacionCEN!B34,FactRealE!L:L)</v>
      </c>
      <c r="F34" s="12" t="str">
        <f t="shared" si="4"/>
        <v>IFERROR((E34/D34),0)</v>
      </c>
      <c r="G34" s="13" t="str">
        <f t="shared" si="2"/>
        <v>SUMIF(FactRealP!B:B,ReliquidacionCEN!B34,FactRealP!N:N)</v>
      </c>
      <c r="H34" s="11" t="str">
        <f t="shared" si="3"/>
        <v>SUMIF(FactRealP!B:B,ReliquidacionCEN!B34,FactRealP!L:L)</v>
      </c>
      <c r="I34" s="12" t="str">
        <f t="shared" si="5"/>
        <v>IFERROR((H34/G34),0)</v>
      </c>
      <c r="J34" s="11" t="str">
        <f t="shared" si="6"/>
        <v>(E34+H34)</v>
      </c>
      <c r="L34" s="54" t="s">
        <v>293</v>
      </c>
      <c r="M34" s="11" t="str">
        <f t="shared" si="7"/>
        <v>SUMIF(CEN_Energia!B:B,ReliquidacionCEN!B34,CEN_Energia!Z:Z)</v>
      </c>
      <c r="N34" s="11" t="str">
        <f t="shared" si="8"/>
        <v>SUMIF(CEN_Energia!B:B,ReliquidacionCEN!B34,CEN_Energia!BK:BK)</v>
      </c>
      <c r="O34" s="12" t="str">
        <f t="shared" si="9"/>
        <v>IFERROR((N34/M34),0)</v>
      </c>
      <c r="P34" s="13" t="str">
        <f t="shared" si="10"/>
        <v>SUMIF(CEN_Potencia!B:B,ReliquidacionCEN!B34,CEN_Potencia!R:R)</v>
      </c>
      <c r="Q34" s="11" t="str">
        <f t="shared" si="11"/>
        <v>SUMIF(CEN_Potencia!B:B,ReliquidacionCEN!B34,CEN_Potencia!BC:BC)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475</v>
      </c>
      <c r="D35" s="11" t="str">
        <f t="shared" si="0"/>
        <v>SUMIF(FactRealE!B:B,ReliquidacionCEN!B35,FactRealE!N:N)</v>
      </c>
      <c r="E35" s="11" t="str">
        <f t="shared" si="1"/>
        <v>SUMIF(FactRealE!B:B,ReliquidacionCEN!B35,FactRealE!L:L)</v>
      </c>
      <c r="F35" s="12" t="str">
        <f t="shared" si="4"/>
        <v>IFERROR((E35/D35),0)</v>
      </c>
      <c r="G35" s="13" t="str">
        <f t="shared" si="2"/>
        <v>SUMIF(FactRealP!B:B,ReliquidacionCEN!B35,FactRealP!N:N)</v>
      </c>
      <c r="H35" s="11" t="str">
        <f t="shared" si="3"/>
        <v>SUMIF(FactRealP!B:B,ReliquidacionCEN!B35,FactRealP!L:L)</v>
      </c>
      <c r="I35" s="12" t="str">
        <f t="shared" si="5"/>
        <v>IFERROR((H35/G35),0)</v>
      </c>
      <c r="J35" s="11" t="str">
        <f t="shared" si="6"/>
        <v>(E35+H35)</v>
      </c>
      <c r="L35" s="54" t="s">
        <v>293</v>
      </c>
      <c r="M35" s="11" t="str">
        <f t="shared" si="7"/>
        <v>SUMIF(CEN_Energia!B:B,ReliquidacionCEN!B35,CEN_Energia!Z:Z)</v>
      </c>
      <c r="N35" s="11" t="str">
        <f t="shared" si="8"/>
        <v>SUMIF(CEN_Energia!B:B,ReliquidacionCEN!B35,CEN_Energia!BK:BK)</v>
      </c>
      <c r="O35" s="12" t="str">
        <f t="shared" si="9"/>
        <v>IFERROR((N35/M35),0)</v>
      </c>
      <c r="P35" s="13" t="str">
        <f t="shared" si="10"/>
        <v>SUMIF(CEN_Potencia!B:B,ReliquidacionCEN!B35,CEN_Potencia!R:R)</v>
      </c>
      <c r="Q35" s="11" t="str">
        <f t="shared" si="11"/>
        <v>SUMIF(CEN_Potencia!B:B,ReliquidacionCEN!B35,CEN_Potencia!BC:BC)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475</v>
      </c>
      <c r="D36" s="11" t="str">
        <f t="shared" si="0"/>
        <v>SUMIF(FactRealE!B:B,ReliquidacionCEN!B36,FactRealE!N:N)</v>
      </c>
      <c r="E36" s="11" t="str">
        <f t="shared" si="1"/>
        <v>SUMIF(FactRealE!B:B,ReliquidacionCEN!B36,FactRealE!L:L)</v>
      </c>
      <c r="F36" s="12" t="str">
        <f t="shared" si="4"/>
        <v>IFERROR((E36/D36),0)</v>
      </c>
      <c r="G36" s="13" t="str">
        <f t="shared" si="2"/>
        <v>SUMIF(FactRealP!B:B,ReliquidacionCEN!B36,FactRealP!N:N)</v>
      </c>
      <c r="H36" s="11" t="str">
        <f t="shared" si="3"/>
        <v>SUMIF(FactRealP!B:B,ReliquidacionCEN!B36,FactRealP!L:L)</v>
      </c>
      <c r="I36" s="12" t="str">
        <f t="shared" si="5"/>
        <v>IFERROR((H36/G36),0)</v>
      </c>
      <c r="J36" s="11" t="str">
        <f t="shared" si="6"/>
        <v>(E36+H36)</v>
      </c>
      <c r="L36" s="54" t="s">
        <v>293</v>
      </c>
      <c r="M36" s="11" t="str">
        <f t="shared" si="7"/>
        <v>SUMIF(CEN_Energia!B:B,ReliquidacionCEN!B36,CEN_Energia!Z:Z)</v>
      </c>
      <c r="N36" s="11" t="str">
        <f t="shared" si="8"/>
        <v>SUMIF(CEN_Energia!B:B,ReliquidacionCEN!B36,CEN_Energia!BK:BK)</v>
      </c>
      <c r="O36" s="12" t="str">
        <f t="shared" si="9"/>
        <v>IFERROR((N36/M36),0)</v>
      </c>
      <c r="P36" s="13" t="str">
        <f t="shared" si="10"/>
        <v>SUMIF(CEN_Potencia!B:B,ReliquidacionCEN!B36,CEN_Potencia!R:R)</v>
      </c>
      <c r="Q36" s="11" t="str">
        <f t="shared" si="11"/>
        <v>SUMIF(CEN_Potencia!B:B,ReliquidacionCEN!B36,CEN_Potencia!BC:BC)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475</v>
      </c>
      <c r="D37" s="11" t="str">
        <f t="shared" si="0"/>
        <v>SUMIF(FactRealE!B:B,ReliquidacionCEN!B37,FactRealE!N:N)</v>
      </c>
      <c r="E37" s="11" t="str">
        <f t="shared" si="1"/>
        <v>SUMIF(FactRealE!B:B,ReliquidacionCEN!B37,FactRealE!L:L)</v>
      </c>
      <c r="F37" s="12" t="str">
        <f t="shared" si="4"/>
        <v>IFERROR((E37/D37),0)</v>
      </c>
      <c r="G37" s="13" t="str">
        <f t="shared" si="2"/>
        <v>SUMIF(FactRealP!B:B,ReliquidacionCEN!B37,FactRealP!N:N)</v>
      </c>
      <c r="H37" s="11" t="str">
        <f t="shared" si="3"/>
        <v>SUMIF(FactRealP!B:B,ReliquidacionCEN!B37,FactRealP!L:L)</v>
      </c>
      <c r="I37" s="12" t="str">
        <f t="shared" si="5"/>
        <v>IFERROR((H37/G37),0)</v>
      </c>
      <c r="J37" s="11" t="str">
        <f t="shared" si="6"/>
        <v>(E37+H37)</v>
      </c>
      <c r="L37" s="54" t="s">
        <v>293</v>
      </c>
      <c r="M37" s="11" t="str">
        <f t="shared" si="7"/>
        <v>SUMIF(CEN_Energia!B:B,ReliquidacionCEN!B37,CEN_Energia!Z:Z)</v>
      </c>
      <c r="N37" s="11" t="str">
        <f t="shared" si="8"/>
        <v>SUMIF(CEN_Energia!B:B,ReliquidacionCEN!B37,CEN_Energia!BK:BK)</v>
      </c>
      <c r="O37" s="12" t="str">
        <f t="shared" si="9"/>
        <v>IFERROR((N37/M37),0)</v>
      </c>
      <c r="P37" s="13" t="str">
        <f t="shared" si="10"/>
        <v>SUMIF(CEN_Potencia!B:B,ReliquidacionCEN!B37,CEN_Potencia!R:R)</v>
      </c>
      <c r="Q37" s="11" t="str">
        <f t="shared" si="11"/>
        <v>SUMIF(CEN_Potencia!B:B,ReliquidacionCEN!B37,CEN_Potencia!BC:BC)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475</v>
      </c>
      <c r="D38" s="11" t="str">
        <f t="shared" si="0"/>
        <v>SUMIF(FactRealE!B:B,ReliquidacionCEN!B38,FactRealE!N:N)</v>
      </c>
      <c r="E38" s="11" t="str">
        <f t="shared" si="1"/>
        <v>SUMIF(FactRealE!B:B,ReliquidacionCEN!B38,FactRealE!L:L)</v>
      </c>
      <c r="F38" s="12" t="str">
        <f t="shared" si="4"/>
        <v>IFERROR((E38/D38),0)</v>
      </c>
      <c r="G38" s="13" t="str">
        <f t="shared" si="2"/>
        <v>SUMIF(FactRealP!B:B,ReliquidacionCEN!B38,FactRealP!N:N)</v>
      </c>
      <c r="H38" s="11" t="str">
        <f t="shared" si="3"/>
        <v>SUMIF(FactRealP!B:B,ReliquidacionCEN!B38,FactRealP!L:L)</v>
      </c>
      <c r="I38" s="12" t="str">
        <f t="shared" si="5"/>
        <v>IFERROR((H38/G38),0)</v>
      </c>
      <c r="J38" s="11" t="str">
        <f t="shared" si="6"/>
        <v>(E38+H38)</v>
      </c>
      <c r="L38" s="54" t="s">
        <v>293</v>
      </c>
      <c r="M38" s="11" t="str">
        <f t="shared" si="7"/>
        <v>SUMIF(CEN_Energia!B:B,ReliquidacionCEN!B38,CEN_Energia!Z:Z)</v>
      </c>
      <c r="N38" s="11" t="str">
        <f t="shared" si="8"/>
        <v>SUMIF(CEN_Energia!B:B,ReliquidacionCEN!B38,CEN_Energia!BK:BK)</v>
      </c>
      <c r="O38" s="12" t="str">
        <f t="shared" si="9"/>
        <v>IFERROR((N38/M38),0)</v>
      </c>
      <c r="P38" s="13" t="str">
        <f t="shared" si="10"/>
        <v>SUMIF(CEN_Potencia!B:B,ReliquidacionCEN!B38,CEN_Potencia!R:R)</v>
      </c>
      <c r="Q38" s="11" t="str">
        <f t="shared" si="11"/>
        <v>SUMIF(CEN_Potencia!B:B,ReliquidacionCEN!B38,CEN_Potencia!BC:BC)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475</v>
      </c>
      <c r="D39" s="11" t="str">
        <f t="shared" si="0"/>
        <v>SUMIF(FactRealE!B:B,ReliquidacionCEN!B39,FactRealE!N:N)</v>
      </c>
      <c r="E39" s="11" t="str">
        <f t="shared" si="1"/>
        <v>SUMIF(FactRealE!B:B,ReliquidacionCEN!B39,FactRealE!L:L)</v>
      </c>
      <c r="F39" s="12" t="str">
        <f t="shared" si="4"/>
        <v>IFERROR((E39/D39),0)</v>
      </c>
      <c r="G39" s="13" t="str">
        <f t="shared" si="2"/>
        <v>SUMIF(FactRealP!B:B,ReliquidacionCEN!B39,FactRealP!N:N)</v>
      </c>
      <c r="H39" s="11" t="str">
        <f t="shared" si="3"/>
        <v>SUMIF(FactRealP!B:B,ReliquidacionCEN!B39,FactRealP!L:L)</v>
      </c>
      <c r="I39" s="12" t="str">
        <f t="shared" si="5"/>
        <v>IFERROR((H39/G39),0)</v>
      </c>
      <c r="J39" s="11" t="str">
        <f t="shared" si="6"/>
        <v>(E39+H39)</v>
      </c>
      <c r="L39" s="54" t="s">
        <v>293</v>
      </c>
      <c r="M39" s="11" t="str">
        <f t="shared" si="7"/>
        <v>SUMIF(CEN_Energia!B:B,ReliquidacionCEN!B39,CEN_Energia!Z:Z)</v>
      </c>
      <c r="N39" s="11" t="str">
        <f t="shared" si="8"/>
        <v>SUMIF(CEN_Energia!B:B,ReliquidacionCEN!B39,CEN_Energia!BK:BK)</v>
      </c>
      <c r="O39" s="12" t="str">
        <f t="shared" si="9"/>
        <v>IFERROR((N39/M39),0)</v>
      </c>
      <c r="P39" s="13" t="str">
        <f t="shared" si="10"/>
        <v>SUMIF(CEN_Potencia!B:B,ReliquidacionCEN!B39,CEN_Potencia!R:R)</v>
      </c>
      <c r="Q39" s="11" t="str">
        <f t="shared" si="11"/>
        <v>SUMIF(CEN_Potencia!B:B,ReliquidacionCEN!B39,CEN_Potencia!BC:BC)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475</v>
      </c>
      <c r="D40" s="11" t="str">
        <f t="shared" si="0"/>
        <v>SUMIF(FactRealE!B:B,ReliquidacionCEN!B40,FactRealE!N:N)</v>
      </c>
      <c r="E40" s="11" t="str">
        <f t="shared" si="1"/>
        <v>SUMIF(FactRealE!B:B,ReliquidacionCEN!B40,FactRealE!L:L)</v>
      </c>
      <c r="F40" s="12" t="str">
        <f t="shared" si="4"/>
        <v>IFERROR((E40/D40),0)</v>
      </c>
      <c r="G40" s="13" t="str">
        <f t="shared" si="2"/>
        <v>SUMIF(FactRealP!B:B,ReliquidacionCEN!B40,FactRealP!N:N)</v>
      </c>
      <c r="H40" s="11" t="str">
        <f t="shared" si="3"/>
        <v>SUMIF(FactRealP!B:B,ReliquidacionCEN!B40,FactRealP!L:L)</v>
      </c>
      <c r="I40" s="12" t="str">
        <f t="shared" si="5"/>
        <v>IFERROR((H40/G40),0)</v>
      </c>
      <c r="J40" s="11" t="str">
        <f t="shared" si="6"/>
        <v>(E40+H40)</v>
      </c>
      <c r="L40" s="54" t="s">
        <v>293</v>
      </c>
      <c r="M40" s="11" t="str">
        <f t="shared" si="7"/>
        <v>SUMIF(CEN_Energia!B:B,ReliquidacionCEN!B40,CEN_Energia!Z:Z)</v>
      </c>
      <c r="N40" s="11" t="str">
        <f t="shared" si="8"/>
        <v>SUMIF(CEN_Energia!B:B,ReliquidacionCEN!B40,CEN_Energia!BK:BK)</v>
      </c>
      <c r="O40" s="12" t="str">
        <f t="shared" si="9"/>
        <v>IFERROR((N40/M40),0)</v>
      </c>
      <c r="P40" s="13" t="str">
        <f t="shared" si="10"/>
        <v>SUMIF(CEN_Potencia!B:B,ReliquidacionCEN!B40,CEN_Potencia!R:R)</v>
      </c>
      <c r="Q40" s="11" t="str">
        <f t="shared" si="11"/>
        <v>SUMIF(CEN_Potencia!B:B,ReliquidacionCEN!B40,CEN_Potencia!BC:BC)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475</v>
      </c>
      <c r="D41" s="11" t="str">
        <f t="shared" si="0"/>
        <v>SUMIF(FactRealE!B:B,ReliquidacionCEN!B41,FactRealE!N:N)</v>
      </c>
      <c r="E41" s="11" t="str">
        <f t="shared" si="1"/>
        <v>SUMIF(FactRealE!B:B,ReliquidacionCEN!B41,FactRealE!L:L)</v>
      </c>
      <c r="F41" s="12" t="str">
        <f t="shared" si="4"/>
        <v>IFERROR((E41/D41),0)</v>
      </c>
      <c r="G41" s="13" t="str">
        <f t="shared" si="2"/>
        <v>SUMIF(FactRealP!B:B,ReliquidacionCEN!B41,FactRealP!N:N)</v>
      </c>
      <c r="H41" s="11" t="str">
        <f t="shared" si="3"/>
        <v>SUMIF(FactRealP!B:B,ReliquidacionCEN!B41,FactRealP!L:L)</v>
      </c>
      <c r="I41" s="12" t="str">
        <f t="shared" si="5"/>
        <v>IFERROR((H41/G41),0)</v>
      </c>
      <c r="J41" s="11" t="str">
        <f t="shared" si="6"/>
        <v>(E41+H41)</v>
      </c>
      <c r="L41" s="54" t="s">
        <v>293</v>
      </c>
      <c r="M41" s="11" t="str">
        <f t="shared" si="7"/>
        <v>SUMIF(CEN_Energia!B:B,ReliquidacionCEN!B41,CEN_Energia!Z:Z)</v>
      </c>
      <c r="N41" s="11" t="str">
        <f t="shared" si="8"/>
        <v>SUMIF(CEN_Energia!B:B,ReliquidacionCEN!B41,CEN_Energia!BK:BK)</v>
      </c>
      <c r="O41" s="12" t="str">
        <f t="shared" si="9"/>
        <v>IFERROR((N41/M41),0)</v>
      </c>
      <c r="P41" s="13" t="str">
        <f t="shared" si="10"/>
        <v>SUMIF(CEN_Potencia!B:B,ReliquidacionCEN!B41,CEN_Potencia!R:R)</v>
      </c>
      <c r="Q41" s="11" t="str">
        <f t="shared" si="11"/>
        <v>SUMIF(CEN_Potencia!B:B,ReliquidacionCEN!B41,CEN_Potencia!BC:BC)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475</v>
      </c>
      <c r="D42" s="11" t="str">
        <f t="shared" si="0"/>
        <v>SUMIF(FactRealE!B:B,ReliquidacionCEN!B42,FactRealE!N:N)</v>
      </c>
      <c r="E42" s="11" t="str">
        <f t="shared" si="1"/>
        <v>SUMIF(FactRealE!B:B,ReliquidacionCEN!B42,FactRealE!L:L)</v>
      </c>
      <c r="F42" s="12" t="str">
        <f t="shared" si="4"/>
        <v>IFERROR((E42/D42),0)</v>
      </c>
      <c r="G42" s="13" t="str">
        <f t="shared" si="2"/>
        <v>SUMIF(FactRealP!B:B,ReliquidacionCEN!B42,FactRealP!N:N)</v>
      </c>
      <c r="H42" s="11" t="str">
        <f t="shared" si="3"/>
        <v>SUMIF(FactRealP!B:B,ReliquidacionCEN!B42,FactRealP!L:L)</v>
      </c>
      <c r="I42" s="12" t="str">
        <f t="shared" si="5"/>
        <v>IFERROR((H42/G42),0)</v>
      </c>
      <c r="J42" s="11" t="str">
        <f t="shared" si="6"/>
        <v>(E42+H42)</v>
      </c>
      <c r="L42" s="54" t="s">
        <v>293</v>
      </c>
      <c r="M42" s="11" t="str">
        <f t="shared" si="7"/>
        <v>SUMIF(CEN_Energia!B:B,ReliquidacionCEN!B42,CEN_Energia!Z:Z)</v>
      </c>
      <c r="N42" s="11" t="str">
        <f t="shared" si="8"/>
        <v>SUMIF(CEN_Energia!B:B,ReliquidacionCEN!B42,CEN_Energia!BK:BK)</v>
      </c>
      <c r="O42" s="12" t="str">
        <f t="shared" si="9"/>
        <v>IFERROR((N42/M42),0)</v>
      </c>
      <c r="P42" s="13" t="str">
        <f t="shared" si="10"/>
        <v>SUMIF(CEN_Potencia!B:B,ReliquidacionCEN!B42,CEN_Potencia!R:R)</v>
      </c>
      <c r="Q42" s="11" t="str">
        <f t="shared" si="11"/>
        <v>SUMIF(CEN_Potencia!B:B,ReliquidacionCEN!B42,CEN_Potencia!BC:BC)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475</v>
      </c>
      <c r="D43" s="11" t="str">
        <f t="shared" si="0"/>
        <v>SUMIF(FactRealE!B:B,ReliquidacionCEN!B43,FactRealE!N:N)</v>
      </c>
      <c r="E43" s="11" t="str">
        <f t="shared" si="1"/>
        <v>SUMIF(FactRealE!B:B,ReliquidacionCEN!B43,FactRealE!L:L)</v>
      </c>
      <c r="F43" s="12" t="str">
        <f t="shared" si="4"/>
        <v>IFERROR((E43/D43),0)</v>
      </c>
      <c r="G43" s="13" t="str">
        <f t="shared" si="2"/>
        <v>SUMIF(FactRealP!B:B,ReliquidacionCEN!B43,FactRealP!N:N)</v>
      </c>
      <c r="H43" s="11" t="str">
        <f t="shared" si="3"/>
        <v>SUMIF(FactRealP!B:B,ReliquidacionCEN!B43,FactRealP!L:L)</v>
      </c>
      <c r="I43" s="12" t="str">
        <f t="shared" si="5"/>
        <v>IFERROR((H43/G43),0)</v>
      </c>
      <c r="J43" s="11" t="str">
        <f t="shared" si="6"/>
        <v>(E43+H43)</v>
      </c>
      <c r="L43" s="54" t="s">
        <v>293</v>
      </c>
      <c r="M43" s="11" t="str">
        <f t="shared" si="7"/>
        <v>SUMIF(CEN_Energia!B:B,ReliquidacionCEN!B43,CEN_Energia!Z:Z)</v>
      </c>
      <c r="N43" s="11" t="str">
        <f t="shared" si="8"/>
        <v>SUMIF(CEN_Energia!B:B,ReliquidacionCEN!B43,CEN_Energia!BK:BK)</v>
      </c>
      <c r="O43" s="12" t="str">
        <f t="shared" si="9"/>
        <v>IFERROR((N43/M43),0)</v>
      </c>
      <c r="P43" s="13" t="str">
        <f t="shared" si="10"/>
        <v>SUMIF(CEN_Potencia!B:B,ReliquidacionCEN!B43,CEN_Potencia!R:R)</v>
      </c>
      <c r="Q43" s="11" t="str">
        <f t="shared" si="11"/>
        <v>SUMIF(CEN_Potencia!B:B,ReliquidacionCEN!B43,CEN_Potencia!BC:BC)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475</v>
      </c>
      <c r="D44" s="11" t="str">
        <f t="shared" si="0"/>
        <v>SUMIF(FactRealE!B:B,ReliquidacionCEN!B44,FactRealE!N:N)</v>
      </c>
      <c r="E44" s="11" t="str">
        <f t="shared" si="1"/>
        <v>SUMIF(FactRealE!B:B,ReliquidacionCEN!B44,FactRealE!L:L)</v>
      </c>
      <c r="F44" s="12" t="str">
        <f t="shared" si="4"/>
        <v>IFERROR((E44/D44),0)</v>
      </c>
      <c r="G44" s="13" t="str">
        <f t="shared" si="2"/>
        <v>SUMIF(FactRealP!B:B,ReliquidacionCEN!B44,FactRealP!N:N)</v>
      </c>
      <c r="H44" s="11" t="str">
        <f t="shared" si="3"/>
        <v>SUMIF(FactRealP!B:B,ReliquidacionCEN!B44,FactRealP!L:L)</v>
      </c>
      <c r="I44" s="12" t="str">
        <f t="shared" si="5"/>
        <v>IFERROR((H44/G44),0)</v>
      </c>
      <c r="J44" s="11" t="str">
        <f t="shared" si="6"/>
        <v>(E44+H44)</v>
      </c>
      <c r="L44" s="54" t="s">
        <v>293</v>
      </c>
      <c r="M44" s="11" t="str">
        <f t="shared" si="7"/>
        <v>SUMIF(CEN_Energia!B:B,ReliquidacionCEN!B44,CEN_Energia!Z:Z)</v>
      </c>
      <c r="N44" s="11" t="str">
        <f t="shared" si="8"/>
        <v>SUMIF(CEN_Energia!B:B,ReliquidacionCEN!B44,CEN_Energia!BK:BK)</v>
      </c>
      <c r="O44" s="12" t="str">
        <f t="shared" si="9"/>
        <v>IFERROR((N44/M44),0)</v>
      </c>
      <c r="P44" s="13" t="str">
        <f t="shared" si="10"/>
        <v>SUMIF(CEN_Potencia!B:B,ReliquidacionCEN!B44,CEN_Potencia!R:R)</v>
      </c>
      <c r="Q44" s="11" t="str">
        <f t="shared" si="11"/>
        <v>SUMIF(CEN_Potencia!B:B,ReliquidacionCEN!B44,CEN_Potencia!BC:BC)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475</v>
      </c>
      <c r="D45" s="11" t="str">
        <f t="shared" si="0"/>
        <v>SUMIF(FactRealE!B:B,ReliquidacionCEN!B45,FactRealE!N:N)</v>
      </c>
      <c r="E45" s="11" t="str">
        <f t="shared" si="1"/>
        <v>SUMIF(FactRealE!B:B,ReliquidacionCEN!B45,FactRealE!L:L)</v>
      </c>
      <c r="F45" s="12" t="str">
        <f t="shared" si="4"/>
        <v>IFERROR((E45/D45),0)</v>
      </c>
      <c r="G45" s="13" t="str">
        <f t="shared" si="2"/>
        <v>SUMIF(FactRealP!B:B,ReliquidacionCEN!B45,FactRealP!N:N)</v>
      </c>
      <c r="H45" s="11" t="str">
        <f t="shared" si="3"/>
        <v>SUMIF(FactRealP!B:B,ReliquidacionCEN!B45,FactRealP!L:L)</v>
      </c>
      <c r="I45" s="12" t="str">
        <f t="shared" si="5"/>
        <v>IFERROR((H45/G45),0)</v>
      </c>
      <c r="J45" s="11" t="str">
        <f t="shared" si="6"/>
        <v>(E45+H45)</v>
      </c>
      <c r="L45" s="54" t="s">
        <v>293</v>
      </c>
      <c r="M45" s="11" t="str">
        <f t="shared" si="7"/>
        <v>SUMIF(CEN_Energia!B:B,ReliquidacionCEN!B45,CEN_Energia!Z:Z)</v>
      </c>
      <c r="N45" s="11" t="str">
        <f t="shared" si="8"/>
        <v>SUMIF(CEN_Energia!B:B,ReliquidacionCEN!B45,CEN_Energia!BK:BK)</v>
      </c>
      <c r="O45" s="12" t="str">
        <f t="shared" si="9"/>
        <v>IFERROR((N45/M45),0)</v>
      </c>
      <c r="P45" s="13" t="str">
        <f t="shared" si="10"/>
        <v>SUMIF(CEN_Potencia!B:B,ReliquidacionCEN!B45,CEN_Potencia!R:R)</v>
      </c>
      <c r="Q45" s="11" t="str">
        <f t="shared" si="11"/>
        <v>SUMIF(CEN_Potencia!B:B,ReliquidacionCEN!B45,CEN_Potencia!BC:BC)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475</v>
      </c>
      <c r="D46" s="11" t="str">
        <f t="shared" si="0"/>
        <v>SUMIF(FactRealE!B:B,ReliquidacionCEN!B46,FactRealE!N:N)</v>
      </c>
      <c r="E46" s="11" t="str">
        <f t="shared" si="1"/>
        <v>SUMIF(FactRealE!B:B,ReliquidacionCEN!B46,FactRealE!L:L)</v>
      </c>
      <c r="F46" s="12" t="str">
        <f t="shared" si="4"/>
        <v>IFERROR((E46/D46),0)</v>
      </c>
      <c r="G46" s="13" t="str">
        <f t="shared" si="2"/>
        <v>SUMIF(FactRealP!B:B,ReliquidacionCEN!B46,FactRealP!N:N)</v>
      </c>
      <c r="H46" s="11" t="str">
        <f t="shared" si="3"/>
        <v>SUMIF(FactRealP!B:B,ReliquidacionCEN!B46,FactRealP!L:L)</v>
      </c>
      <c r="I46" s="12" t="str">
        <f t="shared" si="5"/>
        <v>IFERROR((H46/G46),0)</v>
      </c>
      <c r="J46" s="11" t="str">
        <f t="shared" si="6"/>
        <v>(E46+H46)</v>
      </c>
      <c r="L46" s="54" t="s">
        <v>293</v>
      </c>
      <c r="M46" s="11" t="str">
        <f t="shared" si="7"/>
        <v>SUMIF(CEN_Energia!B:B,ReliquidacionCEN!B46,CEN_Energia!Z:Z)</v>
      </c>
      <c r="N46" s="11" t="str">
        <f t="shared" si="8"/>
        <v>SUMIF(CEN_Energia!B:B,ReliquidacionCEN!B46,CEN_Energia!BK:BK)</v>
      </c>
      <c r="O46" s="12" t="str">
        <f t="shared" si="9"/>
        <v>IFERROR((N46/M46),0)</v>
      </c>
      <c r="P46" s="13" t="str">
        <f t="shared" si="10"/>
        <v>SUMIF(CEN_Potencia!B:B,ReliquidacionCEN!B46,CEN_Potencia!R:R)</v>
      </c>
      <c r="Q46" s="11" t="str">
        <f t="shared" si="11"/>
        <v>SUMIF(CEN_Potencia!B:B,ReliquidacionCEN!B46,CEN_Potencia!BC:BC)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475</v>
      </c>
      <c r="D47" s="11" t="str">
        <f t="shared" si="0"/>
        <v>SUMIF(FactRealE!B:B,ReliquidacionCEN!B47,FactRealE!N:N)</v>
      </c>
      <c r="E47" s="11" t="str">
        <f t="shared" si="1"/>
        <v>SUMIF(FactRealE!B:B,ReliquidacionCEN!B47,FactRealE!L:L)</v>
      </c>
      <c r="F47" s="12" t="str">
        <f t="shared" si="4"/>
        <v>IFERROR((E47/D47),0)</v>
      </c>
      <c r="G47" s="13" t="str">
        <f t="shared" si="2"/>
        <v>SUMIF(FactRealP!B:B,ReliquidacionCEN!B47,FactRealP!N:N)</v>
      </c>
      <c r="H47" s="11" t="str">
        <f t="shared" si="3"/>
        <v>SUMIF(FactRealP!B:B,ReliquidacionCEN!B47,FactRealP!L:L)</v>
      </c>
      <c r="I47" s="12" t="str">
        <f t="shared" si="5"/>
        <v>IFERROR((H47/G47),0)</v>
      </c>
      <c r="J47" s="11" t="str">
        <f t="shared" si="6"/>
        <v>(E47+H47)</v>
      </c>
      <c r="L47" s="54" t="s">
        <v>293</v>
      </c>
      <c r="M47" s="11" t="str">
        <f t="shared" si="7"/>
        <v>SUMIF(CEN_Energia!B:B,ReliquidacionCEN!B47,CEN_Energia!Z:Z)</v>
      </c>
      <c r="N47" s="11" t="str">
        <f t="shared" si="8"/>
        <v>SUMIF(CEN_Energia!B:B,ReliquidacionCEN!B47,CEN_Energia!BK:BK)</v>
      </c>
      <c r="O47" s="12" t="str">
        <f t="shared" si="9"/>
        <v>IFERROR((N47/M47),0)</v>
      </c>
      <c r="P47" s="13" t="str">
        <f t="shared" si="10"/>
        <v>SUMIF(CEN_Potencia!B:B,ReliquidacionCEN!B47,CEN_Potencia!R:R)</v>
      </c>
      <c r="Q47" s="11" t="str">
        <f t="shared" si="11"/>
        <v>SUMIF(CEN_Potencia!B:B,ReliquidacionCEN!B47,CEN_Potencia!BC:BC)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475</v>
      </c>
      <c r="D48" s="11" t="str">
        <f t="shared" si="0"/>
        <v>SUMIF(FactRealE!B:B,ReliquidacionCEN!B48,FactRealE!N:N)</v>
      </c>
      <c r="E48" s="11" t="str">
        <f t="shared" si="1"/>
        <v>SUMIF(FactRealE!B:B,ReliquidacionCEN!B48,FactRealE!L:L)</v>
      </c>
      <c r="F48" s="12" t="str">
        <f t="shared" si="4"/>
        <v>IFERROR((E48/D48),0)</v>
      </c>
      <c r="G48" s="13" t="str">
        <f t="shared" si="2"/>
        <v>SUMIF(FactRealP!B:B,ReliquidacionCEN!B48,FactRealP!N:N)</v>
      </c>
      <c r="H48" s="11" t="str">
        <f t="shared" si="3"/>
        <v>SUMIF(FactRealP!B:B,ReliquidacionCEN!B48,FactRealP!L:L)</v>
      </c>
      <c r="I48" s="12" t="str">
        <f t="shared" si="5"/>
        <v>IFERROR((H48/G48),0)</v>
      </c>
      <c r="J48" s="11" t="str">
        <f t="shared" si="6"/>
        <v>(E48+H48)</v>
      </c>
      <c r="L48" s="54" t="s">
        <v>293</v>
      </c>
      <c r="M48" s="11" t="str">
        <f t="shared" si="7"/>
        <v>SUMIF(CEN_Energia!B:B,ReliquidacionCEN!B48,CEN_Energia!Z:Z)</v>
      </c>
      <c r="N48" s="11" t="str">
        <f t="shared" si="8"/>
        <v>SUMIF(CEN_Energia!B:B,ReliquidacionCEN!B48,CEN_Energia!BK:BK)</v>
      </c>
      <c r="O48" s="12" t="str">
        <f t="shared" si="9"/>
        <v>IFERROR((N48/M48),0)</v>
      </c>
      <c r="P48" s="13" t="str">
        <f t="shared" si="10"/>
        <v>SUMIF(CEN_Potencia!B:B,ReliquidacionCEN!B48,CEN_Potencia!R:R)</v>
      </c>
      <c r="Q48" s="11" t="str">
        <f t="shared" si="11"/>
        <v>SUMIF(CEN_Potencia!B:B,ReliquidacionCEN!B48,CEN_Potencia!BC:BC)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475</v>
      </c>
      <c r="D49" s="11" t="str">
        <f t="shared" si="0"/>
        <v>SUMIF(FactRealE!B:B,ReliquidacionCEN!B49,FactRealE!N:N)</v>
      </c>
      <c r="E49" s="11" t="str">
        <f t="shared" si="1"/>
        <v>SUMIF(FactRealE!B:B,ReliquidacionCEN!B49,FactRealE!L:L)</v>
      </c>
      <c r="F49" s="12" t="str">
        <f t="shared" si="4"/>
        <v>IFERROR((E49/D49),0)</v>
      </c>
      <c r="G49" s="13" t="str">
        <f t="shared" si="2"/>
        <v>SUMIF(FactRealP!B:B,ReliquidacionCEN!B49,FactRealP!N:N)</v>
      </c>
      <c r="H49" s="11" t="str">
        <f t="shared" si="3"/>
        <v>SUMIF(FactRealP!B:B,ReliquidacionCEN!B49,FactRealP!L:L)</v>
      </c>
      <c r="I49" s="12" t="str">
        <f t="shared" si="5"/>
        <v>IFERROR((H49/G49),0)</v>
      </c>
      <c r="J49" s="11" t="str">
        <f t="shared" si="6"/>
        <v>(E49+H49)</v>
      </c>
      <c r="L49" s="54" t="s">
        <v>293</v>
      </c>
      <c r="M49" s="11" t="str">
        <f t="shared" si="7"/>
        <v>SUMIF(CEN_Energia!B:B,ReliquidacionCEN!B49,CEN_Energia!Z:Z)</v>
      </c>
      <c r="N49" s="11" t="str">
        <f t="shared" si="8"/>
        <v>SUMIF(CEN_Energia!B:B,ReliquidacionCEN!B49,CEN_Energia!BK:BK)</v>
      </c>
      <c r="O49" s="12" t="str">
        <f t="shared" si="9"/>
        <v>IFERROR((N49/M49),0)</v>
      </c>
      <c r="P49" s="13" t="str">
        <f t="shared" si="10"/>
        <v>SUMIF(CEN_Potencia!B:B,ReliquidacionCEN!B49,CEN_Potencia!R:R)</v>
      </c>
      <c r="Q49" s="11" t="str">
        <f t="shared" si="11"/>
        <v>SUMIF(CEN_Potencia!B:B,ReliquidacionCEN!B49,CEN_Potencia!BC:BC)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475</v>
      </c>
      <c r="D50" s="11" t="str">
        <f t="shared" si="0"/>
        <v>SUMIF(FactRealE!B:B,ReliquidacionCEN!B50,FactRealE!N:N)</v>
      </c>
      <c r="E50" s="11" t="str">
        <f t="shared" si="1"/>
        <v>SUMIF(FactRealE!B:B,ReliquidacionCEN!B50,FactRealE!L:L)</v>
      </c>
      <c r="F50" s="12" t="str">
        <f t="shared" si="4"/>
        <v>IFERROR((E50/D50),0)</v>
      </c>
      <c r="G50" s="13" t="str">
        <f t="shared" si="2"/>
        <v>SUMIF(FactRealP!B:B,ReliquidacionCEN!B50,FactRealP!N:N)</v>
      </c>
      <c r="H50" s="11" t="str">
        <f t="shared" si="3"/>
        <v>SUMIF(FactRealP!B:B,ReliquidacionCEN!B50,FactRealP!L:L)</v>
      </c>
      <c r="I50" s="12" t="str">
        <f t="shared" si="5"/>
        <v>IFERROR((H50/G50),0)</v>
      </c>
      <c r="J50" s="11" t="str">
        <f t="shared" si="6"/>
        <v>(E50+H50)</v>
      </c>
      <c r="L50" s="54" t="s">
        <v>293</v>
      </c>
      <c r="M50" s="11" t="str">
        <f t="shared" si="7"/>
        <v>SUMIF(CEN_Energia!B:B,ReliquidacionCEN!B50,CEN_Energia!Z:Z)</v>
      </c>
      <c r="N50" s="11" t="str">
        <f t="shared" si="8"/>
        <v>SUMIF(CEN_Energia!B:B,ReliquidacionCEN!B50,CEN_Energia!BK:BK)</v>
      </c>
      <c r="O50" s="12" t="str">
        <f t="shared" si="9"/>
        <v>IFERROR((N50/M50),0)</v>
      </c>
      <c r="P50" s="13" t="str">
        <f t="shared" si="10"/>
        <v>SUMIF(CEN_Potencia!B:B,ReliquidacionCEN!B50,CEN_Potencia!R:R)</v>
      </c>
      <c r="Q50" s="11" t="str">
        <f t="shared" si="11"/>
        <v>SUMIF(CEN_Potencia!B:B,ReliquidacionCEN!B50,CEN_Potencia!BC:BC)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475</v>
      </c>
      <c r="D51" s="11" t="str">
        <f t="shared" si="0"/>
        <v>SUMIF(FactRealE!B:B,ReliquidacionCEN!B51,FactRealE!N:N)</v>
      </c>
      <c r="E51" s="11" t="str">
        <f t="shared" si="1"/>
        <v>SUMIF(FactRealE!B:B,ReliquidacionCEN!B51,FactRealE!L:L)</v>
      </c>
      <c r="F51" s="12" t="str">
        <f t="shared" si="4"/>
        <v>IFERROR((E51/D51),0)</v>
      </c>
      <c r="G51" s="13" t="str">
        <f t="shared" si="2"/>
        <v>SUMIF(FactRealP!B:B,ReliquidacionCEN!B51,FactRealP!N:N)</v>
      </c>
      <c r="H51" s="11" t="str">
        <f t="shared" si="3"/>
        <v>SUMIF(FactRealP!B:B,ReliquidacionCEN!B51,FactRealP!L:L)</v>
      </c>
      <c r="I51" s="12" t="str">
        <f t="shared" si="5"/>
        <v>IFERROR((H51/G51),0)</v>
      </c>
      <c r="J51" s="11" t="str">
        <f t="shared" si="6"/>
        <v>(E51+H51)</v>
      </c>
      <c r="L51" s="54" t="s">
        <v>293</v>
      </c>
      <c r="M51" s="11" t="str">
        <f t="shared" si="7"/>
        <v>SUMIF(CEN_Energia!B:B,ReliquidacionCEN!B51,CEN_Energia!Z:Z)</v>
      </c>
      <c r="N51" s="11" t="str">
        <f t="shared" si="8"/>
        <v>SUMIF(CEN_Energia!B:B,ReliquidacionCEN!B51,CEN_Energia!BK:BK)</v>
      </c>
      <c r="O51" s="12" t="str">
        <f t="shared" si="9"/>
        <v>IFERROR((N51/M51),0)</v>
      </c>
      <c r="P51" s="13" t="str">
        <f t="shared" si="10"/>
        <v>SUMIF(CEN_Potencia!B:B,ReliquidacionCEN!B51,CEN_Potencia!R:R)</v>
      </c>
      <c r="Q51" s="11" t="str">
        <f t="shared" si="11"/>
        <v>SUMIF(CEN_Potencia!B:B,ReliquidacionCEN!B51,CEN_Potencia!BC:BC)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475</v>
      </c>
      <c r="D52" s="11" t="str">
        <f t="shared" si="0"/>
        <v>SUMIF(FactRealE!B:B,ReliquidacionCEN!B52,FactRealE!N:N)</v>
      </c>
      <c r="E52" s="11" t="str">
        <f t="shared" si="1"/>
        <v>SUMIF(FactRealE!B:B,ReliquidacionCEN!B52,FactRealE!L:L)</v>
      </c>
      <c r="F52" s="12" t="str">
        <f t="shared" si="4"/>
        <v>IFERROR((E52/D52),0)</v>
      </c>
      <c r="G52" s="13" t="str">
        <f t="shared" si="2"/>
        <v>SUMIF(FactRealP!B:B,ReliquidacionCEN!B52,FactRealP!N:N)</v>
      </c>
      <c r="H52" s="11" t="str">
        <f t="shared" si="3"/>
        <v>SUMIF(FactRealP!B:B,ReliquidacionCEN!B52,FactRealP!L:L)</v>
      </c>
      <c r="I52" s="12" t="str">
        <f t="shared" si="5"/>
        <v>IFERROR((H52/G52),0)</v>
      </c>
      <c r="J52" s="11" t="str">
        <f t="shared" si="6"/>
        <v>(E52+H52)</v>
      </c>
      <c r="L52" s="54" t="s">
        <v>293</v>
      </c>
      <c r="M52" s="11" t="str">
        <f t="shared" si="7"/>
        <v>SUMIF(CEN_Energia!B:B,ReliquidacionCEN!B52,CEN_Energia!Z:Z)</v>
      </c>
      <c r="N52" s="11" t="str">
        <f t="shared" si="8"/>
        <v>SUMIF(CEN_Energia!B:B,ReliquidacionCEN!B52,CEN_Energia!BK:BK)</v>
      </c>
      <c r="O52" s="12" t="str">
        <f t="shared" si="9"/>
        <v>IFERROR((N52/M52),0)</v>
      </c>
      <c r="P52" s="13" t="str">
        <f t="shared" si="10"/>
        <v>SUMIF(CEN_Potencia!B:B,ReliquidacionCEN!B52,CEN_Potencia!R:R)</v>
      </c>
      <c r="Q52" s="11" t="str">
        <f t="shared" si="11"/>
        <v>SUMIF(CEN_Potencia!B:B,ReliquidacionCEN!B52,CEN_Potencia!BC:BC)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290</v>
      </c>
      <c r="D53" s="11" t="str">
        <f t="shared" ref="D53:D65" si="21">CONCATENATE("SUMIF(",IF(C53="FACT_EMITIDA","SIGGE_E",C53),"!B:B,ReliquidacionCEN!B",A53,",",IF(C53="FACT_EMITIDA","SIGGE_E",C53),"!S:S)")</f>
        <v>SUMIF(SIGGE_E!B:B,ReliquidacionCEN!B53,SIGGE_E!S:S)</v>
      </c>
      <c r="E53" s="11" t="str">
        <f t="shared" ref="E53:E65" si="22">CONCATENATE("SUMIF(",IF(C53="FACT_EMITIDA","SIGGE_E",C53),"!B:B,ReliquidacionCEN!B",A53,",",IF(C53="FACT_EMITIDA","SIGGE_E",C53),"!T:T)")</f>
        <v>SUMIF(SIGGE_E!B:B,ReliquidacionCEN!B53,SIGGE_E!T:T)</v>
      </c>
      <c r="F53" s="12" t="str">
        <f t="shared" si="4"/>
        <v>IFERROR((E53/D53),0)</v>
      </c>
      <c r="G53" s="13" t="str">
        <f t="shared" ref="G53:G65" si="23">CONCATENATE("SUMIF(",IF(C53="FACT_EMITIDA","SIGGE_P",C53),"!B:B,ReliquidacionCEN!B",A53,",",IF(C53="FACT_EMITIDA","SIGGE_P",C53),"!U:U)")</f>
        <v>SUMIF(SIGGE_P!B:B,ReliquidacionCEN!B53,SIGGE_P!U:U)</v>
      </c>
      <c r="H53" s="11" t="str">
        <f t="shared" ref="H53:H65" si="24">CONCATENATE("SUMIF(",IF(C53="FACT_EMITIDA","SIGGE_P",C53),"!B:B,ReliquidacionCEN!B",A53,",",IF(C53="FACT_EMITIDA","SIGGE_P",C53),"!V:V)")</f>
        <v>SUMIF(SIGGE_P!B:B,ReliquidacionCEN!B53,SIGGE_P!V:V)</v>
      </c>
      <c r="I53" s="12" t="str">
        <f t="shared" si="5"/>
        <v>IFERROR((H53/G53),0)</v>
      </c>
      <c r="J53" s="11" t="str">
        <f t="shared" si="6"/>
        <v>(E53+H53)</v>
      </c>
      <c r="L53" s="54" t="s">
        <v>293</v>
      </c>
      <c r="M53" s="11" t="str">
        <f t="shared" si="7"/>
        <v>SUMIF(CEN_Energia!B:B,ReliquidacionCEN!B53,CEN_Energia!Z:Z)</v>
      </c>
      <c r="N53" s="11" t="str">
        <f t="shared" si="8"/>
        <v>SUMIF(CEN_Energia!B:B,ReliquidacionCEN!B53,CEN_Energia!BK:BK)</v>
      </c>
      <c r="O53" s="12" t="str">
        <f t="shared" si="9"/>
        <v>IFERROR((N53/M53),0)</v>
      </c>
      <c r="P53" s="13" t="str">
        <f t="shared" si="10"/>
        <v>SUMIF(CEN_Potencia!B:B,ReliquidacionCEN!B53,CEN_Potencia!R:R)</v>
      </c>
      <c r="Q53" s="11" t="str">
        <f t="shared" si="11"/>
        <v>SUMIF(CEN_Potencia!B:B,ReliquidacionCEN!B53,CEN_Potencia!BC:BC)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290</v>
      </c>
      <c r="D54" s="11" t="str">
        <f t="shared" si="21"/>
        <v>SUMIF(SIGGE_E!B:B,ReliquidacionCEN!B54,SIGGE_E!S:S)</v>
      </c>
      <c r="E54" s="11" t="str">
        <f t="shared" si="22"/>
        <v>SUMIF(SIGGE_E!B:B,ReliquidacionCEN!B54,SIGGE_E!T:T)</v>
      </c>
      <c r="F54" s="12" t="str">
        <f t="shared" si="4"/>
        <v>IFERROR((E54/D54),0)</v>
      </c>
      <c r="G54" s="13" t="str">
        <f t="shared" si="23"/>
        <v>SUMIF(SIGGE_P!B:B,ReliquidacionCEN!B54,SIGGE_P!U:U)</v>
      </c>
      <c r="H54" s="11" t="str">
        <f t="shared" si="24"/>
        <v>SUMIF(SIGGE_P!B:B,ReliquidacionCEN!B54,SIGGE_P!V:V)</v>
      </c>
      <c r="I54" s="12" t="str">
        <f t="shared" si="5"/>
        <v>IFERROR((H54/G54),0)</v>
      </c>
      <c r="J54" s="11" t="str">
        <f t="shared" si="6"/>
        <v>(E54+H54)</v>
      </c>
      <c r="L54" s="54" t="s">
        <v>293</v>
      </c>
      <c r="M54" s="11" t="str">
        <f t="shared" si="7"/>
        <v>SUMIF(CEN_Energia!B:B,ReliquidacionCEN!B54,CEN_Energia!Z:Z)</v>
      </c>
      <c r="N54" s="11" t="str">
        <f t="shared" si="8"/>
        <v>SUMIF(CEN_Energia!B:B,ReliquidacionCEN!B54,CEN_Energia!BK:BK)</v>
      </c>
      <c r="O54" s="12" t="str">
        <f t="shared" si="9"/>
        <v>IFERROR((N54/M54),0)</v>
      </c>
      <c r="P54" s="13" t="str">
        <f t="shared" si="10"/>
        <v>SUMIF(CEN_Potencia!B:B,ReliquidacionCEN!B54,CEN_Potencia!R:R)</v>
      </c>
      <c r="Q54" s="11" t="str">
        <f t="shared" si="11"/>
        <v>SUMIF(CEN_Potencia!B:B,ReliquidacionCEN!B54,CEN_Potencia!BC:BC)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290</v>
      </c>
      <c r="D55" s="11" t="str">
        <f t="shared" si="21"/>
        <v>SUMIF(SIGGE_E!B:B,ReliquidacionCEN!B55,SIGGE_E!S:S)</v>
      </c>
      <c r="E55" s="11" t="str">
        <f t="shared" si="22"/>
        <v>SUMIF(SIGGE_E!B:B,ReliquidacionCEN!B55,SIGGE_E!T:T)</v>
      </c>
      <c r="F55" s="12" t="str">
        <f t="shared" si="4"/>
        <v>IFERROR((E55/D55),0)</v>
      </c>
      <c r="G55" s="13" t="str">
        <f t="shared" si="23"/>
        <v>SUMIF(SIGGE_P!B:B,ReliquidacionCEN!B55,SIGGE_P!U:U)</v>
      </c>
      <c r="H55" s="11" t="str">
        <f t="shared" si="24"/>
        <v>SUMIF(SIGGE_P!B:B,ReliquidacionCEN!B55,SIGGE_P!V:V)</v>
      </c>
      <c r="I55" s="12" t="str">
        <f t="shared" si="5"/>
        <v>IFERROR((H55/G55),0)</v>
      </c>
      <c r="J55" s="11" t="str">
        <f t="shared" si="6"/>
        <v>(E55+H55)</v>
      </c>
      <c r="L55" s="54" t="s">
        <v>293</v>
      </c>
      <c r="M55" s="11" t="str">
        <f t="shared" si="7"/>
        <v>SUMIF(CEN_Energia!B:B,ReliquidacionCEN!B55,CEN_Energia!Z:Z)</v>
      </c>
      <c r="N55" s="11" t="str">
        <f t="shared" si="8"/>
        <v>SUMIF(CEN_Energia!B:B,ReliquidacionCEN!B55,CEN_Energia!BK:BK)</v>
      </c>
      <c r="O55" s="12" t="str">
        <f t="shared" si="9"/>
        <v>IFERROR((N55/M55),0)</v>
      </c>
      <c r="P55" s="13" t="str">
        <f t="shared" si="10"/>
        <v>SUMIF(CEN_Potencia!B:B,ReliquidacionCEN!B55,CEN_Potencia!R:R)</v>
      </c>
      <c r="Q55" s="11" t="str">
        <f t="shared" si="11"/>
        <v>SUMIF(CEN_Potencia!B:B,ReliquidacionCEN!B55,CEN_Potencia!BC:BC)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290</v>
      </c>
      <c r="D56" s="11" t="str">
        <f t="shared" si="21"/>
        <v>SUMIF(SIGGE_E!B:B,ReliquidacionCEN!B56,SIGGE_E!S:S)</v>
      </c>
      <c r="E56" s="11" t="str">
        <f t="shared" si="22"/>
        <v>SUMIF(SIGGE_E!B:B,ReliquidacionCEN!B56,SIGGE_E!T:T)</v>
      </c>
      <c r="F56" s="12" t="str">
        <f t="shared" si="4"/>
        <v>IFERROR((E56/D56),0)</v>
      </c>
      <c r="G56" s="13" t="str">
        <f t="shared" si="23"/>
        <v>SUMIF(SIGGE_P!B:B,ReliquidacionCEN!B56,SIGGE_P!U:U)</v>
      </c>
      <c r="H56" s="11" t="str">
        <f t="shared" si="24"/>
        <v>SUMIF(SIGGE_P!B:B,ReliquidacionCEN!B56,SIGGE_P!V:V)</v>
      </c>
      <c r="I56" s="12" t="str">
        <f t="shared" si="5"/>
        <v>IFERROR((H56/G56),0)</v>
      </c>
      <c r="J56" s="11" t="str">
        <f t="shared" si="6"/>
        <v>(E56+H56)</v>
      </c>
      <c r="L56" s="54" t="s">
        <v>293</v>
      </c>
      <c r="M56" s="11" t="str">
        <f t="shared" si="7"/>
        <v>SUMIF(CEN_Energia!B:B,ReliquidacionCEN!B56,CEN_Energia!Z:Z)</v>
      </c>
      <c r="N56" s="11" t="str">
        <f t="shared" si="8"/>
        <v>SUMIF(CEN_Energia!B:B,ReliquidacionCEN!B56,CEN_Energia!BK:BK)</v>
      </c>
      <c r="O56" s="12" t="str">
        <f t="shared" si="9"/>
        <v>IFERROR((N56/M56),0)</v>
      </c>
      <c r="P56" s="13" t="str">
        <f t="shared" si="10"/>
        <v>SUMIF(CEN_Potencia!B:B,ReliquidacionCEN!B56,CEN_Potencia!R:R)</v>
      </c>
      <c r="Q56" s="11" t="str">
        <f t="shared" si="11"/>
        <v>SUMIF(CEN_Potencia!B:B,ReliquidacionCEN!B56,CEN_Potencia!BC:BC)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290</v>
      </c>
      <c r="D57" s="11" t="str">
        <f t="shared" si="21"/>
        <v>SUMIF(SIGGE_E!B:B,ReliquidacionCEN!B57,SIGGE_E!S:S)</v>
      </c>
      <c r="E57" s="11" t="str">
        <f t="shared" si="22"/>
        <v>SUMIF(SIGGE_E!B:B,ReliquidacionCEN!B57,SIGGE_E!T:T)</v>
      </c>
      <c r="F57" s="12" t="str">
        <f t="shared" si="4"/>
        <v>IFERROR((E57/D57),0)</v>
      </c>
      <c r="G57" s="13" t="str">
        <f t="shared" si="23"/>
        <v>SUMIF(SIGGE_P!B:B,ReliquidacionCEN!B57,SIGGE_P!U:U)</v>
      </c>
      <c r="H57" s="11" t="str">
        <f t="shared" si="24"/>
        <v>SUMIF(SIGGE_P!B:B,ReliquidacionCEN!B57,SIGGE_P!V:V)</v>
      </c>
      <c r="I57" s="12" t="str">
        <f t="shared" si="5"/>
        <v>IFERROR((H57/G57),0)</v>
      </c>
      <c r="J57" s="11" t="str">
        <f t="shared" si="6"/>
        <v>(E57+H57)</v>
      </c>
      <c r="L57" s="54" t="s">
        <v>293</v>
      </c>
      <c r="M57" s="11" t="str">
        <f t="shared" si="7"/>
        <v>SUMIF(CEN_Energia!B:B,ReliquidacionCEN!B57,CEN_Energia!Z:Z)</v>
      </c>
      <c r="N57" s="11" t="str">
        <f t="shared" si="8"/>
        <v>SUMIF(CEN_Energia!B:B,ReliquidacionCEN!B57,CEN_Energia!BK:BK)</v>
      </c>
      <c r="O57" s="12" t="str">
        <f t="shared" si="9"/>
        <v>IFERROR((N57/M57),0)</v>
      </c>
      <c r="P57" s="13" t="str">
        <f t="shared" si="10"/>
        <v>SUMIF(CEN_Potencia!B:B,ReliquidacionCEN!B57,CEN_Potencia!R:R)</v>
      </c>
      <c r="Q57" s="11" t="str">
        <f t="shared" si="11"/>
        <v>SUMIF(CEN_Potencia!B:B,ReliquidacionCEN!B57,CEN_Potencia!BC:BC)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290</v>
      </c>
      <c r="D58" s="11" t="str">
        <f t="shared" si="21"/>
        <v>SUMIF(SIGGE_E!B:B,ReliquidacionCEN!B58,SIGGE_E!S:S)</v>
      </c>
      <c r="E58" s="11" t="str">
        <f t="shared" si="22"/>
        <v>SUMIF(SIGGE_E!B:B,ReliquidacionCEN!B58,SIGGE_E!T:T)</v>
      </c>
      <c r="F58" s="12" t="str">
        <f t="shared" si="4"/>
        <v>IFERROR((E58/D58),0)</v>
      </c>
      <c r="G58" s="13" t="str">
        <f t="shared" si="23"/>
        <v>SUMIF(SIGGE_P!B:B,ReliquidacionCEN!B58,SIGGE_P!U:U)</v>
      </c>
      <c r="H58" s="11" t="str">
        <f t="shared" si="24"/>
        <v>SUMIF(SIGGE_P!B:B,ReliquidacionCEN!B58,SIGGE_P!V:V)</v>
      </c>
      <c r="I58" s="12" t="str">
        <f t="shared" si="5"/>
        <v>IFERROR((H58/G58),0)</v>
      </c>
      <c r="J58" s="11" t="str">
        <f t="shared" si="6"/>
        <v>(E58+H58)</v>
      </c>
      <c r="L58" s="54" t="s">
        <v>293</v>
      </c>
      <c r="M58" s="11" t="str">
        <f t="shared" si="7"/>
        <v>SUMIF(CEN_Energia!B:B,ReliquidacionCEN!B58,CEN_Energia!Z:Z)</v>
      </c>
      <c r="N58" s="11" t="str">
        <f t="shared" si="8"/>
        <v>SUMIF(CEN_Energia!B:B,ReliquidacionCEN!B58,CEN_Energia!BK:BK)</v>
      </c>
      <c r="O58" s="12" t="str">
        <f t="shared" si="9"/>
        <v>IFERROR((N58/M58),0)</v>
      </c>
      <c r="P58" s="13" t="str">
        <f t="shared" si="10"/>
        <v>SUMIF(CEN_Potencia!B:B,ReliquidacionCEN!B58,CEN_Potencia!R:R)</v>
      </c>
      <c r="Q58" s="11" t="str">
        <f t="shared" si="11"/>
        <v>SUMIF(CEN_Potencia!B:B,ReliquidacionCEN!B58,CEN_Potencia!BC:BC)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290</v>
      </c>
      <c r="D59" s="11" t="str">
        <f t="shared" si="21"/>
        <v>SUMIF(SIGGE_E!B:B,ReliquidacionCEN!B59,SIGGE_E!S:S)</v>
      </c>
      <c r="E59" s="11" t="str">
        <f t="shared" si="22"/>
        <v>SUMIF(SIGGE_E!B:B,ReliquidacionCEN!B59,SIGGE_E!T:T)</v>
      </c>
      <c r="F59" s="12" t="str">
        <f t="shared" si="4"/>
        <v>IFERROR((E59/D59),0)</v>
      </c>
      <c r="G59" s="13" t="str">
        <f t="shared" si="23"/>
        <v>SUMIF(SIGGE_P!B:B,ReliquidacionCEN!B59,SIGGE_P!U:U)</v>
      </c>
      <c r="H59" s="11" t="str">
        <f t="shared" si="24"/>
        <v>SUMIF(SIGGE_P!B:B,ReliquidacionCEN!B59,SIGGE_P!V:V)</v>
      </c>
      <c r="I59" s="12" t="str">
        <f t="shared" si="5"/>
        <v>IFERROR((H59/G59),0)</v>
      </c>
      <c r="J59" s="11" t="str">
        <f t="shared" si="6"/>
        <v>(E59+H59)</v>
      </c>
      <c r="L59" s="54" t="s">
        <v>293</v>
      </c>
      <c r="M59" s="11" t="str">
        <f t="shared" si="7"/>
        <v>SUMIF(CEN_Energia!B:B,ReliquidacionCEN!B59,CEN_Energia!Z:Z)</v>
      </c>
      <c r="N59" s="11" t="str">
        <f t="shared" si="8"/>
        <v>SUMIF(CEN_Energia!B:B,ReliquidacionCEN!B59,CEN_Energia!BK:BK)</v>
      </c>
      <c r="O59" s="12" t="str">
        <f t="shared" si="9"/>
        <v>IFERROR((N59/M59),0)</v>
      </c>
      <c r="P59" s="13" t="str">
        <f t="shared" si="10"/>
        <v>SUMIF(CEN_Potencia!B:B,ReliquidacionCEN!B59,CEN_Potencia!R:R)</v>
      </c>
      <c r="Q59" s="11" t="str">
        <f t="shared" si="11"/>
        <v>SUMIF(CEN_Potencia!B:B,ReliquidacionCEN!B59,CEN_Potencia!BC:BC)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290</v>
      </c>
      <c r="D60" s="11" t="str">
        <f t="shared" si="21"/>
        <v>SUMIF(SIGGE_E!B:B,ReliquidacionCEN!B60,SIGGE_E!S:S)</v>
      </c>
      <c r="E60" s="11" t="str">
        <f t="shared" si="22"/>
        <v>SUMIF(SIGGE_E!B:B,ReliquidacionCEN!B60,SIGGE_E!T:T)</v>
      </c>
      <c r="F60" s="12" t="str">
        <f t="shared" si="4"/>
        <v>IFERROR((E60/D60),0)</v>
      </c>
      <c r="G60" s="13" t="str">
        <f t="shared" si="23"/>
        <v>SUMIF(SIGGE_P!B:B,ReliquidacionCEN!B60,SIGGE_P!U:U)</v>
      </c>
      <c r="H60" s="11" t="str">
        <f t="shared" si="24"/>
        <v>SUMIF(SIGGE_P!B:B,ReliquidacionCEN!B60,SIGGE_P!V:V)</v>
      </c>
      <c r="I60" s="12" t="str">
        <f t="shared" si="5"/>
        <v>IFERROR((H60/G60),0)</v>
      </c>
      <c r="J60" s="11" t="str">
        <f t="shared" si="6"/>
        <v>(E60+H60)</v>
      </c>
      <c r="L60" s="54" t="s">
        <v>293</v>
      </c>
      <c r="M60" s="11" t="str">
        <f t="shared" si="7"/>
        <v>SUMIF(CEN_Energia!B:B,ReliquidacionCEN!B60,CEN_Energia!Z:Z)</v>
      </c>
      <c r="N60" s="11" t="str">
        <f t="shared" si="8"/>
        <v>SUMIF(CEN_Energia!B:B,ReliquidacionCEN!B60,CEN_Energia!BK:BK)</v>
      </c>
      <c r="O60" s="12" t="str">
        <f t="shared" si="9"/>
        <v>IFERROR((N60/M60),0)</v>
      </c>
      <c r="P60" s="13" t="str">
        <f t="shared" si="10"/>
        <v>SUMIF(CEN_Potencia!B:B,ReliquidacionCEN!B60,CEN_Potencia!R:R)</v>
      </c>
      <c r="Q60" s="11" t="str">
        <f t="shared" si="11"/>
        <v>SUMIF(CEN_Potencia!B:B,ReliquidacionCEN!B60,CEN_Potencia!BC:BC)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290</v>
      </c>
      <c r="D61" s="11" t="str">
        <f t="shared" si="21"/>
        <v>SUMIF(SIGGE_E!B:B,ReliquidacionCEN!B61,SIGGE_E!S:S)</v>
      </c>
      <c r="E61" s="11" t="str">
        <f t="shared" si="22"/>
        <v>SUMIF(SIGGE_E!B:B,ReliquidacionCEN!B61,SIGGE_E!T:T)</v>
      </c>
      <c r="F61" s="12" t="str">
        <f t="shared" si="4"/>
        <v>IFERROR((E61/D61),0)</v>
      </c>
      <c r="G61" s="13" t="str">
        <f t="shared" si="23"/>
        <v>SUMIF(SIGGE_P!B:B,ReliquidacionCEN!B61,SIGGE_P!U:U)</v>
      </c>
      <c r="H61" s="11" t="str">
        <f t="shared" si="24"/>
        <v>SUMIF(SIGGE_P!B:B,ReliquidacionCEN!B61,SIGGE_P!V:V)</v>
      </c>
      <c r="I61" s="12" t="str">
        <f t="shared" si="5"/>
        <v>IFERROR((H61/G61),0)</v>
      </c>
      <c r="J61" s="11" t="str">
        <f t="shared" si="6"/>
        <v>(E61+H61)</v>
      </c>
      <c r="L61" s="54" t="s">
        <v>293</v>
      </c>
      <c r="M61" s="11" t="str">
        <f t="shared" si="7"/>
        <v>SUMIF(CEN_Energia!B:B,ReliquidacionCEN!B61,CEN_Energia!Z:Z)</v>
      </c>
      <c r="N61" s="11" t="str">
        <f t="shared" si="8"/>
        <v>SUMIF(CEN_Energia!B:B,ReliquidacionCEN!B61,CEN_Energia!BK:BK)</v>
      </c>
      <c r="O61" s="12" t="str">
        <f t="shared" si="9"/>
        <v>IFERROR((N61/M61),0)</v>
      </c>
      <c r="P61" s="13" t="str">
        <f t="shared" si="10"/>
        <v>SUMIF(CEN_Potencia!B:B,ReliquidacionCEN!B61,CEN_Potencia!R:R)</v>
      </c>
      <c r="Q61" s="11" t="str">
        <f t="shared" si="11"/>
        <v>SUMIF(CEN_Potencia!B:B,ReliquidacionCEN!B61,CEN_Potencia!BC:BC)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290</v>
      </c>
      <c r="D62" s="11" t="str">
        <f t="shared" si="21"/>
        <v>SUMIF(SIGGE_E!B:B,ReliquidacionCEN!B62,SIGGE_E!S:S)</v>
      </c>
      <c r="E62" s="11" t="str">
        <f t="shared" si="22"/>
        <v>SUMIF(SIGGE_E!B:B,ReliquidacionCEN!B62,SIGGE_E!T:T)</v>
      </c>
      <c r="F62" s="12" t="str">
        <f t="shared" si="4"/>
        <v>IFERROR((E62/D62),0)</v>
      </c>
      <c r="G62" s="13" t="str">
        <f t="shared" si="23"/>
        <v>SUMIF(SIGGE_P!B:B,ReliquidacionCEN!B62,SIGGE_P!U:U)</v>
      </c>
      <c r="H62" s="11" t="str">
        <f t="shared" si="24"/>
        <v>SUMIF(SIGGE_P!B:B,ReliquidacionCEN!B62,SIGGE_P!V:V)</v>
      </c>
      <c r="I62" s="12" t="str">
        <f t="shared" si="5"/>
        <v>IFERROR((H62/G62),0)</v>
      </c>
      <c r="J62" s="11" t="str">
        <f t="shared" si="6"/>
        <v>(E62+H62)</v>
      </c>
      <c r="L62" s="54" t="s">
        <v>293</v>
      </c>
      <c r="M62" s="11" t="str">
        <f t="shared" si="7"/>
        <v>SUMIF(CEN_Energia!B:B,ReliquidacionCEN!B62,CEN_Energia!Z:Z)</v>
      </c>
      <c r="N62" s="11" t="str">
        <f t="shared" si="8"/>
        <v>SUMIF(CEN_Energia!B:B,ReliquidacionCEN!B62,CEN_Energia!BK:BK)</v>
      </c>
      <c r="O62" s="12" t="str">
        <f t="shared" si="9"/>
        <v>IFERROR((N62/M62),0)</v>
      </c>
      <c r="P62" s="13" t="str">
        <f t="shared" si="10"/>
        <v>SUMIF(CEN_Potencia!B:B,ReliquidacionCEN!B62,CEN_Potencia!R:R)</v>
      </c>
      <c r="Q62" s="11" t="str">
        <f t="shared" si="11"/>
        <v>SUMIF(CEN_Potencia!B:B,ReliquidacionCEN!B62,CEN_Potencia!BC:BC)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290</v>
      </c>
      <c r="D63" s="11" t="str">
        <f t="shared" si="21"/>
        <v>SUMIF(SIGGE_E!B:B,ReliquidacionCEN!B63,SIGGE_E!S:S)</v>
      </c>
      <c r="E63" s="11" t="str">
        <f t="shared" si="22"/>
        <v>SUMIF(SIGGE_E!B:B,ReliquidacionCEN!B63,SIGGE_E!T:T)</v>
      </c>
      <c r="F63" s="12" t="str">
        <f t="shared" si="4"/>
        <v>IFERROR((E63/D63),0)</v>
      </c>
      <c r="G63" s="13" t="str">
        <f t="shared" si="23"/>
        <v>SUMIF(SIGGE_P!B:B,ReliquidacionCEN!B63,SIGGE_P!U:U)</v>
      </c>
      <c r="H63" s="11" t="str">
        <f t="shared" si="24"/>
        <v>SUMIF(SIGGE_P!B:B,ReliquidacionCEN!B63,SIGGE_P!V:V)</v>
      </c>
      <c r="I63" s="12" t="str">
        <f t="shared" si="5"/>
        <v>IFERROR((H63/G63),0)</v>
      </c>
      <c r="J63" s="11" t="str">
        <f t="shared" si="6"/>
        <v>(E63+H63)</v>
      </c>
      <c r="L63" s="54" t="s">
        <v>293</v>
      </c>
      <c r="M63" s="11" t="str">
        <f t="shared" si="7"/>
        <v>SUMIF(CEN_Energia!B:B,ReliquidacionCEN!B63,CEN_Energia!Z:Z)</v>
      </c>
      <c r="N63" s="11" t="str">
        <f t="shared" si="8"/>
        <v>SUMIF(CEN_Energia!B:B,ReliquidacionCEN!B63,CEN_Energia!BK:BK)</v>
      </c>
      <c r="O63" s="12" t="str">
        <f t="shared" si="9"/>
        <v>IFERROR((N63/M63),0)</v>
      </c>
      <c r="P63" s="13" t="str">
        <f t="shared" si="10"/>
        <v>SUMIF(CEN_Potencia!B:B,ReliquidacionCEN!B63,CEN_Potencia!R:R)</v>
      </c>
      <c r="Q63" s="11" t="str">
        <f t="shared" si="11"/>
        <v>SUMIF(CEN_Potencia!B:B,ReliquidacionCEN!B63,CEN_Potencia!BC:BC)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290</v>
      </c>
      <c r="D64" s="11" t="str">
        <f t="shared" si="21"/>
        <v>SUMIF(SIGGE_E!B:B,ReliquidacionCEN!B64,SIGGE_E!S:S)</v>
      </c>
      <c r="E64" s="11" t="str">
        <f t="shared" si="22"/>
        <v>SUMIF(SIGGE_E!B:B,ReliquidacionCEN!B64,SIGGE_E!T:T)</v>
      </c>
      <c r="F64" s="12" t="str">
        <f t="shared" si="4"/>
        <v>IFERROR((E64/D64),0)</v>
      </c>
      <c r="G64" s="13" t="str">
        <f t="shared" si="23"/>
        <v>SUMIF(SIGGE_P!B:B,ReliquidacionCEN!B64,SIGGE_P!U:U)</v>
      </c>
      <c r="H64" s="11" t="str">
        <f t="shared" si="24"/>
        <v>SUMIF(SIGGE_P!B:B,ReliquidacionCEN!B64,SIGGE_P!V:V)</v>
      </c>
      <c r="I64" s="12" t="str">
        <f t="shared" si="5"/>
        <v>IFERROR((H64/G64),0)</v>
      </c>
      <c r="J64" s="11" t="str">
        <f t="shared" si="6"/>
        <v>(E64+H64)</v>
      </c>
      <c r="L64" s="54" t="s">
        <v>293</v>
      </c>
      <c r="M64" s="11" t="str">
        <f t="shared" si="7"/>
        <v>SUMIF(CEN_Energia!B:B,ReliquidacionCEN!B64,CEN_Energia!Z:Z)</v>
      </c>
      <c r="N64" s="11" t="str">
        <f t="shared" si="8"/>
        <v>SUMIF(CEN_Energia!B:B,ReliquidacionCEN!B64,CEN_Energia!BK:BK)</v>
      </c>
      <c r="O64" s="12" t="str">
        <f t="shared" si="9"/>
        <v>IFERROR((N64/M64),0)</v>
      </c>
      <c r="P64" s="13" t="str">
        <f t="shared" si="10"/>
        <v>SUMIF(CEN_Potencia!B:B,ReliquidacionCEN!B64,CEN_Potencia!R:R)</v>
      </c>
      <c r="Q64" s="11" t="str">
        <f t="shared" si="11"/>
        <v>SUMIF(CEN_Potencia!B:B,ReliquidacionCEN!B64,CEN_Potencia!BC:BC)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290</v>
      </c>
      <c r="D65" s="11" t="str">
        <f t="shared" si="21"/>
        <v>SUMIF(SIGGE_E!B:B,ReliquidacionCEN!B65,SIGGE_E!S:S)</v>
      </c>
      <c r="E65" s="11" t="str">
        <f t="shared" si="22"/>
        <v>SUMIF(SIGGE_E!B:B,ReliquidacionCEN!B65,SIGGE_E!T:T)</v>
      </c>
      <c r="F65" s="12" t="str">
        <f t="shared" si="4"/>
        <v>IFERROR((E65/D65),0)</v>
      </c>
      <c r="G65" s="13" t="str">
        <f t="shared" si="23"/>
        <v>SUMIF(SIGGE_P!B:B,ReliquidacionCEN!B65,SIGGE_P!U:U)</v>
      </c>
      <c r="H65" s="11" t="str">
        <f t="shared" si="24"/>
        <v>SUMIF(SIGGE_P!B:B,ReliquidacionCEN!B65,SIGGE_P!V:V)</v>
      </c>
      <c r="I65" s="12" t="str">
        <f t="shared" si="5"/>
        <v>IFERROR((H65/G65),0)</v>
      </c>
      <c r="J65" s="11" t="str">
        <f t="shared" si="6"/>
        <v>(E65+H65)</v>
      </c>
      <c r="L65" s="54" t="s">
        <v>293</v>
      </c>
      <c r="M65" s="11" t="str">
        <f t="shared" si="7"/>
        <v>SUMIF(CEN_Energia!B:B,ReliquidacionCEN!B65,CEN_Energia!Z:Z)</v>
      </c>
      <c r="N65" s="11" t="str">
        <f t="shared" si="8"/>
        <v>SUMIF(CEN_Energia!B:B,ReliquidacionCEN!B65,CEN_Energia!BK:BK)</v>
      </c>
      <c r="O65" s="12" t="str">
        <f t="shared" si="9"/>
        <v>IFERROR((N65/M65),0)</v>
      </c>
      <c r="P65" s="13" t="str">
        <f t="shared" si="10"/>
        <v>SUMIF(CEN_Potencia!B:B,ReliquidacionCEN!B65,CEN_Potencia!R:R)</v>
      </c>
      <c r="Q65" s="11" t="str">
        <f t="shared" si="11"/>
        <v>SUMIF(CEN_Potencia!B:B,ReliquidacionCEN!B65,CEN_Potencia!BC:BC)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649-A117-470D-BD2D-BE8613BE2F5A}">
  <dimension ref="A2:H66"/>
  <sheetViews>
    <sheetView workbookViewId="0">
      <selection activeCell="A66" sqref="A66"/>
    </sheetView>
  </sheetViews>
  <sheetFormatPr baseColWidth="10" defaultRowHeight="15" x14ac:dyDescent="0.25"/>
  <cols>
    <col min="1" max="1" width="12.28515625" style="42" bestFit="1" customWidth="1"/>
    <col min="2" max="2" width="9.7109375" style="5" customWidth="1"/>
    <col min="3" max="3" width="13.85546875" style="5" bestFit="1" customWidth="1"/>
    <col min="4" max="4" width="51.28515625" style="5" customWidth="1"/>
    <col min="5" max="5" width="55.5703125" customWidth="1"/>
    <col min="6" max="6" width="60" customWidth="1"/>
    <col min="7" max="7" width="59.140625" customWidth="1"/>
    <col min="8" max="8" width="67.28515625" customWidth="1"/>
  </cols>
  <sheetData>
    <row r="2" spans="1:8" x14ac:dyDescent="0.25">
      <c r="A2" s="6" t="s">
        <v>60</v>
      </c>
      <c r="B2" s="34" t="s">
        <v>96</v>
      </c>
    </row>
    <row r="3" spans="1:8" x14ac:dyDescent="0.25">
      <c r="A3" s="7" t="s">
        <v>61</v>
      </c>
      <c r="B3" s="35" t="s">
        <v>97</v>
      </c>
    </row>
    <row r="4" spans="1:8" x14ac:dyDescent="0.25">
      <c r="A4" s="7" t="s">
        <v>45</v>
      </c>
      <c r="B4" s="67" t="s">
        <v>65</v>
      </c>
    </row>
    <row r="5" spans="1:8" x14ac:dyDescent="0.25">
      <c r="A5" s="9" t="s">
        <v>42</v>
      </c>
      <c r="B5" s="36" t="s">
        <v>98</v>
      </c>
    </row>
    <row r="7" spans="1:8" ht="14.45" customHeight="1" x14ac:dyDescent="0.25">
      <c r="C7" s="68"/>
      <c r="D7" s="69"/>
      <c r="E7" s="70"/>
      <c r="F7" s="70"/>
      <c r="G7" s="71"/>
      <c r="H7" s="71"/>
    </row>
    <row r="8" spans="1:8" s="3" customFormat="1" x14ac:dyDescent="0.25">
      <c r="A8" s="72" t="s">
        <v>299</v>
      </c>
      <c r="B8" s="72" t="s">
        <v>298</v>
      </c>
      <c r="C8" s="72" t="s">
        <v>296</v>
      </c>
      <c r="D8" s="72" t="s">
        <v>460</v>
      </c>
      <c r="E8" s="72" t="s">
        <v>461</v>
      </c>
      <c r="F8" s="72" t="s">
        <v>462</v>
      </c>
      <c r="G8" s="72" t="s">
        <v>463</v>
      </c>
      <c r="H8" s="72" t="s">
        <v>464</v>
      </c>
    </row>
    <row r="9" spans="1:8" x14ac:dyDescent="0.25">
      <c r="A9" s="43">
        <v>9</v>
      </c>
      <c r="B9" s="40">
        <v>42370</v>
      </c>
      <c r="C9" s="54" t="s">
        <v>290</v>
      </c>
      <c r="D9" s="73" t="str">
        <f t="shared" ref="D9:D40" si="0">CONCATENATE("SUMIF(","SIGGE_E!B:B,ResumenRetiros!B",A9,",","SIGGE_E","!S:S)")</f>
        <v>SUMIF(SIGGE_E!B:B,ResumenRetiros!B9,SIGGE_E!S:S)</v>
      </c>
      <c r="E9" s="73" t="str">
        <f t="shared" ref="E9:E40" si="1">CONCATENATE("SUMIF(","EFACT_CNE","!B:B,ResumenRetiros!B",A9,",","EFACT_CNE","!S:S)")</f>
        <v>SUMIF(EFACT_CNE!B:B,ResumenRetiros!B9,EFACT_CNE!S:S)</v>
      </c>
      <c r="F9" s="73" t="str">
        <f t="shared" ref="F9:F40" si="2">CONCATENATE("SUMIF(","EfactCNE_BT","!B:B,ResumenRetiros!B",A9,",","EfactCNE_BT","!M:M)")</f>
        <v>SUMIF(EfactCNE_BT!B:B,ResumenRetiros!B9,EfactCNE_BT!M:M)</v>
      </c>
      <c r="G9" s="73" t="str">
        <f t="shared" ref="G9:G40" si="3">CONCATENATE("SUMIF(CEN_Energia!B:B,ResumenRetiros!B",A9,",CEN_Energia!Z:Z)")</f>
        <v>SUMIF(CEN_Energia!B:B,ResumenRetiros!B9,CEN_Energia!Z:Z)</v>
      </c>
      <c r="H9" s="73" t="str">
        <f>CONCATENATE("SUMIF(CEN_EnergiaBT!B:B,ResumenRetiros!B",A9,",CEN_EnergiaBT!K:K)")</f>
        <v>SUMIF(CEN_EnergiaBT!B:B,ResumenRetiros!B9,CEN_EnergiaBT!K:K)</v>
      </c>
    </row>
    <row r="10" spans="1:8" x14ac:dyDescent="0.25">
      <c r="A10" s="43">
        <f>A9+1</f>
        <v>10</v>
      </c>
      <c r="B10" s="40">
        <v>42401</v>
      </c>
      <c r="C10" s="54" t="s">
        <v>290</v>
      </c>
      <c r="D10" s="73" t="str">
        <f t="shared" si="0"/>
        <v>SUMIF(SIGGE_E!B:B,ResumenRetiros!B10,SIGGE_E!S:S)</v>
      </c>
      <c r="E10" s="73" t="str">
        <f t="shared" si="1"/>
        <v>SUMIF(EFACT_CNE!B:B,ResumenRetiros!B10,EFACT_CNE!S:S)</v>
      </c>
      <c r="F10" s="73" t="str">
        <f t="shared" si="2"/>
        <v>SUMIF(EfactCNE_BT!B:B,ResumenRetiros!B10,EfactCNE_BT!M:M)</v>
      </c>
      <c r="G10" s="73" t="str">
        <f t="shared" si="3"/>
        <v>SUMIF(CEN_Energia!B:B,ResumenRetiros!B10,CEN_Energia!Z:Z)</v>
      </c>
      <c r="H10" s="73" t="str">
        <f t="shared" ref="H10:H65" si="4">CONCATENATE("SUMIF(CEN_EnergiaBT!B:B,ResumenRetiros!B",A10,",CEN_EnergiaBT!K:K)")</f>
        <v>SUMIF(CEN_EnergiaBT!B:B,ResumenRetiros!B10,CEN_EnergiaBT!K:K)</v>
      </c>
    </row>
    <row r="11" spans="1:8" x14ac:dyDescent="0.25">
      <c r="A11" s="43">
        <f t="shared" ref="A11:A64" si="5">A10+1</f>
        <v>11</v>
      </c>
      <c r="B11" s="40">
        <v>42430</v>
      </c>
      <c r="C11" s="54" t="s">
        <v>290</v>
      </c>
      <c r="D11" s="73" t="str">
        <f t="shared" si="0"/>
        <v>SUMIF(SIGGE_E!B:B,ResumenRetiros!B11,SIGGE_E!S:S)</v>
      </c>
      <c r="E11" s="73" t="str">
        <f t="shared" si="1"/>
        <v>SUMIF(EFACT_CNE!B:B,ResumenRetiros!B11,EFACT_CNE!S:S)</v>
      </c>
      <c r="F11" s="73" t="str">
        <f t="shared" si="2"/>
        <v>SUMIF(EfactCNE_BT!B:B,ResumenRetiros!B11,EfactCNE_BT!M:M)</v>
      </c>
      <c r="G11" s="73" t="str">
        <f t="shared" si="3"/>
        <v>SUMIF(CEN_Energia!B:B,ResumenRetiros!B11,CEN_Energia!Z:Z)</v>
      </c>
      <c r="H11" s="73" t="str">
        <f t="shared" si="4"/>
        <v>SUMIF(CEN_EnergiaBT!B:B,ResumenRetiros!B11,CEN_EnergiaBT!K:K)</v>
      </c>
    </row>
    <row r="12" spans="1:8" x14ac:dyDescent="0.25">
      <c r="A12" s="43">
        <f t="shared" si="5"/>
        <v>12</v>
      </c>
      <c r="B12" s="40">
        <v>42461</v>
      </c>
      <c r="C12" s="54" t="s">
        <v>290</v>
      </c>
      <c r="D12" s="73" t="str">
        <f t="shared" si="0"/>
        <v>SUMIF(SIGGE_E!B:B,ResumenRetiros!B12,SIGGE_E!S:S)</v>
      </c>
      <c r="E12" s="73" t="str">
        <f t="shared" si="1"/>
        <v>SUMIF(EFACT_CNE!B:B,ResumenRetiros!B12,EFACT_CNE!S:S)</v>
      </c>
      <c r="F12" s="73" t="str">
        <f t="shared" si="2"/>
        <v>SUMIF(EfactCNE_BT!B:B,ResumenRetiros!B12,EfactCNE_BT!M:M)</v>
      </c>
      <c r="G12" s="73" t="str">
        <f t="shared" si="3"/>
        <v>SUMIF(CEN_Energia!B:B,ResumenRetiros!B12,CEN_Energia!Z:Z)</v>
      </c>
      <c r="H12" s="73" t="str">
        <f t="shared" si="4"/>
        <v>SUMIF(CEN_EnergiaBT!B:B,ResumenRetiros!B12,CEN_EnergiaBT!K:K)</v>
      </c>
    </row>
    <row r="13" spans="1:8" x14ac:dyDescent="0.25">
      <c r="A13" s="43">
        <f t="shared" si="5"/>
        <v>13</v>
      </c>
      <c r="B13" s="40">
        <v>42491</v>
      </c>
      <c r="C13" s="54" t="s">
        <v>290</v>
      </c>
      <c r="D13" s="73" t="str">
        <f t="shared" si="0"/>
        <v>SUMIF(SIGGE_E!B:B,ResumenRetiros!B13,SIGGE_E!S:S)</v>
      </c>
      <c r="E13" s="73" t="str">
        <f t="shared" si="1"/>
        <v>SUMIF(EFACT_CNE!B:B,ResumenRetiros!B13,EFACT_CNE!S:S)</v>
      </c>
      <c r="F13" s="73" t="str">
        <f t="shared" si="2"/>
        <v>SUMIF(EfactCNE_BT!B:B,ResumenRetiros!B13,EfactCNE_BT!M:M)</v>
      </c>
      <c r="G13" s="73" t="str">
        <f t="shared" si="3"/>
        <v>SUMIF(CEN_Energia!B:B,ResumenRetiros!B13,CEN_Energia!Z:Z)</v>
      </c>
      <c r="H13" s="73" t="str">
        <f t="shared" si="4"/>
        <v>SUMIF(CEN_EnergiaBT!B:B,ResumenRetiros!B13,CEN_EnergiaBT!K:K)</v>
      </c>
    </row>
    <row r="14" spans="1:8" x14ac:dyDescent="0.25">
      <c r="A14" s="43">
        <f t="shared" si="5"/>
        <v>14</v>
      </c>
      <c r="B14" s="40">
        <v>42522</v>
      </c>
      <c r="C14" s="54" t="s">
        <v>290</v>
      </c>
      <c r="D14" s="73" t="str">
        <f t="shared" si="0"/>
        <v>SUMIF(SIGGE_E!B:B,ResumenRetiros!B14,SIGGE_E!S:S)</v>
      </c>
      <c r="E14" s="73" t="str">
        <f t="shared" si="1"/>
        <v>SUMIF(EFACT_CNE!B:B,ResumenRetiros!B14,EFACT_CNE!S:S)</v>
      </c>
      <c r="F14" s="73" t="str">
        <f t="shared" si="2"/>
        <v>SUMIF(EfactCNE_BT!B:B,ResumenRetiros!B14,EfactCNE_BT!M:M)</v>
      </c>
      <c r="G14" s="73" t="str">
        <f t="shared" si="3"/>
        <v>SUMIF(CEN_Energia!B:B,ResumenRetiros!B14,CEN_Energia!Z:Z)</v>
      </c>
      <c r="H14" s="73" t="str">
        <f t="shared" si="4"/>
        <v>SUMIF(CEN_EnergiaBT!B:B,ResumenRetiros!B14,CEN_EnergiaBT!K:K)</v>
      </c>
    </row>
    <row r="15" spans="1:8" x14ac:dyDescent="0.25">
      <c r="A15" s="43">
        <f t="shared" si="5"/>
        <v>15</v>
      </c>
      <c r="B15" s="40">
        <v>42552</v>
      </c>
      <c r="C15" s="54" t="s">
        <v>290</v>
      </c>
      <c r="D15" s="73" t="str">
        <f t="shared" si="0"/>
        <v>SUMIF(SIGGE_E!B:B,ResumenRetiros!B15,SIGGE_E!S:S)</v>
      </c>
      <c r="E15" s="73" t="str">
        <f t="shared" si="1"/>
        <v>SUMIF(EFACT_CNE!B:B,ResumenRetiros!B15,EFACT_CNE!S:S)</v>
      </c>
      <c r="F15" s="73" t="str">
        <f t="shared" si="2"/>
        <v>SUMIF(EfactCNE_BT!B:B,ResumenRetiros!B15,EfactCNE_BT!M:M)</v>
      </c>
      <c r="G15" s="73" t="str">
        <f t="shared" si="3"/>
        <v>SUMIF(CEN_Energia!B:B,ResumenRetiros!B15,CEN_Energia!Z:Z)</v>
      </c>
      <c r="H15" s="73" t="str">
        <f t="shared" si="4"/>
        <v>SUMIF(CEN_EnergiaBT!B:B,ResumenRetiros!B15,CEN_EnergiaBT!K:K)</v>
      </c>
    </row>
    <row r="16" spans="1:8" x14ac:dyDescent="0.25">
      <c r="A16" s="43">
        <f t="shared" si="5"/>
        <v>16</v>
      </c>
      <c r="B16" s="40">
        <v>42583</v>
      </c>
      <c r="C16" s="54" t="s">
        <v>290</v>
      </c>
      <c r="D16" s="73" t="str">
        <f t="shared" si="0"/>
        <v>SUMIF(SIGGE_E!B:B,ResumenRetiros!B16,SIGGE_E!S:S)</v>
      </c>
      <c r="E16" s="73" t="str">
        <f t="shared" si="1"/>
        <v>SUMIF(EFACT_CNE!B:B,ResumenRetiros!B16,EFACT_CNE!S:S)</v>
      </c>
      <c r="F16" s="73" t="str">
        <f t="shared" si="2"/>
        <v>SUMIF(EfactCNE_BT!B:B,ResumenRetiros!B16,EfactCNE_BT!M:M)</v>
      </c>
      <c r="G16" s="73" t="str">
        <f t="shared" si="3"/>
        <v>SUMIF(CEN_Energia!B:B,ResumenRetiros!B16,CEN_Energia!Z:Z)</v>
      </c>
      <c r="H16" s="73" t="str">
        <f t="shared" si="4"/>
        <v>SUMIF(CEN_EnergiaBT!B:B,ResumenRetiros!B16,CEN_EnergiaBT!K:K)</v>
      </c>
    </row>
    <row r="17" spans="1:8" x14ac:dyDescent="0.25">
      <c r="A17" s="43">
        <f t="shared" si="5"/>
        <v>17</v>
      </c>
      <c r="B17" s="40">
        <v>42614</v>
      </c>
      <c r="C17" s="54" t="s">
        <v>290</v>
      </c>
      <c r="D17" s="73" t="str">
        <f t="shared" si="0"/>
        <v>SUMIF(SIGGE_E!B:B,ResumenRetiros!B17,SIGGE_E!S:S)</v>
      </c>
      <c r="E17" s="73" t="str">
        <f t="shared" si="1"/>
        <v>SUMIF(EFACT_CNE!B:B,ResumenRetiros!B17,EFACT_CNE!S:S)</v>
      </c>
      <c r="F17" s="73" t="str">
        <f t="shared" si="2"/>
        <v>SUMIF(EfactCNE_BT!B:B,ResumenRetiros!B17,EfactCNE_BT!M:M)</v>
      </c>
      <c r="G17" s="73" t="str">
        <f t="shared" si="3"/>
        <v>SUMIF(CEN_Energia!B:B,ResumenRetiros!B17,CEN_Energia!Z:Z)</v>
      </c>
      <c r="H17" s="73" t="str">
        <f t="shared" si="4"/>
        <v>SUMIF(CEN_EnergiaBT!B:B,ResumenRetiros!B17,CEN_EnergiaBT!K:K)</v>
      </c>
    </row>
    <row r="18" spans="1:8" x14ac:dyDescent="0.25">
      <c r="A18" s="43">
        <f t="shared" si="5"/>
        <v>18</v>
      </c>
      <c r="B18" s="40">
        <v>42644</v>
      </c>
      <c r="C18" s="54" t="s">
        <v>290</v>
      </c>
      <c r="D18" s="73" t="str">
        <f t="shared" si="0"/>
        <v>SUMIF(SIGGE_E!B:B,ResumenRetiros!B18,SIGGE_E!S:S)</v>
      </c>
      <c r="E18" s="73" t="str">
        <f t="shared" si="1"/>
        <v>SUMIF(EFACT_CNE!B:B,ResumenRetiros!B18,EFACT_CNE!S:S)</v>
      </c>
      <c r="F18" s="73" t="str">
        <f t="shared" si="2"/>
        <v>SUMIF(EfactCNE_BT!B:B,ResumenRetiros!B18,EfactCNE_BT!M:M)</v>
      </c>
      <c r="G18" s="73" t="str">
        <f t="shared" si="3"/>
        <v>SUMIF(CEN_Energia!B:B,ResumenRetiros!B18,CEN_Energia!Z:Z)</v>
      </c>
      <c r="H18" s="73" t="str">
        <f t="shared" si="4"/>
        <v>SUMIF(CEN_EnergiaBT!B:B,ResumenRetiros!B18,CEN_EnergiaBT!K:K)</v>
      </c>
    </row>
    <row r="19" spans="1:8" x14ac:dyDescent="0.25">
      <c r="A19" s="43">
        <f t="shared" si="5"/>
        <v>19</v>
      </c>
      <c r="B19" s="40">
        <v>42675</v>
      </c>
      <c r="C19" s="54" t="s">
        <v>290</v>
      </c>
      <c r="D19" s="73" t="str">
        <f t="shared" si="0"/>
        <v>SUMIF(SIGGE_E!B:B,ResumenRetiros!B19,SIGGE_E!S:S)</v>
      </c>
      <c r="E19" s="73" t="str">
        <f t="shared" si="1"/>
        <v>SUMIF(EFACT_CNE!B:B,ResumenRetiros!B19,EFACT_CNE!S:S)</v>
      </c>
      <c r="F19" s="73" t="str">
        <f t="shared" si="2"/>
        <v>SUMIF(EfactCNE_BT!B:B,ResumenRetiros!B19,EfactCNE_BT!M:M)</v>
      </c>
      <c r="G19" s="73" t="str">
        <f t="shared" si="3"/>
        <v>SUMIF(CEN_Energia!B:B,ResumenRetiros!B19,CEN_Energia!Z:Z)</v>
      </c>
      <c r="H19" s="73" t="str">
        <f t="shared" si="4"/>
        <v>SUMIF(CEN_EnergiaBT!B:B,ResumenRetiros!B19,CEN_EnergiaBT!K:K)</v>
      </c>
    </row>
    <row r="20" spans="1:8" x14ac:dyDescent="0.25">
      <c r="A20" s="43">
        <f t="shared" si="5"/>
        <v>20</v>
      </c>
      <c r="B20" s="40">
        <v>42705</v>
      </c>
      <c r="C20" s="54" t="s">
        <v>290</v>
      </c>
      <c r="D20" s="73" t="str">
        <f t="shared" si="0"/>
        <v>SUMIF(SIGGE_E!B:B,ResumenRetiros!B20,SIGGE_E!S:S)</v>
      </c>
      <c r="E20" s="73" t="str">
        <f t="shared" si="1"/>
        <v>SUMIF(EFACT_CNE!B:B,ResumenRetiros!B20,EFACT_CNE!S:S)</v>
      </c>
      <c r="F20" s="73" t="str">
        <f t="shared" si="2"/>
        <v>SUMIF(EfactCNE_BT!B:B,ResumenRetiros!B20,EfactCNE_BT!M:M)</v>
      </c>
      <c r="G20" s="73" t="str">
        <f t="shared" si="3"/>
        <v>SUMIF(CEN_Energia!B:B,ResumenRetiros!B20,CEN_Energia!Z:Z)</v>
      </c>
      <c r="H20" s="73" t="str">
        <f t="shared" si="4"/>
        <v>SUMIF(CEN_EnergiaBT!B:B,ResumenRetiros!B20,CEN_EnergiaBT!K:K)</v>
      </c>
    </row>
    <row r="21" spans="1:8" x14ac:dyDescent="0.25">
      <c r="A21" s="43">
        <f t="shared" si="5"/>
        <v>21</v>
      </c>
      <c r="B21" s="40">
        <v>42736</v>
      </c>
      <c r="C21" s="54" t="s">
        <v>290</v>
      </c>
      <c r="D21" s="73" t="str">
        <f t="shared" si="0"/>
        <v>SUMIF(SIGGE_E!B:B,ResumenRetiros!B21,SIGGE_E!S:S)</v>
      </c>
      <c r="E21" s="73" t="str">
        <f t="shared" si="1"/>
        <v>SUMIF(EFACT_CNE!B:B,ResumenRetiros!B21,EFACT_CNE!S:S)</v>
      </c>
      <c r="F21" s="73" t="str">
        <f t="shared" si="2"/>
        <v>SUMIF(EfactCNE_BT!B:B,ResumenRetiros!B21,EfactCNE_BT!M:M)</v>
      </c>
      <c r="G21" s="73" t="str">
        <f t="shared" si="3"/>
        <v>SUMIF(CEN_Energia!B:B,ResumenRetiros!B21,CEN_Energia!Z:Z)</v>
      </c>
      <c r="H21" s="73" t="str">
        <f t="shared" si="4"/>
        <v>SUMIF(CEN_EnergiaBT!B:B,ResumenRetiros!B21,CEN_EnergiaBT!K:K)</v>
      </c>
    </row>
    <row r="22" spans="1:8" x14ac:dyDescent="0.25">
      <c r="A22" s="43">
        <f t="shared" si="5"/>
        <v>22</v>
      </c>
      <c r="B22" s="40">
        <v>42767</v>
      </c>
      <c r="C22" s="54" t="s">
        <v>290</v>
      </c>
      <c r="D22" s="73" t="str">
        <f t="shared" si="0"/>
        <v>SUMIF(SIGGE_E!B:B,ResumenRetiros!B22,SIGGE_E!S:S)</v>
      </c>
      <c r="E22" s="73" t="str">
        <f t="shared" si="1"/>
        <v>SUMIF(EFACT_CNE!B:B,ResumenRetiros!B22,EFACT_CNE!S:S)</v>
      </c>
      <c r="F22" s="73" t="str">
        <f t="shared" si="2"/>
        <v>SUMIF(EfactCNE_BT!B:B,ResumenRetiros!B22,EfactCNE_BT!M:M)</v>
      </c>
      <c r="G22" s="73" t="str">
        <f t="shared" si="3"/>
        <v>SUMIF(CEN_Energia!B:B,ResumenRetiros!B22,CEN_Energia!Z:Z)</v>
      </c>
      <c r="H22" s="73" t="str">
        <f t="shared" si="4"/>
        <v>SUMIF(CEN_EnergiaBT!B:B,ResumenRetiros!B22,CEN_EnergiaBT!K:K)</v>
      </c>
    </row>
    <row r="23" spans="1:8" x14ac:dyDescent="0.25">
      <c r="A23" s="43">
        <f t="shared" si="5"/>
        <v>23</v>
      </c>
      <c r="B23" s="40">
        <v>42795</v>
      </c>
      <c r="C23" s="54" t="s">
        <v>290</v>
      </c>
      <c r="D23" s="73" t="str">
        <f t="shared" si="0"/>
        <v>SUMIF(SIGGE_E!B:B,ResumenRetiros!B23,SIGGE_E!S:S)</v>
      </c>
      <c r="E23" s="73" t="str">
        <f t="shared" si="1"/>
        <v>SUMIF(EFACT_CNE!B:B,ResumenRetiros!B23,EFACT_CNE!S:S)</v>
      </c>
      <c r="F23" s="73" t="str">
        <f t="shared" si="2"/>
        <v>SUMIF(EfactCNE_BT!B:B,ResumenRetiros!B23,EfactCNE_BT!M:M)</v>
      </c>
      <c r="G23" s="73" t="str">
        <f t="shared" si="3"/>
        <v>SUMIF(CEN_Energia!B:B,ResumenRetiros!B23,CEN_Energia!Z:Z)</v>
      </c>
      <c r="H23" s="73" t="str">
        <f t="shared" si="4"/>
        <v>SUMIF(CEN_EnergiaBT!B:B,ResumenRetiros!B23,CEN_EnergiaBT!K:K)</v>
      </c>
    </row>
    <row r="24" spans="1:8" x14ac:dyDescent="0.25">
      <c r="A24" s="43">
        <f t="shared" si="5"/>
        <v>24</v>
      </c>
      <c r="B24" s="40">
        <v>42826</v>
      </c>
      <c r="C24" s="54" t="s">
        <v>290</v>
      </c>
      <c r="D24" s="73" t="str">
        <f t="shared" si="0"/>
        <v>SUMIF(SIGGE_E!B:B,ResumenRetiros!B24,SIGGE_E!S:S)</v>
      </c>
      <c r="E24" s="73" t="str">
        <f t="shared" si="1"/>
        <v>SUMIF(EFACT_CNE!B:B,ResumenRetiros!B24,EFACT_CNE!S:S)</v>
      </c>
      <c r="F24" s="73" t="str">
        <f t="shared" si="2"/>
        <v>SUMIF(EfactCNE_BT!B:B,ResumenRetiros!B24,EfactCNE_BT!M:M)</v>
      </c>
      <c r="G24" s="73" t="str">
        <f t="shared" si="3"/>
        <v>SUMIF(CEN_Energia!B:B,ResumenRetiros!B24,CEN_Energia!Z:Z)</v>
      </c>
      <c r="H24" s="73" t="str">
        <f t="shared" si="4"/>
        <v>SUMIF(CEN_EnergiaBT!B:B,ResumenRetiros!B24,CEN_EnergiaBT!K:K)</v>
      </c>
    </row>
    <row r="25" spans="1:8" x14ac:dyDescent="0.25">
      <c r="A25" s="43">
        <f t="shared" si="5"/>
        <v>25</v>
      </c>
      <c r="B25" s="40">
        <v>42856</v>
      </c>
      <c r="C25" s="54" t="s">
        <v>290</v>
      </c>
      <c r="D25" s="73" t="str">
        <f t="shared" si="0"/>
        <v>SUMIF(SIGGE_E!B:B,ResumenRetiros!B25,SIGGE_E!S:S)</v>
      </c>
      <c r="E25" s="73" t="str">
        <f t="shared" si="1"/>
        <v>SUMIF(EFACT_CNE!B:B,ResumenRetiros!B25,EFACT_CNE!S:S)</v>
      </c>
      <c r="F25" s="73" t="str">
        <f t="shared" si="2"/>
        <v>SUMIF(EfactCNE_BT!B:B,ResumenRetiros!B25,EfactCNE_BT!M:M)</v>
      </c>
      <c r="G25" s="73" t="str">
        <f t="shared" si="3"/>
        <v>SUMIF(CEN_Energia!B:B,ResumenRetiros!B25,CEN_Energia!Z:Z)</v>
      </c>
      <c r="H25" s="73" t="str">
        <f t="shared" si="4"/>
        <v>SUMIF(CEN_EnergiaBT!B:B,ResumenRetiros!B25,CEN_EnergiaBT!K:K)</v>
      </c>
    </row>
    <row r="26" spans="1:8" x14ac:dyDescent="0.25">
      <c r="A26" s="43">
        <f t="shared" si="5"/>
        <v>26</v>
      </c>
      <c r="B26" s="40">
        <v>42887</v>
      </c>
      <c r="C26" s="54" t="s">
        <v>290</v>
      </c>
      <c r="D26" s="73" t="str">
        <f t="shared" si="0"/>
        <v>SUMIF(SIGGE_E!B:B,ResumenRetiros!B26,SIGGE_E!S:S)</v>
      </c>
      <c r="E26" s="73" t="str">
        <f t="shared" si="1"/>
        <v>SUMIF(EFACT_CNE!B:B,ResumenRetiros!B26,EFACT_CNE!S:S)</v>
      </c>
      <c r="F26" s="73" t="str">
        <f t="shared" si="2"/>
        <v>SUMIF(EfactCNE_BT!B:B,ResumenRetiros!B26,EfactCNE_BT!M:M)</v>
      </c>
      <c r="G26" s="73" t="str">
        <f t="shared" si="3"/>
        <v>SUMIF(CEN_Energia!B:B,ResumenRetiros!B26,CEN_Energia!Z:Z)</v>
      </c>
      <c r="H26" s="73" t="str">
        <f t="shared" si="4"/>
        <v>SUMIF(CEN_EnergiaBT!B:B,ResumenRetiros!B26,CEN_EnergiaBT!K:K)</v>
      </c>
    </row>
    <row r="27" spans="1:8" x14ac:dyDescent="0.25">
      <c r="A27" s="43">
        <f t="shared" si="5"/>
        <v>27</v>
      </c>
      <c r="B27" s="40">
        <v>42917</v>
      </c>
      <c r="C27" s="54" t="s">
        <v>290</v>
      </c>
      <c r="D27" s="73" t="str">
        <f t="shared" si="0"/>
        <v>SUMIF(SIGGE_E!B:B,ResumenRetiros!B27,SIGGE_E!S:S)</v>
      </c>
      <c r="E27" s="73" t="str">
        <f t="shared" si="1"/>
        <v>SUMIF(EFACT_CNE!B:B,ResumenRetiros!B27,EFACT_CNE!S:S)</v>
      </c>
      <c r="F27" s="73" t="str">
        <f t="shared" si="2"/>
        <v>SUMIF(EfactCNE_BT!B:B,ResumenRetiros!B27,EfactCNE_BT!M:M)</v>
      </c>
      <c r="G27" s="73" t="str">
        <f t="shared" si="3"/>
        <v>SUMIF(CEN_Energia!B:B,ResumenRetiros!B27,CEN_Energia!Z:Z)</v>
      </c>
      <c r="H27" s="73" t="str">
        <f t="shared" si="4"/>
        <v>SUMIF(CEN_EnergiaBT!B:B,ResumenRetiros!B27,CEN_EnergiaBT!K:K)</v>
      </c>
    </row>
    <row r="28" spans="1:8" x14ac:dyDescent="0.25">
      <c r="A28" s="43">
        <f t="shared" si="5"/>
        <v>28</v>
      </c>
      <c r="B28" s="40">
        <v>42948</v>
      </c>
      <c r="C28" s="54" t="s">
        <v>290</v>
      </c>
      <c r="D28" s="73" t="str">
        <f t="shared" si="0"/>
        <v>SUMIF(SIGGE_E!B:B,ResumenRetiros!B28,SIGGE_E!S:S)</v>
      </c>
      <c r="E28" s="73" t="str">
        <f t="shared" si="1"/>
        <v>SUMIF(EFACT_CNE!B:B,ResumenRetiros!B28,EFACT_CNE!S:S)</v>
      </c>
      <c r="F28" s="73" t="str">
        <f t="shared" si="2"/>
        <v>SUMIF(EfactCNE_BT!B:B,ResumenRetiros!B28,EfactCNE_BT!M:M)</v>
      </c>
      <c r="G28" s="73" t="str">
        <f t="shared" si="3"/>
        <v>SUMIF(CEN_Energia!B:B,ResumenRetiros!B28,CEN_Energia!Z:Z)</v>
      </c>
      <c r="H28" s="73" t="str">
        <f t="shared" si="4"/>
        <v>SUMIF(CEN_EnergiaBT!B:B,ResumenRetiros!B28,CEN_EnergiaBT!K:K)</v>
      </c>
    </row>
    <row r="29" spans="1:8" x14ac:dyDescent="0.25">
      <c r="A29" s="43">
        <f t="shared" si="5"/>
        <v>29</v>
      </c>
      <c r="B29" s="40">
        <v>42979</v>
      </c>
      <c r="C29" s="54" t="s">
        <v>290</v>
      </c>
      <c r="D29" s="73" t="str">
        <f t="shared" si="0"/>
        <v>SUMIF(SIGGE_E!B:B,ResumenRetiros!B29,SIGGE_E!S:S)</v>
      </c>
      <c r="E29" s="73" t="str">
        <f t="shared" si="1"/>
        <v>SUMIF(EFACT_CNE!B:B,ResumenRetiros!B29,EFACT_CNE!S:S)</v>
      </c>
      <c r="F29" s="73" t="str">
        <f t="shared" si="2"/>
        <v>SUMIF(EfactCNE_BT!B:B,ResumenRetiros!B29,EfactCNE_BT!M:M)</v>
      </c>
      <c r="G29" s="73" t="str">
        <f t="shared" si="3"/>
        <v>SUMIF(CEN_Energia!B:B,ResumenRetiros!B29,CEN_Energia!Z:Z)</v>
      </c>
      <c r="H29" s="73" t="str">
        <f t="shared" si="4"/>
        <v>SUMIF(CEN_EnergiaBT!B:B,ResumenRetiros!B29,CEN_EnergiaBT!K:K)</v>
      </c>
    </row>
    <row r="30" spans="1:8" x14ac:dyDescent="0.25">
      <c r="A30" s="43">
        <f t="shared" si="5"/>
        <v>30</v>
      </c>
      <c r="B30" s="40">
        <v>43009</v>
      </c>
      <c r="C30" s="54" t="s">
        <v>290</v>
      </c>
      <c r="D30" s="73" t="str">
        <f t="shared" si="0"/>
        <v>SUMIF(SIGGE_E!B:B,ResumenRetiros!B30,SIGGE_E!S:S)</v>
      </c>
      <c r="E30" s="73" t="str">
        <f t="shared" si="1"/>
        <v>SUMIF(EFACT_CNE!B:B,ResumenRetiros!B30,EFACT_CNE!S:S)</v>
      </c>
      <c r="F30" s="73" t="str">
        <f t="shared" si="2"/>
        <v>SUMIF(EfactCNE_BT!B:B,ResumenRetiros!B30,EfactCNE_BT!M:M)</v>
      </c>
      <c r="G30" s="73" t="str">
        <f t="shared" si="3"/>
        <v>SUMIF(CEN_Energia!B:B,ResumenRetiros!B30,CEN_Energia!Z:Z)</v>
      </c>
      <c r="H30" s="73" t="str">
        <f t="shared" si="4"/>
        <v>SUMIF(CEN_EnergiaBT!B:B,ResumenRetiros!B30,CEN_EnergiaBT!K:K)</v>
      </c>
    </row>
    <row r="31" spans="1:8" x14ac:dyDescent="0.25">
      <c r="A31" s="43">
        <f t="shared" si="5"/>
        <v>31</v>
      </c>
      <c r="B31" s="40">
        <v>43040</v>
      </c>
      <c r="C31" s="54" t="s">
        <v>290</v>
      </c>
      <c r="D31" s="73" t="str">
        <f t="shared" si="0"/>
        <v>SUMIF(SIGGE_E!B:B,ResumenRetiros!B31,SIGGE_E!S:S)</v>
      </c>
      <c r="E31" s="73" t="str">
        <f t="shared" si="1"/>
        <v>SUMIF(EFACT_CNE!B:B,ResumenRetiros!B31,EFACT_CNE!S:S)</v>
      </c>
      <c r="F31" s="73" t="str">
        <f t="shared" si="2"/>
        <v>SUMIF(EfactCNE_BT!B:B,ResumenRetiros!B31,EfactCNE_BT!M:M)</v>
      </c>
      <c r="G31" s="73" t="str">
        <f t="shared" si="3"/>
        <v>SUMIF(CEN_Energia!B:B,ResumenRetiros!B31,CEN_Energia!Z:Z)</v>
      </c>
      <c r="H31" s="73" t="str">
        <f t="shared" si="4"/>
        <v>SUMIF(CEN_EnergiaBT!B:B,ResumenRetiros!B31,CEN_EnergiaBT!K:K)</v>
      </c>
    </row>
    <row r="32" spans="1:8" x14ac:dyDescent="0.25">
      <c r="A32" s="43">
        <f t="shared" si="5"/>
        <v>32</v>
      </c>
      <c r="B32" s="40">
        <v>43070</v>
      </c>
      <c r="C32" s="54" t="s">
        <v>290</v>
      </c>
      <c r="D32" s="73" t="str">
        <f t="shared" si="0"/>
        <v>SUMIF(SIGGE_E!B:B,ResumenRetiros!B32,SIGGE_E!S:S)</v>
      </c>
      <c r="E32" s="73" t="str">
        <f t="shared" si="1"/>
        <v>SUMIF(EFACT_CNE!B:B,ResumenRetiros!B32,EFACT_CNE!S:S)</v>
      </c>
      <c r="F32" s="73" t="str">
        <f t="shared" si="2"/>
        <v>SUMIF(EfactCNE_BT!B:B,ResumenRetiros!B32,EfactCNE_BT!M:M)</v>
      </c>
      <c r="G32" s="73" t="str">
        <f t="shared" si="3"/>
        <v>SUMIF(CEN_Energia!B:B,ResumenRetiros!B32,CEN_Energia!Z:Z)</v>
      </c>
      <c r="H32" s="73" t="str">
        <f t="shared" si="4"/>
        <v>SUMIF(CEN_EnergiaBT!B:B,ResumenRetiros!B32,CEN_EnergiaBT!K:K)</v>
      </c>
    </row>
    <row r="33" spans="1:8" x14ac:dyDescent="0.25">
      <c r="A33" s="43">
        <f t="shared" si="5"/>
        <v>33</v>
      </c>
      <c r="B33" s="40">
        <v>43101</v>
      </c>
      <c r="C33" s="54" t="s">
        <v>290</v>
      </c>
      <c r="D33" s="73" t="str">
        <f t="shared" si="0"/>
        <v>SUMIF(SIGGE_E!B:B,ResumenRetiros!B33,SIGGE_E!S:S)</v>
      </c>
      <c r="E33" s="73" t="str">
        <f t="shared" si="1"/>
        <v>SUMIF(EFACT_CNE!B:B,ResumenRetiros!B33,EFACT_CNE!S:S)</v>
      </c>
      <c r="F33" s="73" t="str">
        <f t="shared" si="2"/>
        <v>SUMIF(EfactCNE_BT!B:B,ResumenRetiros!B33,EfactCNE_BT!M:M)</v>
      </c>
      <c r="G33" s="73" t="str">
        <f t="shared" si="3"/>
        <v>SUMIF(CEN_Energia!B:B,ResumenRetiros!B33,CEN_Energia!Z:Z)</v>
      </c>
      <c r="H33" s="73" t="str">
        <f t="shared" si="4"/>
        <v>SUMIF(CEN_EnergiaBT!B:B,ResumenRetiros!B33,CEN_EnergiaBT!K:K)</v>
      </c>
    </row>
    <row r="34" spans="1:8" x14ac:dyDescent="0.25">
      <c r="A34" s="43">
        <f t="shared" si="5"/>
        <v>34</v>
      </c>
      <c r="B34" s="40">
        <v>43132</v>
      </c>
      <c r="C34" s="54" t="s">
        <v>290</v>
      </c>
      <c r="D34" s="73" t="str">
        <f t="shared" si="0"/>
        <v>SUMIF(SIGGE_E!B:B,ResumenRetiros!B34,SIGGE_E!S:S)</v>
      </c>
      <c r="E34" s="73" t="str">
        <f t="shared" si="1"/>
        <v>SUMIF(EFACT_CNE!B:B,ResumenRetiros!B34,EFACT_CNE!S:S)</v>
      </c>
      <c r="F34" s="73" t="str">
        <f t="shared" si="2"/>
        <v>SUMIF(EfactCNE_BT!B:B,ResumenRetiros!B34,EfactCNE_BT!M:M)</v>
      </c>
      <c r="G34" s="73" t="str">
        <f t="shared" si="3"/>
        <v>SUMIF(CEN_Energia!B:B,ResumenRetiros!B34,CEN_Energia!Z:Z)</v>
      </c>
      <c r="H34" s="73" t="str">
        <f t="shared" si="4"/>
        <v>SUMIF(CEN_EnergiaBT!B:B,ResumenRetiros!B34,CEN_EnergiaBT!K:K)</v>
      </c>
    </row>
    <row r="35" spans="1:8" x14ac:dyDescent="0.25">
      <c r="A35" s="43">
        <f t="shared" si="5"/>
        <v>35</v>
      </c>
      <c r="B35" s="40">
        <v>43160</v>
      </c>
      <c r="C35" s="54" t="s">
        <v>290</v>
      </c>
      <c r="D35" s="73" t="str">
        <f t="shared" si="0"/>
        <v>SUMIF(SIGGE_E!B:B,ResumenRetiros!B35,SIGGE_E!S:S)</v>
      </c>
      <c r="E35" s="73" t="str">
        <f t="shared" si="1"/>
        <v>SUMIF(EFACT_CNE!B:B,ResumenRetiros!B35,EFACT_CNE!S:S)</v>
      </c>
      <c r="F35" s="73" t="str">
        <f t="shared" si="2"/>
        <v>SUMIF(EfactCNE_BT!B:B,ResumenRetiros!B35,EfactCNE_BT!M:M)</v>
      </c>
      <c r="G35" s="73" t="str">
        <f t="shared" si="3"/>
        <v>SUMIF(CEN_Energia!B:B,ResumenRetiros!B35,CEN_Energia!Z:Z)</v>
      </c>
      <c r="H35" s="73" t="str">
        <f t="shared" si="4"/>
        <v>SUMIF(CEN_EnergiaBT!B:B,ResumenRetiros!B35,CEN_EnergiaBT!K:K)</v>
      </c>
    </row>
    <row r="36" spans="1:8" x14ac:dyDescent="0.25">
      <c r="A36" s="43">
        <f t="shared" si="5"/>
        <v>36</v>
      </c>
      <c r="B36" s="40">
        <v>43191</v>
      </c>
      <c r="C36" s="54" t="s">
        <v>290</v>
      </c>
      <c r="D36" s="73" t="str">
        <f t="shared" si="0"/>
        <v>SUMIF(SIGGE_E!B:B,ResumenRetiros!B36,SIGGE_E!S:S)</v>
      </c>
      <c r="E36" s="73" t="str">
        <f t="shared" si="1"/>
        <v>SUMIF(EFACT_CNE!B:B,ResumenRetiros!B36,EFACT_CNE!S:S)</v>
      </c>
      <c r="F36" s="73" t="str">
        <f t="shared" si="2"/>
        <v>SUMIF(EfactCNE_BT!B:B,ResumenRetiros!B36,EfactCNE_BT!M:M)</v>
      </c>
      <c r="G36" s="73" t="str">
        <f t="shared" si="3"/>
        <v>SUMIF(CEN_Energia!B:B,ResumenRetiros!B36,CEN_Energia!Z:Z)</v>
      </c>
      <c r="H36" s="73" t="str">
        <f t="shared" si="4"/>
        <v>SUMIF(CEN_EnergiaBT!B:B,ResumenRetiros!B36,CEN_EnergiaBT!K:K)</v>
      </c>
    </row>
    <row r="37" spans="1:8" x14ac:dyDescent="0.25">
      <c r="A37" s="43">
        <f t="shared" si="5"/>
        <v>37</v>
      </c>
      <c r="B37" s="40">
        <v>43221</v>
      </c>
      <c r="C37" s="54" t="s">
        <v>290</v>
      </c>
      <c r="D37" s="73" t="str">
        <f t="shared" si="0"/>
        <v>SUMIF(SIGGE_E!B:B,ResumenRetiros!B37,SIGGE_E!S:S)</v>
      </c>
      <c r="E37" s="73" t="str">
        <f t="shared" si="1"/>
        <v>SUMIF(EFACT_CNE!B:B,ResumenRetiros!B37,EFACT_CNE!S:S)</v>
      </c>
      <c r="F37" s="73" t="str">
        <f t="shared" si="2"/>
        <v>SUMIF(EfactCNE_BT!B:B,ResumenRetiros!B37,EfactCNE_BT!M:M)</v>
      </c>
      <c r="G37" s="73" t="str">
        <f t="shared" si="3"/>
        <v>SUMIF(CEN_Energia!B:B,ResumenRetiros!B37,CEN_Energia!Z:Z)</v>
      </c>
      <c r="H37" s="73" t="str">
        <f t="shared" si="4"/>
        <v>SUMIF(CEN_EnergiaBT!B:B,ResumenRetiros!B37,CEN_EnergiaBT!K:K)</v>
      </c>
    </row>
    <row r="38" spans="1:8" x14ac:dyDescent="0.25">
      <c r="A38" s="43">
        <f t="shared" si="5"/>
        <v>38</v>
      </c>
      <c r="B38" s="40">
        <v>43252</v>
      </c>
      <c r="C38" s="54" t="s">
        <v>290</v>
      </c>
      <c r="D38" s="73" t="str">
        <f t="shared" si="0"/>
        <v>SUMIF(SIGGE_E!B:B,ResumenRetiros!B38,SIGGE_E!S:S)</v>
      </c>
      <c r="E38" s="73" t="str">
        <f t="shared" si="1"/>
        <v>SUMIF(EFACT_CNE!B:B,ResumenRetiros!B38,EFACT_CNE!S:S)</v>
      </c>
      <c r="F38" s="73" t="str">
        <f t="shared" si="2"/>
        <v>SUMIF(EfactCNE_BT!B:B,ResumenRetiros!B38,EfactCNE_BT!M:M)</v>
      </c>
      <c r="G38" s="73" t="str">
        <f t="shared" si="3"/>
        <v>SUMIF(CEN_Energia!B:B,ResumenRetiros!B38,CEN_Energia!Z:Z)</v>
      </c>
      <c r="H38" s="73" t="str">
        <f t="shared" si="4"/>
        <v>SUMIF(CEN_EnergiaBT!B:B,ResumenRetiros!B38,CEN_EnergiaBT!K:K)</v>
      </c>
    </row>
    <row r="39" spans="1:8" x14ac:dyDescent="0.25">
      <c r="A39" s="43">
        <f t="shared" si="5"/>
        <v>39</v>
      </c>
      <c r="B39" s="40">
        <v>43282</v>
      </c>
      <c r="C39" s="54" t="s">
        <v>290</v>
      </c>
      <c r="D39" s="73" t="str">
        <f t="shared" si="0"/>
        <v>SUMIF(SIGGE_E!B:B,ResumenRetiros!B39,SIGGE_E!S:S)</v>
      </c>
      <c r="E39" s="73" t="str">
        <f t="shared" si="1"/>
        <v>SUMIF(EFACT_CNE!B:B,ResumenRetiros!B39,EFACT_CNE!S:S)</v>
      </c>
      <c r="F39" s="73" t="str">
        <f t="shared" si="2"/>
        <v>SUMIF(EfactCNE_BT!B:B,ResumenRetiros!B39,EfactCNE_BT!M:M)</v>
      </c>
      <c r="G39" s="73" t="str">
        <f t="shared" si="3"/>
        <v>SUMIF(CEN_Energia!B:B,ResumenRetiros!B39,CEN_Energia!Z:Z)</v>
      </c>
      <c r="H39" s="73" t="str">
        <f t="shared" si="4"/>
        <v>SUMIF(CEN_EnergiaBT!B:B,ResumenRetiros!B39,CEN_EnergiaBT!K:K)</v>
      </c>
    </row>
    <row r="40" spans="1:8" x14ac:dyDescent="0.25">
      <c r="A40" s="43">
        <f t="shared" si="5"/>
        <v>40</v>
      </c>
      <c r="B40" s="40">
        <v>43313</v>
      </c>
      <c r="C40" s="54" t="s">
        <v>290</v>
      </c>
      <c r="D40" s="73" t="str">
        <f t="shared" si="0"/>
        <v>SUMIF(SIGGE_E!B:B,ResumenRetiros!B40,SIGGE_E!S:S)</v>
      </c>
      <c r="E40" s="73" t="str">
        <f t="shared" si="1"/>
        <v>SUMIF(EFACT_CNE!B:B,ResumenRetiros!B40,EFACT_CNE!S:S)</v>
      </c>
      <c r="F40" s="73" t="str">
        <f t="shared" si="2"/>
        <v>SUMIF(EfactCNE_BT!B:B,ResumenRetiros!B40,EfactCNE_BT!M:M)</v>
      </c>
      <c r="G40" s="73" t="str">
        <f t="shared" si="3"/>
        <v>SUMIF(CEN_Energia!B:B,ResumenRetiros!B40,CEN_Energia!Z:Z)</v>
      </c>
      <c r="H40" s="73" t="str">
        <f t="shared" si="4"/>
        <v>SUMIF(CEN_EnergiaBT!B:B,ResumenRetiros!B40,CEN_EnergiaBT!K:K)</v>
      </c>
    </row>
    <row r="41" spans="1:8" x14ac:dyDescent="0.25">
      <c r="A41" s="43">
        <f t="shared" si="5"/>
        <v>41</v>
      </c>
      <c r="B41" s="40">
        <v>43344</v>
      </c>
      <c r="C41" s="54" t="s">
        <v>290</v>
      </c>
      <c r="D41" s="73" t="str">
        <f t="shared" ref="D41:D65" si="6">CONCATENATE("SUMIF(","SIGGE_E!B:B,ResumenRetiros!B",A41,",","SIGGE_E","!S:S)")</f>
        <v>SUMIF(SIGGE_E!B:B,ResumenRetiros!B41,SIGGE_E!S:S)</v>
      </c>
      <c r="E41" s="73" t="str">
        <f t="shared" ref="E41:E65" si="7">CONCATENATE("SUMIF(","EFACT_CNE","!B:B,ResumenRetiros!B",A41,",","EFACT_CNE","!S:S)")</f>
        <v>SUMIF(EFACT_CNE!B:B,ResumenRetiros!B41,EFACT_CNE!S:S)</v>
      </c>
      <c r="F41" s="73" t="str">
        <f t="shared" ref="F41:F65" si="8">CONCATENATE("SUMIF(","EfactCNE_BT","!B:B,ResumenRetiros!B",A41,",","EfactCNE_BT","!M:M)")</f>
        <v>SUMIF(EfactCNE_BT!B:B,ResumenRetiros!B41,EfactCNE_BT!M:M)</v>
      </c>
      <c r="G41" s="73" t="str">
        <f t="shared" ref="G41:G65" si="9">CONCATENATE("SUMIF(CEN_Energia!B:B,ResumenRetiros!B",A41,",CEN_Energia!Z:Z)")</f>
        <v>SUMIF(CEN_Energia!B:B,ResumenRetiros!B41,CEN_Energia!Z:Z)</v>
      </c>
      <c r="H41" s="73" t="str">
        <f t="shared" si="4"/>
        <v>SUMIF(CEN_EnergiaBT!B:B,ResumenRetiros!B41,CEN_EnergiaBT!K:K)</v>
      </c>
    </row>
    <row r="42" spans="1:8" x14ac:dyDescent="0.25">
      <c r="A42" s="43">
        <f t="shared" si="5"/>
        <v>42</v>
      </c>
      <c r="B42" s="40">
        <v>43374</v>
      </c>
      <c r="C42" s="54" t="s">
        <v>290</v>
      </c>
      <c r="D42" s="73" t="str">
        <f t="shared" si="6"/>
        <v>SUMIF(SIGGE_E!B:B,ResumenRetiros!B42,SIGGE_E!S:S)</v>
      </c>
      <c r="E42" s="73" t="str">
        <f t="shared" si="7"/>
        <v>SUMIF(EFACT_CNE!B:B,ResumenRetiros!B42,EFACT_CNE!S:S)</v>
      </c>
      <c r="F42" s="73" t="str">
        <f t="shared" si="8"/>
        <v>SUMIF(EfactCNE_BT!B:B,ResumenRetiros!B42,EfactCNE_BT!M:M)</v>
      </c>
      <c r="G42" s="73" t="str">
        <f t="shared" si="9"/>
        <v>SUMIF(CEN_Energia!B:B,ResumenRetiros!B42,CEN_Energia!Z:Z)</v>
      </c>
      <c r="H42" s="73" t="str">
        <f t="shared" si="4"/>
        <v>SUMIF(CEN_EnergiaBT!B:B,ResumenRetiros!B42,CEN_EnergiaBT!K:K)</v>
      </c>
    </row>
    <row r="43" spans="1:8" x14ac:dyDescent="0.25">
      <c r="A43" s="43">
        <f t="shared" si="5"/>
        <v>43</v>
      </c>
      <c r="B43" s="40">
        <v>43405</v>
      </c>
      <c r="C43" s="54" t="s">
        <v>290</v>
      </c>
      <c r="D43" s="73" t="str">
        <f t="shared" si="6"/>
        <v>SUMIF(SIGGE_E!B:B,ResumenRetiros!B43,SIGGE_E!S:S)</v>
      </c>
      <c r="E43" s="73" t="str">
        <f t="shared" si="7"/>
        <v>SUMIF(EFACT_CNE!B:B,ResumenRetiros!B43,EFACT_CNE!S:S)</v>
      </c>
      <c r="F43" s="73" t="str">
        <f t="shared" si="8"/>
        <v>SUMIF(EfactCNE_BT!B:B,ResumenRetiros!B43,EfactCNE_BT!M:M)</v>
      </c>
      <c r="G43" s="73" t="str">
        <f t="shared" si="9"/>
        <v>SUMIF(CEN_Energia!B:B,ResumenRetiros!B43,CEN_Energia!Z:Z)</v>
      </c>
      <c r="H43" s="73" t="str">
        <f t="shared" si="4"/>
        <v>SUMIF(CEN_EnergiaBT!B:B,ResumenRetiros!B43,CEN_EnergiaBT!K:K)</v>
      </c>
    </row>
    <row r="44" spans="1:8" x14ac:dyDescent="0.25">
      <c r="A44" s="43">
        <f t="shared" si="5"/>
        <v>44</v>
      </c>
      <c r="B44" s="40">
        <v>43435</v>
      </c>
      <c r="C44" s="54" t="s">
        <v>290</v>
      </c>
      <c r="D44" s="73" t="str">
        <f t="shared" si="6"/>
        <v>SUMIF(SIGGE_E!B:B,ResumenRetiros!B44,SIGGE_E!S:S)</v>
      </c>
      <c r="E44" s="73" t="str">
        <f t="shared" si="7"/>
        <v>SUMIF(EFACT_CNE!B:B,ResumenRetiros!B44,EFACT_CNE!S:S)</v>
      </c>
      <c r="F44" s="73" t="str">
        <f t="shared" si="8"/>
        <v>SUMIF(EfactCNE_BT!B:B,ResumenRetiros!B44,EfactCNE_BT!M:M)</v>
      </c>
      <c r="G44" s="73" t="str">
        <f t="shared" si="9"/>
        <v>SUMIF(CEN_Energia!B:B,ResumenRetiros!B44,CEN_Energia!Z:Z)</v>
      </c>
      <c r="H44" s="73" t="str">
        <f t="shared" si="4"/>
        <v>SUMIF(CEN_EnergiaBT!B:B,ResumenRetiros!B44,CEN_EnergiaBT!K:K)</v>
      </c>
    </row>
    <row r="45" spans="1:8" x14ac:dyDescent="0.25">
      <c r="A45" s="43">
        <f t="shared" si="5"/>
        <v>45</v>
      </c>
      <c r="B45" s="40">
        <v>43466</v>
      </c>
      <c r="C45" s="54" t="s">
        <v>290</v>
      </c>
      <c r="D45" s="73" t="str">
        <f t="shared" si="6"/>
        <v>SUMIF(SIGGE_E!B:B,ResumenRetiros!B45,SIGGE_E!S:S)</v>
      </c>
      <c r="E45" s="73" t="str">
        <f t="shared" si="7"/>
        <v>SUMIF(EFACT_CNE!B:B,ResumenRetiros!B45,EFACT_CNE!S:S)</v>
      </c>
      <c r="F45" s="73" t="str">
        <f t="shared" si="8"/>
        <v>SUMIF(EfactCNE_BT!B:B,ResumenRetiros!B45,EfactCNE_BT!M:M)</v>
      </c>
      <c r="G45" s="73" t="str">
        <f t="shared" si="9"/>
        <v>SUMIF(CEN_Energia!B:B,ResumenRetiros!B45,CEN_Energia!Z:Z)</v>
      </c>
      <c r="H45" s="73" t="str">
        <f t="shared" si="4"/>
        <v>SUMIF(CEN_EnergiaBT!B:B,ResumenRetiros!B45,CEN_EnergiaBT!K:K)</v>
      </c>
    </row>
    <row r="46" spans="1:8" x14ac:dyDescent="0.25">
      <c r="A46" s="43">
        <f t="shared" si="5"/>
        <v>46</v>
      </c>
      <c r="B46" s="40">
        <v>43497</v>
      </c>
      <c r="C46" s="54" t="s">
        <v>290</v>
      </c>
      <c r="D46" s="73" t="str">
        <f t="shared" si="6"/>
        <v>SUMIF(SIGGE_E!B:B,ResumenRetiros!B46,SIGGE_E!S:S)</v>
      </c>
      <c r="E46" s="73" t="str">
        <f t="shared" si="7"/>
        <v>SUMIF(EFACT_CNE!B:B,ResumenRetiros!B46,EFACT_CNE!S:S)</v>
      </c>
      <c r="F46" s="73" t="str">
        <f t="shared" si="8"/>
        <v>SUMIF(EfactCNE_BT!B:B,ResumenRetiros!B46,EfactCNE_BT!M:M)</v>
      </c>
      <c r="G46" s="73" t="str">
        <f t="shared" si="9"/>
        <v>SUMIF(CEN_Energia!B:B,ResumenRetiros!B46,CEN_Energia!Z:Z)</v>
      </c>
      <c r="H46" s="73" t="str">
        <f t="shared" si="4"/>
        <v>SUMIF(CEN_EnergiaBT!B:B,ResumenRetiros!B46,CEN_EnergiaBT!K:K)</v>
      </c>
    </row>
    <row r="47" spans="1:8" x14ac:dyDescent="0.25">
      <c r="A47" s="43">
        <f t="shared" si="5"/>
        <v>47</v>
      </c>
      <c r="B47" s="40">
        <v>43525</v>
      </c>
      <c r="C47" s="54" t="s">
        <v>290</v>
      </c>
      <c r="D47" s="73" t="str">
        <f t="shared" si="6"/>
        <v>SUMIF(SIGGE_E!B:B,ResumenRetiros!B47,SIGGE_E!S:S)</v>
      </c>
      <c r="E47" s="73" t="str">
        <f t="shared" si="7"/>
        <v>SUMIF(EFACT_CNE!B:B,ResumenRetiros!B47,EFACT_CNE!S:S)</v>
      </c>
      <c r="F47" s="73" t="str">
        <f t="shared" si="8"/>
        <v>SUMIF(EfactCNE_BT!B:B,ResumenRetiros!B47,EfactCNE_BT!M:M)</v>
      </c>
      <c r="G47" s="73" t="str">
        <f t="shared" si="9"/>
        <v>SUMIF(CEN_Energia!B:B,ResumenRetiros!B47,CEN_Energia!Z:Z)</v>
      </c>
      <c r="H47" s="73" t="str">
        <f t="shared" si="4"/>
        <v>SUMIF(CEN_EnergiaBT!B:B,ResumenRetiros!B47,CEN_EnergiaBT!K:K)</v>
      </c>
    </row>
    <row r="48" spans="1:8" x14ac:dyDescent="0.25">
      <c r="A48" s="43">
        <f t="shared" si="5"/>
        <v>48</v>
      </c>
      <c r="B48" s="40">
        <v>43556</v>
      </c>
      <c r="C48" s="54" t="s">
        <v>290</v>
      </c>
      <c r="D48" s="73" t="str">
        <f t="shared" si="6"/>
        <v>SUMIF(SIGGE_E!B:B,ResumenRetiros!B48,SIGGE_E!S:S)</v>
      </c>
      <c r="E48" s="73" t="str">
        <f t="shared" si="7"/>
        <v>SUMIF(EFACT_CNE!B:B,ResumenRetiros!B48,EFACT_CNE!S:S)</v>
      </c>
      <c r="F48" s="73" t="str">
        <f t="shared" si="8"/>
        <v>SUMIF(EfactCNE_BT!B:B,ResumenRetiros!B48,EfactCNE_BT!M:M)</v>
      </c>
      <c r="G48" s="73" t="str">
        <f t="shared" si="9"/>
        <v>SUMIF(CEN_Energia!B:B,ResumenRetiros!B48,CEN_Energia!Z:Z)</v>
      </c>
      <c r="H48" s="73" t="str">
        <f t="shared" si="4"/>
        <v>SUMIF(CEN_EnergiaBT!B:B,ResumenRetiros!B48,CEN_EnergiaBT!K:K)</v>
      </c>
    </row>
    <row r="49" spans="1:8" x14ac:dyDescent="0.25">
      <c r="A49" s="43">
        <f t="shared" si="5"/>
        <v>49</v>
      </c>
      <c r="B49" s="40">
        <v>43586</v>
      </c>
      <c r="C49" s="54" t="s">
        <v>290</v>
      </c>
      <c r="D49" s="73" t="str">
        <f t="shared" si="6"/>
        <v>SUMIF(SIGGE_E!B:B,ResumenRetiros!B49,SIGGE_E!S:S)</v>
      </c>
      <c r="E49" s="73" t="str">
        <f t="shared" si="7"/>
        <v>SUMIF(EFACT_CNE!B:B,ResumenRetiros!B49,EFACT_CNE!S:S)</v>
      </c>
      <c r="F49" s="73" t="str">
        <f t="shared" si="8"/>
        <v>SUMIF(EfactCNE_BT!B:B,ResumenRetiros!B49,EfactCNE_BT!M:M)</v>
      </c>
      <c r="G49" s="73" t="str">
        <f t="shared" si="9"/>
        <v>SUMIF(CEN_Energia!B:B,ResumenRetiros!B49,CEN_Energia!Z:Z)</v>
      </c>
      <c r="H49" s="73" t="str">
        <f t="shared" si="4"/>
        <v>SUMIF(CEN_EnergiaBT!B:B,ResumenRetiros!B49,CEN_EnergiaBT!K:K)</v>
      </c>
    </row>
    <row r="50" spans="1:8" x14ac:dyDescent="0.25">
      <c r="A50" s="43">
        <f t="shared" si="5"/>
        <v>50</v>
      </c>
      <c r="B50" s="40">
        <v>43617</v>
      </c>
      <c r="C50" s="54" t="s">
        <v>290</v>
      </c>
      <c r="D50" s="73" t="str">
        <f t="shared" si="6"/>
        <v>SUMIF(SIGGE_E!B:B,ResumenRetiros!B50,SIGGE_E!S:S)</v>
      </c>
      <c r="E50" s="73" t="str">
        <f t="shared" si="7"/>
        <v>SUMIF(EFACT_CNE!B:B,ResumenRetiros!B50,EFACT_CNE!S:S)</v>
      </c>
      <c r="F50" s="73" t="str">
        <f t="shared" si="8"/>
        <v>SUMIF(EfactCNE_BT!B:B,ResumenRetiros!B50,EfactCNE_BT!M:M)</v>
      </c>
      <c r="G50" s="73" t="str">
        <f t="shared" si="9"/>
        <v>SUMIF(CEN_Energia!B:B,ResumenRetiros!B50,CEN_Energia!Z:Z)</v>
      </c>
      <c r="H50" s="73" t="str">
        <f t="shared" si="4"/>
        <v>SUMIF(CEN_EnergiaBT!B:B,ResumenRetiros!B50,CEN_EnergiaBT!K:K)</v>
      </c>
    </row>
    <row r="51" spans="1:8" x14ac:dyDescent="0.25">
      <c r="A51" s="43">
        <f t="shared" si="5"/>
        <v>51</v>
      </c>
      <c r="B51" s="40">
        <v>43647</v>
      </c>
      <c r="C51" s="54" t="s">
        <v>290</v>
      </c>
      <c r="D51" s="73" t="str">
        <f t="shared" si="6"/>
        <v>SUMIF(SIGGE_E!B:B,ResumenRetiros!B51,SIGGE_E!S:S)</v>
      </c>
      <c r="E51" s="73" t="str">
        <f t="shared" si="7"/>
        <v>SUMIF(EFACT_CNE!B:B,ResumenRetiros!B51,EFACT_CNE!S:S)</v>
      </c>
      <c r="F51" s="73" t="str">
        <f t="shared" si="8"/>
        <v>SUMIF(EfactCNE_BT!B:B,ResumenRetiros!B51,EfactCNE_BT!M:M)</v>
      </c>
      <c r="G51" s="73" t="str">
        <f t="shared" si="9"/>
        <v>SUMIF(CEN_Energia!B:B,ResumenRetiros!B51,CEN_Energia!Z:Z)</v>
      </c>
      <c r="H51" s="73" t="str">
        <f t="shared" si="4"/>
        <v>SUMIF(CEN_EnergiaBT!B:B,ResumenRetiros!B51,CEN_EnergiaBT!K:K)</v>
      </c>
    </row>
    <row r="52" spans="1:8" x14ac:dyDescent="0.25">
      <c r="A52" s="43">
        <f t="shared" si="5"/>
        <v>52</v>
      </c>
      <c r="B52" s="40">
        <v>43678</v>
      </c>
      <c r="C52" s="54" t="s">
        <v>290</v>
      </c>
      <c r="D52" s="73" t="str">
        <f t="shared" si="6"/>
        <v>SUMIF(SIGGE_E!B:B,ResumenRetiros!B52,SIGGE_E!S:S)</v>
      </c>
      <c r="E52" s="73" t="str">
        <f t="shared" si="7"/>
        <v>SUMIF(EFACT_CNE!B:B,ResumenRetiros!B52,EFACT_CNE!S:S)</v>
      </c>
      <c r="F52" s="73" t="str">
        <f t="shared" si="8"/>
        <v>SUMIF(EfactCNE_BT!B:B,ResumenRetiros!B52,EfactCNE_BT!M:M)</v>
      </c>
      <c r="G52" s="73" t="str">
        <f t="shared" si="9"/>
        <v>SUMIF(CEN_Energia!B:B,ResumenRetiros!B52,CEN_Energia!Z:Z)</v>
      </c>
      <c r="H52" s="73" t="str">
        <f t="shared" si="4"/>
        <v>SUMIF(CEN_EnergiaBT!B:B,ResumenRetiros!B52,CEN_EnergiaBT!K:K)</v>
      </c>
    </row>
    <row r="53" spans="1:8" x14ac:dyDescent="0.25">
      <c r="A53" s="43">
        <f t="shared" si="5"/>
        <v>53</v>
      </c>
      <c r="B53" s="40">
        <v>43709</v>
      </c>
      <c r="C53" s="54" t="s">
        <v>290</v>
      </c>
      <c r="D53" s="73" t="str">
        <f t="shared" si="6"/>
        <v>SUMIF(SIGGE_E!B:B,ResumenRetiros!B53,SIGGE_E!S:S)</v>
      </c>
      <c r="E53" s="73" t="str">
        <f t="shared" si="7"/>
        <v>SUMIF(EFACT_CNE!B:B,ResumenRetiros!B53,EFACT_CNE!S:S)</v>
      </c>
      <c r="F53" s="73" t="str">
        <f t="shared" si="8"/>
        <v>SUMIF(EfactCNE_BT!B:B,ResumenRetiros!B53,EfactCNE_BT!M:M)</v>
      </c>
      <c r="G53" s="73" t="str">
        <f t="shared" si="9"/>
        <v>SUMIF(CEN_Energia!B:B,ResumenRetiros!B53,CEN_Energia!Z:Z)</v>
      </c>
      <c r="H53" s="73" t="str">
        <f t="shared" si="4"/>
        <v>SUMIF(CEN_EnergiaBT!B:B,ResumenRetiros!B53,CEN_EnergiaBT!K:K)</v>
      </c>
    </row>
    <row r="54" spans="1:8" x14ac:dyDescent="0.25">
      <c r="A54" s="43">
        <f t="shared" si="5"/>
        <v>54</v>
      </c>
      <c r="B54" s="40">
        <v>43739</v>
      </c>
      <c r="C54" s="54" t="s">
        <v>290</v>
      </c>
      <c r="D54" s="73" t="str">
        <f t="shared" si="6"/>
        <v>SUMIF(SIGGE_E!B:B,ResumenRetiros!B54,SIGGE_E!S:S)</v>
      </c>
      <c r="E54" s="73" t="str">
        <f t="shared" si="7"/>
        <v>SUMIF(EFACT_CNE!B:B,ResumenRetiros!B54,EFACT_CNE!S:S)</v>
      </c>
      <c r="F54" s="73" t="str">
        <f t="shared" si="8"/>
        <v>SUMIF(EfactCNE_BT!B:B,ResumenRetiros!B54,EfactCNE_BT!M:M)</v>
      </c>
      <c r="G54" s="73" t="str">
        <f t="shared" si="9"/>
        <v>SUMIF(CEN_Energia!B:B,ResumenRetiros!B54,CEN_Energia!Z:Z)</v>
      </c>
      <c r="H54" s="73" t="str">
        <f t="shared" si="4"/>
        <v>SUMIF(CEN_EnergiaBT!B:B,ResumenRetiros!B54,CEN_EnergiaBT!K:K)</v>
      </c>
    </row>
    <row r="55" spans="1:8" x14ac:dyDescent="0.25">
      <c r="A55" s="43">
        <f t="shared" si="5"/>
        <v>55</v>
      </c>
      <c r="B55" s="40">
        <v>43770</v>
      </c>
      <c r="C55" s="54" t="s">
        <v>290</v>
      </c>
      <c r="D55" s="73" t="str">
        <f t="shared" si="6"/>
        <v>SUMIF(SIGGE_E!B:B,ResumenRetiros!B55,SIGGE_E!S:S)</v>
      </c>
      <c r="E55" s="73" t="str">
        <f t="shared" si="7"/>
        <v>SUMIF(EFACT_CNE!B:B,ResumenRetiros!B55,EFACT_CNE!S:S)</v>
      </c>
      <c r="F55" s="73" t="str">
        <f t="shared" si="8"/>
        <v>SUMIF(EfactCNE_BT!B:B,ResumenRetiros!B55,EfactCNE_BT!M:M)</v>
      </c>
      <c r="G55" s="73" t="str">
        <f t="shared" si="9"/>
        <v>SUMIF(CEN_Energia!B:B,ResumenRetiros!B55,CEN_Energia!Z:Z)</v>
      </c>
      <c r="H55" s="73" t="str">
        <f t="shared" si="4"/>
        <v>SUMIF(CEN_EnergiaBT!B:B,ResumenRetiros!B55,CEN_EnergiaBT!K:K)</v>
      </c>
    </row>
    <row r="56" spans="1:8" x14ac:dyDescent="0.25">
      <c r="A56" s="43">
        <f t="shared" si="5"/>
        <v>56</v>
      </c>
      <c r="B56" s="40">
        <v>43800</v>
      </c>
      <c r="C56" s="54" t="s">
        <v>290</v>
      </c>
      <c r="D56" s="73" t="str">
        <f t="shared" si="6"/>
        <v>SUMIF(SIGGE_E!B:B,ResumenRetiros!B56,SIGGE_E!S:S)</v>
      </c>
      <c r="E56" s="73" t="str">
        <f t="shared" si="7"/>
        <v>SUMIF(EFACT_CNE!B:B,ResumenRetiros!B56,EFACT_CNE!S:S)</v>
      </c>
      <c r="F56" s="73" t="str">
        <f t="shared" si="8"/>
        <v>SUMIF(EfactCNE_BT!B:B,ResumenRetiros!B56,EfactCNE_BT!M:M)</v>
      </c>
      <c r="G56" s="73" t="str">
        <f t="shared" si="9"/>
        <v>SUMIF(CEN_Energia!B:B,ResumenRetiros!B56,CEN_Energia!Z:Z)</v>
      </c>
      <c r="H56" s="73" t="str">
        <f t="shared" si="4"/>
        <v>SUMIF(CEN_EnergiaBT!B:B,ResumenRetiros!B56,CEN_EnergiaBT!K:K)</v>
      </c>
    </row>
    <row r="57" spans="1:8" x14ac:dyDescent="0.25">
      <c r="A57" s="43">
        <f t="shared" si="5"/>
        <v>57</v>
      </c>
      <c r="B57" s="40">
        <v>43831</v>
      </c>
      <c r="C57" s="54" t="s">
        <v>290</v>
      </c>
      <c r="D57" s="73" t="str">
        <f t="shared" si="6"/>
        <v>SUMIF(SIGGE_E!B:B,ResumenRetiros!B57,SIGGE_E!S:S)</v>
      </c>
      <c r="E57" s="73" t="str">
        <f t="shared" si="7"/>
        <v>SUMIF(EFACT_CNE!B:B,ResumenRetiros!B57,EFACT_CNE!S:S)</v>
      </c>
      <c r="F57" s="73" t="str">
        <f t="shared" si="8"/>
        <v>SUMIF(EfactCNE_BT!B:B,ResumenRetiros!B57,EfactCNE_BT!M:M)</v>
      </c>
      <c r="G57" s="73" t="str">
        <f t="shared" si="9"/>
        <v>SUMIF(CEN_Energia!B:B,ResumenRetiros!B57,CEN_Energia!Z:Z)</v>
      </c>
      <c r="H57" s="73" t="str">
        <f t="shared" si="4"/>
        <v>SUMIF(CEN_EnergiaBT!B:B,ResumenRetiros!B57,CEN_EnergiaBT!K:K)</v>
      </c>
    </row>
    <row r="58" spans="1:8" x14ac:dyDescent="0.25">
      <c r="A58" s="43">
        <f t="shared" si="5"/>
        <v>58</v>
      </c>
      <c r="B58" s="40">
        <v>43862</v>
      </c>
      <c r="C58" s="54" t="s">
        <v>290</v>
      </c>
      <c r="D58" s="73" t="str">
        <f t="shared" si="6"/>
        <v>SUMIF(SIGGE_E!B:B,ResumenRetiros!B58,SIGGE_E!S:S)</v>
      </c>
      <c r="E58" s="73" t="str">
        <f t="shared" si="7"/>
        <v>SUMIF(EFACT_CNE!B:B,ResumenRetiros!B58,EFACT_CNE!S:S)</v>
      </c>
      <c r="F58" s="73" t="str">
        <f t="shared" si="8"/>
        <v>SUMIF(EfactCNE_BT!B:B,ResumenRetiros!B58,EfactCNE_BT!M:M)</v>
      </c>
      <c r="G58" s="73" t="str">
        <f t="shared" si="9"/>
        <v>SUMIF(CEN_Energia!B:B,ResumenRetiros!B58,CEN_Energia!Z:Z)</v>
      </c>
      <c r="H58" s="73" t="str">
        <f t="shared" si="4"/>
        <v>SUMIF(CEN_EnergiaBT!B:B,ResumenRetiros!B58,CEN_EnergiaBT!K:K)</v>
      </c>
    </row>
    <row r="59" spans="1:8" x14ac:dyDescent="0.25">
      <c r="A59" s="43">
        <f t="shared" si="5"/>
        <v>59</v>
      </c>
      <c r="B59" s="40">
        <v>43891</v>
      </c>
      <c r="C59" s="54" t="s">
        <v>290</v>
      </c>
      <c r="D59" s="73" t="str">
        <f t="shared" si="6"/>
        <v>SUMIF(SIGGE_E!B:B,ResumenRetiros!B59,SIGGE_E!S:S)</v>
      </c>
      <c r="E59" s="73" t="str">
        <f t="shared" si="7"/>
        <v>SUMIF(EFACT_CNE!B:B,ResumenRetiros!B59,EFACT_CNE!S:S)</v>
      </c>
      <c r="F59" s="73" t="str">
        <f t="shared" si="8"/>
        <v>SUMIF(EfactCNE_BT!B:B,ResumenRetiros!B59,EfactCNE_BT!M:M)</v>
      </c>
      <c r="G59" s="73" t="str">
        <f t="shared" si="9"/>
        <v>SUMIF(CEN_Energia!B:B,ResumenRetiros!B59,CEN_Energia!Z:Z)</v>
      </c>
      <c r="H59" s="73" t="str">
        <f t="shared" si="4"/>
        <v>SUMIF(CEN_EnergiaBT!B:B,ResumenRetiros!B59,CEN_EnergiaBT!K:K)</v>
      </c>
    </row>
    <row r="60" spans="1:8" x14ac:dyDescent="0.25">
      <c r="A60" s="43">
        <f t="shared" si="5"/>
        <v>60</v>
      </c>
      <c r="B60" s="40">
        <v>43922</v>
      </c>
      <c r="C60" s="54" t="s">
        <v>290</v>
      </c>
      <c r="D60" s="73" t="str">
        <f t="shared" si="6"/>
        <v>SUMIF(SIGGE_E!B:B,ResumenRetiros!B60,SIGGE_E!S:S)</v>
      </c>
      <c r="E60" s="73" t="str">
        <f t="shared" si="7"/>
        <v>SUMIF(EFACT_CNE!B:B,ResumenRetiros!B60,EFACT_CNE!S:S)</v>
      </c>
      <c r="F60" s="73" t="str">
        <f t="shared" si="8"/>
        <v>SUMIF(EfactCNE_BT!B:B,ResumenRetiros!B60,EfactCNE_BT!M:M)</v>
      </c>
      <c r="G60" s="73" t="str">
        <f t="shared" si="9"/>
        <v>SUMIF(CEN_Energia!B:B,ResumenRetiros!B60,CEN_Energia!Z:Z)</v>
      </c>
      <c r="H60" s="73" t="str">
        <f t="shared" si="4"/>
        <v>SUMIF(CEN_EnergiaBT!B:B,ResumenRetiros!B60,CEN_EnergiaBT!K:K)</v>
      </c>
    </row>
    <row r="61" spans="1:8" x14ac:dyDescent="0.25">
      <c r="A61" s="43">
        <f t="shared" si="5"/>
        <v>61</v>
      </c>
      <c r="B61" s="40">
        <v>43952</v>
      </c>
      <c r="C61" s="54" t="s">
        <v>290</v>
      </c>
      <c r="D61" s="73" t="str">
        <f t="shared" si="6"/>
        <v>SUMIF(SIGGE_E!B:B,ResumenRetiros!B61,SIGGE_E!S:S)</v>
      </c>
      <c r="E61" s="73" t="str">
        <f t="shared" si="7"/>
        <v>SUMIF(EFACT_CNE!B:B,ResumenRetiros!B61,EFACT_CNE!S:S)</v>
      </c>
      <c r="F61" s="73" t="str">
        <f t="shared" si="8"/>
        <v>SUMIF(EfactCNE_BT!B:B,ResumenRetiros!B61,EfactCNE_BT!M:M)</v>
      </c>
      <c r="G61" s="73" t="str">
        <f t="shared" si="9"/>
        <v>SUMIF(CEN_Energia!B:B,ResumenRetiros!B61,CEN_Energia!Z:Z)</v>
      </c>
      <c r="H61" s="73" t="str">
        <f t="shared" si="4"/>
        <v>SUMIF(CEN_EnergiaBT!B:B,ResumenRetiros!B61,CEN_EnergiaBT!K:K)</v>
      </c>
    </row>
    <row r="62" spans="1:8" x14ac:dyDescent="0.25">
      <c r="A62" s="43">
        <f t="shared" si="5"/>
        <v>62</v>
      </c>
      <c r="B62" s="40">
        <v>43983</v>
      </c>
      <c r="C62" s="54" t="s">
        <v>290</v>
      </c>
      <c r="D62" s="73" t="str">
        <f t="shared" si="6"/>
        <v>SUMIF(SIGGE_E!B:B,ResumenRetiros!B62,SIGGE_E!S:S)</v>
      </c>
      <c r="E62" s="73" t="str">
        <f t="shared" si="7"/>
        <v>SUMIF(EFACT_CNE!B:B,ResumenRetiros!B62,EFACT_CNE!S:S)</v>
      </c>
      <c r="F62" s="73" t="str">
        <f t="shared" si="8"/>
        <v>SUMIF(EfactCNE_BT!B:B,ResumenRetiros!B62,EfactCNE_BT!M:M)</v>
      </c>
      <c r="G62" s="73" t="str">
        <f t="shared" si="9"/>
        <v>SUMIF(CEN_Energia!B:B,ResumenRetiros!B62,CEN_Energia!Z:Z)</v>
      </c>
      <c r="H62" s="73" t="str">
        <f t="shared" si="4"/>
        <v>SUMIF(CEN_EnergiaBT!B:B,ResumenRetiros!B62,CEN_EnergiaBT!K:K)</v>
      </c>
    </row>
    <row r="63" spans="1:8" x14ac:dyDescent="0.25">
      <c r="A63" s="43">
        <f t="shared" si="5"/>
        <v>63</v>
      </c>
      <c r="B63" s="40">
        <v>44013</v>
      </c>
      <c r="C63" s="54" t="s">
        <v>290</v>
      </c>
      <c r="D63" s="73" t="str">
        <f t="shared" si="6"/>
        <v>SUMIF(SIGGE_E!B:B,ResumenRetiros!B63,SIGGE_E!S:S)</v>
      </c>
      <c r="E63" s="73" t="str">
        <f t="shared" si="7"/>
        <v>SUMIF(EFACT_CNE!B:B,ResumenRetiros!B63,EFACT_CNE!S:S)</v>
      </c>
      <c r="F63" s="73" t="str">
        <f t="shared" si="8"/>
        <v>SUMIF(EfactCNE_BT!B:B,ResumenRetiros!B63,EfactCNE_BT!M:M)</v>
      </c>
      <c r="G63" s="73" t="str">
        <f t="shared" si="9"/>
        <v>SUMIF(CEN_Energia!B:B,ResumenRetiros!B63,CEN_Energia!Z:Z)</v>
      </c>
      <c r="H63" s="73" t="str">
        <f t="shared" si="4"/>
        <v>SUMIF(CEN_EnergiaBT!B:B,ResumenRetiros!B63,CEN_EnergiaBT!K:K)</v>
      </c>
    </row>
    <row r="64" spans="1:8" x14ac:dyDescent="0.25">
      <c r="A64" s="43">
        <f t="shared" si="5"/>
        <v>64</v>
      </c>
      <c r="B64" s="40">
        <v>44044</v>
      </c>
      <c r="C64" s="54" t="s">
        <v>290</v>
      </c>
      <c r="D64" s="73" t="str">
        <f t="shared" si="6"/>
        <v>SUMIF(SIGGE_E!B:B,ResumenRetiros!B64,SIGGE_E!S:S)</v>
      </c>
      <c r="E64" s="73" t="str">
        <f t="shared" si="7"/>
        <v>SUMIF(EFACT_CNE!B:B,ResumenRetiros!B64,EFACT_CNE!S:S)</v>
      </c>
      <c r="F64" s="73" t="str">
        <f t="shared" si="8"/>
        <v>SUMIF(EfactCNE_BT!B:B,ResumenRetiros!B64,EfactCNE_BT!M:M)</v>
      </c>
      <c r="G64" s="73" t="str">
        <f t="shared" si="9"/>
        <v>SUMIF(CEN_Energia!B:B,ResumenRetiros!B64,CEN_Energia!Z:Z)</v>
      </c>
      <c r="H64" s="73" t="str">
        <f t="shared" si="4"/>
        <v>SUMIF(CEN_EnergiaBT!B:B,ResumenRetiros!B64,CEN_EnergiaBT!K:K)</v>
      </c>
    </row>
    <row r="65" spans="1:8" x14ac:dyDescent="0.25">
      <c r="A65" s="43">
        <f>A64+1</f>
        <v>65</v>
      </c>
      <c r="B65" s="40">
        <v>44075</v>
      </c>
      <c r="C65" s="54" t="s">
        <v>290</v>
      </c>
      <c r="D65" s="73" t="str">
        <f t="shared" si="6"/>
        <v>SUMIF(SIGGE_E!B:B,ResumenRetiros!B65,SIGGE_E!S:S)</v>
      </c>
      <c r="E65" s="73" t="str">
        <f t="shared" si="7"/>
        <v>SUMIF(EFACT_CNE!B:B,ResumenRetiros!B65,EFACT_CNE!S:S)</v>
      </c>
      <c r="F65" s="73" t="str">
        <f t="shared" si="8"/>
        <v>SUMIF(EfactCNE_BT!B:B,ResumenRetiros!B65,EfactCNE_BT!M:M)</v>
      </c>
      <c r="G65" s="73" t="str">
        <f t="shared" si="9"/>
        <v>SUMIF(CEN_Energia!B:B,ResumenRetiros!B65,CEN_Energia!Z:Z)</v>
      </c>
      <c r="H65" s="73" t="str">
        <f t="shared" si="4"/>
        <v>SUMIF(CEN_EnergiaBT!B:B,ResumenRetiros!B65,CEN_EnergiaBT!K:K)</v>
      </c>
    </row>
    <row r="66" spans="1:8" x14ac:dyDescent="0.25">
      <c r="D66" s="54" t="str">
        <f>CONCATENATE("SUM(D9:D65)")</f>
        <v>SUM(D9:D65)</v>
      </c>
      <c r="E66" s="54" t="str">
        <f>CONCATENATE("SUM(E9:E65)")</f>
        <v>SUM(E9:E65)</v>
      </c>
      <c r="F66" s="54" t="str">
        <f>CONCATENATE("SUM(F9:F65)")</f>
        <v>SUM(F9:F65)</v>
      </c>
      <c r="G66" s="54" t="str">
        <f>CONCATENATE("SUM(G9:G65)")</f>
        <v>SUM(G9:G65)</v>
      </c>
      <c r="H66" s="54" t="str">
        <f>CONCATENATE("SUM(H9:H65)")</f>
        <v>SUM(H9:H65)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7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7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7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7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7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7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7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7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7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7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7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7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7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7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7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7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7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7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7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7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7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7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7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7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7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7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7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7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7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7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7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7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7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7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7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7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7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7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7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7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7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7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7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7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7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7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7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7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7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7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7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7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7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7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7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7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7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7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7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7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7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7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7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7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7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7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7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7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7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7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7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7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7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7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7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7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7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7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7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7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7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7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7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7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7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7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7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7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7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7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7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7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7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7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7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7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7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7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7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7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7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7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7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7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7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7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7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7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7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7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7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7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7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7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7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7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7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7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7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7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7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7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7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7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7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7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7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7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7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7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7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7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7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7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7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7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7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7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7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7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7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7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7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7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7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7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7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7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7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7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7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7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7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7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7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7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7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7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7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7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7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7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7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7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7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7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7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7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7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7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7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7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7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7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7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7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7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7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7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7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7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7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7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7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7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7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7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7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7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7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7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7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7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7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7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7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7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7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7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7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7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7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7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7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7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7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7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7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7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7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7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7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7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7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7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7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7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7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7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7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7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7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7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7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7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7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7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7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7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7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7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7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7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7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7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7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7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7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7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7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7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7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7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7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7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7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7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7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7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7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7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7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7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7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7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7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7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7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7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7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7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7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7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7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7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7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7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7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7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7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7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7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7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7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7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7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7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7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7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7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7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7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7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7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7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7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7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7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7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7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7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7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7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7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7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7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7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7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7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7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7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7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7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7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7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7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7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7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7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7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7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7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7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7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7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7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7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7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7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7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7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7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7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7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7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7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7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7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7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7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7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7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7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7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7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7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7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7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7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7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7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7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7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7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7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7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7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7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7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7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7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7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7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7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7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7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7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7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7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7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7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7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7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7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7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7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7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7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7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7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7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7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7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7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7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7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7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7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7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7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7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7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7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7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7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7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7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7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7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7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7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7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7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7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7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7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7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7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7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7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7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7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7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7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7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7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7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7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7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7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7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7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7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7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7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7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7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7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7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7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7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7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7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7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7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7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7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7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7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7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7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7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7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7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7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7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7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7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7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7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7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7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7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7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7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7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7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7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7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7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7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7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7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7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7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7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7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7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7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7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7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7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7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7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7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7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7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7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7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7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7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7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7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7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7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7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7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7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7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7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7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7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7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7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7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7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7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7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7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7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7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7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7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7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7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7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7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7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7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7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7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7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7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7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7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7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7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7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7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7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7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7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7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7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7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7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7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7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7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7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7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7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7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7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7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7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7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7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7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7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7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7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7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7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7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7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7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7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7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7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7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7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7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7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7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7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7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7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7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7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7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7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7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7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7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7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7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7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7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7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7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7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7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7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7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7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7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7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7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7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7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7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7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7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7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7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7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7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7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7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7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7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7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7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7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7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7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7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7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7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7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7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7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7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7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7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7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7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7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7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7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7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7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7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7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7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7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7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7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7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7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7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7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7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7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7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7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7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7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7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7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7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7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7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7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7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7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7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7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7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7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7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7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7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7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7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7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7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7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7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7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7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7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7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7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7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7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7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7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7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7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7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7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7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7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7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7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7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7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7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7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7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7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7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7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7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7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7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7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7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7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7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7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7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7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7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7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7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7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7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7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7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7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7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7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7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7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7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7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7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7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7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7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7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7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7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7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U1" sqref="U1:U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7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7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7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7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7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7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7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7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7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7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7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7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7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7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7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7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7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7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7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7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7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7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7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7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7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7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7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7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7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7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7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7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7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7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7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7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7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7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7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7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7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7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7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7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7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7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7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7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7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7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7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7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7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7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7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7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7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7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7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7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7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7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7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7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7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7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7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7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7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7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7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7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7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7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7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7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7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7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7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7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7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7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7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7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7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7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7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7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7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7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7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7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7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7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7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7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7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7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7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7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7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7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7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7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7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7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7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7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7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7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7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7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7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7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7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7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7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7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7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7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7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7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7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7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7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7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7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7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7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7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7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7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7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7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7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7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7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7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7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7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7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7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7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7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7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7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7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7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7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7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7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7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7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7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7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7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7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7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7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7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7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7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7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7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7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7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7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7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7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7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7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7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7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7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7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7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7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7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7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7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7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7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7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7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7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7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7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7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7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7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7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7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7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7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7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7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7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7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7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7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7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7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7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7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7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7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7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7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7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7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7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7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7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7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7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7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7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7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7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7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7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7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7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7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7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7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7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7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7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7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7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7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7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7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7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7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7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7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7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7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7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7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7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7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7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7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7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7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7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7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7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7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7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7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7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7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7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7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7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7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7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7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7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7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7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7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7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7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7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7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7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7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7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7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7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7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7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7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7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7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7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7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7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7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7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7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7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7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7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7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7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7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7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7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7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7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7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7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7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7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7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7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7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7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7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7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7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7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7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7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7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7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7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7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7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7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7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7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7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7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7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7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7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7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7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7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7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7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7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7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7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7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7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7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7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7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7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7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7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7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7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7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7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7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7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7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7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7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7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7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7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7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7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7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7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7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7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7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7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7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7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7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7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7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7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7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7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7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7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7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7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7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7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7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8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9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9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9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9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9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9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9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9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9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9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9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9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9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9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9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9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9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9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9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9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9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9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9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9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9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9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9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9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9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9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9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9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9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9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9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9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9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9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9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9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9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9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9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9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9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9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9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9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9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9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9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9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9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9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9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9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9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9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9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9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9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9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9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9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9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9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9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9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9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9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9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9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9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9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9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9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9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9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9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9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9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9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9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9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9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9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9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9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9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9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9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9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9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9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9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9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9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9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9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9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9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9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9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9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9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9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9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9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9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9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9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9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9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9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9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9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9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9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9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9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9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9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9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9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9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9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9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9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9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9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9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9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9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9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9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9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9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9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9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9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9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9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9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9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9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9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9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9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9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9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9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9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9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9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9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9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9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9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9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9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9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9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9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9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9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9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9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9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9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9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9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9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9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9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9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9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9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9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9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9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9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9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9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9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9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9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9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9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9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9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9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9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9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9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9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9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9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9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9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9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9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9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9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9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9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9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9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9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9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9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9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9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9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9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9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9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9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9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9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9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9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9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9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9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9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9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9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9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9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9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9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9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9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9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9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9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9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9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9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9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9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9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9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9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9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9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9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9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9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9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9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9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9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9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9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9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9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9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9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9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9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9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9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9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9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9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9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9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9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9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9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9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9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9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9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9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9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9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9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9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9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9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9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9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9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9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9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9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9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9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9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9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9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9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9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9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9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9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9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9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9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9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9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9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9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9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9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9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9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9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9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9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9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9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9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9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9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9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9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9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9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9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9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9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9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9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9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9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9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9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9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9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9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9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9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9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9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9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9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9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9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9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9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9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9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9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9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9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9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9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9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9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9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9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9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9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9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9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9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9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9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9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9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9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9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9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9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9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9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9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9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9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9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9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9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9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9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9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9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9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9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9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9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9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9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9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9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9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9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9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9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9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9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9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9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9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9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9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9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9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9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9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9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9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9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9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9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9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9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9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9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9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9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9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9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9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9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9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9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9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9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9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9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9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9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9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9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9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9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9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9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9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9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9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9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9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9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9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9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9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9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9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9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9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9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9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9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9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9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9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9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9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9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9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9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9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9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9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9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9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9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9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9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9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9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9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9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9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9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9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9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9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9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9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9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9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9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9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9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9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9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9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9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9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9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9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9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9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9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9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9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9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9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9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9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9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9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9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9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9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9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9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9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9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9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9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9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9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9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9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9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9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9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9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9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9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9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9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9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9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9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9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9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9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9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9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9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9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9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9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9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9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9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9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9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9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9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9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9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9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9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9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9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9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9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9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9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9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9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9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9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9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9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9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9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9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9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9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9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9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9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9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9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9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9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9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9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9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9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9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9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9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9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9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9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9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9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9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9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9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9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9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9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9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9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9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9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9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9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9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9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9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9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9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9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9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9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9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9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9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9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9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9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9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9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9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9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9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9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9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9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9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9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9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9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9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9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9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9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9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9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9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9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9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9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9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9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9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9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9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9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9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9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9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9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9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9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9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9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9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9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9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9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9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9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9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9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9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9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9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9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9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9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9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9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9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9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9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9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9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9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9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9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9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9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9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9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9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9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9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9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9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9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9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9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9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9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9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9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9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9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9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9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9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9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9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9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9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9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9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9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9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9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9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9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9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9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9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9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9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9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9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9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9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9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9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9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9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9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9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9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9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9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9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9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9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9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9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9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9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9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9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9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9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9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9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9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9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9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9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9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9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9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9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9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9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9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9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9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9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9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9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9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9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9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9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9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9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9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9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9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9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9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9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9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9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9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9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9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9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9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9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9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9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9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9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9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9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9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9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9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9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9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9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9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9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9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9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9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9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9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9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9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9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9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9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9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9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9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9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9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9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9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9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9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9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9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9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9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9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9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9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9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9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9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9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9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9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9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9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9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9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9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9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9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9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9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9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9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9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9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9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9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9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9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9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9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9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9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9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9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9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9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9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9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9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9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9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9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9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9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9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9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9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9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9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9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9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9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9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9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9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9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9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9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9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9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9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9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9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9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9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9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9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9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9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9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9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9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9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9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9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9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9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9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9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9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9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9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9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9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9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9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9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9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9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9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9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9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9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9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9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9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9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9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9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9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9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9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9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9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9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9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9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9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9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9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9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9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9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9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9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9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9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9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9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9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9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9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9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9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9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9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9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9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9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9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9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9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9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9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9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9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9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9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9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9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9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9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9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9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9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9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9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9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9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9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9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9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9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9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9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9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9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9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9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9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9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9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9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9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9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9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9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9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9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9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9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9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9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9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9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9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9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9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9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9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9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9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9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9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9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9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9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9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9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9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9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9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9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9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9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9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9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9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9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9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9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9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9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9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9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9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9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9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9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9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9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9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9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9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9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9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9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9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9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9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9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9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9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9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9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9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9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EE46-B644-4E1D-A3FD-AF80D2789548}">
  <sheetPr>
    <tabColor theme="9" tint="0.59999389629810485"/>
  </sheetPr>
  <dimension ref="A1:M40"/>
  <sheetViews>
    <sheetView workbookViewId="0">
      <selection activeCell="L1" sqref="L1:L1048576"/>
    </sheetView>
  </sheetViews>
  <sheetFormatPr baseColWidth="10" defaultColWidth="9.140625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8" max="8" width="11.42578125" bestFit="1" customWidth="1"/>
    <col min="9" max="9" width="15.42578125" bestFit="1" customWidth="1"/>
    <col min="10" max="10" width="19.28515625" bestFit="1" customWidth="1"/>
    <col min="11" max="11" width="12.140625" bestFit="1" customWidth="1"/>
    <col min="12" max="12" width="10.140625" style="64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3" t="s">
        <v>472</v>
      </c>
      <c r="M1" s="38" t="s">
        <v>476</v>
      </c>
    </row>
    <row r="2" spans="1:13" x14ac:dyDescent="0.25">
      <c r="A2" t="s">
        <v>477</v>
      </c>
      <c r="B2" t="s">
        <v>119</v>
      </c>
      <c r="C2">
        <v>1</v>
      </c>
      <c r="D2" t="s">
        <v>84</v>
      </c>
      <c r="E2" t="s">
        <v>478</v>
      </c>
      <c r="F2" t="s">
        <v>479</v>
      </c>
      <c r="G2" s="39">
        <v>43152</v>
      </c>
      <c r="H2">
        <v>33</v>
      </c>
      <c r="I2">
        <v>4110600</v>
      </c>
      <c r="J2" t="s">
        <v>473</v>
      </c>
      <c r="K2">
        <v>2660</v>
      </c>
      <c r="L2" s="64">
        <v>2976186</v>
      </c>
      <c r="M2">
        <v>4996.7</v>
      </c>
    </row>
    <row r="3" spans="1:13" x14ac:dyDescent="0.25">
      <c r="A3" t="s">
        <v>477</v>
      </c>
      <c r="B3" t="s">
        <v>145</v>
      </c>
      <c r="C3">
        <v>1</v>
      </c>
      <c r="D3" t="s">
        <v>84</v>
      </c>
      <c r="E3" t="s">
        <v>478</v>
      </c>
      <c r="F3" t="s">
        <v>479</v>
      </c>
      <c r="G3" s="39">
        <v>43518</v>
      </c>
      <c r="H3">
        <v>33</v>
      </c>
      <c r="I3">
        <v>4110600</v>
      </c>
      <c r="J3" t="s">
        <v>473</v>
      </c>
      <c r="K3">
        <v>5253</v>
      </c>
      <c r="L3" s="64">
        <v>5548783</v>
      </c>
      <c r="M3">
        <v>8480.1</v>
      </c>
    </row>
    <row r="4" spans="1:13" x14ac:dyDescent="0.25">
      <c r="A4" t="s">
        <v>477</v>
      </c>
      <c r="B4" t="s">
        <v>145</v>
      </c>
      <c r="C4">
        <v>1</v>
      </c>
      <c r="D4" t="s">
        <v>84</v>
      </c>
      <c r="E4" t="s">
        <v>478</v>
      </c>
      <c r="F4" t="s">
        <v>479</v>
      </c>
      <c r="G4" s="39">
        <v>43789</v>
      </c>
      <c r="H4">
        <v>33</v>
      </c>
      <c r="I4">
        <v>4110600</v>
      </c>
      <c r="J4" t="s">
        <v>473</v>
      </c>
      <c r="K4">
        <v>8690</v>
      </c>
      <c r="L4" s="64">
        <v>5916</v>
      </c>
      <c r="M4">
        <v>7.56</v>
      </c>
    </row>
    <row r="5" spans="1:13" x14ac:dyDescent="0.25">
      <c r="A5" t="s">
        <v>477</v>
      </c>
      <c r="B5" t="s">
        <v>145</v>
      </c>
      <c r="C5">
        <v>1</v>
      </c>
      <c r="D5" t="s">
        <v>84</v>
      </c>
      <c r="E5" t="s">
        <v>478</v>
      </c>
      <c r="F5" t="s">
        <v>479</v>
      </c>
      <c r="G5" s="39">
        <v>43789</v>
      </c>
      <c r="H5">
        <v>33</v>
      </c>
      <c r="I5">
        <v>4110600</v>
      </c>
      <c r="J5" t="s">
        <v>473</v>
      </c>
      <c r="K5">
        <v>8796</v>
      </c>
      <c r="L5" s="64">
        <v>5916</v>
      </c>
      <c r="M5">
        <v>7.56</v>
      </c>
    </row>
    <row r="6" spans="1:13" x14ac:dyDescent="0.25">
      <c r="A6" t="s">
        <v>477</v>
      </c>
      <c r="B6" t="s">
        <v>117</v>
      </c>
      <c r="C6">
        <v>1</v>
      </c>
      <c r="D6" t="s">
        <v>84</v>
      </c>
      <c r="E6" t="s">
        <v>478</v>
      </c>
      <c r="F6" t="s">
        <v>479</v>
      </c>
      <c r="G6" s="39">
        <v>43188</v>
      </c>
      <c r="H6">
        <v>33</v>
      </c>
      <c r="I6">
        <v>4110600</v>
      </c>
      <c r="J6" t="s">
        <v>473</v>
      </c>
      <c r="K6">
        <v>2965</v>
      </c>
      <c r="L6" s="64">
        <v>2970366</v>
      </c>
      <c r="M6">
        <v>4907.59</v>
      </c>
    </row>
    <row r="7" spans="1:13" x14ac:dyDescent="0.25">
      <c r="A7" t="s">
        <v>477</v>
      </c>
      <c r="B7" t="s">
        <v>147</v>
      </c>
      <c r="C7">
        <v>1</v>
      </c>
      <c r="D7" t="s">
        <v>84</v>
      </c>
      <c r="E7" t="s">
        <v>478</v>
      </c>
      <c r="F7" t="s">
        <v>479</v>
      </c>
      <c r="G7" s="39">
        <v>43543</v>
      </c>
      <c r="H7">
        <v>33</v>
      </c>
      <c r="I7">
        <v>4110600</v>
      </c>
      <c r="J7" t="s">
        <v>473</v>
      </c>
      <c r="K7">
        <v>5420</v>
      </c>
      <c r="L7" s="64">
        <v>5511858</v>
      </c>
      <c r="M7">
        <v>8261.0499999999993</v>
      </c>
    </row>
    <row r="8" spans="1:13" x14ac:dyDescent="0.25">
      <c r="A8" t="s">
        <v>477</v>
      </c>
      <c r="B8" t="s">
        <v>147</v>
      </c>
      <c r="C8">
        <v>1</v>
      </c>
      <c r="D8" t="s">
        <v>84</v>
      </c>
      <c r="E8" t="s">
        <v>478</v>
      </c>
      <c r="F8" t="s">
        <v>479</v>
      </c>
      <c r="G8" s="39">
        <v>43581</v>
      </c>
      <c r="H8">
        <v>33</v>
      </c>
      <c r="I8">
        <v>4110600</v>
      </c>
      <c r="J8" t="s">
        <v>473</v>
      </c>
      <c r="K8">
        <v>6437</v>
      </c>
      <c r="L8" s="64">
        <v>940</v>
      </c>
      <c r="M8">
        <v>1.39</v>
      </c>
    </row>
    <row r="9" spans="1:13" x14ac:dyDescent="0.25">
      <c r="A9" t="s">
        <v>477</v>
      </c>
      <c r="B9" t="s">
        <v>118</v>
      </c>
      <c r="C9">
        <v>1</v>
      </c>
      <c r="D9" t="s">
        <v>84</v>
      </c>
      <c r="E9" t="s">
        <v>478</v>
      </c>
      <c r="F9" t="s">
        <v>479</v>
      </c>
      <c r="G9" s="39">
        <v>43208</v>
      </c>
      <c r="H9">
        <v>33</v>
      </c>
      <c r="I9">
        <v>4110600</v>
      </c>
      <c r="J9" t="s">
        <v>473</v>
      </c>
      <c r="K9">
        <v>3190</v>
      </c>
      <c r="L9" s="64">
        <v>2906148</v>
      </c>
      <c r="M9">
        <v>4877.5600000000004</v>
      </c>
    </row>
    <row r="10" spans="1:13" x14ac:dyDescent="0.25">
      <c r="A10" t="s">
        <v>477</v>
      </c>
      <c r="B10" t="s">
        <v>149</v>
      </c>
      <c r="C10">
        <v>1</v>
      </c>
      <c r="D10" t="s">
        <v>84</v>
      </c>
      <c r="E10" t="s">
        <v>478</v>
      </c>
      <c r="F10" t="s">
        <v>479</v>
      </c>
      <c r="G10" s="39">
        <v>43585</v>
      </c>
      <c r="H10">
        <v>33</v>
      </c>
      <c r="I10">
        <v>4110600</v>
      </c>
      <c r="J10" t="s">
        <v>473</v>
      </c>
      <c r="K10">
        <v>6455</v>
      </c>
      <c r="L10" s="64">
        <v>5412779</v>
      </c>
      <c r="M10">
        <v>7987.34</v>
      </c>
    </row>
    <row r="11" spans="1:13" x14ac:dyDescent="0.25">
      <c r="A11" t="s">
        <v>477</v>
      </c>
      <c r="B11" t="s">
        <v>149</v>
      </c>
      <c r="C11">
        <v>1</v>
      </c>
      <c r="D11" t="s">
        <v>84</v>
      </c>
      <c r="E11" t="s">
        <v>478</v>
      </c>
      <c r="F11" t="s">
        <v>479</v>
      </c>
      <c r="G11" s="39">
        <v>43789</v>
      </c>
      <c r="I11">
        <v>4110600</v>
      </c>
      <c r="J11" t="s">
        <v>473</v>
      </c>
      <c r="L11" s="64">
        <v>2396</v>
      </c>
      <c r="M11">
        <v>3.06</v>
      </c>
    </row>
    <row r="12" spans="1:13" x14ac:dyDescent="0.25">
      <c r="A12" t="s">
        <v>477</v>
      </c>
      <c r="B12" t="s">
        <v>149</v>
      </c>
      <c r="C12">
        <v>1</v>
      </c>
      <c r="D12" t="s">
        <v>84</v>
      </c>
      <c r="E12" t="s">
        <v>478</v>
      </c>
      <c r="F12" t="s">
        <v>479</v>
      </c>
      <c r="G12" s="39">
        <v>43789</v>
      </c>
      <c r="H12">
        <v>33</v>
      </c>
      <c r="I12">
        <v>4110600</v>
      </c>
      <c r="J12" t="s">
        <v>473</v>
      </c>
      <c r="K12">
        <v>8710</v>
      </c>
      <c r="L12" s="64">
        <v>2396</v>
      </c>
      <c r="M12">
        <v>3.06</v>
      </c>
    </row>
    <row r="13" spans="1:13" x14ac:dyDescent="0.25">
      <c r="A13" t="s">
        <v>477</v>
      </c>
      <c r="B13" t="s">
        <v>112</v>
      </c>
      <c r="C13">
        <v>1</v>
      </c>
      <c r="D13" t="s">
        <v>84</v>
      </c>
      <c r="E13" t="s">
        <v>478</v>
      </c>
      <c r="F13" t="s">
        <v>479</v>
      </c>
      <c r="G13" s="39">
        <v>43245</v>
      </c>
      <c r="H13">
        <v>33</v>
      </c>
      <c r="I13">
        <v>4110600</v>
      </c>
      <c r="J13" t="s">
        <v>473</v>
      </c>
      <c r="K13">
        <v>3375</v>
      </c>
      <c r="L13" s="64">
        <v>2017272</v>
      </c>
      <c r="M13">
        <v>3231.2</v>
      </c>
    </row>
    <row r="14" spans="1:13" x14ac:dyDescent="0.25">
      <c r="A14" t="s">
        <v>477</v>
      </c>
      <c r="B14" t="s">
        <v>150</v>
      </c>
      <c r="C14">
        <v>1</v>
      </c>
      <c r="D14" t="s">
        <v>84</v>
      </c>
      <c r="E14" t="s">
        <v>478</v>
      </c>
      <c r="F14" t="s">
        <v>479</v>
      </c>
      <c r="G14" s="39">
        <v>43601</v>
      </c>
      <c r="H14">
        <v>33</v>
      </c>
      <c r="I14">
        <v>4110600</v>
      </c>
      <c r="J14" t="s">
        <v>473</v>
      </c>
      <c r="K14">
        <v>6506</v>
      </c>
      <c r="L14" s="64">
        <v>3662698</v>
      </c>
      <c r="M14">
        <v>5288.18</v>
      </c>
    </row>
    <row r="15" spans="1:13" x14ac:dyDescent="0.25">
      <c r="A15" t="s">
        <v>477</v>
      </c>
      <c r="B15" t="s">
        <v>150</v>
      </c>
      <c r="C15">
        <v>1</v>
      </c>
      <c r="D15" t="s">
        <v>84</v>
      </c>
      <c r="E15" t="s">
        <v>478</v>
      </c>
      <c r="F15" t="s">
        <v>479</v>
      </c>
      <c r="G15" s="39">
        <v>43789</v>
      </c>
      <c r="I15">
        <v>4110600</v>
      </c>
      <c r="J15" t="s">
        <v>473</v>
      </c>
      <c r="L15" s="64">
        <v>4987</v>
      </c>
      <c r="M15">
        <v>6.37</v>
      </c>
    </row>
    <row r="16" spans="1:13" x14ac:dyDescent="0.25">
      <c r="A16" t="s">
        <v>477</v>
      </c>
      <c r="B16" t="s">
        <v>150</v>
      </c>
      <c r="C16">
        <v>1</v>
      </c>
      <c r="D16" t="s">
        <v>84</v>
      </c>
      <c r="E16" t="s">
        <v>478</v>
      </c>
      <c r="F16" t="s">
        <v>479</v>
      </c>
      <c r="G16" s="39">
        <v>43789</v>
      </c>
      <c r="H16">
        <v>33</v>
      </c>
      <c r="I16">
        <v>4110600</v>
      </c>
      <c r="J16" t="s">
        <v>473</v>
      </c>
      <c r="K16">
        <v>8735</v>
      </c>
      <c r="L16" s="64">
        <v>4987</v>
      </c>
      <c r="M16">
        <v>6.37</v>
      </c>
    </row>
    <row r="17" spans="1:13" x14ac:dyDescent="0.25">
      <c r="A17" t="s">
        <v>477</v>
      </c>
      <c r="B17" t="s">
        <v>120</v>
      </c>
      <c r="C17">
        <v>1</v>
      </c>
      <c r="D17" t="s">
        <v>84</v>
      </c>
      <c r="E17" t="s">
        <v>478</v>
      </c>
      <c r="F17" t="s">
        <v>479</v>
      </c>
      <c r="G17" s="39">
        <v>43266</v>
      </c>
      <c r="H17">
        <v>33</v>
      </c>
      <c r="I17">
        <v>4110600</v>
      </c>
      <c r="J17" t="s">
        <v>473</v>
      </c>
      <c r="K17">
        <v>3630</v>
      </c>
      <c r="L17" s="64">
        <v>1971676</v>
      </c>
      <c r="M17">
        <v>3109.95</v>
      </c>
    </row>
    <row r="18" spans="1:13" x14ac:dyDescent="0.25">
      <c r="A18" t="s">
        <v>477</v>
      </c>
      <c r="B18" t="s">
        <v>152</v>
      </c>
      <c r="C18">
        <v>1</v>
      </c>
      <c r="D18" t="s">
        <v>84</v>
      </c>
      <c r="E18" t="s">
        <v>478</v>
      </c>
      <c r="F18" t="s">
        <v>479</v>
      </c>
      <c r="G18" s="39">
        <v>43634</v>
      </c>
      <c r="H18">
        <v>33</v>
      </c>
      <c r="I18">
        <v>4110600</v>
      </c>
      <c r="J18" t="s">
        <v>473</v>
      </c>
      <c r="K18">
        <v>6776</v>
      </c>
      <c r="L18" s="64">
        <v>3863654</v>
      </c>
      <c r="M18">
        <v>5523.29</v>
      </c>
    </row>
    <row r="19" spans="1:13" x14ac:dyDescent="0.25">
      <c r="A19" t="s">
        <v>477</v>
      </c>
      <c r="B19" t="s">
        <v>126</v>
      </c>
      <c r="C19">
        <v>1</v>
      </c>
      <c r="D19" t="s">
        <v>84</v>
      </c>
      <c r="E19" t="s">
        <v>478</v>
      </c>
      <c r="F19" t="s">
        <v>479</v>
      </c>
      <c r="G19" s="39">
        <v>43294</v>
      </c>
      <c r="H19">
        <v>33</v>
      </c>
      <c r="I19">
        <v>4110600</v>
      </c>
      <c r="J19" t="s">
        <v>473</v>
      </c>
      <c r="K19">
        <v>3770</v>
      </c>
      <c r="L19" s="64">
        <v>1881616</v>
      </c>
      <c r="M19">
        <v>2903.5</v>
      </c>
    </row>
    <row r="20" spans="1:13" x14ac:dyDescent="0.25">
      <c r="A20" t="s">
        <v>477</v>
      </c>
      <c r="B20" t="s">
        <v>153</v>
      </c>
      <c r="C20">
        <v>1</v>
      </c>
      <c r="D20" t="s">
        <v>84</v>
      </c>
      <c r="E20" t="s">
        <v>478</v>
      </c>
      <c r="F20" t="s">
        <v>479</v>
      </c>
      <c r="G20" s="39">
        <v>43658</v>
      </c>
      <c r="H20">
        <v>33</v>
      </c>
      <c r="I20">
        <v>4110600</v>
      </c>
      <c r="J20" t="s">
        <v>473</v>
      </c>
      <c r="K20">
        <v>6977</v>
      </c>
      <c r="L20" s="64">
        <v>3578184</v>
      </c>
      <c r="M20">
        <v>5236.01</v>
      </c>
    </row>
    <row r="21" spans="1:13" x14ac:dyDescent="0.25">
      <c r="A21" t="s">
        <v>477</v>
      </c>
      <c r="B21" t="s">
        <v>153</v>
      </c>
      <c r="C21">
        <v>1</v>
      </c>
      <c r="D21" t="s">
        <v>84</v>
      </c>
      <c r="E21" t="s">
        <v>478</v>
      </c>
      <c r="F21" t="s">
        <v>479</v>
      </c>
      <c r="G21" s="39">
        <v>43789</v>
      </c>
      <c r="I21">
        <v>4110600</v>
      </c>
      <c r="J21" t="s">
        <v>473</v>
      </c>
      <c r="L21" s="64">
        <v>8039</v>
      </c>
      <c r="M21">
        <v>10.28</v>
      </c>
    </row>
    <row r="22" spans="1:13" x14ac:dyDescent="0.25">
      <c r="A22" t="s">
        <v>477</v>
      </c>
      <c r="B22" t="s">
        <v>153</v>
      </c>
      <c r="C22">
        <v>1</v>
      </c>
      <c r="D22" t="s">
        <v>84</v>
      </c>
      <c r="E22" t="s">
        <v>478</v>
      </c>
      <c r="F22" t="s">
        <v>479</v>
      </c>
      <c r="G22" s="39">
        <v>43789</v>
      </c>
      <c r="H22">
        <v>33</v>
      </c>
      <c r="I22">
        <v>4110600</v>
      </c>
      <c r="J22" t="s">
        <v>473</v>
      </c>
      <c r="K22">
        <v>8764</v>
      </c>
      <c r="L22" s="64">
        <v>8039</v>
      </c>
      <c r="M22">
        <v>10.28</v>
      </c>
    </row>
    <row r="23" spans="1:13" x14ac:dyDescent="0.25">
      <c r="A23" t="s">
        <v>477</v>
      </c>
      <c r="B23" t="s">
        <v>139</v>
      </c>
      <c r="C23">
        <v>1</v>
      </c>
      <c r="D23" t="s">
        <v>84</v>
      </c>
      <c r="E23" t="s">
        <v>478</v>
      </c>
      <c r="F23" t="s">
        <v>479</v>
      </c>
      <c r="G23" s="39">
        <v>43329</v>
      </c>
      <c r="H23">
        <v>33</v>
      </c>
      <c r="I23">
        <v>4110600</v>
      </c>
      <c r="J23" t="s">
        <v>473</v>
      </c>
      <c r="K23">
        <v>4135</v>
      </c>
      <c r="L23" s="64">
        <v>1844533</v>
      </c>
      <c r="M23">
        <v>2769.03</v>
      </c>
    </row>
    <row r="24" spans="1:13" x14ac:dyDescent="0.25">
      <c r="A24" t="s">
        <v>477</v>
      </c>
      <c r="B24" t="s">
        <v>146</v>
      </c>
      <c r="C24">
        <v>1</v>
      </c>
      <c r="D24" t="s">
        <v>84</v>
      </c>
      <c r="E24" t="s">
        <v>478</v>
      </c>
      <c r="F24" t="s">
        <v>479</v>
      </c>
      <c r="G24" s="39">
        <v>43691</v>
      </c>
      <c r="H24">
        <v>33</v>
      </c>
      <c r="I24">
        <v>4110600</v>
      </c>
      <c r="J24" t="s">
        <v>473</v>
      </c>
      <c r="K24">
        <v>7372</v>
      </c>
      <c r="L24" s="64">
        <v>3599792</v>
      </c>
      <c r="M24">
        <v>5081.79</v>
      </c>
    </row>
    <row r="25" spans="1:13" x14ac:dyDescent="0.25">
      <c r="A25" t="s">
        <v>477</v>
      </c>
      <c r="B25" t="s">
        <v>140</v>
      </c>
      <c r="C25">
        <v>1</v>
      </c>
      <c r="D25" t="s">
        <v>84</v>
      </c>
      <c r="E25" t="s">
        <v>478</v>
      </c>
      <c r="F25" t="s">
        <v>479</v>
      </c>
      <c r="G25" s="39">
        <v>43356</v>
      </c>
      <c r="H25">
        <v>33</v>
      </c>
      <c r="I25">
        <v>4110600</v>
      </c>
      <c r="J25" t="s">
        <v>473</v>
      </c>
      <c r="K25">
        <v>4315</v>
      </c>
      <c r="L25" s="64">
        <v>1697400</v>
      </c>
      <c r="M25">
        <v>2456.23</v>
      </c>
    </row>
    <row r="26" spans="1:13" x14ac:dyDescent="0.25">
      <c r="A26" t="s">
        <v>477</v>
      </c>
      <c r="B26" t="s">
        <v>151</v>
      </c>
      <c r="C26">
        <v>1</v>
      </c>
      <c r="D26" t="s">
        <v>84</v>
      </c>
      <c r="E26" t="s">
        <v>478</v>
      </c>
      <c r="F26" t="s">
        <v>479</v>
      </c>
      <c r="G26" s="39">
        <v>43720</v>
      </c>
      <c r="H26">
        <v>33</v>
      </c>
      <c r="I26">
        <v>4110600</v>
      </c>
      <c r="J26" t="s">
        <v>473</v>
      </c>
      <c r="K26">
        <v>7848</v>
      </c>
      <c r="L26" s="64">
        <v>3367044</v>
      </c>
      <c r="M26">
        <v>4713.17</v>
      </c>
    </row>
    <row r="27" spans="1:13" x14ac:dyDescent="0.25">
      <c r="A27" t="s">
        <v>477</v>
      </c>
      <c r="B27" t="s">
        <v>113</v>
      </c>
      <c r="C27">
        <v>1</v>
      </c>
      <c r="D27" t="s">
        <v>84</v>
      </c>
      <c r="E27" t="s">
        <v>478</v>
      </c>
      <c r="F27" t="s">
        <v>479</v>
      </c>
      <c r="G27" s="39">
        <v>43392</v>
      </c>
      <c r="H27">
        <v>33</v>
      </c>
      <c r="I27">
        <v>4110600</v>
      </c>
      <c r="J27" t="s">
        <v>473</v>
      </c>
      <c r="K27">
        <v>4513</v>
      </c>
      <c r="L27" s="64">
        <v>1472717</v>
      </c>
      <c r="M27">
        <v>2182.84</v>
      </c>
    </row>
    <row r="28" spans="1:13" x14ac:dyDescent="0.25">
      <c r="A28" t="s">
        <v>477</v>
      </c>
      <c r="B28" t="s">
        <v>154</v>
      </c>
      <c r="C28">
        <v>1</v>
      </c>
      <c r="D28" t="s">
        <v>84</v>
      </c>
      <c r="E28" t="s">
        <v>478</v>
      </c>
      <c r="F28" t="s">
        <v>479</v>
      </c>
      <c r="G28" s="39">
        <v>43754</v>
      </c>
      <c r="H28">
        <v>33</v>
      </c>
      <c r="I28">
        <v>4110600</v>
      </c>
      <c r="J28" t="s">
        <v>473</v>
      </c>
      <c r="K28">
        <v>8168</v>
      </c>
      <c r="L28" s="64">
        <v>3332938</v>
      </c>
      <c r="M28">
        <v>4658.32</v>
      </c>
    </row>
    <row r="29" spans="1:13" x14ac:dyDescent="0.25">
      <c r="A29" t="s">
        <v>477</v>
      </c>
      <c r="B29" t="s">
        <v>114</v>
      </c>
      <c r="C29">
        <v>1</v>
      </c>
      <c r="D29" t="s">
        <v>84</v>
      </c>
      <c r="E29" t="s">
        <v>478</v>
      </c>
      <c r="F29" t="s">
        <v>479</v>
      </c>
      <c r="G29" s="39">
        <v>43431</v>
      </c>
      <c r="H29">
        <v>33</v>
      </c>
      <c r="I29">
        <v>4110600</v>
      </c>
      <c r="J29" t="s">
        <v>473</v>
      </c>
      <c r="K29">
        <v>4847</v>
      </c>
      <c r="L29" s="64">
        <v>1648963</v>
      </c>
      <c r="M29">
        <v>2439.69</v>
      </c>
    </row>
    <row r="30" spans="1:13" x14ac:dyDescent="0.25">
      <c r="A30" t="s">
        <v>477</v>
      </c>
      <c r="B30" t="s">
        <v>156</v>
      </c>
      <c r="C30">
        <v>1</v>
      </c>
      <c r="D30" t="s">
        <v>84</v>
      </c>
      <c r="E30" t="s">
        <v>478</v>
      </c>
      <c r="F30" t="s">
        <v>479</v>
      </c>
      <c r="G30" s="39">
        <v>43783</v>
      </c>
      <c r="H30">
        <v>33</v>
      </c>
      <c r="I30">
        <v>4110600</v>
      </c>
      <c r="J30" t="s">
        <v>473</v>
      </c>
      <c r="K30">
        <v>8549</v>
      </c>
      <c r="L30" s="64">
        <v>4210239</v>
      </c>
      <c r="M30">
        <v>5299.16</v>
      </c>
    </row>
    <row r="31" spans="1:13" x14ac:dyDescent="0.25">
      <c r="A31" t="s">
        <v>477</v>
      </c>
      <c r="B31" t="s">
        <v>115</v>
      </c>
      <c r="C31">
        <v>1</v>
      </c>
      <c r="D31" t="s">
        <v>84</v>
      </c>
      <c r="E31" t="s">
        <v>478</v>
      </c>
      <c r="F31" t="s">
        <v>479</v>
      </c>
      <c r="G31" s="39">
        <v>43448</v>
      </c>
      <c r="H31">
        <v>33</v>
      </c>
      <c r="I31">
        <v>4110600</v>
      </c>
      <c r="J31" t="s">
        <v>473</v>
      </c>
      <c r="K31">
        <v>4953</v>
      </c>
      <c r="L31" s="64">
        <v>2192015</v>
      </c>
      <c r="M31">
        <v>3218.01</v>
      </c>
    </row>
    <row r="32" spans="1:13" x14ac:dyDescent="0.25">
      <c r="A32" t="s">
        <v>477</v>
      </c>
      <c r="B32" t="s">
        <v>155</v>
      </c>
      <c r="C32">
        <v>1</v>
      </c>
      <c r="D32" t="s">
        <v>84</v>
      </c>
      <c r="E32" t="s">
        <v>478</v>
      </c>
      <c r="F32" t="s">
        <v>479</v>
      </c>
      <c r="G32" s="39">
        <v>43816</v>
      </c>
      <c r="H32">
        <v>33</v>
      </c>
      <c r="I32">
        <v>4110600</v>
      </c>
      <c r="J32" t="s">
        <v>473</v>
      </c>
      <c r="K32">
        <v>9039</v>
      </c>
      <c r="L32" s="64">
        <v>5194344</v>
      </c>
      <c r="M32">
        <v>6809.31</v>
      </c>
    </row>
    <row r="33" spans="1:13" x14ac:dyDescent="0.25">
      <c r="A33" t="s">
        <v>477</v>
      </c>
      <c r="B33" t="s">
        <v>116</v>
      </c>
      <c r="C33">
        <v>1</v>
      </c>
      <c r="D33" t="s">
        <v>84</v>
      </c>
      <c r="E33" t="s">
        <v>478</v>
      </c>
      <c r="F33" t="s">
        <v>479</v>
      </c>
      <c r="G33" s="39">
        <v>43486</v>
      </c>
      <c r="H33">
        <v>33</v>
      </c>
      <c r="I33">
        <v>4110600</v>
      </c>
      <c r="J33" t="s">
        <v>473</v>
      </c>
      <c r="K33">
        <v>5148</v>
      </c>
      <c r="L33" s="64">
        <v>2970075</v>
      </c>
      <c r="M33">
        <v>4432.29</v>
      </c>
    </row>
    <row r="34" spans="1:13" x14ac:dyDescent="0.25">
      <c r="G34" s="39"/>
    </row>
    <row r="35" spans="1:13" x14ac:dyDescent="0.25">
      <c r="G35" s="39"/>
    </row>
    <row r="36" spans="1:13" x14ac:dyDescent="0.25">
      <c r="G36" s="39"/>
    </row>
    <row r="37" spans="1:13" x14ac:dyDescent="0.25">
      <c r="G37" s="39"/>
    </row>
    <row r="38" spans="1:13" x14ac:dyDescent="0.25">
      <c r="G38" s="39"/>
    </row>
    <row r="39" spans="1:13" x14ac:dyDescent="0.25">
      <c r="G39" s="39"/>
    </row>
    <row r="40" spans="1:13" x14ac:dyDescent="0.25">
      <c r="G40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25B3-75D0-463D-AA45-860E81A1E611}">
  <sheetPr>
    <tabColor theme="9" tint="0.59999389629810485"/>
  </sheetPr>
  <dimension ref="A1:M24"/>
  <sheetViews>
    <sheetView workbookViewId="0">
      <selection activeCell="L1" sqref="L1:L1048576"/>
    </sheetView>
  </sheetViews>
  <sheetFormatPr baseColWidth="10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9" max="9" width="15.42578125" bestFit="1" customWidth="1"/>
    <col min="10" max="10" width="20.5703125" bestFit="1" customWidth="1"/>
    <col min="11" max="11" width="12.140625" bestFit="1" customWidth="1"/>
    <col min="12" max="12" width="10.140625" style="64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3" t="s">
        <v>472</v>
      </c>
      <c r="M1" s="38" t="s">
        <v>476</v>
      </c>
    </row>
    <row r="2" spans="1:13" x14ac:dyDescent="0.25">
      <c r="A2" t="s">
        <v>477</v>
      </c>
      <c r="B2" t="s">
        <v>119</v>
      </c>
      <c r="C2">
        <v>1</v>
      </c>
      <c r="D2" t="s">
        <v>84</v>
      </c>
      <c r="E2" t="s">
        <v>478</v>
      </c>
      <c r="F2" t="s">
        <v>479</v>
      </c>
      <c r="G2" s="39">
        <v>43152</v>
      </c>
      <c r="H2">
        <v>33</v>
      </c>
      <c r="I2">
        <v>4110700</v>
      </c>
      <c r="J2" t="s">
        <v>474</v>
      </c>
      <c r="K2">
        <v>2660</v>
      </c>
      <c r="L2" s="64">
        <v>241227</v>
      </c>
      <c r="M2">
        <v>404.99</v>
      </c>
    </row>
    <row r="3" spans="1:13" x14ac:dyDescent="0.25">
      <c r="A3" t="s">
        <v>477</v>
      </c>
      <c r="B3" t="s">
        <v>145</v>
      </c>
      <c r="C3">
        <v>1</v>
      </c>
      <c r="D3" t="s">
        <v>84</v>
      </c>
      <c r="E3" t="s">
        <v>478</v>
      </c>
      <c r="F3" t="s">
        <v>479</v>
      </c>
      <c r="G3" s="39">
        <v>43518</v>
      </c>
      <c r="H3">
        <v>33</v>
      </c>
      <c r="I3">
        <v>4110700</v>
      </c>
      <c r="J3" t="s">
        <v>474</v>
      </c>
      <c r="K3">
        <v>5253</v>
      </c>
      <c r="L3" s="64">
        <v>501158</v>
      </c>
      <c r="M3">
        <v>765.91</v>
      </c>
    </row>
    <row r="4" spans="1:13" x14ac:dyDescent="0.25">
      <c r="A4" t="s">
        <v>477</v>
      </c>
      <c r="B4" t="s">
        <v>117</v>
      </c>
      <c r="C4">
        <v>1</v>
      </c>
      <c r="D4" t="s">
        <v>84</v>
      </c>
      <c r="E4" t="s">
        <v>478</v>
      </c>
      <c r="F4" t="s">
        <v>479</v>
      </c>
      <c r="G4" s="39">
        <v>43188</v>
      </c>
      <c r="H4">
        <v>33</v>
      </c>
      <c r="I4">
        <v>4110700</v>
      </c>
      <c r="J4" t="s">
        <v>474</v>
      </c>
      <c r="K4">
        <v>2965</v>
      </c>
      <c r="L4" s="64">
        <v>241845</v>
      </c>
      <c r="M4">
        <v>399.57</v>
      </c>
    </row>
    <row r="5" spans="1:13" x14ac:dyDescent="0.25">
      <c r="A5" t="s">
        <v>477</v>
      </c>
      <c r="B5" t="s">
        <v>147</v>
      </c>
      <c r="C5">
        <v>1</v>
      </c>
      <c r="D5" t="s">
        <v>84</v>
      </c>
      <c r="E5" t="s">
        <v>478</v>
      </c>
      <c r="F5" t="s">
        <v>479</v>
      </c>
      <c r="G5" s="39">
        <v>43543</v>
      </c>
      <c r="H5">
        <v>33</v>
      </c>
      <c r="I5">
        <v>4110700</v>
      </c>
      <c r="J5" t="s">
        <v>474</v>
      </c>
      <c r="K5">
        <v>5420</v>
      </c>
      <c r="L5" s="64">
        <v>501163</v>
      </c>
      <c r="M5">
        <v>751.13</v>
      </c>
    </row>
    <row r="6" spans="1:13" x14ac:dyDescent="0.25">
      <c r="A6" t="s">
        <v>477</v>
      </c>
      <c r="B6" t="s">
        <v>118</v>
      </c>
      <c r="C6">
        <v>1</v>
      </c>
      <c r="D6" t="s">
        <v>84</v>
      </c>
      <c r="E6" t="s">
        <v>478</v>
      </c>
      <c r="F6" t="s">
        <v>479</v>
      </c>
      <c r="G6" s="39">
        <v>43208</v>
      </c>
      <c r="H6">
        <v>33</v>
      </c>
      <c r="I6">
        <v>4110700</v>
      </c>
      <c r="J6" t="s">
        <v>474</v>
      </c>
      <c r="K6">
        <v>3190</v>
      </c>
      <c r="L6" s="64">
        <v>241901</v>
      </c>
      <c r="M6">
        <v>406</v>
      </c>
    </row>
    <row r="7" spans="1:13" x14ac:dyDescent="0.25">
      <c r="A7" t="s">
        <v>477</v>
      </c>
      <c r="B7" t="s">
        <v>149</v>
      </c>
      <c r="C7">
        <v>1</v>
      </c>
      <c r="D7" t="s">
        <v>84</v>
      </c>
      <c r="E7" t="s">
        <v>478</v>
      </c>
      <c r="F7" t="s">
        <v>479</v>
      </c>
      <c r="G7" s="39">
        <v>43585</v>
      </c>
      <c r="H7">
        <v>33</v>
      </c>
      <c r="I7">
        <v>4110700</v>
      </c>
      <c r="J7" t="s">
        <v>474</v>
      </c>
      <c r="K7">
        <v>6455</v>
      </c>
      <c r="L7" s="64">
        <v>501181</v>
      </c>
      <c r="M7">
        <v>739.56</v>
      </c>
    </row>
    <row r="8" spans="1:13" x14ac:dyDescent="0.25">
      <c r="A8" t="s">
        <v>477</v>
      </c>
      <c r="B8" t="s">
        <v>112</v>
      </c>
      <c r="C8">
        <v>1</v>
      </c>
      <c r="D8" t="s">
        <v>84</v>
      </c>
      <c r="E8" t="s">
        <v>478</v>
      </c>
      <c r="F8" t="s">
        <v>479</v>
      </c>
      <c r="G8" s="39">
        <v>43245</v>
      </c>
      <c r="H8">
        <v>33</v>
      </c>
      <c r="I8">
        <v>4110700</v>
      </c>
      <c r="J8" t="s">
        <v>474</v>
      </c>
      <c r="K8">
        <v>3375</v>
      </c>
      <c r="L8" s="64">
        <v>247218</v>
      </c>
      <c r="M8">
        <v>395.99</v>
      </c>
    </row>
    <row r="9" spans="1:13" x14ac:dyDescent="0.25">
      <c r="A9" t="s">
        <v>477</v>
      </c>
      <c r="B9" t="s">
        <v>150</v>
      </c>
      <c r="C9">
        <v>1</v>
      </c>
      <c r="D9" t="s">
        <v>84</v>
      </c>
      <c r="E9" t="s">
        <v>478</v>
      </c>
      <c r="F9" t="s">
        <v>479</v>
      </c>
      <c r="G9" s="39">
        <v>43601</v>
      </c>
      <c r="H9">
        <v>33</v>
      </c>
      <c r="I9">
        <v>4110700</v>
      </c>
      <c r="J9" t="s">
        <v>474</v>
      </c>
      <c r="K9">
        <v>6506</v>
      </c>
      <c r="L9" s="64">
        <v>460407</v>
      </c>
      <c r="M9">
        <v>664.73</v>
      </c>
    </row>
    <row r="10" spans="1:13" x14ac:dyDescent="0.25">
      <c r="A10" t="s">
        <v>477</v>
      </c>
      <c r="B10" t="s">
        <v>120</v>
      </c>
      <c r="C10">
        <v>1</v>
      </c>
      <c r="D10" t="s">
        <v>84</v>
      </c>
      <c r="E10" t="s">
        <v>478</v>
      </c>
      <c r="F10" t="s">
        <v>479</v>
      </c>
      <c r="G10" s="39">
        <v>43266</v>
      </c>
      <c r="H10">
        <v>33</v>
      </c>
      <c r="I10">
        <v>4110700</v>
      </c>
      <c r="J10" t="s">
        <v>474</v>
      </c>
      <c r="K10">
        <v>3630</v>
      </c>
      <c r="L10" s="64">
        <v>241841</v>
      </c>
      <c r="M10">
        <v>381.46</v>
      </c>
    </row>
    <row r="11" spans="1:13" x14ac:dyDescent="0.25">
      <c r="A11" t="s">
        <v>477</v>
      </c>
      <c r="B11" t="s">
        <v>152</v>
      </c>
      <c r="C11">
        <v>1</v>
      </c>
      <c r="D11" t="s">
        <v>84</v>
      </c>
      <c r="E11" t="s">
        <v>478</v>
      </c>
      <c r="F11" t="s">
        <v>479</v>
      </c>
      <c r="G11" s="39">
        <v>43634</v>
      </c>
      <c r="H11">
        <v>33</v>
      </c>
      <c r="I11">
        <v>4110700</v>
      </c>
      <c r="J11" t="s">
        <v>474</v>
      </c>
      <c r="K11">
        <v>6776</v>
      </c>
      <c r="L11" s="64">
        <v>513609</v>
      </c>
      <c r="M11">
        <v>734.23</v>
      </c>
    </row>
    <row r="12" spans="1:13" x14ac:dyDescent="0.25">
      <c r="A12" t="s">
        <v>477</v>
      </c>
      <c r="B12" t="s">
        <v>126</v>
      </c>
      <c r="C12">
        <v>1</v>
      </c>
      <c r="D12" t="s">
        <v>84</v>
      </c>
      <c r="E12" t="s">
        <v>478</v>
      </c>
      <c r="F12" t="s">
        <v>479</v>
      </c>
      <c r="G12" s="39">
        <v>43294</v>
      </c>
      <c r="H12">
        <v>33</v>
      </c>
      <c r="I12">
        <v>4110700</v>
      </c>
      <c r="J12" t="s">
        <v>474</v>
      </c>
      <c r="K12">
        <v>3770</v>
      </c>
      <c r="L12" s="64">
        <v>248282</v>
      </c>
      <c r="M12">
        <v>383.12</v>
      </c>
    </row>
    <row r="13" spans="1:13" x14ac:dyDescent="0.25">
      <c r="A13" t="s">
        <v>477</v>
      </c>
      <c r="B13" t="s">
        <v>153</v>
      </c>
      <c r="C13">
        <v>1</v>
      </c>
      <c r="D13" t="s">
        <v>84</v>
      </c>
      <c r="E13" t="s">
        <v>478</v>
      </c>
      <c r="F13" t="s">
        <v>479</v>
      </c>
      <c r="G13" s="39">
        <v>43658</v>
      </c>
      <c r="H13">
        <v>33</v>
      </c>
      <c r="I13">
        <v>4110700</v>
      </c>
      <c r="J13" t="s">
        <v>474</v>
      </c>
      <c r="K13">
        <v>6977</v>
      </c>
      <c r="L13" s="64">
        <v>519014</v>
      </c>
      <c r="M13">
        <v>759.48</v>
      </c>
    </row>
    <row r="14" spans="1:13" x14ac:dyDescent="0.25">
      <c r="A14" t="s">
        <v>477</v>
      </c>
      <c r="B14" t="s">
        <v>139</v>
      </c>
      <c r="C14">
        <v>1</v>
      </c>
      <c r="D14" t="s">
        <v>84</v>
      </c>
      <c r="E14" t="s">
        <v>478</v>
      </c>
      <c r="F14" t="s">
        <v>479</v>
      </c>
      <c r="G14" s="39">
        <v>43329</v>
      </c>
      <c r="H14">
        <v>33</v>
      </c>
      <c r="I14">
        <v>4110700</v>
      </c>
      <c r="J14" t="s">
        <v>474</v>
      </c>
      <c r="K14">
        <v>4135</v>
      </c>
      <c r="L14" s="64">
        <v>254442</v>
      </c>
      <c r="M14">
        <v>381.97</v>
      </c>
    </row>
    <row r="15" spans="1:13" x14ac:dyDescent="0.25">
      <c r="A15" t="s">
        <v>477</v>
      </c>
      <c r="B15" t="s">
        <v>146</v>
      </c>
      <c r="C15">
        <v>1</v>
      </c>
      <c r="D15" t="s">
        <v>84</v>
      </c>
      <c r="E15" t="s">
        <v>478</v>
      </c>
      <c r="F15" t="s">
        <v>479</v>
      </c>
      <c r="G15" s="39">
        <v>43691</v>
      </c>
      <c r="H15">
        <v>33</v>
      </c>
      <c r="I15">
        <v>4110700</v>
      </c>
      <c r="J15" t="s">
        <v>474</v>
      </c>
      <c r="K15">
        <v>7372</v>
      </c>
      <c r="L15" s="64">
        <v>533638</v>
      </c>
      <c r="M15">
        <v>753.33</v>
      </c>
    </row>
    <row r="16" spans="1:13" x14ac:dyDescent="0.25">
      <c r="A16" t="s">
        <v>477</v>
      </c>
      <c r="B16" t="s">
        <v>140</v>
      </c>
      <c r="C16">
        <v>1</v>
      </c>
      <c r="D16" t="s">
        <v>84</v>
      </c>
      <c r="E16" t="s">
        <v>478</v>
      </c>
      <c r="F16" t="s">
        <v>479</v>
      </c>
      <c r="G16" s="39">
        <v>43356</v>
      </c>
      <c r="H16">
        <v>33</v>
      </c>
      <c r="I16">
        <v>4110700</v>
      </c>
      <c r="J16" t="s">
        <v>474</v>
      </c>
      <c r="K16">
        <v>4315</v>
      </c>
      <c r="L16" s="64">
        <v>255843</v>
      </c>
      <c r="M16">
        <v>370.22</v>
      </c>
    </row>
    <row r="17" spans="1:13" x14ac:dyDescent="0.25">
      <c r="A17" t="s">
        <v>477</v>
      </c>
      <c r="B17" t="s">
        <v>151</v>
      </c>
      <c r="C17">
        <v>1</v>
      </c>
      <c r="D17" t="s">
        <v>84</v>
      </c>
      <c r="E17" t="s">
        <v>478</v>
      </c>
      <c r="F17" t="s">
        <v>479</v>
      </c>
      <c r="G17" s="39">
        <v>43720</v>
      </c>
      <c r="H17">
        <v>33</v>
      </c>
      <c r="I17">
        <v>4110700</v>
      </c>
      <c r="J17" t="s">
        <v>474</v>
      </c>
      <c r="K17">
        <v>7848</v>
      </c>
      <c r="L17" s="64">
        <v>533935</v>
      </c>
      <c r="M17">
        <v>747.4</v>
      </c>
    </row>
    <row r="18" spans="1:13" x14ac:dyDescent="0.25">
      <c r="A18" t="s">
        <v>477</v>
      </c>
      <c r="B18" t="s">
        <v>113</v>
      </c>
      <c r="C18">
        <v>1</v>
      </c>
      <c r="D18" t="s">
        <v>84</v>
      </c>
      <c r="E18" t="s">
        <v>478</v>
      </c>
      <c r="F18" t="s">
        <v>479</v>
      </c>
      <c r="G18" s="39">
        <v>43392</v>
      </c>
      <c r="H18">
        <v>33</v>
      </c>
      <c r="I18">
        <v>4110700</v>
      </c>
      <c r="J18" t="s">
        <v>474</v>
      </c>
      <c r="K18">
        <v>4513</v>
      </c>
      <c r="L18" s="64">
        <v>237076</v>
      </c>
      <c r="M18">
        <v>351.39</v>
      </c>
    </row>
    <row r="19" spans="1:13" x14ac:dyDescent="0.25">
      <c r="A19" t="s">
        <v>477</v>
      </c>
      <c r="B19" t="s">
        <v>154</v>
      </c>
      <c r="C19">
        <v>1</v>
      </c>
      <c r="D19" t="s">
        <v>84</v>
      </c>
      <c r="E19" t="s">
        <v>478</v>
      </c>
      <c r="F19" t="s">
        <v>479</v>
      </c>
      <c r="G19" s="39">
        <v>43754</v>
      </c>
      <c r="H19">
        <v>33</v>
      </c>
      <c r="I19">
        <v>4110700</v>
      </c>
      <c r="J19" t="s">
        <v>474</v>
      </c>
      <c r="K19">
        <v>8168</v>
      </c>
      <c r="L19" s="64">
        <v>566640</v>
      </c>
      <c r="M19">
        <v>791.97</v>
      </c>
    </row>
    <row r="20" spans="1:13" x14ac:dyDescent="0.25">
      <c r="A20" t="s">
        <v>477</v>
      </c>
      <c r="B20" t="s">
        <v>114</v>
      </c>
      <c r="C20">
        <v>1</v>
      </c>
      <c r="D20" t="s">
        <v>84</v>
      </c>
      <c r="E20" t="s">
        <v>478</v>
      </c>
      <c r="F20" t="s">
        <v>479</v>
      </c>
      <c r="G20" s="39">
        <v>43431</v>
      </c>
      <c r="H20">
        <v>33</v>
      </c>
      <c r="I20">
        <v>4110700</v>
      </c>
      <c r="J20" t="s">
        <v>474</v>
      </c>
      <c r="K20">
        <v>4847</v>
      </c>
      <c r="L20" s="64">
        <v>239743</v>
      </c>
      <c r="M20">
        <v>354.71</v>
      </c>
    </row>
    <row r="21" spans="1:13" x14ac:dyDescent="0.25">
      <c r="A21" t="s">
        <v>477</v>
      </c>
      <c r="B21" t="s">
        <v>156</v>
      </c>
      <c r="C21">
        <v>1</v>
      </c>
      <c r="D21" t="s">
        <v>84</v>
      </c>
      <c r="E21" t="s">
        <v>478</v>
      </c>
      <c r="F21" t="s">
        <v>479</v>
      </c>
      <c r="G21" s="39">
        <v>43783</v>
      </c>
      <c r="H21">
        <v>33</v>
      </c>
      <c r="I21">
        <v>4110700</v>
      </c>
      <c r="J21" t="s">
        <v>474</v>
      </c>
      <c r="K21">
        <v>8549</v>
      </c>
      <c r="L21" s="64">
        <v>534330</v>
      </c>
      <c r="M21">
        <v>672.53</v>
      </c>
    </row>
    <row r="22" spans="1:13" x14ac:dyDescent="0.25">
      <c r="A22" t="s">
        <v>477</v>
      </c>
      <c r="B22" t="s">
        <v>115</v>
      </c>
      <c r="C22">
        <v>1</v>
      </c>
      <c r="D22" t="s">
        <v>84</v>
      </c>
      <c r="E22" t="s">
        <v>478</v>
      </c>
      <c r="F22" t="s">
        <v>479</v>
      </c>
      <c r="G22" s="39">
        <v>43448</v>
      </c>
      <c r="H22">
        <v>33</v>
      </c>
      <c r="I22">
        <v>4110700</v>
      </c>
      <c r="J22" t="s">
        <v>474</v>
      </c>
      <c r="K22">
        <v>4953</v>
      </c>
      <c r="L22" s="64">
        <v>239740</v>
      </c>
      <c r="M22">
        <v>351.95</v>
      </c>
    </row>
    <row r="23" spans="1:13" x14ac:dyDescent="0.25">
      <c r="A23" t="s">
        <v>477</v>
      </c>
      <c r="B23" t="s">
        <v>155</v>
      </c>
      <c r="C23">
        <v>1</v>
      </c>
      <c r="D23" t="s">
        <v>84</v>
      </c>
      <c r="E23" t="s">
        <v>478</v>
      </c>
      <c r="F23" t="s">
        <v>479</v>
      </c>
      <c r="G23" s="39">
        <v>43816</v>
      </c>
      <c r="H23">
        <v>33</v>
      </c>
      <c r="I23">
        <v>4110700</v>
      </c>
      <c r="J23" t="s">
        <v>474</v>
      </c>
      <c r="K23">
        <v>9039</v>
      </c>
      <c r="L23" s="64">
        <v>534421</v>
      </c>
      <c r="M23">
        <v>700.58</v>
      </c>
    </row>
    <row r="24" spans="1:13" x14ac:dyDescent="0.25">
      <c r="A24" t="s">
        <v>477</v>
      </c>
      <c r="B24" t="s">
        <v>116</v>
      </c>
      <c r="C24">
        <v>1</v>
      </c>
      <c r="D24" t="s">
        <v>84</v>
      </c>
      <c r="E24" t="s">
        <v>478</v>
      </c>
      <c r="F24" t="s">
        <v>479</v>
      </c>
      <c r="G24" s="39">
        <v>43486</v>
      </c>
      <c r="H24">
        <v>33</v>
      </c>
      <c r="I24">
        <v>4110700</v>
      </c>
      <c r="J24" t="s">
        <v>474</v>
      </c>
      <c r="K24">
        <v>5148</v>
      </c>
      <c r="L24" s="64">
        <v>239731</v>
      </c>
      <c r="M24">
        <v>357.75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4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6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4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6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6" bestFit="1" customWidth="1"/>
    <col min="63" max="63" width="48.7109375" style="64" bestFit="1" customWidth="1"/>
  </cols>
  <sheetData>
    <row r="1" spans="1:63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362</v>
      </c>
      <c r="G1" s="38" t="s">
        <v>363</v>
      </c>
      <c r="H1" s="38" t="s">
        <v>364</v>
      </c>
      <c r="I1" s="38" t="s">
        <v>365</v>
      </c>
      <c r="J1" s="38" t="s">
        <v>10</v>
      </c>
      <c r="K1" s="38" t="s">
        <v>366</v>
      </c>
      <c r="L1" s="38" t="s">
        <v>367</v>
      </c>
      <c r="M1" s="38" t="s">
        <v>368</v>
      </c>
      <c r="N1" s="38" t="s">
        <v>369</v>
      </c>
      <c r="O1" s="38" t="s">
        <v>370</v>
      </c>
      <c r="P1" s="38" t="s">
        <v>42</v>
      </c>
      <c r="Q1" s="38" t="s">
        <v>371</v>
      </c>
      <c r="R1" s="38" t="s">
        <v>372</v>
      </c>
      <c r="S1" s="38" t="s">
        <v>373</v>
      </c>
      <c r="T1" s="38" t="s">
        <v>374</v>
      </c>
      <c r="U1" s="38" t="s">
        <v>375</v>
      </c>
      <c r="V1" s="38" t="s">
        <v>376</v>
      </c>
      <c r="W1" s="38" t="s">
        <v>377</v>
      </c>
      <c r="X1" s="38" t="s">
        <v>378</v>
      </c>
      <c r="Y1" s="38" t="s">
        <v>379</v>
      </c>
      <c r="Z1" s="63" t="s">
        <v>380</v>
      </c>
      <c r="AA1" s="38" t="s">
        <v>386</v>
      </c>
      <c r="AB1" s="38" t="s">
        <v>387</v>
      </c>
      <c r="AC1" s="38" t="s">
        <v>388</v>
      </c>
      <c r="AD1" s="38" t="s">
        <v>389</v>
      </c>
      <c r="AE1" s="38" t="s">
        <v>390</v>
      </c>
      <c r="AF1" s="38" t="s">
        <v>391</v>
      </c>
      <c r="AG1" s="38" t="s">
        <v>392</v>
      </c>
      <c r="AH1" s="38" t="s">
        <v>393</v>
      </c>
      <c r="AI1" s="38" t="s">
        <v>394</v>
      </c>
      <c r="AJ1" s="38" t="s">
        <v>395</v>
      </c>
      <c r="AK1" s="38" t="s">
        <v>396</v>
      </c>
      <c r="AL1" s="65" t="s">
        <v>397</v>
      </c>
      <c r="AM1" s="38" t="s">
        <v>398</v>
      </c>
      <c r="AN1" s="38" t="s">
        <v>399</v>
      </c>
      <c r="AO1" s="38" t="s">
        <v>400</v>
      </c>
      <c r="AP1" s="38" t="s">
        <v>401</v>
      </c>
      <c r="AQ1" s="38" t="s">
        <v>402</v>
      </c>
      <c r="AR1" s="38" t="s">
        <v>403</v>
      </c>
      <c r="AS1" s="63" t="s">
        <v>456</v>
      </c>
      <c r="AT1" s="38" t="s">
        <v>405</v>
      </c>
      <c r="AU1" s="38" t="s">
        <v>406</v>
      </c>
      <c r="AV1" s="38" t="s">
        <v>407</v>
      </c>
      <c r="AW1" s="38" t="s">
        <v>408</v>
      </c>
      <c r="AX1" s="38" t="s">
        <v>409</v>
      </c>
      <c r="AY1" s="38" t="s">
        <v>410</v>
      </c>
      <c r="AZ1" s="38" t="s">
        <v>411</v>
      </c>
      <c r="BA1" s="38" t="s">
        <v>412</v>
      </c>
      <c r="BB1" s="38" t="s">
        <v>413</v>
      </c>
      <c r="BC1" s="38" t="s">
        <v>414</v>
      </c>
      <c r="BD1" s="38" t="s">
        <v>415</v>
      </c>
      <c r="BE1" s="65" t="s">
        <v>416</v>
      </c>
      <c r="BF1" s="38" t="s">
        <v>417</v>
      </c>
      <c r="BG1" s="38" t="s">
        <v>418</v>
      </c>
      <c r="BH1" s="38" t="s">
        <v>419</v>
      </c>
      <c r="BI1" s="38" t="s">
        <v>420</v>
      </c>
      <c r="BJ1" s="65" t="s">
        <v>421</v>
      </c>
      <c r="BK1" s="63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4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6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4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6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6">
        <v>6033.2331999999997</v>
      </c>
      <c r="BK2" s="64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4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6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4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6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6">
        <v>6033.2331999999997</v>
      </c>
      <c r="BK3" s="64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4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6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4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6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6">
        <v>6033.2331999999997</v>
      </c>
      <c r="BK4" s="64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4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6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4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6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6">
        <v>6228.0492999999997</v>
      </c>
      <c r="BK5" s="64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4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6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4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6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6">
        <v>6228.0492999999997</v>
      </c>
      <c r="BK6" s="64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4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6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4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6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6">
        <v>6228.0492999999997</v>
      </c>
      <c r="BK7" s="64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4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6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4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6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6">
        <v>6033.2331999999997</v>
      </c>
      <c r="BK8" s="64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4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6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4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6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6">
        <v>6033.2331999999997</v>
      </c>
      <c r="BK9" s="64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4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6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4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6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6">
        <v>6033.2331999999997</v>
      </c>
      <c r="BK10" s="64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4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6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4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6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6">
        <v>6228.0492999999997</v>
      </c>
      <c r="BK11" s="64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4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6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4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6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6">
        <v>6228.0492999999997</v>
      </c>
      <c r="BK12" s="64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4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6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4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6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6">
        <v>6228.0492999999997</v>
      </c>
      <c r="BK13" s="64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4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6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4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6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6">
        <v>6033.2331999999997</v>
      </c>
      <c r="BK14" s="64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4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6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4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6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6">
        <v>6033.2331999999997</v>
      </c>
      <c r="BK15" s="64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4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6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4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6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6">
        <v>6033.2331999999997</v>
      </c>
      <c r="BK16" s="64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4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6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4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6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6">
        <v>6228.0492999999997</v>
      </c>
      <c r="BK17" s="64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4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6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4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6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6">
        <v>6228.0492999999997</v>
      </c>
      <c r="BK18" s="64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4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6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4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6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6">
        <v>6228.0492999999997</v>
      </c>
      <c r="BK19" s="64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4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6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4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6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6">
        <v>6033.2331999999997</v>
      </c>
      <c r="BK20" s="64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4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6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4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6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6">
        <v>6033.2331999999997</v>
      </c>
      <c r="BK21" s="64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4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6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4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6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6">
        <v>6033.2331999999997</v>
      </c>
      <c r="BK22" s="64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4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6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4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6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6">
        <v>6228.0492999999997</v>
      </c>
      <c r="BK23" s="64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4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6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4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6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6">
        <v>6228.0492999999997</v>
      </c>
      <c r="BK24" s="64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4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6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4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6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6">
        <v>6228.0492999999997</v>
      </c>
      <c r="BK25" s="64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4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6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4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6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6">
        <v>6033.2331999999997</v>
      </c>
      <c r="BK26" s="64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4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6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4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6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6">
        <v>6033.2331999999997</v>
      </c>
      <c r="BK27" s="64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4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6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4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6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6">
        <v>6033.2331999999997</v>
      </c>
      <c r="BK28" s="64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4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6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4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6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6">
        <v>6228.0492999999997</v>
      </c>
      <c r="BK29" s="64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4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6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4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6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6">
        <v>6228.0492999999997</v>
      </c>
      <c r="BK30" s="64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4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6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4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6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6">
        <v>6228.0492999999997</v>
      </c>
      <c r="BK31" s="64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4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6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4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6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6">
        <v>6033.2331999999997</v>
      </c>
      <c r="BK32" s="64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4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6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4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6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6">
        <v>6033.2331999999997</v>
      </c>
      <c r="BK33" s="64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4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6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4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6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6">
        <v>6033.2331999999997</v>
      </c>
      <c r="BK34" s="64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4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6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4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6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6">
        <v>6228.0492999999997</v>
      </c>
      <c r="BK35" s="64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4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6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4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6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6">
        <v>6228.0492999999997</v>
      </c>
      <c r="BK36" s="64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4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6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4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6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6">
        <v>6228.0492999999997</v>
      </c>
      <c r="BK37" s="64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4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6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4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6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6">
        <v>6299.6993000000002</v>
      </c>
      <c r="BK38" s="64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4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6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4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6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6">
        <v>6299.6993000000002</v>
      </c>
      <c r="BK39" s="64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4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6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4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6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6">
        <v>6299.6993000000002</v>
      </c>
      <c r="BK40" s="64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4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6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4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6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6">
        <v>6137.4535999999998</v>
      </c>
      <c r="BK41" s="64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4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6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4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6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6">
        <v>6137.4535999999998</v>
      </c>
      <c r="BK42" s="64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4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6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4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6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6">
        <v>6137.4535999999998</v>
      </c>
      <c r="BK43" s="64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4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6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4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6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6">
        <v>6299.6993000000002</v>
      </c>
      <c r="BK44" s="64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4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6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4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6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6">
        <v>6299.6993000000002</v>
      </c>
      <c r="BK45" s="64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4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6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4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6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6">
        <v>6299.6993000000002</v>
      </c>
      <c r="BK46" s="64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4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6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4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6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6">
        <v>6137.4535999999998</v>
      </c>
      <c r="BK47" s="64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4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6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4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6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6">
        <v>6137.4535999999998</v>
      </c>
      <c r="BK48" s="64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4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6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4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6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6">
        <v>6137.4535999999998</v>
      </c>
      <c r="BK49" s="64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4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6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4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6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6">
        <v>6299.6993000000002</v>
      </c>
      <c r="BK50" s="64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4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6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4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6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6">
        <v>6299.6993000000002</v>
      </c>
      <c r="BK51" s="64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4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6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4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6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6">
        <v>6299.6993000000002</v>
      </c>
      <c r="BK52" s="64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4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6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4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6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6">
        <v>6137.4535999999998</v>
      </c>
      <c r="BK53" s="64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4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6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4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6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6">
        <v>6137.4535999999998</v>
      </c>
      <c r="BK54" s="64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4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6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4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6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6">
        <v>6137.4535999999998</v>
      </c>
      <c r="BK55" s="64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4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6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4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6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6">
        <v>6299.6993000000002</v>
      </c>
      <c r="BK56" s="64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4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6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4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6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6">
        <v>6299.6993000000002</v>
      </c>
      <c r="BK57" s="64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4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6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4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6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6">
        <v>6299.6993000000002</v>
      </c>
      <c r="BK58" s="64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4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6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4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6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6">
        <v>6137.4535999999998</v>
      </c>
      <c r="BK59" s="64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4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6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4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6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6">
        <v>6137.4535999999998</v>
      </c>
      <c r="BK60" s="64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4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6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4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6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6">
        <v>6137.4535999999998</v>
      </c>
      <c r="BK61" s="64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4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6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4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6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6">
        <v>6299.6993000000002</v>
      </c>
      <c r="BK62" s="64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4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6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4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6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6">
        <v>6299.6993000000002</v>
      </c>
      <c r="BK63" s="64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4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6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4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6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6">
        <v>6299.6993000000002</v>
      </c>
      <c r="BK64" s="64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4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6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4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6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6">
        <v>6137.4535999999998</v>
      </c>
      <c r="BK65" s="64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4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6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4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6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6">
        <v>6137.4535999999998</v>
      </c>
      <c r="BK66" s="64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4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6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4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6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6">
        <v>6137.4535999999998</v>
      </c>
      <c r="BK67" s="64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4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6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4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6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6">
        <v>6299.6993000000002</v>
      </c>
      <c r="BK68" s="64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4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6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4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6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6">
        <v>6299.6993000000002</v>
      </c>
      <c r="BK69" s="64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4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6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4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6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6">
        <v>6299.6993000000002</v>
      </c>
      <c r="BK70" s="64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4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6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4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6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6">
        <v>6137.4535999999998</v>
      </c>
      <c r="BK71" s="64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4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6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4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6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6">
        <v>6137.4535999999998</v>
      </c>
      <c r="BK72" s="64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4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6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4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6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6">
        <v>6137.4535999999998</v>
      </c>
      <c r="BK73" s="64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4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6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4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6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6">
        <v>6181.5888999999997</v>
      </c>
      <c r="BK74" s="64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4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6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4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6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6">
        <v>6181.5888999999997</v>
      </c>
      <c r="BK75" s="64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4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6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4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6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6">
        <v>6181.5888999999997</v>
      </c>
      <c r="BK76" s="64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4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6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4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6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6">
        <v>6022.3850000000002</v>
      </c>
      <c r="BK77" s="64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4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6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4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6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6">
        <v>6022.3850000000002</v>
      </c>
      <c r="BK78" s="64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4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6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4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6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6">
        <v>6022.3850000000002</v>
      </c>
      <c r="BK79" s="64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4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6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4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6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6">
        <v>6181.5888999999997</v>
      </c>
      <c r="BK80" s="64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4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6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4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6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6">
        <v>6181.5888999999997</v>
      </c>
      <c r="BK81" s="64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4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6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4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6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6">
        <v>6181.5888999999997</v>
      </c>
      <c r="BK82" s="64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4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6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4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6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6">
        <v>6022.3850000000002</v>
      </c>
      <c r="BK83" s="64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4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6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4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6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6">
        <v>6022.3850000000002</v>
      </c>
      <c r="BK84" s="64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4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6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4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6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6">
        <v>6022.3850000000002</v>
      </c>
      <c r="BK85" s="64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4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6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4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6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6">
        <v>6181.5888999999997</v>
      </c>
      <c r="BK86" s="64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4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6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4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6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6">
        <v>6181.5888999999997</v>
      </c>
      <c r="BK87" s="64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4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6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4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6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6">
        <v>6181.5888999999997</v>
      </c>
      <c r="BK88" s="64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4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6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4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6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6">
        <v>6022.3850000000002</v>
      </c>
      <c r="BK89" s="64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4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6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4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6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6">
        <v>6022.3850000000002</v>
      </c>
      <c r="BK90" s="64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4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6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4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6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6">
        <v>6022.3850000000002</v>
      </c>
      <c r="BK91" s="64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4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6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4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6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6">
        <v>6105.4269999999997</v>
      </c>
      <c r="BK92" s="64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4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6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4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6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6">
        <v>6105.4269999999997</v>
      </c>
      <c r="BK93" s="64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4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6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4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6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6">
        <v>6105.4269999999997</v>
      </c>
      <c r="BK94" s="64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4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6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4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6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6">
        <v>5948.1846999999998</v>
      </c>
      <c r="BK95" s="64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4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6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4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6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6">
        <v>5948.1846999999998</v>
      </c>
      <c r="BK96" s="64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4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6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4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6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6">
        <v>5948.1846999999998</v>
      </c>
      <c r="BK97" s="64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4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6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4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6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6">
        <v>6252.5366999999997</v>
      </c>
      <c r="BK98" s="64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4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6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4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6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6">
        <v>6252.5366999999997</v>
      </c>
      <c r="BK99" s="64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4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6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4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6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6">
        <v>6252.5366999999997</v>
      </c>
      <c r="BK100" s="64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4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6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4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6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6">
        <v>6091.5056999999997</v>
      </c>
      <c r="BK101" s="64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4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6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4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6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6">
        <v>6091.5056999999997</v>
      </c>
      <c r="BK102" s="64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4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6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4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6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6">
        <v>6091.5056999999997</v>
      </c>
      <c r="BK103" s="64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4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6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4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6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6">
        <v>6193.0411000000004</v>
      </c>
      <c r="BK104" s="64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4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6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4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6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6">
        <v>6193.0411000000004</v>
      </c>
      <c r="BK105" s="64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4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6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4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6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6">
        <v>6193.0411000000004</v>
      </c>
      <c r="BK106" s="64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4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6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4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6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6">
        <v>6033.5423000000001</v>
      </c>
      <c r="BK107" s="64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4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6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4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6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6">
        <v>6033.5423000000001</v>
      </c>
      <c r="BK108" s="64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4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6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4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6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6">
        <v>6033.5423000000001</v>
      </c>
      <c r="BK109" s="64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4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6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4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6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6">
        <v>6446.1022000000003</v>
      </c>
      <c r="BK110" s="64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4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6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4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6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6">
        <v>6446.1022000000003</v>
      </c>
      <c r="BK111" s="64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4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6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4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6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6">
        <v>6446.1022000000003</v>
      </c>
      <c r="BK112" s="64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4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6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4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6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6">
        <v>6057.0303000000004</v>
      </c>
      <c r="BK113" s="64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4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6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4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6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6">
        <v>6057.0303000000004</v>
      </c>
      <c r="BK114" s="64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4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6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4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6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6">
        <v>6057.0303000000004</v>
      </c>
      <c r="BK115" s="64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4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6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4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6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6">
        <v>6309.6720999999998</v>
      </c>
      <c r="BK116" s="64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4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6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4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6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6">
        <v>6309.6720999999998</v>
      </c>
      <c r="BK117" s="64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4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6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4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6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6">
        <v>6309.6720999999998</v>
      </c>
      <c r="BK118" s="64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4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6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4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6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6">
        <v>5928.8347999999996</v>
      </c>
      <c r="BK119" s="64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4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6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4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6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6">
        <v>5928.8347999999996</v>
      </c>
      <c r="BK120" s="64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4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6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4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6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6">
        <v>5928.8347999999996</v>
      </c>
      <c r="BK121" s="64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4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6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4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6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6">
        <v>6126.5246999999999</v>
      </c>
      <c r="BK122" s="64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4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6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4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6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6">
        <v>6126.5246999999999</v>
      </c>
      <c r="BK123" s="64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4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6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4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6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6">
        <v>6126.5246999999999</v>
      </c>
      <c r="BK124" s="64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4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6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4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6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6">
        <v>5756.7417999999998</v>
      </c>
      <c r="BK125" s="64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4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6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4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6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6">
        <v>5756.7417999999998</v>
      </c>
      <c r="BK126" s="64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4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6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4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6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6">
        <v>5756.7417999999998</v>
      </c>
      <c r="BK127" s="64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4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6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4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6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6">
        <v>6165.7986000000001</v>
      </c>
      <c r="BK128" s="64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4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6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4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6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6">
        <v>6165.7986000000001</v>
      </c>
      <c r="BK129" s="64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4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6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4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6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6">
        <v>6165.7986000000001</v>
      </c>
      <c r="BK130" s="64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4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6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4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6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6">
        <v>5793.6451999999999</v>
      </c>
      <c r="BK131" s="64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4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6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4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6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6">
        <v>5793.6451999999999</v>
      </c>
      <c r="BK132" s="64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4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6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4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6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6">
        <v>5793.6451999999999</v>
      </c>
      <c r="BK133" s="64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4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6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4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6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6">
        <v>6207.1291000000001</v>
      </c>
      <c r="BK134" s="64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4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6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4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6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6">
        <v>6207.1291000000001</v>
      </c>
      <c r="BK135" s="64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4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6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4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6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6">
        <v>6207.1291000000001</v>
      </c>
      <c r="BK136" s="64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4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6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4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6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6">
        <v>5832.4811</v>
      </c>
      <c r="BK137" s="64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4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6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4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6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6">
        <v>5832.4811</v>
      </c>
      <c r="BK138" s="64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4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6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4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6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6">
        <v>5832.4811</v>
      </c>
      <c r="BK139" s="64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4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6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4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6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6">
        <v>6249.8308999999999</v>
      </c>
      <c r="BK140" s="64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4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6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4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6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6">
        <v>6249.8308999999999</v>
      </c>
      <c r="BK141" s="64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4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6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4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6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6">
        <v>6249.8308999999999</v>
      </c>
      <c r="BK142" s="64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4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6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4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6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6">
        <v>5872.6054999999997</v>
      </c>
      <c r="BK143" s="64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4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6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4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6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6">
        <v>5872.6054999999997</v>
      </c>
      <c r="BK144" s="64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4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6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4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6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6">
        <v>5872.6054999999997</v>
      </c>
      <c r="BK145" s="64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4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6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4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6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6">
        <v>6071.7554</v>
      </c>
      <c r="BK146" s="64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4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6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4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6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6">
        <v>6071.7554</v>
      </c>
      <c r="BK147" s="64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4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6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4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6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6">
        <v>6071.7554</v>
      </c>
      <c r="BK148" s="64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4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6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4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6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6">
        <v>5562.5837000000001</v>
      </c>
      <c r="BK149" s="64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4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6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4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6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6">
        <v>5562.5837000000001</v>
      </c>
      <c r="BK150" s="64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4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6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4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6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6">
        <v>5562.5837000000001</v>
      </c>
      <c r="BK151" s="64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4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6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4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6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6">
        <v>5984.6193000000003</v>
      </c>
      <c r="BK152" s="64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4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6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4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6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6">
        <v>5984.6193000000003</v>
      </c>
      <c r="BK153" s="64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4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6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4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6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6">
        <v>5984.6193000000003</v>
      </c>
      <c r="BK154" s="64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4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6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4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6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6">
        <v>5482.7547000000004</v>
      </c>
      <c r="BK155" s="64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4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6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4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6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6">
        <v>5482.7547000000004</v>
      </c>
      <c r="BK156" s="64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4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6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4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6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6">
        <v>5482.7547000000004</v>
      </c>
      <c r="BK157" s="64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4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6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4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6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6">
        <v>6050.8989000000001</v>
      </c>
      <c r="BK158" s="64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4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6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4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6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6">
        <v>6050.8989000000001</v>
      </c>
      <c r="BK159" s="64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4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6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4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6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6">
        <v>6050.8989000000001</v>
      </c>
      <c r="BK160" s="64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4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6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4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6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6">
        <v>5543.4762000000001</v>
      </c>
      <c r="BK161" s="64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4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6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4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6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6">
        <v>5543.4762000000001</v>
      </c>
      <c r="BK162" s="64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4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6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4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6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6">
        <v>5543.4762000000001</v>
      </c>
      <c r="BK163" s="64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4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6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4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6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6">
        <v>6021.8200999999999</v>
      </c>
      <c r="BK164" s="64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4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6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4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6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6">
        <v>6021.8200999999999</v>
      </c>
      <c r="BK165" s="64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4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6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4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6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6">
        <v>6021.8200999999999</v>
      </c>
      <c r="BK166" s="64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4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6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4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6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6">
        <v>5516.8359</v>
      </c>
      <c r="BK167" s="64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4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6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4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6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6">
        <v>5516.8359</v>
      </c>
      <c r="BK168" s="64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4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6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4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6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6">
        <v>5516.8359</v>
      </c>
      <c r="BK169" s="64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4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6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4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6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6">
        <v>6278.2148999999999</v>
      </c>
      <c r="BK170" s="64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4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6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4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6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6">
        <v>6278.2148999999999</v>
      </c>
      <c r="BK171" s="64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4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6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4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6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6">
        <v>6278.2148999999999</v>
      </c>
      <c r="BK172" s="64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4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6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4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6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6">
        <v>5751.7298000000001</v>
      </c>
      <c r="BK173" s="64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4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6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4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6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6">
        <v>5751.7298000000001</v>
      </c>
      <c r="BK174" s="64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4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6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4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6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6">
        <v>5751.7298000000001</v>
      </c>
      <c r="BK175" s="64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4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6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4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6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6">
        <v>6378.7875000000004</v>
      </c>
      <c r="BK176" s="64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4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6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4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6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6">
        <v>6378.7875000000004</v>
      </c>
      <c r="BK177" s="64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4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6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4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6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6">
        <v>6378.7875000000004</v>
      </c>
      <c r="BK178" s="64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4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6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4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6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6">
        <v>5843.8684000000003</v>
      </c>
      <c r="BK179" s="64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4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6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4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6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6">
        <v>5843.8684000000003</v>
      </c>
      <c r="BK180" s="64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4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6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4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6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6">
        <v>5843.8684000000003</v>
      </c>
      <c r="BK181" s="64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4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6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4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6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6">
        <v>6355.8343000000004</v>
      </c>
      <c r="BK182" s="64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4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6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4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6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6">
        <v>6355.8343000000004</v>
      </c>
      <c r="BK183" s="64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4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6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4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6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6">
        <v>6355.8343000000004</v>
      </c>
      <c r="BK184" s="64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4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6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4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6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6">
        <v>5759.5803999999998</v>
      </c>
      <c r="BK185" s="64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4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6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4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6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6">
        <v>5759.5803999999998</v>
      </c>
      <c r="BK186" s="64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4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6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4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6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6">
        <v>5759.5803999999998</v>
      </c>
      <c r="BK187" s="64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4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6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4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6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6">
        <v>6393.2439000000004</v>
      </c>
      <c r="BK188" s="64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4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6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4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6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6">
        <v>6393.2439000000004</v>
      </c>
      <c r="BK189" s="64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4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6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4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6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6">
        <v>6393.2439000000004</v>
      </c>
      <c r="BK190" s="64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4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6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4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6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6">
        <v>5793.4804999999997</v>
      </c>
      <c r="BK191" s="64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4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6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4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6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6">
        <v>5793.4804999999997</v>
      </c>
      <c r="BK192" s="64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4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6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4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6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6">
        <v>5793.4804999999997</v>
      </c>
      <c r="BK193" s="64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4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6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4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6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6">
        <v>5878.8617999999997</v>
      </c>
      <c r="BK194" s="64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4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6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4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6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6">
        <v>5878.8617999999997</v>
      </c>
      <c r="BK195" s="64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4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6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4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6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6">
        <v>5878.8617999999997</v>
      </c>
      <c r="BK196" s="64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4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6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4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6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6">
        <v>5327.3536000000004</v>
      </c>
      <c r="BK197" s="64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4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6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4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6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6">
        <v>5327.3536000000004</v>
      </c>
      <c r="BK198" s="64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4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6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4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6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6">
        <v>5327.3536000000004</v>
      </c>
      <c r="BK199" s="64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4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6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4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6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6">
        <v>5878.8617999999997</v>
      </c>
      <c r="BK200" s="64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4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6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4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6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6">
        <v>5878.8617999999997</v>
      </c>
      <c r="BK201" s="64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4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6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4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6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6">
        <v>5878.8617999999997</v>
      </c>
      <c r="BK202" s="64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4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6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4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6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6">
        <v>5327.3536000000004</v>
      </c>
      <c r="BK203" s="64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4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6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4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6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6">
        <v>5327.3536000000004</v>
      </c>
      <c r="BK204" s="64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4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6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4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6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6">
        <v>5327.3536000000004</v>
      </c>
      <c r="BK205" s="64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4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6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4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6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6">
        <v>5878.8617999999997</v>
      </c>
      <c r="BK206" s="64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4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6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4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6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6">
        <v>5878.8617999999997</v>
      </c>
      <c r="BK207" s="64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4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6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4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6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6">
        <v>5878.8617999999997</v>
      </c>
      <c r="BK208" s="64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4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6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4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6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6">
        <v>5327.3536000000004</v>
      </c>
      <c r="BK209" s="64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4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6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4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6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6">
        <v>5327.3536000000004</v>
      </c>
      <c r="BK210" s="64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4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6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4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6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6">
        <v>5327.3536000000004</v>
      </c>
      <c r="BK211" s="64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4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6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4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6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6">
        <v>5878.8617999999997</v>
      </c>
      <c r="BK212" s="64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4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6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4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6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6">
        <v>5878.8617999999997</v>
      </c>
      <c r="BK213" s="64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4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6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4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6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6">
        <v>5878.8617999999997</v>
      </c>
      <c r="BK214" s="64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4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6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4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6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6">
        <v>5327.3536000000004</v>
      </c>
      <c r="BK215" s="64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4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6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4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6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6">
        <v>5327.3536000000004</v>
      </c>
      <c r="BK216" s="64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4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6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4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6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6">
        <v>5327.3536000000004</v>
      </c>
      <c r="BK217" s="64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4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6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4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6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6">
        <v>6614.1656999999996</v>
      </c>
      <c r="BK218" s="64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4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6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4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6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6">
        <v>6614.1656999999996</v>
      </c>
      <c r="BK219" s="64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4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6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4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6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6">
        <v>6614.1656999999996</v>
      </c>
      <c r="BK220" s="64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4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6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4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6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6">
        <v>5969.3823000000002</v>
      </c>
      <c r="BK221" s="64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4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6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4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6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6">
        <v>5969.3823000000002</v>
      </c>
      <c r="BK222" s="64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4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6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4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6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6">
        <v>5969.3823000000002</v>
      </c>
      <c r="BK223" s="64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4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6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4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6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6">
        <v>6614.1656999999996</v>
      </c>
      <c r="BK224" s="64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4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6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4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6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6">
        <v>6614.1656999999996</v>
      </c>
      <c r="BK225" s="64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4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6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4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6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6">
        <v>6614.1656999999996</v>
      </c>
      <c r="BK226" s="64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4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6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4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6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6">
        <v>5969.3823000000002</v>
      </c>
      <c r="BK227" s="64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4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6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4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6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6">
        <v>5969.3823000000002</v>
      </c>
      <c r="BK228" s="64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4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6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4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6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6">
        <v>5969.3823000000002</v>
      </c>
      <c r="BK229" s="64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4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6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4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6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6">
        <v>6614.1656999999996</v>
      </c>
      <c r="BK230" s="64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4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6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4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6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6">
        <v>6614.1656999999996</v>
      </c>
      <c r="BK231" s="64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4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6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4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6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6">
        <v>6614.1656999999996</v>
      </c>
      <c r="BK232" s="64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4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6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4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6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6">
        <v>5969.3823000000002</v>
      </c>
      <c r="BK233" s="64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4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6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4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6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6">
        <v>5969.3823000000002</v>
      </c>
      <c r="BK234" s="64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4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6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4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6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6">
        <v>5969.3823000000002</v>
      </c>
      <c r="BK235" s="64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4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6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4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6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6">
        <v>6614.1656999999996</v>
      </c>
      <c r="BK236" s="64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4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6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4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6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6">
        <v>6614.1656999999996</v>
      </c>
      <c r="BK237" s="64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4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6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4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6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6">
        <v>6614.1656999999996</v>
      </c>
      <c r="BK238" s="64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4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6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4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6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6">
        <v>5969.3823000000002</v>
      </c>
      <c r="BK239" s="64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4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6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4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6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6">
        <v>5969.3823000000002</v>
      </c>
      <c r="BK240" s="64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4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6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4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6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6">
        <v>5969.3823000000002</v>
      </c>
      <c r="BK241" s="64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4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6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4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6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6">
        <v>6614.1656999999996</v>
      </c>
      <c r="BK242" s="64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4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6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4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6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6">
        <v>6614.1656999999996</v>
      </c>
      <c r="BK243" s="64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4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6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4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6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6">
        <v>6614.1656999999996</v>
      </c>
      <c r="BK244" s="64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4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6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4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6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6">
        <v>5969.3823000000002</v>
      </c>
      <c r="BK245" s="64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4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6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4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6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6">
        <v>5969.3823000000002</v>
      </c>
      <c r="BK246" s="64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4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6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4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6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6">
        <v>5969.3823000000002</v>
      </c>
      <c r="BK247" s="64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4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6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4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6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6">
        <v>6614.1656999999996</v>
      </c>
      <c r="BK248" s="64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4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6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4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6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6">
        <v>6614.1656999999996</v>
      </c>
      <c r="BK249" s="64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4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6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4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6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6">
        <v>6614.1656999999996</v>
      </c>
      <c r="BK250" s="64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4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6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4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6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6">
        <v>5969.3823000000002</v>
      </c>
      <c r="BK251" s="64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4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6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4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6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6">
        <v>5969.3823000000002</v>
      </c>
      <c r="BK252" s="64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4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6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4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6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6">
        <v>5969.3823000000002</v>
      </c>
      <c r="BK253" s="64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4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6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4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6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6">
        <v>6614.1656999999996</v>
      </c>
      <c r="BK254" s="64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4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6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4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6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6">
        <v>6614.1656999999996</v>
      </c>
      <c r="BK255" s="64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4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6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4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6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6">
        <v>6614.1656999999996</v>
      </c>
      <c r="BK256" s="64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4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6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4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6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6">
        <v>5969.3823000000002</v>
      </c>
      <c r="BK257" s="64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4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6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4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6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6">
        <v>5969.3823000000002</v>
      </c>
      <c r="BK258" s="64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4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6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4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6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6">
        <v>5969.3823000000002</v>
      </c>
      <c r="BK259" s="64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4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6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4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6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6">
        <v>6614.1656999999996</v>
      </c>
      <c r="BK260" s="64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4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6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4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6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6">
        <v>6614.1656999999996</v>
      </c>
      <c r="BK261" s="64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4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6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4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6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6">
        <v>6614.1656999999996</v>
      </c>
      <c r="BK262" s="64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4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6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4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6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6">
        <v>5969.3823000000002</v>
      </c>
      <c r="BK263" s="64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4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6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4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6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6">
        <v>5969.3823000000002</v>
      </c>
      <c r="BK264" s="64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4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6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4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6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6">
        <v>5969.3823000000002</v>
      </c>
      <c r="BK265" s="64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4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6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4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6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6">
        <v>6614.1656999999996</v>
      </c>
      <c r="BK266" s="64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4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6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4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6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6">
        <v>6614.1656999999996</v>
      </c>
      <c r="BK267" s="64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4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6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4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6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6">
        <v>6614.1656999999996</v>
      </c>
      <c r="BK268" s="64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4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6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4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6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6">
        <v>5969.3823000000002</v>
      </c>
      <c r="BK269" s="64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4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6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4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6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6">
        <v>5969.3823000000002</v>
      </c>
      <c r="BK270" s="64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4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6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4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6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6">
        <v>5969.3823000000002</v>
      </c>
      <c r="BK271" s="64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4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6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4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6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6">
        <v>6614.1656999999996</v>
      </c>
      <c r="BK272" s="64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4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6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4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6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6">
        <v>6614.1656999999996</v>
      </c>
      <c r="BK273" s="64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4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6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4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6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6">
        <v>6614.1656999999996</v>
      </c>
      <c r="BK274" s="64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4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6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4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6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6">
        <v>5969.3823000000002</v>
      </c>
      <c r="BK275" s="64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4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6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4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6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6">
        <v>5969.3823000000002</v>
      </c>
      <c r="BK276" s="64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4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6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4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6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6">
        <v>5969.3823000000002</v>
      </c>
      <c r="BK277" s="64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4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6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4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6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6">
        <v>6614.1656999999996</v>
      </c>
      <c r="BK278" s="64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4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6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4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6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6">
        <v>6614.1656999999996</v>
      </c>
      <c r="BK279" s="64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4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6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4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6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6">
        <v>6614.1656999999996</v>
      </c>
      <c r="BK280" s="64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4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6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4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6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6">
        <v>5969.3823000000002</v>
      </c>
      <c r="BK281" s="64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4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6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4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6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6">
        <v>5969.3823000000002</v>
      </c>
      <c r="BK282" s="64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4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6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4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6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6">
        <v>5969.3823000000002</v>
      </c>
      <c r="BK283" s="64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4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6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4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6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6">
        <v>6614.1656999999996</v>
      </c>
      <c r="BK284" s="64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4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6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4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6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6">
        <v>6614.1656999999996</v>
      </c>
      <c r="BK285" s="64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4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6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4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6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6">
        <v>6614.1656999999996</v>
      </c>
      <c r="BK286" s="64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4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6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4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6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6">
        <v>5969.3823000000002</v>
      </c>
      <c r="BK287" s="64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4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6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4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6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6">
        <v>5969.3823000000002</v>
      </c>
      <c r="BK288" s="64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4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6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4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6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6">
        <v>5969.3823000000002</v>
      </c>
      <c r="BK289" s="64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4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6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4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6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6">
        <v>6648.1922999999997</v>
      </c>
      <c r="BK290" s="64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4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6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4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6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6">
        <v>6648.1922999999997</v>
      </c>
      <c r="BK291" s="64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4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6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4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6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6">
        <v>6648.1922999999997</v>
      </c>
      <c r="BK292" s="64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4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6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4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6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6">
        <v>6112.8068000000003</v>
      </c>
      <c r="BK293" s="64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4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6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4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6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6">
        <v>6112.8068000000003</v>
      </c>
      <c r="BK294" s="64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4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6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4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6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6">
        <v>6112.8068000000003</v>
      </c>
      <c r="BK295" s="64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4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6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4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6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6">
        <v>6648.1922999999997</v>
      </c>
      <c r="BK296" s="64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4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6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4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6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6">
        <v>6648.1922999999997</v>
      </c>
      <c r="BK297" s="64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4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6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4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6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6">
        <v>6648.1922999999997</v>
      </c>
      <c r="BK298" s="64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4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6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4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6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6">
        <v>6112.8068000000003</v>
      </c>
      <c r="BK299" s="64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4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6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4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6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6">
        <v>6112.8068000000003</v>
      </c>
      <c r="BK300" s="64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4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6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4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6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6">
        <v>6112.8068000000003</v>
      </c>
      <c r="BK301" s="64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4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6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4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6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6">
        <v>6648.1922999999997</v>
      </c>
      <c r="BK302" s="64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4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6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4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6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6">
        <v>6648.1922999999997</v>
      </c>
      <c r="BK303" s="64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4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6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4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6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6">
        <v>6648.1922999999997</v>
      </c>
      <c r="BK304" s="64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4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6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4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6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6">
        <v>6112.8068000000003</v>
      </c>
      <c r="BK305" s="64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4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6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4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6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6">
        <v>6112.8068000000003</v>
      </c>
      <c r="BK306" s="64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4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6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4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6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6">
        <v>6112.8068000000003</v>
      </c>
      <c r="BK307" s="64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4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6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4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6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6">
        <v>6648.1922999999997</v>
      </c>
      <c r="BK308" s="64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4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6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4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6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6">
        <v>6648.1922999999997</v>
      </c>
      <c r="BK309" s="64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4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6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4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6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6">
        <v>6648.1922999999997</v>
      </c>
      <c r="BK310" s="64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4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6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4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6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6">
        <v>6112.8068000000003</v>
      </c>
      <c r="BK311" s="64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4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6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4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6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6">
        <v>6112.8068000000003</v>
      </c>
      <c r="BK312" s="64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4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6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4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6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6">
        <v>6112.8068000000003</v>
      </c>
      <c r="BK313" s="64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4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6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4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6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6">
        <v>6648.1922999999997</v>
      </c>
      <c r="BK314" s="64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4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6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4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6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6">
        <v>6648.1922999999997</v>
      </c>
      <c r="BK315" s="64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4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6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4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6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6">
        <v>6648.1922999999997</v>
      </c>
      <c r="BK316" s="64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4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6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4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6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6">
        <v>6112.8068000000003</v>
      </c>
      <c r="BK317" s="64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4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6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4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6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6">
        <v>6112.8068000000003</v>
      </c>
      <c r="BK318" s="64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4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6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4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6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6">
        <v>6112.8068000000003</v>
      </c>
      <c r="BK319" s="64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4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6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4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6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6">
        <v>6648.1922999999997</v>
      </c>
      <c r="BK320" s="64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4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6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4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6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6">
        <v>6648.1922999999997</v>
      </c>
      <c r="BK321" s="64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4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6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4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6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6">
        <v>6648.1922999999997</v>
      </c>
      <c r="BK322" s="64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4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6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4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6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6">
        <v>6112.8068000000003</v>
      </c>
      <c r="BK323" s="64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4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6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4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6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6">
        <v>6112.8068000000003</v>
      </c>
      <c r="BK324" s="64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4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6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4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6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6">
        <v>6112.8068000000003</v>
      </c>
      <c r="BK325" s="64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4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6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4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6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6">
        <v>6756.3186999999998</v>
      </c>
      <c r="BK326" s="64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4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6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4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6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6">
        <v>6756.3186999999998</v>
      </c>
      <c r="BK327" s="64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4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6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4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6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6">
        <v>6756.3186999999998</v>
      </c>
      <c r="BK328" s="64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4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6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4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6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6">
        <v>6138.1248999999998</v>
      </c>
      <c r="BK329" s="64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4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6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4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6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6">
        <v>6138.1248999999998</v>
      </c>
      <c r="BK330" s="64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4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6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4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6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6">
        <v>6138.1248999999998</v>
      </c>
      <c r="BK331" s="64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4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6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4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6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6">
        <v>6756.3186999999998</v>
      </c>
      <c r="BK332" s="64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4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6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4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6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6">
        <v>6756.3186999999998</v>
      </c>
      <c r="BK333" s="64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4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6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4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6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6">
        <v>6756.3186999999998</v>
      </c>
      <c r="BK334" s="64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4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6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4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6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6">
        <v>6138.1248999999998</v>
      </c>
      <c r="BK335" s="64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4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6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4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6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6">
        <v>6138.1248999999998</v>
      </c>
      <c r="BK336" s="64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4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6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4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6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6">
        <v>6138.1248999999998</v>
      </c>
      <c r="BK337" s="64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4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6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4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6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6">
        <v>6756.3186999999998</v>
      </c>
      <c r="BK338" s="64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4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6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4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6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6">
        <v>6756.3186999999998</v>
      </c>
      <c r="BK339" s="64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4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6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4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6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6">
        <v>6756.3186999999998</v>
      </c>
      <c r="BK340" s="64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4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6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4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6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6">
        <v>6138.1248999999998</v>
      </c>
      <c r="BK341" s="64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4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6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4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6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6">
        <v>6138.1248999999998</v>
      </c>
      <c r="BK342" s="64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4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6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4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6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6">
        <v>6138.1248999999998</v>
      </c>
      <c r="BK343" s="64">
        <v>931921.24261124304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4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6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6" bestFit="1" customWidth="1"/>
    <col min="37" max="37" width="48.85546875" style="64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6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6" bestFit="1" customWidth="1"/>
    <col min="55" max="55" width="48.7109375" style="64" bestFit="1" customWidth="1"/>
  </cols>
  <sheetData>
    <row r="1" spans="1:55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441</v>
      </c>
      <c r="G1" s="38" t="s">
        <v>364</v>
      </c>
      <c r="H1" s="38" t="s">
        <v>442</v>
      </c>
      <c r="I1" s="38" t="s">
        <v>363</v>
      </c>
      <c r="J1" s="38" t="s">
        <v>443</v>
      </c>
      <c r="K1" s="38" t="s">
        <v>444</v>
      </c>
      <c r="L1" s="38" t="s">
        <v>368</v>
      </c>
      <c r="M1" s="38" t="s">
        <v>445</v>
      </c>
      <c r="N1" s="38" t="s">
        <v>446</v>
      </c>
      <c r="O1" s="38" t="s">
        <v>447</v>
      </c>
      <c r="P1" s="38" t="s">
        <v>378</v>
      </c>
      <c r="Q1" s="38" t="s">
        <v>379</v>
      </c>
      <c r="R1" s="63" t="s">
        <v>448</v>
      </c>
      <c r="S1" s="38" t="s">
        <v>386</v>
      </c>
      <c r="T1" s="38" t="s">
        <v>387</v>
      </c>
      <c r="U1" s="38" t="s">
        <v>388</v>
      </c>
      <c r="V1" s="38" t="s">
        <v>389</v>
      </c>
      <c r="W1" s="38" t="s">
        <v>390</v>
      </c>
      <c r="X1" s="38" t="s">
        <v>391</v>
      </c>
      <c r="Y1" s="38" t="s">
        <v>392</v>
      </c>
      <c r="Z1" s="38" t="s">
        <v>393</v>
      </c>
      <c r="AA1" s="38" t="s">
        <v>394</v>
      </c>
      <c r="AB1" s="38" t="s">
        <v>395</v>
      </c>
      <c r="AC1" s="38" t="s">
        <v>396</v>
      </c>
      <c r="AD1" s="65" t="s">
        <v>397</v>
      </c>
      <c r="AE1" s="38" t="s">
        <v>398</v>
      </c>
      <c r="AF1" s="38" t="s">
        <v>399</v>
      </c>
      <c r="AG1" s="38" t="s">
        <v>400</v>
      </c>
      <c r="AH1" s="38" t="s">
        <v>401</v>
      </c>
      <c r="AI1" s="38" t="s">
        <v>402</v>
      </c>
      <c r="AJ1" s="65" t="s">
        <v>403</v>
      </c>
      <c r="AK1" s="63" t="s">
        <v>404</v>
      </c>
      <c r="AL1" s="38" t="s">
        <v>405</v>
      </c>
      <c r="AM1" s="38" t="s">
        <v>406</v>
      </c>
      <c r="AN1" s="38" t="s">
        <v>407</v>
      </c>
      <c r="AO1" s="38" t="s">
        <v>408</v>
      </c>
      <c r="AP1" s="38" t="s">
        <v>409</v>
      </c>
      <c r="AQ1" s="38" t="s">
        <v>410</v>
      </c>
      <c r="AR1" s="38" t="s">
        <v>411</v>
      </c>
      <c r="AS1" s="38" t="s">
        <v>412</v>
      </c>
      <c r="AT1" s="38" t="s">
        <v>413</v>
      </c>
      <c r="AU1" s="38" t="s">
        <v>414</v>
      </c>
      <c r="AV1" s="38" t="s">
        <v>415</v>
      </c>
      <c r="AW1" s="65" t="s">
        <v>416</v>
      </c>
      <c r="AX1" s="38" t="s">
        <v>417</v>
      </c>
      <c r="AY1" s="38" t="s">
        <v>418</v>
      </c>
      <c r="AZ1" s="38" t="s">
        <v>419</v>
      </c>
      <c r="BA1" s="38" t="s">
        <v>420</v>
      </c>
      <c r="BB1" s="65" t="s">
        <v>421</v>
      </c>
      <c r="BC1" s="63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4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6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6">
        <v>6168.7048999999997</v>
      </c>
      <c r="AK2" s="64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6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6">
        <v>6168.7048999999997</v>
      </c>
      <c r="BC2" s="64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4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6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6">
        <v>6033.2331999999997</v>
      </c>
      <c r="AK3" s="64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6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6">
        <v>6033.2331999999997</v>
      </c>
      <c r="BC3" s="64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4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6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6">
        <v>6228.0492999999997</v>
      </c>
      <c r="AK4" s="64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6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6">
        <v>6228.0492999999997</v>
      </c>
      <c r="BC4" s="64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4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6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6">
        <v>6041.1454000000003</v>
      </c>
      <c r="AK5" s="64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6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6">
        <v>6041.1454000000003</v>
      </c>
      <c r="BC5" s="64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4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6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6">
        <v>6027.5375000000004</v>
      </c>
      <c r="AK6" s="64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6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6">
        <v>6027.5375000000004</v>
      </c>
      <c r="BC6" s="64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4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6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6">
        <v>6168.7048999999997</v>
      </c>
      <c r="AK7" s="64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6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6">
        <v>6168.7048999999997</v>
      </c>
      <c r="BC7" s="64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4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6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6">
        <v>6033.2331999999997</v>
      </c>
      <c r="AK8" s="64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6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6">
        <v>6033.2331999999997</v>
      </c>
      <c r="BC8" s="64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4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6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6">
        <v>6228.0492999999997</v>
      </c>
      <c r="AK9" s="64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6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6">
        <v>6228.0492999999997</v>
      </c>
      <c r="BC9" s="64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4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6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6">
        <v>6027.5375000000004</v>
      </c>
      <c r="AK10" s="64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6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6">
        <v>6027.5375000000004</v>
      </c>
      <c r="BC10" s="64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4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6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6">
        <v>6168.7048999999997</v>
      </c>
      <c r="AK11" s="64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6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6">
        <v>6168.7048999999997</v>
      </c>
      <c r="BC11" s="64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4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6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6">
        <v>6033.2331999999997</v>
      </c>
      <c r="AK12" s="64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6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6">
        <v>6033.2331999999997</v>
      </c>
      <c r="BC12" s="64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4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6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6">
        <v>6228.0492999999997</v>
      </c>
      <c r="AK13" s="64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6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6">
        <v>6228.0492999999997</v>
      </c>
      <c r="BC13" s="64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4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6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6">
        <v>6041.1454000000003</v>
      </c>
      <c r="AK14" s="64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6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6">
        <v>6041.1454000000003</v>
      </c>
      <c r="BC14" s="64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4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6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6">
        <v>6027.5375000000004</v>
      </c>
      <c r="AK15" s="64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6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6">
        <v>6027.5375000000004</v>
      </c>
      <c r="BC15" s="64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4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6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6">
        <v>6168.7048999999997</v>
      </c>
      <c r="AK16" s="64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6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6">
        <v>6168.7048999999997</v>
      </c>
      <c r="BC16" s="64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4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6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6">
        <v>6033.2331999999997</v>
      </c>
      <c r="AK17" s="64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6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6">
        <v>6033.2331999999997</v>
      </c>
      <c r="BC17" s="64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4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6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6">
        <v>6228.0492999999997</v>
      </c>
      <c r="AK18" s="64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6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6">
        <v>6228.0492999999997</v>
      </c>
      <c r="BC18" s="64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4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6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6">
        <v>6041.1454000000003</v>
      </c>
      <c r="AK19" s="64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6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6">
        <v>6041.1454000000003</v>
      </c>
      <c r="BC19" s="64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4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6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6">
        <v>6027.5375000000004</v>
      </c>
      <c r="AK20" s="64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6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6">
        <v>6027.5375000000004</v>
      </c>
      <c r="BC20" s="64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4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6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6">
        <v>6168.7048999999997</v>
      </c>
      <c r="AK21" s="64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6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6">
        <v>6168.7048999999997</v>
      </c>
      <c r="BC21" s="64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4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6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6">
        <v>6033.2331999999997</v>
      </c>
      <c r="AK22" s="64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6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6">
        <v>6033.2331999999997</v>
      </c>
      <c r="BC22" s="64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4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6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6">
        <v>6228.0492999999997</v>
      </c>
      <c r="AK23" s="64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6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6">
        <v>6228.0492999999997</v>
      </c>
      <c r="BC23" s="64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4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6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6">
        <v>6027.5375000000004</v>
      </c>
      <c r="AK24" s="64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6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6">
        <v>6027.5375000000004</v>
      </c>
      <c r="BC24" s="64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4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6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6">
        <v>6168.7048999999997</v>
      </c>
      <c r="AK25" s="64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6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6">
        <v>6168.7048999999997</v>
      </c>
      <c r="BC25" s="64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4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6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6">
        <v>6033.2331999999997</v>
      </c>
      <c r="AK26" s="64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6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6">
        <v>6033.2331999999997</v>
      </c>
      <c r="BC26" s="64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4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6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6">
        <v>6228.0492999999997</v>
      </c>
      <c r="AK27" s="64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6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6">
        <v>6228.0492999999997</v>
      </c>
      <c r="BC27" s="64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4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6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6">
        <v>6041.1454000000003</v>
      </c>
      <c r="AK28" s="64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6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6">
        <v>6041.1454000000003</v>
      </c>
      <c r="BC28" s="64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4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6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6">
        <v>6027.5375000000004</v>
      </c>
      <c r="AK29" s="64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6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6">
        <v>6027.5375000000004</v>
      </c>
      <c r="BC29" s="64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4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6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6">
        <v>6168.7048999999997</v>
      </c>
      <c r="AK30" s="64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6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6">
        <v>6168.7048999999997</v>
      </c>
      <c r="BC30" s="64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4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6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6">
        <v>6033.2331999999997</v>
      </c>
      <c r="AK31" s="64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6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6">
        <v>6033.2331999999997</v>
      </c>
      <c r="BC31" s="64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4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6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6">
        <v>6228.0492999999997</v>
      </c>
      <c r="AK32" s="64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6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6">
        <v>6228.0492999999997</v>
      </c>
      <c r="BC32" s="64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4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6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6">
        <v>6041.1454000000003</v>
      </c>
      <c r="AK33" s="64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6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6">
        <v>6041.1454000000003</v>
      </c>
      <c r="BC33" s="64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4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6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6">
        <v>6027.5375000000004</v>
      </c>
      <c r="AK34" s="64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6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6">
        <v>6027.5375000000004</v>
      </c>
      <c r="BC34" s="64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4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6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6">
        <v>6168.7048999999997</v>
      </c>
      <c r="AK35" s="64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6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6">
        <v>6168.7048999999997</v>
      </c>
      <c r="BC35" s="64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4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6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6">
        <v>6033.2331999999997</v>
      </c>
      <c r="AK36" s="64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6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6">
        <v>6033.2331999999997</v>
      </c>
      <c r="BC36" s="64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4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6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6">
        <v>6228.0492999999997</v>
      </c>
      <c r="AK37" s="64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6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6">
        <v>6228.0492999999997</v>
      </c>
      <c r="BC37" s="64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4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6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6">
        <v>6027.5375000000004</v>
      </c>
      <c r="AK38" s="64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6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6">
        <v>6027.5375000000004</v>
      </c>
      <c r="BC38" s="64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4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6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6">
        <v>6168.7048999999997</v>
      </c>
      <c r="AK39" s="64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6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6">
        <v>6168.7048999999997</v>
      </c>
      <c r="BC39" s="64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4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6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6">
        <v>6033.2331999999997</v>
      </c>
      <c r="AK40" s="64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6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6">
        <v>6033.2331999999997</v>
      </c>
      <c r="BC40" s="64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4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6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6">
        <v>6228.0492999999997</v>
      </c>
      <c r="AK41" s="64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6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6">
        <v>6228.0492999999997</v>
      </c>
      <c r="BC41" s="64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4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6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6">
        <v>6041.1454000000003</v>
      </c>
      <c r="AK42" s="64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6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6">
        <v>6041.1454000000003</v>
      </c>
      <c r="BC42" s="64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4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6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6">
        <v>6027.5375000000004</v>
      </c>
      <c r="AK43" s="64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6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6">
        <v>6027.5375000000004</v>
      </c>
      <c r="BC43" s="64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4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6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6">
        <v>6074.1410999999998</v>
      </c>
      <c r="AK44" s="64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6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6">
        <v>6084.1071000000002</v>
      </c>
      <c r="BC44" s="64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4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6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6">
        <v>6289.3801999999996</v>
      </c>
      <c r="AK45" s="64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6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6">
        <v>6299.6993000000002</v>
      </c>
      <c r="BC45" s="64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4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6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6">
        <v>6127.4002</v>
      </c>
      <c r="AK46" s="64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6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6">
        <v>6137.4535999999998</v>
      </c>
      <c r="BC46" s="64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4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6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6">
        <v>5970.3903</v>
      </c>
      <c r="AK47" s="64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6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6">
        <v>5980.1860999999999</v>
      </c>
      <c r="BC47" s="64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4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6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6">
        <v>5939.7826999999997</v>
      </c>
      <c r="AK48" s="64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6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6">
        <v>5949.5281999999997</v>
      </c>
      <c r="BC48" s="64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4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6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6">
        <v>6074.1410999999998</v>
      </c>
      <c r="AK49" s="64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6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6">
        <v>6084.1071000000002</v>
      </c>
      <c r="BC49" s="64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4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6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6">
        <v>6289.3801999999996</v>
      </c>
      <c r="AK50" s="64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6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6">
        <v>6299.6993000000002</v>
      </c>
      <c r="BC50" s="64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4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6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6">
        <v>6127.4002</v>
      </c>
      <c r="AK51" s="64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6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6">
        <v>6137.4535999999998</v>
      </c>
      <c r="BC51" s="64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4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6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6">
        <v>5939.7826999999997</v>
      </c>
      <c r="AK52" s="64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6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6">
        <v>5949.5281999999997</v>
      </c>
      <c r="BC52" s="64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4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6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6">
        <v>6074.1410999999998</v>
      </c>
      <c r="AK53" s="64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6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6">
        <v>6084.1071000000002</v>
      </c>
      <c r="BC53" s="64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4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6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6">
        <v>6289.3801999999996</v>
      </c>
      <c r="AK54" s="64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6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6">
        <v>6299.6993000000002</v>
      </c>
      <c r="BC54" s="64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4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6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6">
        <v>6127.4002</v>
      </c>
      <c r="AK55" s="64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6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6">
        <v>6137.4535999999998</v>
      </c>
      <c r="BC55" s="64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4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6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6">
        <v>5970.3903</v>
      </c>
      <c r="AK56" s="64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6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6">
        <v>5980.1860999999999</v>
      </c>
      <c r="BC56" s="64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4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6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6">
        <v>5939.7826999999997</v>
      </c>
      <c r="AK57" s="64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6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6">
        <v>5949.5281999999997</v>
      </c>
      <c r="BC57" s="64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4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6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6">
        <v>6084.1071000000002</v>
      </c>
      <c r="AK58" s="64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6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6">
        <v>6084.1071000000002</v>
      </c>
      <c r="BC58" s="64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4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6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6">
        <v>6299.6993000000002</v>
      </c>
      <c r="AK59" s="64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6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6">
        <v>6299.6993000000002</v>
      </c>
      <c r="BC59" s="64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4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6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6">
        <v>6137.4535999999998</v>
      </c>
      <c r="AK60" s="64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6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6">
        <v>6137.4535999999998</v>
      </c>
      <c r="BC60" s="64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4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6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6">
        <v>5980.1860999999999</v>
      </c>
      <c r="AK61" s="64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6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6">
        <v>5980.1860999999999</v>
      </c>
      <c r="BC61" s="64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4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6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6">
        <v>5949.5281999999997</v>
      </c>
      <c r="AK62" s="64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6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6">
        <v>5949.5281999999997</v>
      </c>
      <c r="BC62" s="64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4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6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6">
        <v>6084.1071000000002</v>
      </c>
      <c r="AK63" s="64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6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6">
        <v>6084.1071000000002</v>
      </c>
      <c r="BC63" s="64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4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6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6">
        <v>6299.6993000000002</v>
      </c>
      <c r="AK64" s="64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6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6">
        <v>6299.6993000000002</v>
      </c>
      <c r="BC64" s="64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4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6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6">
        <v>6137.4535999999998</v>
      </c>
      <c r="AK65" s="64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6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6">
        <v>6137.4535999999998</v>
      </c>
      <c r="BC65" s="64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4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6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6">
        <v>5949.5281999999997</v>
      </c>
      <c r="AK66" s="64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6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6">
        <v>5949.5281999999997</v>
      </c>
      <c r="BC66" s="64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4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6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6">
        <v>6084.1071000000002</v>
      </c>
      <c r="AK67" s="64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6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6">
        <v>6084.1071000000002</v>
      </c>
      <c r="BC67" s="64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4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6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6">
        <v>6299.6993000000002</v>
      </c>
      <c r="AK68" s="64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6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6">
        <v>6299.6993000000002</v>
      </c>
      <c r="BC68" s="64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4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6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6">
        <v>6137.4535999999998</v>
      </c>
      <c r="AK69" s="64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6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6">
        <v>6137.4535999999998</v>
      </c>
      <c r="BC69" s="64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4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6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6">
        <v>5980.1860999999999</v>
      </c>
      <c r="AK70" s="64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6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6">
        <v>5980.1860999999999</v>
      </c>
      <c r="BC70" s="64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4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6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6">
        <v>5949.5281999999997</v>
      </c>
      <c r="AK71" s="64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6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6">
        <v>5949.5281999999997</v>
      </c>
      <c r="BC71" s="64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4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6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6">
        <v>6084.1071000000002</v>
      </c>
      <c r="AK72" s="64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6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6">
        <v>6084.1071000000002</v>
      </c>
      <c r="BC72" s="64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4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6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6">
        <v>6299.6993000000002</v>
      </c>
      <c r="AK73" s="64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6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6">
        <v>6299.6993000000002</v>
      </c>
      <c r="BC73" s="64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4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6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6">
        <v>6137.4535999999998</v>
      </c>
      <c r="AK74" s="64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6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6">
        <v>6137.4535999999998</v>
      </c>
      <c r="BC74" s="64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4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6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6">
        <v>5980.1860999999999</v>
      </c>
      <c r="AK75" s="64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6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6">
        <v>5980.1860999999999</v>
      </c>
      <c r="BC75" s="64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4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6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6">
        <v>5949.5281999999997</v>
      </c>
      <c r="AK76" s="64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6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6">
        <v>5949.5281999999997</v>
      </c>
      <c r="BC76" s="64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4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6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6">
        <v>6084.1071000000002</v>
      </c>
      <c r="AK77" s="64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6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6">
        <v>6084.1071000000002</v>
      </c>
      <c r="BC77" s="64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4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6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6">
        <v>6299.6993000000002</v>
      </c>
      <c r="AK78" s="64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6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6">
        <v>6299.6993000000002</v>
      </c>
      <c r="BC78" s="64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4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6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6">
        <v>6137.4535999999998</v>
      </c>
      <c r="AK79" s="64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6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6">
        <v>6137.4535999999998</v>
      </c>
      <c r="BC79" s="64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4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6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6">
        <v>5949.5281999999997</v>
      </c>
      <c r="AK80" s="64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6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6">
        <v>5949.5281999999997</v>
      </c>
      <c r="BC80" s="64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4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6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6">
        <v>6084.1071000000002</v>
      </c>
      <c r="AK81" s="64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6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6">
        <v>6084.1071000000002</v>
      </c>
      <c r="BC81" s="64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4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6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6">
        <v>6299.6993000000002</v>
      </c>
      <c r="AK82" s="64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6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6">
        <v>6299.6993000000002</v>
      </c>
      <c r="BC82" s="64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4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6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6">
        <v>6137.4535999999998</v>
      </c>
      <c r="AK83" s="64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6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6">
        <v>6137.4535999999998</v>
      </c>
      <c r="BC83" s="64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4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6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6">
        <v>5980.1860999999999</v>
      </c>
      <c r="AK84" s="64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6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6">
        <v>5980.1860999999999</v>
      </c>
      <c r="BC84" s="64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4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6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6">
        <v>5949.5281999999997</v>
      </c>
      <c r="AK85" s="64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6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6">
        <v>5949.5281999999997</v>
      </c>
      <c r="BC85" s="64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4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6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6">
        <v>6084.1071000000002</v>
      </c>
      <c r="AK86" s="64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6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6">
        <v>6084.1071000000002</v>
      </c>
      <c r="BC86" s="64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4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6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6">
        <v>6299.6993000000002</v>
      </c>
      <c r="AK87" s="64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6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6">
        <v>6299.6993000000002</v>
      </c>
      <c r="BC87" s="64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4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6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6">
        <v>6137.4535999999998</v>
      </c>
      <c r="AK88" s="64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6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6">
        <v>6137.4535999999998</v>
      </c>
      <c r="BC88" s="64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4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6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6">
        <v>5980.1860999999999</v>
      </c>
      <c r="AK89" s="64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6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6">
        <v>5980.1860999999999</v>
      </c>
      <c r="BC89" s="64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4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6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6">
        <v>5949.5281999999997</v>
      </c>
      <c r="AK90" s="64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6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6">
        <v>5949.5281999999997</v>
      </c>
      <c r="BC90" s="64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4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6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6">
        <v>6084.1071000000002</v>
      </c>
      <c r="AK91" s="64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6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6">
        <v>6084.1071000000002</v>
      </c>
      <c r="BC91" s="64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4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6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6">
        <v>6299.6993000000002</v>
      </c>
      <c r="AK92" s="64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6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6">
        <v>6299.6993000000002</v>
      </c>
      <c r="BC92" s="64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4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6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6">
        <v>6137.4535999999998</v>
      </c>
      <c r="AK93" s="64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6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6">
        <v>6137.4535999999998</v>
      </c>
      <c r="BC93" s="64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4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6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6">
        <v>5949.5281999999997</v>
      </c>
      <c r="AK94" s="64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6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6">
        <v>5949.5281999999997</v>
      </c>
      <c r="BC94" s="64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4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6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6">
        <v>6084.1071000000002</v>
      </c>
      <c r="AK95" s="64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6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6">
        <v>6084.1071000000002</v>
      </c>
      <c r="BC95" s="64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4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6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6">
        <v>6299.6993000000002</v>
      </c>
      <c r="AK96" s="64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6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6">
        <v>6299.6993000000002</v>
      </c>
      <c r="BC96" s="64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4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6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6">
        <v>6137.4535999999998</v>
      </c>
      <c r="AK97" s="64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6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6">
        <v>6137.4535999999998</v>
      </c>
      <c r="BC97" s="64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4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6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6">
        <v>5980.1860999999999</v>
      </c>
      <c r="AK98" s="64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6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6">
        <v>5980.1860999999999</v>
      </c>
      <c r="BC98" s="64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4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6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6">
        <v>5949.5281999999997</v>
      </c>
      <c r="AK99" s="64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6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6">
        <v>5949.5281999999997</v>
      </c>
      <c r="BC99" s="64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4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6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6">
        <v>6084.1071000000002</v>
      </c>
      <c r="AK100" s="64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6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6">
        <v>6084.1071000000002</v>
      </c>
      <c r="BC100" s="64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4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6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6">
        <v>6299.6993000000002</v>
      </c>
      <c r="AK101" s="64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6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6">
        <v>6299.6993000000002</v>
      </c>
      <c r="BC101" s="64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4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6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6">
        <v>6137.4535999999998</v>
      </c>
      <c r="AK102" s="64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6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6">
        <v>6137.4535999999998</v>
      </c>
      <c r="BC102" s="64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4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6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6">
        <v>5980.1860999999999</v>
      </c>
      <c r="AK103" s="64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6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6">
        <v>5980.1860999999999</v>
      </c>
      <c r="BC103" s="64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4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6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6">
        <v>5949.5281999999997</v>
      </c>
      <c r="AK104" s="64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6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6">
        <v>5949.5281999999997</v>
      </c>
      <c r="BC104" s="64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4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6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6">
        <v>6084.1071000000002</v>
      </c>
      <c r="AK105" s="64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6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6">
        <v>6084.1071000000002</v>
      </c>
      <c r="BC105" s="64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4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6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6">
        <v>6299.6993000000002</v>
      </c>
      <c r="AK106" s="64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6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6">
        <v>6299.6993000000002</v>
      </c>
      <c r="BC106" s="64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4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6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6">
        <v>6137.4535999999998</v>
      </c>
      <c r="AK107" s="64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6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6">
        <v>6137.4535999999998</v>
      </c>
      <c r="BC107" s="64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4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6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6">
        <v>5949.5281999999997</v>
      </c>
      <c r="AK108" s="64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6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6">
        <v>5949.5281999999997</v>
      </c>
      <c r="BC108" s="64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4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6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6">
        <v>6084.1071000000002</v>
      </c>
      <c r="AK109" s="64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6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6">
        <v>6084.1071000000002</v>
      </c>
      <c r="BC109" s="64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4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6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6">
        <v>6299.6993000000002</v>
      </c>
      <c r="AK110" s="64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6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6">
        <v>6299.6993000000002</v>
      </c>
      <c r="BC110" s="64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4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6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6">
        <v>6137.4535999999998</v>
      </c>
      <c r="AK111" s="64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6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6">
        <v>6137.4535999999998</v>
      </c>
      <c r="BC111" s="64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4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6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6">
        <v>5980.1860999999999</v>
      </c>
      <c r="AK112" s="64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6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6">
        <v>5980.1860999999999</v>
      </c>
      <c r="BC112" s="64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4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6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6">
        <v>5949.5281999999997</v>
      </c>
      <c r="AK113" s="64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6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6">
        <v>5949.5281999999997</v>
      </c>
      <c r="BC113" s="64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4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6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6">
        <v>6084.1071000000002</v>
      </c>
      <c r="AK114" s="64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6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6">
        <v>5970.0387000000001</v>
      </c>
      <c r="BC114" s="64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4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6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6">
        <v>6299.6993000000002</v>
      </c>
      <c r="AK115" s="64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6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6">
        <v>6181.5888999999997</v>
      </c>
      <c r="BC115" s="64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4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6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6">
        <v>6137.4535999999998</v>
      </c>
      <c r="AK116" s="64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6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6">
        <v>6022.3850000000002</v>
      </c>
      <c r="BC116" s="64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4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6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6">
        <v>5980.1860999999999</v>
      </c>
      <c r="AK117" s="64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6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6">
        <v>5868.0661</v>
      </c>
      <c r="BC117" s="64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4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6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6">
        <v>5949.5281999999997</v>
      </c>
      <c r="AK118" s="64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6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6">
        <v>5837.9830000000002</v>
      </c>
      <c r="BC118" s="64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4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6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6">
        <v>6084.1071000000002</v>
      </c>
      <c r="AK119" s="64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6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6">
        <v>5970.0387000000001</v>
      </c>
      <c r="BC119" s="64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4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6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6">
        <v>6299.6993000000002</v>
      </c>
      <c r="AK120" s="64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6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6">
        <v>6181.5888999999997</v>
      </c>
      <c r="BC120" s="64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4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6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6">
        <v>6137.4535999999998</v>
      </c>
      <c r="AK121" s="64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6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6">
        <v>6022.3850000000002</v>
      </c>
      <c r="BC121" s="64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4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6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6">
        <v>5949.5281999999997</v>
      </c>
      <c r="AK122" s="64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6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6">
        <v>5837.9830000000002</v>
      </c>
      <c r="BC122" s="64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4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6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6">
        <v>6084.1071000000002</v>
      </c>
      <c r="AK123" s="64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6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6">
        <v>5970.0387000000001</v>
      </c>
      <c r="BC123" s="64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4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6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6">
        <v>6299.6993000000002</v>
      </c>
      <c r="AK124" s="64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6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6">
        <v>6181.5888999999997</v>
      </c>
      <c r="BC124" s="64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4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6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6">
        <v>6137.4535999999998</v>
      </c>
      <c r="AK125" s="64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6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6">
        <v>6022.3850000000002</v>
      </c>
      <c r="BC125" s="64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4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6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6">
        <v>5980.1860999999999</v>
      </c>
      <c r="AK126" s="64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6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6">
        <v>5868.0661</v>
      </c>
      <c r="BC126" s="64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4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6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6">
        <v>5949.5281999999997</v>
      </c>
      <c r="AK127" s="64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6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6">
        <v>5837.9830000000002</v>
      </c>
      <c r="BC127" s="64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4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6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6">
        <v>6084.1071000000002</v>
      </c>
      <c r="AK128" s="64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6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6">
        <v>5970.0387000000001</v>
      </c>
      <c r="BC128" s="64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4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6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6">
        <v>6299.6993000000002</v>
      </c>
      <c r="AK129" s="64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6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6">
        <v>6181.5888999999997</v>
      </c>
      <c r="BC129" s="64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4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6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6">
        <v>6137.4535999999998</v>
      </c>
      <c r="AK130" s="64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6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6">
        <v>6022.3850000000002</v>
      </c>
      <c r="BC130" s="64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4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6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6">
        <v>5980.1860999999999</v>
      </c>
      <c r="AK131" s="64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6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6">
        <v>5868.0661</v>
      </c>
      <c r="BC131" s="64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4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6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6">
        <v>5949.5281999999997</v>
      </c>
      <c r="AK132" s="64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6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6">
        <v>5837.9830000000002</v>
      </c>
      <c r="BC132" s="64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4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6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6">
        <v>6084.1071000000002</v>
      </c>
      <c r="AK133" s="64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6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6">
        <v>5970.0387000000001</v>
      </c>
      <c r="BC133" s="64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4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6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6">
        <v>6299.6993000000002</v>
      </c>
      <c r="AK134" s="64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6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6">
        <v>6181.5888999999997</v>
      </c>
      <c r="BC134" s="64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4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6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6">
        <v>6137.4535999999998</v>
      </c>
      <c r="AK135" s="64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6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6">
        <v>6022.3850000000002</v>
      </c>
      <c r="BC135" s="64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4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6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6">
        <v>5949.5281999999997</v>
      </c>
      <c r="AK136" s="64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6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6">
        <v>5837.9830000000002</v>
      </c>
      <c r="BC136" s="64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4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6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6">
        <v>6084.1071000000002</v>
      </c>
      <c r="AK137" s="64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6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6">
        <v>5970.0387000000001</v>
      </c>
      <c r="BC137" s="64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4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6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6">
        <v>6299.6993000000002</v>
      </c>
      <c r="AK138" s="64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6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6">
        <v>6181.5888999999997</v>
      </c>
      <c r="BC138" s="64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4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6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6">
        <v>6137.4535999999998</v>
      </c>
      <c r="AK139" s="64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6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6">
        <v>6022.3850000000002</v>
      </c>
      <c r="BC139" s="64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4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6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6">
        <v>5980.1860999999999</v>
      </c>
      <c r="AK140" s="64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6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6">
        <v>5868.0661</v>
      </c>
      <c r="BC140" s="64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4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6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6">
        <v>5949.5281999999997</v>
      </c>
      <c r="AK141" s="64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6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6">
        <v>5837.9830000000002</v>
      </c>
      <c r="BC141" s="64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4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6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6">
        <v>6084.1071000000002</v>
      </c>
      <c r="AK142" s="64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6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6">
        <v>5970.0387000000001</v>
      </c>
      <c r="BC142" s="64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4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6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6">
        <v>6299.6993000000002</v>
      </c>
      <c r="AK143" s="64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6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6">
        <v>6181.5888999999997</v>
      </c>
      <c r="BC143" s="64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4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6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6">
        <v>6137.4535999999998</v>
      </c>
      <c r="AK144" s="64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6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6">
        <v>6022.3850000000002</v>
      </c>
      <c r="BC144" s="64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4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6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6">
        <v>5980.1860999999999</v>
      </c>
      <c r="AK145" s="64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6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6">
        <v>5868.0661</v>
      </c>
      <c r="BC145" s="64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4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6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6">
        <v>5949.5281999999997</v>
      </c>
      <c r="AK146" s="64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6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6">
        <v>5837.9830000000002</v>
      </c>
      <c r="BC146" s="64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4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6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6">
        <v>6084.1071000000002</v>
      </c>
      <c r="AK147" s="64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6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6">
        <v>5970.0387000000001</v>
      </c>
      <c r="BC147" s="64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4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6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6">
        <v>6299.6993000000002</v>
      </c>
      <c r="AK148" s="64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6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6">
        <v>6181.5888999999997</v>
      </c>
      <c r="BC148" s="64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4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6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6">
        <v>6137.4535999999998</v>
      </c>
      <c r="AK149" s="64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6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6">
        <v>6022.3850000000002</v>
      </c>
      <c r="BC149" s="64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4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6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6">
        <v>5949.5281999999997</v>
      </c>
      <c r="AK150" s="64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6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6">
        <v>5837.9830000000002</v>
      </c>
      <c r="BC150" s="64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4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6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6">
        <v>6084.1071000000002</v>
      </c>
      <c r="AK151" s="64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6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6">
        <v>5970.0387000000001</v>
      </c>
      <c r="BC151" s="64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4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6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6">
        <v>6299.6993000000002</v>
      </c>
      <c r="AK152" s="64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6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6">
        <v>6181.5888999999997</v>
      </c>
      <c r="BC152" s="64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4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6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6">
        <v>6137.4535999999998</v>
      </c>
      <c r="AK153" s="64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6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6">
        <v>6022.3850000000002</v>
      </c>
      <c r="BC153" s="64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4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6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6">
        <v>5980.1860999999999</v>
      </c>
      <c r="AK154" s="64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6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6">
        <v>5868.0661</v>
      </c>
      <c r="BC154" s="64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4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6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6">
        <v>5949.5281999999997</v>
      </c>
      <c r="AK155" s="64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6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6">
        <v>5837.9830000000002</v>
      </c>
      <c r="BC155" s="64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4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6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6">
        <v>6084.1071000000002</v>
      </c>
      <c r="AK156" s="64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6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6">
        <v>5896.4832999999999</v>
      </c>
      <c r="BC156" s="64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4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6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6">
        <v>6299.6993000000002</v>
      </c>
      <c r="AK157" s="64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6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6">
        <v>6105.4269999999997</v>
      </c>
      <c r="BC157" s="64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4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6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6">
        <v>6137.4535999999998</v>
      </c>
      <c r="AK158" s="64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6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6">
        <v>5948.1846999999998</v>
      </c>
      <c r="BC158" s="64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4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6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6">
        <v>5980.1860999999999</v>
      </c>
      <c r="AK159" s="64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6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6">
        <v>5795.7669999999998</v>
      </c>
      <c r="BC159" s="64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4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6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6">
        <v>5949.5281999999997</v>
      </c>
      <c r="AK160" s="64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6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6">
        <v>5766.0546000000004</v>
      </c>
      <c r="BC160" s="64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4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6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6">
        <v>6084.1071000000002</v>
      </c>
      <c r="AK161" s="64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6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6">
        <v>5896.4832999999999</v>
      </c>
      <c r="BC161" s="64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4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6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6">
        <v>6299.6993000000002</v>
      </c>
      <c r="AK162" s="64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6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6">
        <v>6105.4269999999997</v>
      </c>
      <c r="BC162" s="64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4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6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6">
        <v>6137.4535999999998</v>
      </c>
      <c r="AK163" s="64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6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6">
        <v>5948.1846999999998</v>
      </c>
      <c r="BC163" s="64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4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6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6">
        <v>5949.5281999999997</v>
      </c>
      <c r="AK164" s="64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6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6">
        <v>5766.0546000000004</v>
      </c>
      <c r="BC164" s="64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4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6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6">
        <v>6084.1071000000002</v>
      </c>
      <c r="AK165" s="64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6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6">
        <v>5896.4832999999999</v>
      </c>
      <c r="BC165" s="64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4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6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6">
        <v>6299.6993000000002</v>
      </c>
      <c r="AK166" s="64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6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6">
        <v>6105.4269999999997</v>
      </c>
      <c r="BC166" s="64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4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6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6">
        <v>6137.4535999999998</v>
      </c>
      <c r="AK167" s="64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6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6">
        <v>5948.1846999999998</v>
      </c>
      <c r="BC167" s="64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4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6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6">
        <v>5980.1860999999999</v>
      </c>
      <c r="AK168" s="64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6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6">
        <v>5795.7669999999998</v>
      </c>
      <c r="BC168" s="64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4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6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6">
        <v>5949.5281999999997</v>
      </c>
      <c r="AK169" s="64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6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6">
        <v>5766.0546000000004</v>
      </c>
      <c r="BC169" s="64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4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6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6">
        <v>6084.1071000000002</v>
      </c>
      <c r="AK170" s="64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6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6">
        <v>6038.5586000000003</v>
      </c>
      <c r="BC170" s="64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4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6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6">
        <v>6299.6993000000002</v>
      </c>
      <c r="AK171" s="64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6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6">
        <v>6252.5366999999997</v>
      </c>
      <c r="BC171" s="64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4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6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6">
        <v>6137.4535999999998</v>
      </c>
      <c r="AK172" s="64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6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6">
        <v>6091.5056999999997</v>
      </c>
      <c r="BC172" s="64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4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6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6">
        <v>5980.1860999999999</v>
      </c>
      <c r="AK173" s="64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6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6">
        <v>5935.4155000000001</v>
      </c>
      <c r="BC173" s="64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4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6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6">
        <v>5949.5281999999997</v>
      </c>
      <c r="AK174" s="64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6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6">
        <v>5904.9871999999996</v>
      </c>
      <c r="BC174" s="64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4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6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6">
        <v>6084.1071000000002</v>
      </c>
      <c r="AK175" s="64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6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6">
        <v>6038.5586000000003</v>
      </c>
      <c r="BC175" s="64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4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6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6">
        <v>6299.6993000000002</v>
      </c>
      <c r="AK176" s="64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6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6">
        <v>6252.5366999999997</v>
      </c>
      <c r="BC176" s="64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4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6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6">
        <v>6137.4535999999998</v>
      </c>
      <c r="AK177" s="64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6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6">
        <v>6091.5056999999997</v>
      </c>
      <c r="BC177" s="64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4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6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6">
        <v>5949.5281999999997</v>
      </c>
      <c r="AK178" s="64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6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6">
        <v>5904.9871999999996</v>
      </c>
      <c r="BC178" s="64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4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6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6">
        <v>6084.1071000000002</v>
      </c>
      <c r="AK179" s="64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6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6">
        <v>6038.5586000000003</v>
      </c>
      <c r="BC179" s="64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4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6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6">
        <v>6299.6993000000002</v>
      </c>
      <c r="AK180" s="64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6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6">
        <v>6252.5366999999997</v>
      </c>
      <c r="BC180" s="64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4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6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6">
        <v>6137.4535999999998</v>
      </c>
      <c r="AK181" s="64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6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6">
        <v>6091.5056999999997</v>
      </c>
      <c r="BC181" s="64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4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6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6">
        <v>5980.1860999999999</v>
      </c>
      <c r="AK182" s="64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6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6">
        <v>5935.4155000000001</v>
      </c>
      <c r="BC182" s="64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4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6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6">
        <v>5949.5281999999997</v>
      </c>
      <c r="AK183" s="64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6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6">
        <v>5904.9871999999996</v>
      </c>
      <c r="BC183" s="64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4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6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6">
        <v>6084.1071000000002</v>
      </c>
      <c r="AK184" s="64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6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6">
        <v>5981.0990000000002</v>
      </c>
      <c r="BC184" s="64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4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6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6">
        <v>6299.6993000000002</v>
      </c>
      <c r="AK185" s="64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6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6">
        <v>6193.0411000000004</v>
      </c>
      <c r="BC185" s="64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4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6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6">
        <v>6137.4535999999998</v>
      </c>
      <c r="AK186" s="64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6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6">
        <v>6033.5423000000001</v>
      </c>
      <c r="BC186" s="64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4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6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6">
        <v>5980.1860999999999</v>
      </c>
      <c r="AK187" s="64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6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6">
        <v>5878.9373999999998</v>
      </c>
      <c r="BC187" s="64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4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6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6">
        <v>5949.5281999999997</v>
      </c>
      <c r="AK188" s="64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6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6">
        <v>5848.7986000000001</v>
      </c>
      <c r="BC188" s="64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4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6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6">
        <v>6084.1071000000002</v>
      </c>
      <c r="AK189" s="64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6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6">
        <v>5981.0990000000002</v>
      </c>
      <c r="BC189" s="64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4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6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6">
        <v>6299.6993000000002</v>
      </c>
      <c r="AK190" s="64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6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6">
        <v>6193.0411000000004</v>
      </c>
      <c r="BC190" s="64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4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6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6">
        <v>6137.4535999999998</v>
      </c>
      <c r="AK191" s="64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6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6">
        <v>6033.5423000000001</v>
      </c>
      <c r="BC191" s="64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4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6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6">
        <v>5949.5281999999997</v>
      </c>
      <c r="AK192" s="64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6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6">
        <v>5848.7986000000001</v>
      </c>
      <c r="BC192" s="64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4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6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6">
        <v>6084.1071000000002</v>
      </c>
      <c r="AK193" s="64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6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6">
        <v>5981.0990000000002</v>
      </c>
      <c r="BC193" s="64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4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6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6">
        <v>6299.6993000000002</v>
      </c>
      <c r="AK194" s="64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6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6">
        <v>6193.0411000000004</v>
      </c>
      <c r="BC194" s="64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4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6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6">
        <v>6137.4535999999998</v>
      </c>
      <c r="AK195" s="64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6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6">
        <v>6033.5423000000001</v>
      </c>
      <c r="BC195" s="64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4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6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6">
        <v>5980.1860999999999</v>
      </c>
      <c r="AK196" s="64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6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6">
        <v>5878.9373999999998</v>
      </c>
      <c r="BC196" s="64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4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6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6">
        <v>5949.5281999999997</v>
      </c>
      <c r="AK197" s="64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6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6">
        <v>5848.7986000000001</v>
      </c>
      <c r="BC197" s="64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4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6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6">
        <v>6084.1071000000002</v>
      </c>
      <c r="AK198" s="64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6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6">
        <v>5925.0376999999999</v>
      </c>
      <c r="BC198" s="64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4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6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6">
        <v>6299.6993000000002</v>
      </c>
      <c r="AK199" s="64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6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6">
        <v>6446.1022000000003</v>
      </c>
      <c r="BC199" s="64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4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6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6">
        <v>6137.4535999999998</v>
      </c>
      <c r="AK200" s="64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6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6">
        <v>6057.0303000000004</v>
      </c>
      <c r="BC200" s="64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4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6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6">
        <v>5980.1860999999999</v>
      </c>
      <c r="AK201" s="64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6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6">
        <v>5922.1841000000004</v>
      </c>
      <c r="BC201" s="64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4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6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6">
        <v>5949.5281999999997</v>
      </c>
      <c r="AK202" s="64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6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6">
        <v>6002.8595999999998</v>
      </c>
      <c r="BC202" s="64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4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6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6">
        <v>6084.1071000000002</v>
      </c>
      <c r="AK203" s="64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6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6">
        <v>5925.0376999999999</v>
      </c>
      <c r="BC203" s="64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4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6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6">
        <v>6299.6993000000002</v>
      </c>
      <c r="AK204" s="64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6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6">
        <v>6446.1022000000003</v>
      </c>
      <c r="BC204" s="64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4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6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6">
        <v>6137.4535999999998</v>
      </c>
      <c r="AK205" s="64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6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6">
        <v>6057.0303000000004</v>
      </c>
      <c r="BC205" s="64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4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6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6">
        <v>5949.5281999999997</v>
      </c>
      <c r="AK206" s="64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6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6">
        <v>6002.8595999999998</v>
      </c>
      <c r="BC206" s="64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4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6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6">
        <v>6084.1071000000002</v>
      </c>
      <c r="AK207" s="64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6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6">
        <v>5925.0376999999999</v>
      </c>
      <c r="BC207" s="64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4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6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6">
        <v>6299.6993000000002</v>
      </c>
      <c r="AK208" s="64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6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6">
        <v>6446.1022000000003</v>
      </c>
      <c r="BC208" s="64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4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6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6">
        <v>6137.4535999999998</v>
      </c>
      <c r="AK209" s="64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6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6">
        <v>6057.0303000000004</v>
      </c>
      <c r="BC209" s="64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4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6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6">
        <v>5980.1860999999999</v>
      </c>
      <c r="AK210" s="64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6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6">
        <v>5922.1841000000004</v>
      </c>
      <c r="BC210" s="64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4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6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6">
        <v>5949.5281999999997</v>
      </c>
      <c r="AK211" s="64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6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6">
        <v>6002.8595999999998</v>
      </c>
      <c r="BC211" s="64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4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6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6">
        <v>6084.1071000000002</v>
      </c>
      <c r="AK212" s="64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6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6">
        <v>5799.6358</v>
      </c>
      <c r="BC212" s="64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4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6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6">
        <v>6299.6993000000002</v>
      </c>
      <c r="AK213" s="64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6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6">
        <v>6309.6720999999998</v>
      </c>
      <c r="BC213" s="64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4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6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6">
        <v>6137.4535999999998</v>
      </c>
      <c r="AK214" s="64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6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6">
        <v>5928.8347999999996</v>
      </c>
      <c r="BC214" s="64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4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6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6">
        <v>5980.1860999999999</v>
      </c>
      <c r="AK215" s="64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6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6">
        <v>5796.8424999999997</v>
      </c>
      <c r="BC215" s="64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4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6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6">
        <v>5949.5281999999997</v>
      </c>
      <c r="AK216" s="64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6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6">
        <v>5875.8105999999998</v>
      </c>
      <c r="BC216" s="64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4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6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6">
        <v>6084.1071000000002</v>
      </c>
      <c r="AK217" s="64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6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6">
        <v>5799.6358</v>
      </c>
      <c r="BC217" s="64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4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6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6">
        <v>6299.6993000000002</v>
      </c>
      <c r="AK218" s="64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6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6">
        <v>6309.6720999999998</v>
      </c>
      <c r="BC218" s="64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4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6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6">
        <v>6137.4535999999998</v>
      </c>
      <c r="AK219" s="64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6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6">
        <v>5928.8347999999996</v>
      </c>
      <c r="BC219" s="64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4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6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6">
        <v>5949.5281999999997</v>
      </c>
      <c r="AK220" s="64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6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6">
        <v>5875.8105999999998</v>
      </c>
      <c r="BC220" s="64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4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6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6">
        <v>6084.1071000000002</v>
      </c>
      <c r="AK221" s="64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6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6">
        <v>5799.6358</v>
      </c>
      <c r="BC221" s="64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4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6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6">
        <v>6299.6993000000002</v>
      </c>
      <c r="AK222" s="64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6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6">
        <v>6309.6720999999998</v>
      </c>
      <c r="BC222" s="64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4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6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6">
        <v>6137.4535999999998</v>
      </c>
      <c r="AK223" s="64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6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6">
        <v>5928.8347999999996</v>
      </c>
      <c r="BC223" s="64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4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6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6">
        <v>5980.1860999999999</v>
      </c>
      <c r="AK224" s="64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6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6">
        <v>5796.8424999999997</v>
      </c>
      <c r="BC224" s="64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4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6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6">
        <v>5949.5281999999997</v>
      </c>
      <c r="AK225" s="64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6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6">
        <v>5875.8105999999998</v>
      </c>
      <c r="BC225" s="64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4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6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6">
        <v>6084.1071000000002</v>
      </c>
      <c r="AK226" s="64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6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6">
        <v>5631.2929999999997</v>
      </c>
      <c r="BC226" s="64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4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6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6">
        <v>6299.6993000000002</v>
      </c>
      <c r="AK227" s="64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6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6">
        <v>6126.5246999999999</v>
      </c>
      <c r="BC227" s="64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4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6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6">
        <v>6137.4535999999998</v>
      </c>
      <c r="AK228" s="64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6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6">
        <v>5756.7417999999998</v>
      </c>
      <c r="BC228" s="64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4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6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6">
        <v>5980.1860999999999</v>
      </c>
      <c r="AK229" s="64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6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6">
        <v>5628.5807999999997</v>
      </c>
      <c r="BC229" s="64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4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6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6">
        <v>5949.5281999999997</v>
      </c>
      <c r="AK230" s="64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6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6">
        <v>5705.2566999999999</v>
      </c>
      <c r="BC230" s="64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4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6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6">
        <v>6084.1071000000002</v>
      </c>
      <c r="AK231" s="64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6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6">
        <v>5631.2929999999997</v>
      </c>
      <c r="BC231" s="64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4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6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6">
        <v>6299.6993000000002</v>
      </c>
      <c r="AK232" s="64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6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6">
        <v>6126.5246999999999</v>
      </c>
      <c r="BC232" s="64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4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6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6">
        <v>6137.4535999999998</v>
      </c>
      <c r="AK233" s="64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6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6">
        <v>5756.7417999999998</v>
      </c>
      <c r="BC233" s="64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4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6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6">
        <v>5949.5281999999997</v>
      </c>
      <c r="AK234" s="64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6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6">
        <v>5705.2566999999999</v>
      </c>
      <c r="BC234" s="64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4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6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6">
        <v>6084.1071000000002</v>
      </c>
      <c r="AK235" s="64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6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6">
        <v>5631.2929999999997</v>
      </c>
      <c r="BC235" s="64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4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6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6">
        <v>6299.6993000000002</v>
      </c>
      <c r="AK236" s="64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6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6">
        <v>6126.5246999999999</v>
      </c>
      <c r="BC236" s="64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4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6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6">
        <v>6137.4535999999998</v>
      </c>
      <c r="AK237" s="64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6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6">
        <v>5756.7417999999998</v>
      </c>
      <c r="BC237" s="64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4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6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6">
        <v>5980.1860999999999</v>
      </c>
      <c r="AK238" s="64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6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6">
        <v>5628.5807999999997</v>
      </c>
      <c r="BC238" s="64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4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6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6">
        <v>5949.5281999999997</v>
      </c>
      <c r="AK239" s="64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6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6">
        <v>5705.2566999999999</v>
      </c>
      <c r="BC239" s="64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4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6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6">
        <v>5952.3146999999999</v>
      </c>
      <c r="AK240" s="64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6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6">
        <v>5667.3921</v>
      </c>
      <c r="BC240" s="64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4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6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6">
        <v>6475.7779</v>
      </c>
      <c r="AK241" s="64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6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6">
        <v>6165.7986000000001</v>
      </c>
      <c r="BC241" s="64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4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6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6">
        <v>6084.9148999999998</v>
      </c>
      <c r="AK242" s="64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6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6">
        <v>5793.6451999999999</v>
      </c>
      <c r="BC242" s="64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4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6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6">
        <v>5949.4479000000001</v>
      </c>
      <c r="AK243" s="64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6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6">
        <v>5664.6625999999997</v>
      </c>
      <c r="BC243" s="64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4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6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6">
        <v>6030.4948000000004</v>
      </c>
      <c r="AK244" s="64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6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6">
        <v>5741.83</v>
      </c>
      <c r="BC244" s="64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4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6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6">
        <v>5952.3146999999999</v>
      </c>
      <c r="AK245" s="64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6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6">
        <v>5667.3921</v>
      </c>
      <c r="BC245" s="64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4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6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6">
        <v>6475.7779</v>
      </c>
      <c r="AK246" s="64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6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6">
        <v>6165.7986000000001</v>
      </c>
      <c r="BC246" s="64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4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6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6">
        <v>6084.9148999999998</v>
      </c>
      <c r="AK247" s="64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6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6">
        <v>5793.6451999999999</v>
      </c>
      <c r="BC247" s="64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4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6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6">
        <v>6030.4948000000004</v>
      </c>
      <c r="AK248" s="64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6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6">
        <v>5741.83</v>
      </c>
      <c r="BC248" s="64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4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6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6">
        <v>5952.3146999999999</v>
      </c>
      <c r="AK249" s="64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6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6">
        <v>5667.3921</v>
      </c>
      <c r="BC249" s="64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4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6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6">
        <v>6475.7779</v>
      </c>
      <c r="AK250" s="64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6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6">
        <v>6165.7986000000001</v>
      </c>
      <c r="BC250" s="64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4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6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6">
        <v>6084.9148999999998</v>
      </c>
      <c r="AK251" s="64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6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6">
        <v>5793.6451999999999</v>
      </c>
      <c r="BC251" s="64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4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6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6">
        <v>5949.4479000000001</v>
      </c>
      <c r="AK252" s="64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6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6">
        <v>5664.6625999999997</v>
      </c>
      <c r="BC252" s="64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4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6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6">
        <v>6030.4948000000004</v>
      </c>
      <c r="AK253" s="64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6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6">
        <v>5741.83</v>
      </c>
      <c r="BC253" s="64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4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6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6">
        <v>5952.3146999999999</v>
      </c>
      <c r="AK254" s="64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6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6">
        <v>5705.3818000000001</v>
      </c>
      <c r="BC254" s="64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4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6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6">
        <v>6475.7779</v>
      </c>
      <c r="AK255" s="64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6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6">
        <v>6207.1291000000001</v>
      </c>
      <c r="BC255" s="64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4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6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6">
        <v>6084.9148999999998</v>
      </c>
      <c r="AK256" s="64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6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6">
        <v>5832.4811</v>
      </c>
      <c r="BC256" s="64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4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6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6">
        <v>5949.4479000000001</v>
      </c>
      <c r="AK257" s="64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6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6">
        <v>5702.6338999999998</v>
      </c>
      <c r="BC257" s="64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4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6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6">
        <v>6030.4948000000004</v>
      </c>
      <c r="AK258" s="64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6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6">
        <v>5780.3185999999996</v>
      </c>
      <c r="BC258" s="64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4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6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6">
        <v>5952.3146999999999</v>
      </c>
      <c r="AK259" s="64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6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6">
        <v>5705.3818000000001</v>
      </c>
      <c r="BC259" s="64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4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6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6">
        <v>6475.7779</v>
      </c>
      <c r="AK260" s="64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6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6">
        <v>6207.1291000000001</v>
      </c>
      <c r="BC260" s="64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4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6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6">
        <v>6084.9148999999998</v>
      </c>
      <c r="AK261" s="64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6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6">
        <v>5832.4811</v>
      </c>
      <c r="BC261" s="64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4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6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6">
        <v>6030.4948000000004</v>
      </c>
      <c r="AK262" s="64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6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6">
        <v>5780.3185999999996</v>
      </c>
      <c r="BC262" s="64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4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6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6">
        <v>5952.3146999999999</v>
      </c>
      <c r="AK263" s="64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6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6">
        <v>5705.3818000000001</v>
      </c>
      <c r="BC263" s="64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4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6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6">
        <v>6475.7779</v>
      </c>
      <c r="AK264" s="64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6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6">
        <v>6207.1291000000001</v>
      </c>
      <c r="BC264" s="64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4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6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6">
        <v>6084.9148999999998</v>
      </c>
      <c r="AK265" s="64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6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6">
        <v>5832.4811</v>
      </c>
      <c r="BC265" s="64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4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6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6">
        <v>5949.4479000000001</v>
      </c>
      <c r="AK266" s="64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6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6">
        <v>5702.6338999999998</v>
      </c>
      <c r="BC266" s="64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4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6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6">
        <v>6030.4948000000004</v>
      </c>
      <c r="AK267" s="64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6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6">
        <v>5780.3185999999996</v>
      </c>
      <c r="BC267" s="64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4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6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6">
        <v>5952.3146999999999</v>
      </c>
      <c r="AK268" s="64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6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6">
        <v>5744.6318000000001</v>
      </c>
      <c r="BC268" s="64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4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6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6">
        <v>6475.7779</v>
      </c>
      <c r="AK269" s="64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6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6">
        <v>6249.8308999999999</v>
      </c>
      <c r="BC269" s="64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4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6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6">
        <v>6084.9148999999998</v>
      </c>
      <c r="AK270" s="64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6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6">
        <v>5872.6054999999997</v>
      </c>
      <c r="BC270" s="64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4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6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6">
        <v>5949.4479000000001</v>
      </c>
      <c r="AK271" s="64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6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6">
        <v>5741.8649999999998</v>
      </c>
      <c r="BC271" s="64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4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6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6">
        <v>6030.4948000000004</v>
      </c>
      <c r="AK272" s="64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6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6">
        <v>5820.0842000000002</v>
      </c>
      <c r="BC272" s="64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4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6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6">
        <v>5952.3146999999999</v>
      </c>
      <c r="AK273" s="64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6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6">
        <v>5744.6318000000001</v>
      </c>
      <c r="BC273" s="64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4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6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6">
        <v>6475.7779</v>
      </c>
      <c r="AK274" s="64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6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6">
        <v>6249.8308999999999</v>
      </c>
      <c r="BC274" s="64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4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6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6">
        <v>6084.9148999999998</v>
      </c>
      <c r="AK275" s="64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6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6">
        <v>5872.6054999999997</v>
      </c>
      <c r="BC275" s="64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4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6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6">
        <v>6030.4948000000004</v>
      </c>
      <c r="AK276" s="64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6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6">
        <v>5820.0842000000002</v>
      </c>
      <c r="BC276" s="64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4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6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6">
        <v>5952.3146999999999</v>
      </c>
      <c r="AK277" s="64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6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6">
        <v>5744.6318000000001</v>
      </c>
      <c r="BC277" s="64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4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6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6">
        <v>6475.7779</v>
      </c>
      <c r="AK278" s="64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6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6">
        <v>6249.8308999999999</v>
      </c>
      <c r="BC278" s="64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4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6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6">
        <v>6084.9148999999998</v>
      </c>
      <c r="AK279" s="64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6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6">
        <v>5872.6054999999997</v>
      </c>
      <c r="BC279" s="64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4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6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6">
        <v>5949.4479000000001</v>
      </c>
      <c r="AK280" s="64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6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6">
        <v>5741.8649999999998</v>
      </c>
      <c r="BC280" s="64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4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6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6">
        <v>6030.4948000000004</v>
      </c>
      <c r="AK281" s="64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6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6">
        <v>5820.0842000000002</v>
      </c>
      <c r="BC281" s="64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4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6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6">
        <v>5952.3146999999999</v>
      </c>
      <c r="AK282" s="64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6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6">
        <v>5466.3362999999999</v>
      </c>
      <c r="BC282" s="64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4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6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6">
        <v>6475.7779</v>
      </c>
      <c r="AK283" s="64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6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6">
        <v>6071.7554</v>
      </c>
      <c r="BC283" s="64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4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6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6">
        <v>6084.9148999999998</v>
      </c>
      <c r="AK284" s="64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6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6">
        <v>5562.5837000000001</v>
      </c>
      <c r="BC284" s="64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4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6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6">
        <v>5949.4479000000001</v>
      </c>
      <c r="AK285" s="64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6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6">
        <v>5458.9593000000004</v>
      </c>
      <c r="BC285" s="64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4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6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6">
        <v>6030.4948000000004</v>
      </c>
      <c r="AK286" s="64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6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6">
        <v>5485.5167000000001</v>
      </c>
      <c r="BC286" s="64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4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6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6">
        <v>5952.3146999999999</v>
      </c>
      <c r="AK287" s="64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6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6">
        <v>5466.3362999999999</v>
      </c>
      <c r="BC287" s="64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4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6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6">
        <v>6475.7779</v>
      </c>
      <c r="AK288" s="64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6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6">
        <v>6071.7554</v>
      </c>
      <c r="BC288" s="64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4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6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6">
        <v>6084.9148999999998</v>
      </c>
      <c r="AK289" s="64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6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6">
        <v>5562.5837000000001</v>
      </c>
      <c r="BC289" s="64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4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6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6">
        <v>6030.4948000000004</v>
      </c>
      <c r="AK290" s="64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6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6">
        <v>5485.5167000000001</v>
      </c>
      <c r="BC290" s="64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4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6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6">
        <v>5952.3146999999999</v>
      </c>
      <c r="AK291" s="64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6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6">
        <v>5466.3362999999999</v>
      </c>
      <c r="BC291" s="64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4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6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6">
        <v>6475.7779</v>
      </c>
      <c r="AK292" s="64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6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6">
        <v>6071.7554</v>
      </c>
      <c r="BC292" s="64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4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6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6">
        <v>6084.9148999999998</v>
      </c>
      <c r="AK293" s="64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6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6">
        <v>5562.5837000000001</v>
      </c>
      <c r="BC293" s="64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4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6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6">
        <v>5949.4479000000001</v>
      </c>
      <c r="AK294" s="64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6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6">
        <v>5458.9593000000004</v>
      </c>
      <c r="BC294" s="64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4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6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6">
        <v>6030.4948000000004</v>
      </c>
      <c r="AK295" s="64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6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6">
        <v>5485.5167000000001</v>
      </c>
      <c r="BC295" s="64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4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6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6">
        <v>5952.3146999999999</v>
      </c>
      <c r="AK296" s="64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6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6">
        <v>5387.8886000000002</v>
      </c>
      <c r="BC296" s="64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4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6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6">
        <v>6475.7779</v>
      </c>
      <c r="AK297" s="64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6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6">
        <v>5984.6193000000003</v>
      </c>
      <c r="BC297" s="64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4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6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6">
        <v>6084.9148999999998</v>
      </c>
      <c r="AK298" s="64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6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6">
        <v>5482.7547000000004</v>
      </c>
      <c r="BC298" s="64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4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6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6">
        <v>5949.4479000000001</v>
      </c>
      <c r="AK299" s="64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6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6">
        <v>5380.6174000000001</v>
      </c>
      <c r="BC299" s="64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4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6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6">
        <v>6030.4948000000004</v>
      </c>
      <c r="AK300" s="64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6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6">
        <v>5406.7937000000002</v>
      </c>
      <c r="BC300" s="64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4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6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6">
        <v>5952.3146999999999</v>
      </c>
      <c r="AK301" s="64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6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6">
        <v>5387.8886000000002</v>
      </c>
      <c r="BC301" s="64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4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6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6">
        <v>6475.7779</v>
      </c>
      <c r="AK302" s="64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6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6">
        <v>5984.6193000000003</v>
      </c>
      <c r="BC302" s="64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4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6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6">
        <v>6084.9148999999998</v>
      </c>
      <c r="AK303" s="64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6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6">
        <v>5482.7547000000004</v>
      </c>
      <c r="BC303" s="64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4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6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6">
        <v>6030.4948000000004</v>
      </c>
      <c r="AK304" s="64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6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6">
        <v>5406.7937000000002</v>
      </c>
      <c r="BC304" s="64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4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6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6">
        <v>5952.3146999999999</v>
      </c>
      <c r="AK305" s="64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6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6">
        <v>5387.8886000000002</v>
      </c>
      <c r="BC305" s="64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4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6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6">
        <v>6475.7779</v>
      </c>
      <c r="AK306" s="64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6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6">
        <v>5984.6193000000003</v>
      </c>
      <c r="BC306" s="64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4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6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6">
        <v>6084.9148999999998</v>
      </c>
      <c r="AK307" s="64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6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6">
        <v>5482.7547000000004</v>
      </c>
      <c r="BC307" s="64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4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6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6">
        <v>5949.4479000000001</v>
      </c>
      <c r="AK308" s="64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6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6">
        <v>5380.6174000000001</v>
      </c>
      <c r="BC308" s="64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4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6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6">
        <v>6030.4948000000004</v>
      </c>
      <c r="AK309" s="64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6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6">
        <v>5406.7937000000002</v>
      </c>
      <c r="BC309" s="64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4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6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6">
        <v>5646.9737999999998</v>
      </c>
      <c r="AK310" s="64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6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6">
        <v>5447.5594000000001</v>
      </c>
      <c r="BC310" s="64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4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6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6">
        <v>6272.3991999999998</v>
      </c>
      <c r="AK311" s="64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6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6">
        <v>6050.8989000000001</v>
      </c>
      <c r="BC311" s="64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4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6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6">
        <v>5746.4017000000003</v>
      </c>
      <c r="AK312" s="64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6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6">
        <v>5543.4762000000001</v>
      </c>
      <c r="BC312" s="64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4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6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6">
        <v>5639.3528999999999</v>
      </c>
      <c r="AK313" s="64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6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6">
        <v>5440.2076999999999</v>
      </c>
      <c r="BC313" s="64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4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6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6">
        <v>5666.7879999999996</v>
      </c>
      <c r="AK314" s="64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6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6">
        <v>5466.6738999999998</v>
      </c>
      <c r="BC314" s="64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4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6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6">
        <v>5646.9737999999998</v>
      </c>
      <c r="AK315" s="64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6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6">
        <v>5447.5594000000001</v>
      </c>
      <c r="BC315" s="64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4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6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6">
        <v>6272.3991999999998</v>
      </c>
      <c r="AK316" s="64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6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6">
        <v>6050.8989000000001</v>
      </c>
      <c r="BC316" s="64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4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6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6">
        <v>5746.4017000000003</v>
      </c>
      <c r="AK317" s="64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6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6">
        <v>5543.4762000000001</v>
      </c>
      <c r="BC317" s="64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4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6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6">
        <v>5666.7879999999996</v>
      </c>
      <c r="AK318" s="64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6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6">
        <v>5466.6738999999998</v>
      </c>
      <c r="BC318" s="64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4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6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6">
        <v>5646.9737999999998</v>
      </c>
      <c r="AK319" s="64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6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6">
        <v>5447.5594000000001</v>
      </c>
      <c r="BC319" s="64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4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6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6">
        <v>6272.3991999999998</v>
      </c>
      <c r="AK320" s="64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6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6">
        <v>6050.8989000000001</v>
      </c>
      <c r="BC320" s="64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4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6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6">
        <v>5746.4017000000003</v>
      </c>
      <c r="AK321" s="64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6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6">
        <v>5543.4762000000001</v>
      </c>
      <c r="BC321" s="64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4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6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6">
        <v>5639.3528999999999</v>
      </c>
      <c r="AK322" s="64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6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6">
        <v>5440.2076999999999</v>
      </c>
      <c r="BC322" s="64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4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6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6">
        <v>5666.7879999999996</v>
      </c>
      <c r="AK323" s="64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6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6">
        <v>5466.6738999999998</v>
      </c>
      <c r="BC323" s="64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4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6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6">
        <v>5646.9737999999998</v>
      </c>
      <c r="AK324" s="64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6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6">
        <v>5421.3801000000003</v>
      </c>
      <c r="BC324" s="64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4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6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6">
        <v>6272.3991999999998</v>
      </c>
      <c r="AK325" s="64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6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6">
        <v>6021.8200999999999</v>
      </c>
      <c r="BC325" s="64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4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6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6">
        <v>5746.4017000000003</v>
      </c>
      <c r="AK326" s="64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6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6">
        <v>5516.8359</v>
      </c>
      <c r="BC326" s="64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4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6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6">
        <v>5639.3528999999999</v>
      </c>
      <c r="AK327" s="64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6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6">
        <v>5414.0636999999997</v>
      </c>
      <c r="BC327" s="64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4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6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6">
        <v>5666.7879999999996</v>
      </c>
      <c r="AK328" s="64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6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6">
        <v>5440.4026999999996</v>
      </c>
      <c r="BC328" s="64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4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6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6">
        <v>5646.9737999999998</v>
      </c>
      <c r="AK329" s="64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6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6">
        <v>5421.3801000000003</v>
      </c>
      <c r="BC329" s="64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4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6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6">
        <v>6272.3991999999998</v>
      </c>
      <c r="AK330" s="64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6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6">
        <v>6021.8200999999999</v>
      </c>
      <c r="BC330" s="64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4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6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6">
        <v>5746.4017000000003</v>
      </c>
      <c r="AK331" s="64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6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6">
        <v>5516.8359</v>
      </c>
      <c r="BC331" s="64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4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6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6">
        <v>5666.7879999999996</v>
      </c>
      <c r="AK332" s="64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6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6">
        <v>5440.4026999999996</v>
      </c>
      <c r="BC332" s="64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4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6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6">
        <v>5646.9737999999998</v>
      </c>
      <c r="AK333" s="64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6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6">
        <v>5421.3801000000003</v>
      </c>
      <c r="BC333" s="64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4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6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6">
        <v>6272.3991999999998</v>
      </c>
      <c r="AK334" s="64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6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6">
        <v>6021.8200999999999</v>
      </c>
      <c r="BC334" s="64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4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6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6">
        <v>5746.4017000000003</v>
      </c>
      <c r="AK335" s="64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6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6">
        <v>5516.8359</v>
      </c>
      <c r="BC335" s="64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4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6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6">
        <v>5639.3528999999999</v>
      </c>
      <c r="AK336" s="64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6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6">
        <v>5414.0636999999997</v>
      </c>
      <c r="BC336" s="64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4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6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6">
        <v>5666.7879999999996</v>
      </c>
      <c r="AK337" s="64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6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6">
        <v>5440.4026999999996</v>
      </c>
      <c r="BC337" s="64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4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6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6">
        <v>5646.9737999999998</v>
      </c>
      <c r="AK338" s="64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6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6">
        <v>5652.2096000000001</v>
      </c>
      <c r="BC338" s="64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4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6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6">
        <v>6272.3991999999998</v>
      </c>
      <c r="AK339" s="64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6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6">
        <v>6278.2148999999999</v>
      </c>
      <c r="BC339" s="64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4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6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6">
        <v>5746.4017000000003</v>
      </c>
      <c r="AK340" s="64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6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6">
        <v>5751.7298000000001</v>
      </c>
      <c r="BC340" s="64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4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6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6">
        <v>5639.3528999999999</v>
      </c>
      <c r="AK341" s="64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6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6">
        <v>5644.5816999999997</v>
      </c>
      <c r="BC341" s="64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4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6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6">
        <v>5666.7879999999996</v>
      </c>
      <c r="AK342" s="64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6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6">
        <v>5672.0421999999999</v>
      </c>
      <c r="BC342" s="64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4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6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6">
        <v>5646.9737999999998</v>
      </c>
      <c r="AK343" s="64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6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6">
        <v>5652.2096000000001</v>
      </c>
      <c r="BC343" s="64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4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6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6">
        <v>6272.3991999999998</v>
      </c>
      <c r="AK344" s="64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6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6">
        <v>6278.2148999999999</v>
      </c>
      <c r="BC344" s="64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4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6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6">
        <v>5746.4017000000003</v>
      </c>
      <c r="AK345" s="64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6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6">
        <v>5751.7298000000001</v>
      </c>
      <c r="BC345" s="64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4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6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6">
        <v>5666.7879999999996</v>
      </c>
      <c r="AK346" s="64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6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6">
        <v>5672.0421999999999</v>
      </c>
      <c r="BC346" s="64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4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6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6">
        <v>5646.9737999999998</v>
      </c>
      <c r="AK347" s="64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6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6">
        <v>5652.2096000000001</v>
      </c>
      <c r="BC347" s="64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4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6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6">
        <v>6272.3991999999998</v>
      </c>
      <c r="AK348" s="64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6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6">
        <v>6278.2148999999999</v>
      </c>
      <c r="BC348" s="64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4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6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6">
        <v>5746.4017000000003</v>
      </c>
      <c r="AK349" s="64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6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6">
        <v>5751.7298000000001</v>
      </c>
      <c r="BC349" s="64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4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6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6">
        <v>5639.3528999999999</v>
      </c>
      <c r="AK350" s="64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6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6">
        <v>5644.5816999999997</v>
      </c>
      <c r="BC350" s="64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4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6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6">
        <v>5666.7879999999996</v>
      </c>
      <c r="AK351" s="64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6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6">
        <v>5672.0421999999999</v>
      </c>
      <c r="BC351" s="64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4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6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6">
        <v>5646.9737999999998</v>
      </c>
      <c r="AK352" s="64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6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6">
        <v>5742.7539999999999</v>
      </c>
      <c r="BC352" s="64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4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6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6">
        <v>6272.3991999999998</v>
      </c>
      <c r="AK353" s="64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6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6">
        <v>6378.7875000000004</v>
      </c>
      <c r="BC353" s="64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4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6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6">
        <v>5746.4017000000003</v>
      </c>
      <c r="AK354" s="64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6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6">
        <v>5843.8684000000003</v>
      </c>
      <c r="BC354" s="64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4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6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6">
        <v>5639.3528999999999</v>
      </c>
      <c r="AK355" s="64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6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6">
        <v>5735.0038999999997</v>
      </c>
      <c r="BC355" s="64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4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6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6">
        <v>5666.7879999999996</v>
      </c>
      <c r="AK356" s="64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6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6">
        <v>5762.9043000000001</v>
      </c>
      <c r="BC356" s="64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4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6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6">
        <v>5646.9737999999998</v>
      </c>
      <c r="AK357" s="64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6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6">
        <v>5742.7539999999999</v>
      </c>
      <c r="BC357" s="64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4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6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6">
        <v>6272.3991999999998</v>
      </c>
      <c r="AK358" s="64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6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6">
        <v>6378.7875000000004</v>
      </c>
      <c r="BC358" s="64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4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6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6">
        <v>5746.4017000000003</v>
      </c>
      <c r="AK359" s="64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6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6">
        <v>5843.8684000000003</v>
      </c>
      <c r="BC359" s="64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4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6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6">
        <v>5666.7879999999996</v>
      </c>
      <c r="AK360" s="64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6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6">
        <v>5762.9043000000001</v>
      </c>
      <c r="BC360" s="64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4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6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6">
        <v>5646.9737999999998</v>
      </c>
      <c r="AK361" s="64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6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6">
        <v>5742.7539999999999</v>
      </c>
      <c r="BC361" s="64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4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6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6">
        <v>6272.3991999999998</v>
      </c>
      <c r="AK362" s="64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6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6">
        <v>6378.7875000000004</v>
      </c>
      <c r="BC362" s="64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4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6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6">
        <v>5746.4017000000003</v>
      </c>
      <c r="AK363" s="64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6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6">
        <v>5843.8684000000003</v>
      </c>
      <c r="BC363" s="64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4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6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6">
        <v>5639.3528999999999</v>
      </c>
      <c r="AK364" s="64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6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6">
        <v>5735.0038999999997</v>
      </c>
      <c r="BC364" s="64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4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6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6">
        <v>5666.7879999999996</v>
      </c>
      <c r="AK365" s="64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6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6">
        <v>5762.9043000000001</v>
      </c>
      <c r="BC365" s="64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4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6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6">
        <v>5646.9737999999998</v>
      </c>
      <c r="AK366" s="64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6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6">
        <v>5790.6235999999999</v>
      </c>
      <c r="BC366" s="64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4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6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6">
        <v>6272.3991999999998</v>
      </c>
      <c r="AK367" s="64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6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6">
        <v>6355.8343000000004</v>
      </c>
      <c r="BC367" s="64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4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6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6">
        <v>5746.4017000000003</v>
      </c>
      <c r="AK368" s="64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6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6">
        <v>5759.5803999999998</v>
      </c>
      <c r="BC368" s="64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4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6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6">
        <v>5639.3528999999999</v>
      </c>
      <c r="AK369" s="64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6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6">
        <v>5825.6803</v>
      </c>
      <c r="BC369" s="64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4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6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6">
        <v>5666.7879999999996</v>
      </c>
      <c r="AK370" s="64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6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6">
        <v>5794.8315000000002</v>
      </c>
      <c r="BC370" s="64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4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6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6">
        <v>5646.9737999999998</v>
      </c>
      <c r="AK371" s="64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6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6">
        <v>5790.6235999999999</v>
      </c>
      <c r="BC371" s="64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4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6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6">
        <v>6272.3991999999998</v>
      </c>
      <c r="AK372" s="64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6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6">
        <v>6355.8343000000004</v>
      </c>
      <c r="BC372" s="64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4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6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6">
        <v>5746.4017000000003</v>
      </c>
      <c r="AK373" s="64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6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6">
        <v>5759.5803999999998</v>
      </c>
      <c r="BC373" s="64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4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6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6">
        <v>5666.7879999999996</v>
      </c>
      <c r="AK374" s="64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6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6">
        <v>5794.8315000000002</v>
      </c>
      <c r="BC374" s="64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4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6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6">
        <v>5646.9737999999998</v>
      </c>
      <c r="AK375" s="64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6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6">
        <v>5790.6235999999999</v>
      </c>
      <c r="BC375" s="64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4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6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6">
        <v>6272.3991999999998</v>
      </c>
      <c r="AK376" s="64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6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6">
        <v>6355.8343000000004</v>
      </c>
      <c r="BC376" s="64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4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6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6">
        <v>5746.4017000000003</v>
      </c>
      <c r="AK377" s="64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6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6">
        <v>5759.5803999999998</v>
      </c>
      <c r="BC377" s="64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4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6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6">
        <v>5639.3528999999999</v>
      </c>
      <c r="AK378" s="64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6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6">
        <v>5825.6803</v>
      </c>
      <c r="BC378" s="64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4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6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6">
        <v>5666.7879999999996</v>
      </c>
      <c r="AK379" s="64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6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6">
        <v>5794.8315000000002</v>
      </c>
      <c r="BC379" s="64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4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6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6">
        <v>5646.9737999999998</v>
      </c>
      <c r="AK380" s="64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6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6">
        <v>5824.7064</v>
      </c>
      <c r="BC380" s="64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4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6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6">
        <v>6272.3991999999998</v>
      </c>
      <c r="AK381" s="64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6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6">
        <v>6393.2439000000004</v>
      </c>
      <c r="BC381" s="64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4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6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6">
        <v>5746.4017000000003</v>
      </c>
      <c r="AK382" s="64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6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6">
        <v>5793.4804999999997</v>
      </c>
      <c r="BC382" s="64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4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6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6">
        <v>5639.3528999999999</v>
      </c>
      <c r="AK383" s="64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6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6">
        <v>5859.9695000000002</v>
      </c>
      <c r="BC383" s="64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4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6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6">
        <v>5666.7879999999996</v>
      </c>
      <c r="AK384" s="64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6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6">
        <v>5828.9391999999998</v>
      </c>
      <c r="BC384" s="64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4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6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6">
        <v>5646.9737999999998</v>
      </c>
      <c r="AK385" s="64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6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6">
        <v>5824.7064</v>
      </c>
      <c r="BC385" s="64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4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6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6">
        <v>6272.3991999999998</v>
      </c>
      <c r="AK386" s="64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6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6">
        <v>6393.2439000000004</v>
      </c>
      <c r="BC386" s="64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4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6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6">
        <v>5746.4017000000003</v>
      </c>
      <c r="AK387" s="64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6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6">
        <v>5793.4804999999997</v>
      </c>
      <c r="BC387" s="64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4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6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6">
        <v>5666.7879999999996</v>
      </c>
      <c r="AK388" s="64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6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6">
        <v>5828.9391999999998</v>
      </c>
      <c r="BC388" s="64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4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6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6">
        <v>5646.9737999999998</v>
      </c>
      <c r="AK389" s="64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6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6">
        <v>5824.7064</v>
      </c>
      <c r="BC389" s="64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4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6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6">
        <v>6272.3991999999998</v>
      </c>
      <c r="AK390" s="64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6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6">
        <v>6393.2439000000004</v>
      </c>
      <c r="BC390" s="64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4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6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6">
        <v>5746.4017000000003</v>
      </c>
      <c r="AK391" s="64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6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6">
        <v>5793.4804999999997</v>
      </c>
      <c r="BC391" s="64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4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6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6">
        <v>5639.3528999999999</v>
      </c>
      <c r="AK392" s="64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6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6">
        <v>5859.9695000000002</v>
      </c>
      <c r="BC392" s="64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4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6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6">
        <v>5666.7879999999996</v>
      </c>
      <c r="AK393" s="64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6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6">
        <v>5828.9391999999998</v>
      </c>
      <c r="BC393" s="64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4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6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6">
        <v>5356.0672000000004</v>
      </c>
      <c r="AK394" s="64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6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6">
        <v>5356.0672000000004</v>
      </c>
      <c r="BC394" s="64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4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6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6">
        <v>5878.8617999999997</v>
      </c>
      <c r="AK395" s="64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6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6">
        <v>5878.8617999999997</v>
      </c>
      <c r="BC395" s="64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4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6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6">
        <v>5327.3536000000004</v>
      </c>
      <c r="AK396" s="64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6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6">
        <v>5327.3536000000004</v>
      </c>
      <c r="BC396" s="64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4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6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6">
        <v>5388.4930999999997</v>
      </c>
      <c r="AK397" s="64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6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6">
        <v>5388.4930999999997</v>
      </c>
      <c r="BC397" s="64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4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6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6">
        <v>5359.9593999999997</v>
      </c>
      <c r="AK398" s="64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6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6">
        <v>5359.9593999999997</v>
      </c>
      <c r="BC398" s="64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4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6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6">
        <v>5356.0672000000004</v>
      </c>
      <c r="AK399" s="64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6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6">
        <v>5356.0672000000004</v>
      </c>
      <c r="BC399" s="64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4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6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6">
        <v>5878.8617999999997</v>
      </c>
      <c r="AK400" s="64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6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6">
        <v>5878.8617999999997</v>
      </c>
      <c r="BC400" s="64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4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6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6">
        <v>5327.3536000000004</v>
      </c>
      <c r="AK401" s="64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6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6">
        <v>5327.3536000000004</v>
      </c>
      <c r="BC401" s="64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4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6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6">
        <v>5359.9593999999997</v>
      </c>
      <c r="AK402" s="64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6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6">
        <v>5359.9593999999997</v>
      </c>
      <c r="BC402" s="64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4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6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6">
        <v>5356.0672000000004</v>
      </c>
      <c r="AK403" s="64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6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6">
        <v>5356.0672000000004</v>
      </c>
      <c r="BC403" s="64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4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6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6">
        <v>5878.8617999999997</v>
      </c>
      <c r="AK404" s="64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6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6">
        <v>5878.8617999999997</v>
      </c>
      <c r="BC404" s="64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4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6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6">
        <v>5327.3536000000004</v>
      </c>
      <c r="AK405" s="64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6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6">
        <v>5327.3536000000004</v>
      </c>
      <c r="BC405" s="64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4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6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6">
        <v>5388.4930999999997</v>
      </c>
      <c r="AK406" s="64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6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6">
        <v>5388.4930999999997</v>
      </c>
      <c r="BC406" s="64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4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6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6">
        <v>5359.9593999999997</v>
      </c>
      <c r="AK407" s="64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6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6">
        <v>5359.9593999999997</v>
      </c>
      <c r="BC407" s="64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4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6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6">
        <v>5356.0672000000004</v>
      </c>
      <c r="AK408" s="64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6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6">
        <v>5356.0672000000004</v>
      </c>
      <c r="BC408" s="64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4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6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6">
        <v>5878.8617999999997</v>
      </c>
      <c r="AK409" s="64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6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6">
        <v>5878.8617999999997</v>
      </c>
      <c r="BC409" s="64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4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6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6">
        <v>5327.3536000000004</v>
      </c>
      <c r="AK410" s="64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6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6">
        <v>5327.3536000000004</v>
      </c>
      <c r="BC410" s="64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4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6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6">
        <v>5388.4930999999997</v>
      </c>
      <c r="AK411" s="64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6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6">
        <v>5388.4930999999997</v>
      </c>
      <c r="BC411" s="64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4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6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6">
        <v>5359.9593999999997</v>
      </c>
      <c r="AK412" s="64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6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6">
        <v>5359.9593999999997</v>
      </c>
      <c r="BC412" s="64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4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6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6">
        <v>5356.0672000000004</v>
      </c>
      <c r="AK413" s="64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6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6">
        <v>5356.0672000000004</v>
      </c>
      <c r="BC413" s="64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4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6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6">
        <v>5878.8617999999997</v>
      </c>
      <c r="AK414" s="64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6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6">
        <v>5878.8617999999997</v>
      </c>
      <c r="BC414" s="64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4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6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6">
        <v>5327.3536000000004</v>
      </c>
      <c r="AK415" s="64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6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6">
        <v>5327.3536000000004</v>
      </c>
      <c r="BC415" s="64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4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6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6">
        <v>5359.9593999999997</v>
      </c>
      <c r="AK416" s="64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6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6">
        <v>5359.9593999999997</v>
      </c>
      <c r="BC416" s="64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4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6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6">
        <v>5356.0672000000004</v>
      </c>
      <c r="AK417" s="64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6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6">
        <v>5356.0672000000004</v>
      </c>
      <c r="BC417" s="64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4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6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6">
        <v>5878.8617999999997</v>
      </c>
      <c r="AK418" s="64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6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6">
        <v>5878.8617999999997</v>
      </c>
      <c r="BC418" s="64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4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6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6">
        <v>5327.3536000000004</v>
      </c>
      <c r="AK419" s="64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6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6">
        <v>5327.3536000000004</v>
      </c>
      <c r="BC419" s="64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4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6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6">
        <v>5388.4930999999997</v>
      </c>
      <c r="AK420" s="64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6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6">
        <v>5388.4930999999997</v>
      </c>
      <c r="BC420" s="64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4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6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6">
        <v>5359.9593999999997</v>
      </c>
      <c r="AK421" s="64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6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6">
        <v>5359.9593999999997</v>
      </c>
      <c r="BC421" s="64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4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6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6">
        <v>5356.0672000000004</v>
      </c>
      <c r="AK422" s="64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6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6">
        <v>5356.0672000000004</v>
      </c>
      <c r="BC422" s="64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4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6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6">
        <v>5878.8617999999997</v>
      </c>
      <c r="AK423" s="64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6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6">
        <v>5878.8617999999997</v>
      </c>
      <c r="BC423" s="64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4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6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6">
        <v>5327.3536000000004</v>
      </c>
      <c r="AK424" s="64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6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6">
        <v>5327.3536000000004</v>
      </c>
      <c r="BC424" s="64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4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6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6">
        <v>5388.4930999999997</v>
      </c>
      <c r="AK425" s="64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6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6">
        <v>5388.4930999999997</v>
      </c>
      <c r="BC425" s="64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4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6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6">
        <v>5359.9593999999997</v>
      </c>
      <c r="AK426" s="64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6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6">
        <v>5359.9593999999997</v>
      </c>
      <c r="BC426" s="64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4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6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6">
        <v>5356.0672000000004</v>
      </c>
      <c r="AK427" s="64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6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6">
        <v>5356.0672000000004</v>
      </c>
      <c r="BC427" s="64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4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6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6">
        <v>5878.8617999999997</v>
      </c>
      <c r="AK428" s="64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6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6">
        <v>5878.8617999999997</v>
      </c>
      <c r="BC428" s="64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4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6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6">
        <v>5327.3536000000004</v>
      </c>
      <c r="AK429" s="64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6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6">
        <v>5327.3536000000004</v>
      </c>
      <c r="BC429" s="64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4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6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6">
        <v>5359.9593999999997</v>
      </c>
      <c r="AK430" s="64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6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6">
        <v>5359.9593999999997</v>
      </c>
      <c r="BC430" s="64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4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6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6">
        <v>5356.0672000000004</v>
      </c>
      <c r="AK431" s="64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6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6">
        <v>5356.0672000000004</v>
      </c>
      <c r="BC431" s="64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4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6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6">
        <v>5878.8617999999997</v>
      </c>
      <c r="AK432" s="64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6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6">
        <v>5878.8617999999997</v>
      </c>
      <c r="BC432" s="64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4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6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6">
        <v>5327.3536000000004</v>
      </c>
      <c r="AK433" s="64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6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6">
        <v>5327.3536000000004</v>
      </c>
      <c r="BC433" s="64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4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6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6">
        <v>5388.4930999999997</v>
      </c>
      <c r="AK434" s="64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6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6">
        <v>5388.4930999999997</v>
      </c>
      <c r="BC434" s="64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4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6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6">
        <v>5359.9593999999997</v>
      </c>
      <c r="AK435" s="64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6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6">
        <v>5359.9593999999997</v>
      </c>
      <c r="BC435" s="64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4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6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6">
        <v>5356.0672000000004</v>
      </c>
      <c r="AK436" s="64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6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6">
        <v>5356.0672000000004</v>
      </c>
      <c r="BC436" s="64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4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6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6">
        <v>5878.8617999999997</v>
      </c>
      <c r="AK437" s="64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6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6">
        <v>5878.8617999999997</v>
      </c>
      <c r="BC437" s="64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4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6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6">
        <v>5327.3536000000004</v>
      </c>
      <c r="AK438" s="64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6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6">
        <v>5327.3536000000004</v>
      </c>
      <c r="BC438" s="64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4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6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6">
        <v>5388.4930999999997</v>
      </c>
      <c r="AK439" s="64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6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6">
        <v>5388.4930999999997</v>
      </c>
      <c r="BC439" s="64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4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6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6">
        <v>5359.9593999999997</v>
      </c>
      <c r="AK440" s="64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6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6">
        <v>5359.9593999999997</v>
      </c>
      <c r="BC440" s="64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4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6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6">
        <v>5356.0672000000004</v>
      </c>
      <c r="AK441" s="64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6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6">
        <v>5356.0672000000004</v>
      </c>
      <c r="BC441" s="64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4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6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6">
        <v>5878.8617999999997</v>
      </c>
      <c r="AK442" s="64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6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6">
        <v>5878.8617999999997</v>
      </c>
      <c r="BC442" s="64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4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6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6">
        <v>5327.3536000000004</v>
      </c>
      <c r="AK443" s="64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6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6">
        <v>5327.3536000000004</v>
      </c>
      <c r="BC443" s="64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4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6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6">
        <v>5359.9593999999997</v>
      </c>
      <c r="AK444" s="64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6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6">
        <v>5359.9593999999997</v>
      </c>
      <c r="BC444" s="64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4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6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6">
        <v>5356.0672000000004</v>
      </c>
      <c r="AK445" s="64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6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6">
        <v>5356.0672000000004</v>
      </c>
      <c r="BC445" s="64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4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6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6">
        <v>5878.8617999999997</v>
      </c>
      <c r="AK446" s="64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6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6">
        <v>5878.8617999999997</v>
      </c>
      <c r="BC446" s="64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4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6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6">
        <v>5327.3536000000004</v>
      </c>
      <c r="AK447" s="64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6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6">
        <v>5327.3536000000004</v>
      </c>
      <c r="BC447" s="64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4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6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6">
        <v>5388.4930999999997</v>
      </c>
      <c r="AK448" s="64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6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6">
        <v>5388.4930999999997</v>
      </c>
      <c r="BC448" s="64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4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6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6">
        <v>5359.9593999999997</v>
      </c>
      <c r="AK449" s="64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6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6">
        <v>5359.9593999999997</v>
      </c>
      <c r="BC449" s="64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4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6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6">
        <v>5356.0672000000004</v>
      </c>
      <c r="AK450" s="64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6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6">
        <v>5921.5609999999997</v>
      </c>
      <c r="BC450" s="64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4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6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6">
        <v>5878.8617999999997</v>
      </c>
      <c r="AK451" s="64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6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6">
        <v>6614.1656999999996</v>
      </c>
      <c r="BC451" s="64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4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6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6">
        <v>5327.3536000000004</v>
      </c>
      <c r="AK452" s="64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6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6">
        <v>5969.3823000000002</v>
      </c>
      <c r="BC452" s="64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4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6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6">
        <v>5388.4930999999997</v>
      </c>
      <c r="AK453" s="64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6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6">
        <v>5982.5774000000001</v>
      </c>
      <c r="BC453" s="64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4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6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6">
        <v>5359.9593999999997</v>
      </c>
      <c r="AK454" s="64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6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6">
        <v>5987.5659999999998</v>
      </c>
      <c r="BC454" s="64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4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6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6">
        <v>5356.0672000000004</v>
      </c>
      <c r="AK455" s="64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6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6">
        <v>5921.5609999999997</v>
      </c>
      <c r="BC455" s="64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4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6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6">
        <v>5878.8617999999997</v>
      </c>
      <c r="AK456" s="64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6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6">
        <v>6614.1656999999996</v>
      </c>
      <c r="BC456" s="64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4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6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6">
        <v>5327.3536000000004</v>
      </c>
      <c r="AK457" s="64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6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6">
        <v>5969.3823000000002</v>
      </c>
      <c r="BC457" s="64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4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6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6">
        <v>5359.9593999999997</v>
      </c>
      <c r="AK458" s="64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6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6">
        <v>5987.5659999999998</v>
      </c>
      <c r="BC458" s="64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4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6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6">
        <v>5356.0672000000004</v>
      </c>
      <c r="AK459" s="64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6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6">
        <v>5921.5609999999997</v>
      </c>
      <c r="BC459" s="64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4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6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6">
        <v>5878.8617999999997</v>
      </c>
      <c r="AK460" s="64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6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6">
        <v>6614.1656999999996</v>
      </c>
      <c r="BC460" s="64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4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6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6">
        <v>5327.3536000000004</v>
      </c>
      <c r="AK461" s="64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6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6">
        <v>5969.3823000000002</v>
      </c>
      <c r="BC461" s="64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4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6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6">
        <v>5388.4930999999997</v>
      </c>
      <c r="AK462" s="64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6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6">
        <v>5982.5774000000001</v>
      </c>
      <c r="BC462" s="64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4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6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6">
        <v>5359.9593999999997</v>
      </c>
      <c r="AK463" s="64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6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6">
        <v>5987.5659999999998</v>
      </c>
      <c r="BC463" s="64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4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6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6">
        <v>5356.0672000000004</v>
      </c>
      <c r="AK464" s="64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6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6">
        <v>5921.5609999999997</v>
      </c>
      <c r="BC464" s="64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4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6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6">
        <v>5878.8617999999997</v>
      </c>
      <c r="AK465" s="64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6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6">
        <v>6614.1656999999996</v>
      </c>
      <c r="BC465" s="64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4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6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6">
        <v>5327.3536000000004</v>
      </c>
      <c r="AK466" s="64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6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6">
        <v>5969.3823000000002</v>
      </c>
      <c r="BC466" s="64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4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6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6">
        <v>5388.4930999999997</v>
      </c>
      <c r="AK467" s="64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6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6">
        <v>5982.5774000000001</v>
      </c>
      <c r="BC467" s="64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4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6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6">
        <v>5359.9593999999997</v>
      </c>
      <c r="AK468" s="64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6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6">
        <v>5987.5659999999998</v>
      </c>
      <c r="BC468" s="64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4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6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6">
        <v>5356.0672000000004</v>
      </c>
      <c r="AK469" s="64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6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6">
        <v>5921.5609999999997</v>
      </c>
      <c r="BC469" s="64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4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6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6">
        <v>5878.8617999999997</v>
      </c>
      <c r="AK470" s="64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6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6">
        <v>6614.1656999999996</v>
      </c>
      <c r="BC470" s="64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4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6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6">
        <v>5327.3536000000004</v>
      </c>
      <c r="AK471" s="64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6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6">
        <v>5969.3823000000002</v>
      </c>
      <c r="BC471" s="64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4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6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6">
        <v>5359.9593999999997</v>
      </c>
      <c r="AK472" s="64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6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6">
        <v>5987.5659999999998</v>
      </c>
      <c r="BC472" s="64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4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6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6">
        <v>5356.0672000000004</v>
      </c>
      <c r="AK473" s="64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6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6">
        <v>5921.5609999999997</v>
      </c>
      <c r="BC473" s="64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4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6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6">
        <v>5878.8617999999997</v>
      </c>
      <c r="AK474" s="64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6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6">
        <v>6614.1656999999996</v>
      </c>
      <c r="BC474" s="64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4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6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6">
        <v>5327.3536000000004</v>
      </c>
      <c r="AK475" s="64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6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6">
        <v>5969.3823000000002</v>
      </c>
      <c r="BC475" s="64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4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6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6">
        <v>5388.4930999999997</v>
      </c>
      <c r="AK476" s="64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6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6">
        <v>5982.5774000000001</v>
      </c>
      <c r="BC476" s="64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4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6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6">
        <v>5359.9593999999997</v>
      </c>
      <c r="AK477" s="64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6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6">
        <v>5987.5659999999998</v>
      </c>
      <c r="BC477" s="64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4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6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6">
        <v>5356.0672000000004</v>
      </c>
      <c r="AK478" s="64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6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6">
        <v>5921.5609999999997</v>
      </c>
      <c r="BC478" s="64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4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6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6">
        <v>5878.8617999999997</v>
      </c>
      <c r="AK479" s="64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6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6">
        <v>6614.1656999999996</v>
      </c>
      <c r="BC479" s="64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4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6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6">
        <v>5327.3536000000004</v>
      </c>
      <c r="AK480" s="64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6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6">
        <v>5969.3823000000002</v>
      </c>
      <c r="BC480" s="64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4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6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6">
        <v>5388.4930999999997</v>
      </c>
      <c r="AK481" s="64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6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6">
        <v>5982.5774000000001</v>
      </c>
      <c r="BC481" s="64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4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6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6">
        <v>5359.9593999999997</v>
      </c>
      <c r="AK482" s="64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6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6">
        <v>5987.5659999999998</v>
      </c>
      <c r="BC482" s="64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4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6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6">
        <v>5356.0672000000004</v>
      </c>
      <c r="AK483" s="64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6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6">
        <v>5921.5609999999997</v>
      </c>
      <c r="BC483" s="64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4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6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6">
        <v>5878.8617999999997</v>
      </c>
      <c r="AK484" s="64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6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6">
        <v>6614.1656999999996</v>
      </c>
      <c r="BC484" s="64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4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6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6">
        <v>5327.3536000000004</v>
      </c>
      <c r="AK485" s="64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6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6">
        <v>5969.3823000000002</v>
      </c>
      <c r="BC485" s="64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4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6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6">
        <v>5359.9593999999997</v>
      </c>
      <c r="AK486" s="64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6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6">
        <v>5987.5659999999998</v>
      </c>
      <c r="BC486" s="64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4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6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6">
        <v>5356.0672000000004</v>
      </c>
      <c r="AK487" s="64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6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6">
        <v>5921.5609999999997</v>
      </c>
      <c r="BC487" s="64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4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6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6">
        <v>5878.8617999999997</v>
      </c>
      <c r="AK488" s="64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6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6">
        <v>6614.1656999999996</v>
      </c>
      <c r="BC488" s="64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4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6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6">
        <v>5327.3536000000004</v>
      </c>
      <c r="AK489" s="64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6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6">
        <v>5969.3823000000002</v>
      </c>
      <c r="BC489" s="64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4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6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6">
        <v>5388.4930999999997</v>
      </c>
      <c r="AK490" s="64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6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6">
        <v>5982.5774000000001</v>
      </c>
      <c r="BC490" s="64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4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6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6">
        <v>5359.9593999999997</v>
      </c>
      <c r="AK491" s="64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6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6">
        <v>5987.5659999999998</v>
      </c>
      <c r="BC491" s="64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4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6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6">
        <v>5921.5609999999997</v>
      </c>
      <c r="AK492" s="64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6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6">
        <v>5921.5609999999997</v>
      </c>
      <c r="BC492" s="64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4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6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6">
        <v>6614.1656999999996</v>
      </c>
      <c r="AK493" s="64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6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6">
        <v>6614.1656999999996</v>
      </c>
      <c r="BC493" s="64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4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6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6">
        <v>5969.3823000000002</v>
      </c>
      <c r="AK494" s="64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6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6">
        <v>5969.3823000000002</v>
      </c>
      <c r="BC494" s="64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4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6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6">
        <v>5982.5774000000001</v>
      </c>
      <c r="AK495" s="64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6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6">
        <v>5982.5774000000001</v>
      </c>
      <c r="BC495" s="64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4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6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6">
        <v>5987.5659999999998</v>
      </c>
      <c r="AK496" s="64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6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6">
        <v>5987.5659999999998</v>
      </c>
      <c r="BC496" s="64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4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6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6">
        <v>5921.5609999999997</v>
      </c>
      <c r="AK497" s="64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6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6">
        <v>5921.5609999999997</v>
      </c>
      <c r="BC497" s="64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4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6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6">
        <v>6614.1656999999996</v>
      </c>
      <c r="AK498" s="64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6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6">
        <v>6614.1656999999996</v>
      </c>
      <c r="BC498" s="64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4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6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6">
        <v>5969.3823000000002</v>
      </c>
      <c r="AK499" s="64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6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6">
        <v>5969.3823000000002</v>
      </c>
      <c r="BC499" s="64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4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6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6">
        <v>5987.5659999999998</v>
      </c>
      <c r="AK500" s="64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6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6">
        <v>5987.5659999999998</v>
      </c>
      <c r="BC500" s="64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4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6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6">
        <v>5921.5609999999997</v>
      </c>
      <c r="AK501" s="64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6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6">
        <v>5921.5609999999997</v>
      </c>
      <c r="BC501" s="64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4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6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6">
        <v>6614.1656999999996</v>
      </c>
      <c r="AK502" s="64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6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6">
        <v>6614.1656999999996</v>
      </c>
      <c r="BC502" s="64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4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6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6">
        <v>5969.3823000000002</v>
      </c>
      <c r="AK503" s="64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6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6">
        <v>5969.3823000000002</v>
      </c>
      <c r="BC503" s="64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4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6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6">
        <v>5982.5774000000001</v>
      </c>
      <c r="AK504" s="64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6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6">
        <v>5982.5774000000001</v>
      </c>
      <c r="BC504" s="64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4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6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6">
        <v>5987.5659999999998</v>
      </c>
      <c r="AK505" s="64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6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6">
        <v>5987.5659999999998</v>
      </c>
      <c r="BC505" s="64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4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6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6">
        <v>5921.5609999999997</v>
      </c>
      <c r="AK506" s="64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6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6">
        <v>5921.5609999999997</v>
      </c>
      <c r="BC506" s="64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4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6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6">
        <v>6614.1656999999996</v>
      </c>
      <c r="AK507" s="64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6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6">
        <v>6614.1656999999996</v>
      </c>
      <c r="BC507" s="64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4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6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6">
        <v>5969.3823000000002</v>
      </c>
      <c r="AK508" s="64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6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6">
        <v>5969.3823000000002</v>
      </c>
      <c r="BC508" s="64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4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6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6">
        <v>5982.5774000000001</v>
      </c>
      <c r="AK509" s="64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6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6">
        <v>5982.5774000000001</v>
      </c>
      <c r="BC509" s="64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4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6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6">
        <v>5987.5659999999998</v>
      </c>
      <c r="AK510" s="64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6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6">
        <v>5987.5659999999998</v>
      </c>
      <c r="BC510" s="64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4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6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6">
        <v>5921.5609999999997</v>
      </c>
      <c r="AK511" s="64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6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6">
        <v>5921.5609999999997</v>
      </c>
      <c r="BC511" s="64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4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6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6">
        <v>6614.1656999999996</v>
      </c>
      <c r="AK512" s="64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6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6">
        <v>6614.1656999999996</v>
      </c>
      <c r="BC512" s="64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4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6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6">
        <v>5969.3823000000002</v>
      </c>
      <c r="AK513" s="64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6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6">
        <v>5969.3823000000002</v>
      </c>
      <c r="BC513" s="64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4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6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6">
        <v>5987.5659999999998</v>
      </c>
      <c r="AK514" s="64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6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6">
        <v>5987.5659999999998</v>
      </c>
      <c r="BC514" s="64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4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6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6">
        <v>5921.5609999999997</v>
      </c>
      <c r="AK515" s="64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6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6">
        <v>5921.5609999999997</v>
      </c>
      <c r="BC515" s="64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4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6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6">
        <v>6614.1656999999996</v>
      </c>
      <c r="AK516" s="64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6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6">
        <v>6614.1656999999996</v>
      </c>
      <c r="BC516" s="64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4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6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6">
        <v>5969.3823000000002</v>
      </c>
      <c r="AK517" s="64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6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6">
        <v>5969.3823000000002</v>
      </c>
      <c r="BC517" s="64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4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6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6">
        <v>5982.5774000000001</v>
      </c>
      <c r="AK518" s="64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6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6">
        <v>5982.5774000000001</v>
      </c>
      <c r="BC518" s="64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4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6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6">
        <v>5987.5659999999998</v>
      </c>
      <c r="AK519" s="64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6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6">
        <v>5987.5659999999998</v>
      </c>
      <c r="BC519" s="64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4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6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6">
        <v>5921.5609999999997</v>
      </c>
      <c r="AK520" s="64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6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6">
        <v>5921.5609999999997</v>
      </c>
      <c r="BC520" s="64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4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6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6">
        <v>6614.1656999999996</v>
      </c>
      <c r="AK521" s="64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6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6">
        <v>6614.1656999999996</v>
      </c>
      <c r="BC521" s="64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4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6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6">
        <v>5969.3823000000002</v>
      </c>
      <c r="AK522" s="64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6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6">
        <v>5969.3823000000002</v>
      </c>
      <c r="BC522" s="64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4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6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6">
        <v>5982.5774000000001</v>
      </c>
      <c r="AK523" s="64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6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6">
        <v>5982.5774000000001</v>
      </c>
      <c r="BC523" s="64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4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6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6">
        <v>5987.5659999999998</v>
      </c>
      <c r="AK524" s="64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6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6">
        <v>5987.5659999999998</v>
      </c>
      <c r="BC524" s="64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4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6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6">
        <v>5921.5609999999997</v>
      </c>
      <c r="AK525" s="64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6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6">
        <v>5921.5609999999997</v>
      </c>
      <c r="BC525" s="64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4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6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6">
        <v>6614.1656999999996</v>
      </c>
      <c r="AK526" s="64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6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6">
        <v>6614.1656999999996</v>
      </c>
      <c r="BC526" s="64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4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6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6">
        <v>5969.3823000000002</v>
      </c>
      <c r="AK527" s="64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6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6">
        <v>5969.3823000000002</v>
      </c>
      <c r="BC527" s="64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4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6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6">
        <v>5987.5659999999998</v>
      </c>
      <c r="AK528" s="64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6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6">
        <v>5987.5659999999998</v>
      </c>
      <c r="BC528" s="64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4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6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6">
        <v>5921.5609999999997</v>
      </c>
      <c r="AK529" s="64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6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6">
        <v>5921.5609999999997</v>
      </c>
      <c r="BC529" s="64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4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6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6">
        <v>6614.1656999999996</v>
      </c>
      <c r="AK530" s="64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6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6">
        <v>6614.1656999999996</v>
      </c>
      <c r="BC530" s="64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4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6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6">
        <v>5969.3823000000002</v>
      </c>
      <c r="AK531" s="64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6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6">
        <v>5969.3823000000002</v>
      </c>
      <c r="BC531" s="64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4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6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6">
        <v>5982.5774000000001</v>
      </c>
      <c r="AK532" s="64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6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6">
        <v>5982.5774000000001</v>
      </c>
      <c r="BC532" s="64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4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6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6">
        <v>5987.5659999999998</v>
      </c>
      <c r="AK533" s="64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6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6">
        <v>5987.5659999999998</v>
      </c>
      <c r="BC533" s="64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4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6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6">
        <v>5921.5609999999997</v>
      </c>
      <c r="AK534" s="64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6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6">
        <v>5921.5609999999997</v>
      </c>
      <c r="BC534" s="64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4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6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6">
        <v>6614.1656999999996</v>
      </c>
      <c r="AK535" s="64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6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6">
        <v>6614.1656999999996</v>
      </c>
      <c r="BC535" s="64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4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6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6">
        <v>5969.3823000000002</v>
      </c>
      <c r="AK536" s="64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6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6">
        <v>5969.3823000000002</v>
      </c>
      <c r="BC536" s="64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4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6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6">
        <v>5982.5774000000001</v>
      </c>
      <c r="AK537" s="64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6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6">
        <v>5982.5774000000001</v>
      </c>
      <c r="BC537" s="64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4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6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6">
        <v>5987.5659999999998</v>
      </c>
      <c r="AK538" s="64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6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6">
        <v>5987.5659999999998</v>
      </c>
      <c r="BC538" s="64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4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6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6">
        <v>5921.5609999999997</v>
      </c>
      <c r="AK539" s="64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6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6">
        <v>5921.5609999999997</v>
      </c>
      <c r="BC539" s="64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4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6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6">
        <v>6614.1656999999996</v>
      </c>
      <c r="AK540" s="64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6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6">
        <v>6614.1656999999996</v>
      </c>
      <c r="BC540" s="64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4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6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6">
        <v>5969.3823000000002</v>
      </c>
      <c r="AK541" s="64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6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6">
        <v>5969.3823000000002</v>
      </c>
      <c r="BC541" s="64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4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6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6">
        <v>5987.5659999999998</v>
      </c>
      <c r="AK542" s="64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6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6">
        <v>5987.5659999999998</v>
      </c>
      <c r="BC542" s="64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4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6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6">
        <v>5921.5609999999997</v>
      </c>
      <c r="AK543" s="64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6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6">
        <v>5921.5609999999997</v>
      </c>
      <c r="BC543" s="64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4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6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6">
        <v>6614.1656999999996</v>
      </c>
      <c r="AK544" s="64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6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6">
        <v>6614.1656999999996</v>
      </c>
      <c r="BC544" s="64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4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6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6">
        <v>5969.3823000000002</v>
      </c>
      <c r="AK545" s="64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6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6">
        <v>5969.3823000000002</v>
      </c>
      <c r="BC545" s="64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4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6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6">
        <v>5982.5774000000001</v>
      </c>
      <c r="AK546" s="64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6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6">
        <v>5982.5774000000001</v>
      </c>
      <c r="BC546" s="64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4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6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6">
        <v>5987.5659999999998</v>
      </c>
      <c r="AK547" s="64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6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6">
        <v>5987.5659999999998</v>
      </c>
      <c r="BC547" s="64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4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6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6">
        <v>5921.5609999999997</v>
      </c>
      <c r="AK548" s="64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6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6">
        <v>5921.5609999999997</v>
      </c>
      <c r="BC548" s="64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4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6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6">
        <v>6614.1656999999996</v>
      </c>
      <c r="AK549" s="64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6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6">
        <v>6614.1656999999996</v>
      </c>
      <c r="BC549" s="64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4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6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6">
        <v>5969.3823000000002</v>
      </c>
      <c r="AK550" s="64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6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6">
        <v>5969.3823000000002</v>
      </c>
      <c r="BC550" s="64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4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6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6">
        <v>5982.5774000000001</v>
      </c>
      <c r="AK551" s="64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6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6">
        <v>5982.5774000000001</v>
      </c>
      <c r="BC551" s="64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4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6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6">
        <v>5987.5659999999998</v>
      </c>
      <c r="AK552" s="64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6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6">
        <v>5987.5659999999998</v>
      </c>
      <c r="BC552" s="64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4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6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6">
        <v>5921.5609999999997</v>
      </c>
      <c r="AK553" s="64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6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6">
        <v>5921.5609999999997</v>
      </c>
      <c r="BC553" s="64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4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6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6">
        <v>6614.1656999999996</v>
      </c>
      <c r="AK554" s="64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6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6">
        <v>6614.1656999999996</v>
      </c>
      <c r="BC554" s="64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4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6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6">
        <v>5969.3823000000002</v>
      </c>
      <c r="AK555" s="64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6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6">
        <v>5969.3823000000002</v>
      </c>
      <c r="BC555" s="64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4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6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6">
        <v>5987.5659999999998</v>
      </c>
      <c r="AK556" s="64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6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6">
        <v>5987.5659999999998</v>
      </c>
      <c r="BC556" s="64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4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6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6">
        <v>5921.5609999999997</v>
      </c>
      <c r="AK557" s="64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6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6">
        <v>5921.5609999999997</v>
      </c>
      <c r="BC557" s="64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4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6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6">
        <v>6614.1656999999996</v>
      </c>
      <c r="AK558" s="64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6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6">
        <v>6614.1656999999996</v>
      </c>
      <c r="BC558" s="64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4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6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6">
        <v>5969.3823000000002</v>
      </c>
      <c r="AK559" s="64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6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6">
        <v>5969.3823000000002</v>
      </c>
      <c r="BC559" s="64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4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6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6">
        <v>5982.5774000000001</v>
      </c>
      <c r="AK560" s="64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6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6">
        <v>5982.5774000000001</v>
      </c>
      <c r="BC560" s="64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4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6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6">
        <v>5987.5659999999998</v>
      </c>
      <c r="AK561" s="64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6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6">
        <v>5987.5659999999998</v>
      </c>
      <c r="BC561" s="64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4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6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6">
        <v>5921.5609999999997</v>
      </c>
      <c r="AK562" s="64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6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6">
        <v>5921.5609999999997</v>
      </c>
      <c r="BC562" s="64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4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6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6">
        <v>6614.1656999999996</v>
      </c>
      <c r="AK563" s="64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6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6">
        <v>6614.1656999999996</v>
      </c>
      <c r="BC563" s="64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4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6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6">
        <v>5969.3823000000002</v>
      </c>
      <c r="AK564" s="64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6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6">
        <v>5969.3823000000002</v>
      </c>
      <c r="BC564" s="64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4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6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6">
        <v>5982.5774000000001</v>
      </c>
      <c r="AK565" s="64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6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6">
        <v>5982.5774000000001</v>
      </c>
      <c r="BC565" s="64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4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6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6">
        <v>5987.5659999999998</v>
      </c>
      <c r="AK566" s="64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6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6">
        <v>5987.5659999999998</v>
      </c>
      <c r="BC566" s="64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4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6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6">
        <v>5921.5609999999997</v>
      </c>
      <c r="AK567" s="64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6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6">
        <v>5921.5609999999997</v>
      </c>
      <c r="BC567" s="64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4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6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6">
        <v>6614.1656999999996</v>
      </c>
      <c r="AK568" s="64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6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6">
        <v>6614.1656999999996</v>
      </c>
      <c r="BC568" s="64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4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6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6">
        <v>5969.3823000000002</v>
      </c>
      <c r="AK569" s="64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6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6">
        <v>5969.3823000000002</v>
      </c>
      <c r="BC569" s="64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4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6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6">
        <v>5987.5659999999998</v>
      </c>
      <c r="AK570" s="64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6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6">
        <v>5987.5659999999998</v>
      </c>
      <c r="BC570" s="64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4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6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6">
        <v>5921.5609999999997</v>
      </c>
      <c r="AK571" s="64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6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6">
        <v>5921.5609999999997</v>
      </c>
      <c r="BC571" s="64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4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6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6">
        <v>6614.1656999999996</v>
      </c>
      <c r="AK572" s="64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6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6">
        <v>6614.1656999999996</v>
      </c>
      <c r="BC572" s="64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4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6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6">
        <v>5969.3823000000002</v>
      </c>
      <c r="AK573" s="64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6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6">
        <v>5969.3823000000002</v>
      </c>
      <c r="BC573" s="64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4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6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6">
        <v>5982.5774000000001</v>
      </c>
      <c r="AK574" s="64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6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6">
        <v>5982.5774000000001</v>
      </c>
      <c r="BC574" s="64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4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6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6">
        <v>5987.5659999999998</v>
      </c>
      <c r="AK575" s="64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6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6">
        <v>5987.5659999999998</v>
      </c>
      <c r="BC575" s="64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4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6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6">
        <v>5921.5609999999997</v>
      </c>
      <c r="AK576" s="64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6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6">
        <v>5921.5609999999997</v>
      </c>
      <c r="BC576" s="64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4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6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6">
        <v>6614.1656999999996</v>
      </c>
      <c r="AK577" s="64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6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6">
        <v>6614.1656999999996</v>
      </c>
      <c r="BC577" s="64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4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6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6">
        <v>5969.3823000000002</v>
      </c>
      <c r="AK578" s="64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6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6">
        <v>5969.3823000000002</v>
      </c>
      <c r="BC578" s="64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4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6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6">
        <v>5982.5774000000001</v>
      </c>
      <c r="AK579" s="64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6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6">
        <v>5982.5774000000001</v>
      </c>
      <c r="BC579" s="64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4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6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6">
        <v>5987.5659999999998</v>
      </c>
      <c r="AK580" s="64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6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6">
        <v>5987.5659999999998</v>
      </c>
      <c r="BC580" s="64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4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6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6">
        <v>5921.5609999999997</v>
      </c>
      <c r="AK581" s="64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6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6">
        <v>5921.5609999999997</v>
      </c>
      <c r="BC581" s="64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4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6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6">
        <v>6614.1656999999996</v>
      </c>
      <c r="AK582" s="64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6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6">
        <v>6614.1656999999996</v>
      </c>
      <c r="BC582" s="64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4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6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6">
        <v>5969.3823000000002</v>
      </c>
      <c r="AK583" s="64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6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6">
        <v>5969.3823000000002</v>
      </c>
      <c r="BC583" s="64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4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6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6">
        <v>5987.5659999999998</v>
      </c>
      <c r="AK584" s="64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6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6">
        <v>5987.5659999999998</v>
      </c>
      <c r="BC584" s="64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4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6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6">
        <v>5921.5609999999997</v>
      </c>
      <c r="AK585" s="64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6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6">
        <v>5921.5609999999997</v>
      </c>
      <c r="BC585" s="64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4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6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6">
        <v>6614.1656999999996</v>
      </c>
      <c r="AK586" s="64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6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6">
        <v>6614.1656999999996</v>
      </c>
      <c r="BC586" s="64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4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6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6">
        <v>5969.3823000000002</v>
      </c>
      <c r="AK587" s="64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6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6">
        <v>5969.3823000000002</v>
      </c>
      <c r="BC587" s="64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4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6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6">
        <v>5982.5774000000001</v>
      </c>
      <c r="AK588" s="64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6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6">
        <v>5982.5774000000001</v>
      </c>
      <c r="BC588" s="64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4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6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6">
        <v>5987.5659999999998</v>
      </c>
      <c r="AK589" s="64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6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6">
        <v>5987.5659999999998</v>
      </c>
      <c r="BC589" s="64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4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6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6">
        <v>5921.5609999999997</v>
      </c>
      <c r="AK590" s="64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6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6">
        <v>5921.5609999999997</v>
      </c>
      <c r="BC590" s="64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4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6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6">
        <v>6614.1656999999996</v>
      </c>
      <c r="AK591" s="64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6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6">
        <v>6614.1656999999996</v>
      </c>
      <c r="BC591" s="64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4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6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6">
        <v>5969.3823000000002</v>
      </c>
      <c r="AK592" s="64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6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6">
        <v>5969.3823000000002</v>
      </c>
      <c r="BC592" s="64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4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6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6">
        <v>5982.5774000000001</v>
      </c>
      <c r="AK593" s="64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6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6">
        <v>5982.5774000000001</v>
      </c>
      <c r="BC593" s="64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4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6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6">
        <v>5987.5659999999998</v>
      </c>
      <c r="AK594" s="64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6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6">
        <v>5987.5659999999998</v>
      </c>
      <c r="BC594" s="64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4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6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6">
        <v>5921.5609999999997</v>
      </c>
      <c r="AK595" s="64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6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6">
        <v>5921.5609999999997</v>
      </c>
      <c r="BC595" s="64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4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6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6">
        <v>6614.1656999999996</v>
      </c>
      <c r="AK596" s="64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6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6">
        <v>6614.1656999999996</v>
      </c>
      <c r="BC596" s="64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4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6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6">
        <v>5969.3823000000002</v>
      </c>
      <c r="AK597" s="64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6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6">
        <v>5969.3823000000002</v>
      </c>
      <c r="BC597" s="64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4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6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6">
        <v>5987.5659999999998</v>
      </c>
      <c r="AK598" s="64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6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6">
        <v>5987.5659999999998</v>
      </c>
      <c r="BC598" s="64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4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6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6">
        <v>5921.5609999999997</v>
      </c>
      <c r="AK599" s="64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6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6">
        <v>5921.5609999999997</v>
      </c>
      <c r="BC599" s="64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4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6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6">
        <v>6614.1656999999996</v>
      </c>
      <c r="AK600" s="64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6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6">
        <v>6614.1656999999996</v>
      </c>
      <c r="BC600" s="64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4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6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6">
        <v>5969.3823000000002</v>
      </c>
      <c r="AK601" s="64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6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6">
        <v>5969.3823000000002</v>
      </c>
      <c r="BC601" s="64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4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6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6">
        <v>5982.5774000000001</v>
      </c>
      <c r="AK602" s="64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6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6">
        <v>5982.5774000000001</v>
      </c>
      <c r="BC602" s="64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4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6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6">
        <v>5987.5659999999998</v>
      </c>
      <c r="AK603" s="64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6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6">
        <v>5987.5659999999998</v>
      </c>
      <c r="BC603" s="64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4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6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6">
        <v>5921.5609999999997</v>
      </c>
      <c r="AK604" s="64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6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6">
        <v>5921.5609999999997</v>
      </c>
      <c r="BC604" s="64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4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6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6">
        <v>6614.1656999999996</v>
      </c>
      <c r="AK605" s="64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6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6">
        <v>6614.1656999999996</v>
      </c>
      <c r="BC605" s="64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4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6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6">
        <v>5969.3823000000002</v>
      </c>
      <c r="AK606" s="64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6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6">
        <v>5969.3823000000002</v>
      </c>
      <c r="BC606" s="64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4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6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6">
        <v>5982.5774000000001</v>
      </c>
      <c r="AK607" s="64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6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6">
        <v>5982.5774000000001</v>
      </c>
      <c r="BC607" s="64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4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6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6">
        <v>5987.5659999999998</v>
      </c>
      <c r="AK608" s="64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6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6">
        <v>5987.5659999999998</v>
      </c>
      <c r="BC608" s="64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4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6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6">
        <v>5921.5609999999997</v>
      </c>
      <c r="AK609" s="64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6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6">
        <v>5921.5609999999997</v>
      </c>
      <c r="BC609" s="64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4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6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6">
        <v>6614.1656999999996</v>
      </c>
      <c r="AK610" s="64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6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6">
        <v>6614.1656999999996</v>
      </c>
      <c r="BC610" s="64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4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6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6">
        <v>5969.3823000000002</v>
      </c>
      <c r="AK611" s="64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6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6">
        <v>5969.3823000000002</v>
      </c>
      <c r="BC611" s="64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4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6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6">
        <v>5987.5659999999998</v>
      </c>
      <c r="AK612" s="64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6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6">
        <v>5987.5659999999998</v>
      </c>
      <c r="BC612" s="64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4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6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6">
        <v>5921.5609999999997</v>
      </c>
      <c r="AK613" s="64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6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6">
        <v>5921.5609999999997</v>
      </c>
      <c r="BC613" s="64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4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6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6">
        <v>6614.1656999999996</v>
      </c>
      <c r="AK614" s="64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6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6">
        <v>6614.1656999999996</v>
      </c>
      <c r="BC614" s="64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4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6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6">
        <v>5969.3823000000002</v>
      </c>
      <c r="AK615" s="64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6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6">
        <v>5969.3823000000002</v>
      </c>
      <c r="BC615" s="64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4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6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6">
        <v>5982.5774000000001</v>
      </c>
      <c r="AK616" s="64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6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6">
        <v>5982.5774000000001</v>
      </c>
      <c r="BC616" s="64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4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6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6">
        <v>5987.5659999999998</v>
      </c>
      <c r="AK617" s="64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6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6">
        <v>5987.5659999999998</v>
      </c>
      <c r="BC617" s="64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4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6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6">
        <v>5921.5609999999997</v>
      </c>
      <c r="AK618" s="64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6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6">
        <v>6026.4157999999998</v>
      </c>
      <c r="BC618" s="64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4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6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6">
        <v>6614.1656999999996</v>
      </c>
      <c r="AK619" s="64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6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6">
        <v>6648.1922999999997</v>
      </c>
      <c r="BC619" s="64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4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6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6">
        <v>5969.3823000000002</v>
      </c>
      <c r="AK620" s="64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6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6">
        <v>6112.8068000000003</v>
      </c>
      <c r="BC620" s="64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4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6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6">
        <v>5982.5774000000001</v>
      </c>
      <c r="AK621" s="64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6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6">
        <v>6002.7545</v>
      </c>
      <c r="BC621" s="64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4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6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6">
        <v>5987.5659999999998</v>
      </c>
      <c r="AK622" s="64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6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6">
        <v>5691.7578999999996</v>
      </c>
      <c r="BC622" s="64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4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6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6">
        <v>5921.5609999999997</v>
      </c>
      <c r="AK623" s="64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6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6">
        <v>6026.4157999999998</v>
      </c>
      <c r="BC623" s="64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4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6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6">
        <v>6614.1656999999996</v>
      </c>
      <c r="AK624" s="64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6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6">
        <v>6648.1922999999997</v>
      </c>
      <c r="BC624" s="64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4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6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6">
        <v>5969.3823000000002</v>
      </c>
      <c r="AK625" s="64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6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6">
        <v>6112.8068000000003</v>
      </c>
      <c r="BC625" s="64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4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6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6">
        <v>5987.5659999999998</v>
      </c>
      <c r="AK626" s="64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6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6">
        <v>5691.7578999999996</v>
      </c>
      <c r="BC626" s="64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4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6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6">
        <v>5921.5609999999997</v>
      </c>
      <c r="AK627" s="64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6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6">
        <v>6026.4157999999998</v>
      </c>
      <c r="BC627" s="64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4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6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6">
        <v>6614.1656999999996</v>
      </c>
      <c r="AK628" s="64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6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6">
        <v>6648.1922999999997</v>
      </c>
      <c r="BC628" s="64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4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6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6">
        <v>5969.3823000000002</v>
      </c>
      <c r="AK629" s="64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6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6">
        <v>6112.8068000000003</v>
      </c>
      <c r="BC629" s="64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4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6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6">
        <v>5982.5774000000001</v>
      </c>
      <c r="AK630" s="64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6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6">
        <v>6002.7545</v>
      </c>
      <c r="BC630" s="64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4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6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6">
        <v>5987.5659999999998</v>
      </c>
      <c r="AK631" s="64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6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6">
        <v>5691.7578999999996</v>
      </c>
      <c r="BC631" s="64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4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6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6">
        <v>5921.5609999999997</v>
      </c>
      <c r="AK632" s="64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6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6">
        <v>6026.4157999999998</v>
      </c>
      <c r="BC632" s="64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4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6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6">
        <v>6614.1656999999996</v>
      </c>
      <c r="AK633" s="64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6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6">
        <v>6648.1922999999997</v>
      </c>
      <c r="BC633" s="64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4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6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6">
        <v>5969.3823000000002</v>
      </c>
      <c r="AK634" s="64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6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6">
        <v>6112.8068000000003</v>
      </c>
      <c r="BC634" s="64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4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6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6">
        <v>5982.5774000000001</v>
      </c>
      <c r="AK635" s="64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6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6">
        <v>6002.7545</v>
      </c>
      <c r="BC635" s="64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4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6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6">
        <v>5987.5659999999998</v>
      </c>
      <c r="AK636" s="64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6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6">
        <v>5691.7578999999996</v>
      </c>
      <c r="BC636" s="64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4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6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6">
        <v>5921.5609999999997</v>
      </c>
      <c r="AK637" s="64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6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6">
        <v>6026.4157999999998</v>
      </c>
      <c r="BC637" s="64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4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6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6">
        <v>6614.1656999999996</v>
      </c>
      <c r="AK638" s="64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6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6">
        <v>6648.1922999999997</v>
      </c>
      <c r="BC638" s="64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4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6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6">
        <v>5969.3823000000002</v>
      </c>
      <c r="AK639" s="64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6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6">
        <v>6112.8068000000003</v>
      </c>
      <c r="BC639" s="64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4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6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6">
        <v>5987.5659999999998</v>
      </c>
      <c r="AK640" s="64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6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6">
        <v>5691.7578999999996</v>
      </c>
      <c r="BC640" s="64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4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6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6">
        <v>5921.5609999999997</v>
      </c>
      <c r="AK641" s="64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6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6">
        <v>6026.4157999999998</v>
      </c>
      <c r="BC641" s="64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4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6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6">
        <v>6614.1656999999996</v>
      </c>
      <c r="AK642" s="64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6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6">
        <v>6648.1922999999997</v>
      </c>
      <c r="BC642" s="64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4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6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6">
        <v>5969.3823000000002</v>
      </c>
      <c r="AK643" s="64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6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6">
        <v>6112.8068000000003</v>
      </c>
      <c r="BC643" s="64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4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6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6">
        <v>5982.5774000000001</v>
      </c>
      <c r="AK644" s="64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6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6">
        <v>6002.7545</v>
      </c>
      <c r="BC644" s="64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4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6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6">
        <v>5987.5659999999998</v>
      </c>
      <c r="AK645" s="64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6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6">
        <v>5691.7578999999996</v>
      </c>
      <c r="BC645" s="64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4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6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6">
        <v>5921.5609999999997</v>
      </c>
      <c r="AK646" s="64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6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6">
        <v>6026.4157999999998</v>
      </c>
      <c r="BC646" s="64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4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6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6">
        <v>6614.1656999999996</v>
      </c>
      <c r="AK647" s="64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6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6">
        <v>6648.1922999999997</v>
      </c>
      <c r="BC647" s="64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4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6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6">
        <v>5969.3823000000002</v>
      </c>
      <c r="AK648" s="64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6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6">
        <v>6112.8068000000003</v>
      </c>
      <c r="BC648" s="64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4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6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6">
        <v>5982.5774000000001</v>
      </c>
      <c r="AK649" s="64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6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6">
        <v>6002.7545</v>
      </c>
      <c r="BC649" s="64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4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6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6">
        <v>5987.5659999999998</v>
      </c>
      <c r="AK650" s="64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6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6">
        <v>5691.7578999999996</v>
      </c>
      <c r="BC650" s="64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4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6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6">
        <v>5921.5609999999997</v>
      </c>
      <c r="AK651" s="64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6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6">
        <v>6026.4157999999998</v>
      </c>
      <c r="BC651" s="64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4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6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6">
        <v>6614.1656999999996</v>
      </c>
      <c r="AK652" s="64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6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6">
        <v>6648.1922999999997</v>
      </c>
      <c r="BC652" s="64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4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6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6">
        <v>5969.3823000000002</v>
      </c>
      <c r="AK653" s="64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6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6">
        <v>6112.8068000000003</v>
      </c>
      <c r="BC653" s="64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4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6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6">
        <v>5987.5659999999998</v>
      </c>
      <c r="AK654" s="64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6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6">
        <v>5691.7578999999996</v>
      </c>
      <c r="BC654" s="64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4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6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6">
        <v>5921.5609999999997</v>
      </c>
      <c r="AK655" s="64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6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6">
        <v>6026.4157999999998</v>
      </c>
      <c r="BC655" s="64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4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6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6">
        <v>6614.1656999999996</v>
      </c>
      <c r="AK656" s="64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6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6">
        <v>6648.1922999999997</v>
      </c>
      <c r="BC656" s="64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4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6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6">
        <v>5969.3823000000002</v>
      </c>
      <c r="AK657" s="64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6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6">
        <v>6112.8068000000003</v>
      </c>
      <c r="BC657" s="64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4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6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6">
        <v>5982.5774000000001</v>
      </c>
      <c r="AK658" s="64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6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6">
        <v>6002.7545</v>
      </c>
      <c r="BC658" s="64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4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6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6">
        <v>5987.5659999999998</v>
      </c>
      <c r="AK659" s="64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6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6">
        <v>5691.7578999999996</v>
      </c>
      <c r="BC659" s="64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4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6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6">
        <v>5921.5609999999997</v>
      </c>
      <c r="AK660" s="64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6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6">
        <v>6026.4157999999998</v>
      </c>
      <c r="BC660" s="64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4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6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6">
        <v>6614.1656999999996</v>
      </c>
      <c r="AK661" s="64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6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6">
        <v>6648.1922999999997</v>
      </c>
      <c r="BC661" s="64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4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6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6">
        <v>5969.3823000000002</v>
      </c>
      <c r="AK662" s="64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6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6">
        <v>6112.8068000000003</v>
      </c>
      <c r="BC662" s="64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4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6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6">
        <v>5982.5774000000001</v>
      </c>
      <c r="AK663" s="64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6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6">
        <v>6002.7545</v>
      </c>
      <c r="BC663" s="64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4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6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6">
        <v>5987.5659999999998</v>
      </c>
      <c r="AK664" s="64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6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6">
        <v>5691.7578999999996</v>
      </c>
      <c r="BC664" s="64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4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6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6">
        <v>5921.5609999999997</v>
      </c>
      <c r="AK665" s="64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6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6">
        <v>6026.4157999999998</v>
      </c>
      <c r="BC665" s="64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4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6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6">
        <v>6614.1656999999996</v>
      </c>
      <c r="AK666" s="64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6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6">
        <v>6648.1922999999997</v>
      </c>
      <c r="BC666" s="64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4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6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6">
        <v>5969.3823000000002</v>
      </c>
      <c r="AK667" s="64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6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6">
        <v>6112.8068000000003</v>
      </c>
      <c r="BC667" s="64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4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6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6">
        <v>5987.5659999999998</v>
      </c>
      <c r="AK668" s="64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6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6">
        <v>5691.7578999999996</v>
      </c>
      <c r="BC668" s="64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4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6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6">
        <v>5921.5609999999997</v>
      </c>
      <c r="AK669" s="64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6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6">
        <v>6026.4157999999998</v>
      </c>
      <c r="BC669" s="64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4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6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6">
        <v>6614.1656999999996</v>
      </c>
      <c r="AK670" s="64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6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6">
        <v>6648.1922999999997</v>
      </c>
      <c r="BC670" s="64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4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6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6">
        <v>5969.3823000000002</v>
      </c>
      <c r="AK671" s="64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6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6">
        <v>6112.8068000000003</v>
      </c>
      <c r="BC671" s="64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4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6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6">
        <v>5982.5774000000001</v>
      </c>
      <c r="AK672" s="64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6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6">
        <v>6002.7545</v>
      </c>
      <c r="BC672" s="64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4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6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6">
        <v>5987.5659999999998</v>
      </c>
      <c r="AK673" s="64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6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6">
        <v>5691.7578999999996</v>
      </c>
      <c r="BC673" s="64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4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6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6">
        <v>5921.5609999999997</v>
      </c>
      <c r="AK674" s="64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6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6">
        <v>6026.4157999999998</v>
      </c>
      <c r="BC674" s="64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4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6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6">
        <v>6614.1656999999996</v>
      </c>
      <c r="AK675" s="64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6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6">
        <v>6648.1922999999997</v>
      </c>
      <c r="BC675" s="64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4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6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6">
        <v>5969.3823000000002</v>
      </c>
      <c r="AK676" s="64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6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6">
        <v>6112.8068000000003</v>
      </c>
      <c r="BC676" s="64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4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6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6">
        <v>5982.5774000000001</v>
      </c>
      <c r="AK677" s="64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6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6">
        <v>6002.7545</v>
      </c>
      <c r="BC677" s="64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4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6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6">
        <v>5987.5659999999998</v>
      </c>
      <c r="AK678" s="64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6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6">
        <v>5691.7578999999996</v>
      </c>
      <c r="BC678" s="64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4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6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6">
        <v>5921.5609999999997</v>
      </c>
      <c r="AK679" s="64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6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6">
        <v>6026.4157999999998</v>
      </c>
      <c r="BC679" s="64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4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6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6">
        <v>6614.1656999999996</v>
      </c>
      <c r="AK680" s="64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6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6">
        <v>6648.1922999999997</v>
      </c>
      <c r="BC680" s="64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4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6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6">
        <v>5969.3823000000002</v>
      </c>
      <c r="AK681" s="64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6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6">
        <v>6112.8068000000003</v>
      </c>
      <c r="BC681" s="64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4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6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6">
        <v>5987.5659999999998</v>
      </c>
      <c r="AK682" s="64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6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6">
        <v>5691.7578999999996</v>
      </c>
      <c r="BC682" s="64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4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6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6">
        <v>5921.5609999999997</v>
      </c>
      <c r="AK683" s="64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6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6">
        <v>6026.4157999999998</v>
      </c>
      <c r="BC683" s="64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4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6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6">
        <v>6614.1656999999996</v>
      </c>
      <c r="AK684" s="64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6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6">
        <v>6648.1922999999997</v>
      </c>
      <c r="BC684" s="64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4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6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6">
        <v>5969.3823000000002</v>
      </c>
      <c r="AK685" s="64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6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6">
        <v>6112.8068000000003</v>
      </c>
      <c r="BC685" s="64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4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6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6">
        <v>5982.5774000000001</v>
      </c>
      <c r="AK686" s="64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6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6">
        <v>6002.7545</v>
      </c>
      <c r="BC686" s="64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4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6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6">
        <v>5987.5659999999998</v>
      </c>
      <c r="AK687" s="64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6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6">
        <v>5691.7578999999996</v>
      </c>
      <c r="BC687" s="64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4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6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6">
        <v>5921.5609999999997</v>
      </c>
      <c r="AK688" s="64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6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6">
        <v>6026.4157999999998</v>
      </c>
      <c r="BC688" s="64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4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6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6">
        <v>6614.1656999999996</v>
      </c>
      <c r="AK689" s="64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6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6">
        <v>6648.1922999999997</v>
      </c>
      <c r="BC689" s="64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4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6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6">
        <v>5969.3823000000002</v>
      </c>
      <c r="AK690" s="64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6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6">
        <v>6112.8068000000003</v>
      </c>
      <c r="BC690" s="64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4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6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6">
        <v>5982.5774000000001</v>
      </c>
      <c r="AK691" s="64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6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6">
        <v>6002.7545</v>
      </c>
      <c r="BC691" s="64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4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6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6">
        <v>5987.5659999999998</v>
      </c>
      <c r="AK692" s="64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6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6">
        <v>5691.7578999999996</v>
      </c>
      <c r="BC692" s="64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4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6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6">
        <v>5921.5609999999997</v>
      </c>
      <c r="AK693" s="64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6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6">
        <v>6026.4157999999998</v>
      </c>
      <c r="BC693" s="64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4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6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6">
        <v>6614.1656999999996</v>
      </c>
      <c r="AK694" s="64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6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6">
        <v>6648.1922999999997</v>
      </c>
      <c r="BC694" s="64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4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6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6">
        <v>5969.3823000000002</v>
      </c>
      <c r="AK695" s="64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6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6">
        <v>6112.8068000000003</v>
      </c>
      <c r="BC695" s="64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4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6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6">
        <v>5987.5659999999998</v>
      </c>
      <c r="AK696" s="64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6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6">
        <v>5691.7578999999996</v>
      </c>
      <c r="BC696" s="64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4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6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6">
        <v>5921.5609999999997</v>
      </c>
      <c r="AK697" s="64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6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6">
        <v>6026.4157999999998</v>
      </c>
      <c r="BC697" s="64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4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6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6">
        <v>6614.1656999999996</v>
      </c>
      <c r="AK698" s="64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6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6">
        <v>6648.1922999999997</v>
      </c>
      <c r="BC698" s="64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4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6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6">
        <v>5969.3823000000002</v>
      </c>
      <c r="AK699" s="64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6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6">
        <v>6112.8068000000003</v>
      </c>
      <c r="BC699" s="64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4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6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6">
        <v>5982.5774000000001</v>
      </c>
      <c r="AK700" s="64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6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6">
        <v>6002.7545</v>
      </c>
      <c r="BC700" s="64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4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6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6">
        <v>5987.5659999999998</v>
      </c>
      <c r="AK701" s="64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6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6">
        <v>5691.7578999999996</v>
      </c>
      <c r="BC701" s="64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4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6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6">
        <v>5921.5609999999997</v>
      </c>
      <c r="AK702" s="64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6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6">
        <v>6012.0856999999996</v>
      </c>
      <c r="BC702" s="64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4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6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6">
        <v>6614.1656999999996</v>
      </c>
      <c r="AK703" s="64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6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6">
        <v>6756.3186999999998</v>
      </c>
      <c r="BC703" s="64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4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6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6">
        <v>5969.3823000000002</v>
      </c>
      <c r="AK704" s="64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6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6">
        <v>6138.1248999999998</v>
      </c>
      <c r="BC704" s="64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4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6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6">
        <v>5982.5774000000001</v>
      </c>
      <c r="AK705" s="64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6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6">
        <v>5990.7024000000001</v>
      </c>
      <c r="BC705" s="64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4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6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6">
        <v>5987.5659999999998</v>
      </c>
      <c r="AK706" s="64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6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6">
        <v>5658.5559999999996</v>
      </c>
      <c r="BC706" s="64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4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6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6">
        <v>5921.5609999999997</v>
      </c>
      <c r="AK707" s="64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6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6">
        <v>6012.0856999999996</v>
      </c>
      <c r="BC707" s="64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4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6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6">
        <v>6614.1656999999996</v>
      </c>
      <c r="AK708" s="64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6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6">
        <v>6756.3186999999998</v>
      </c>
      <c r="BC708" s="64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4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6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6">
        <v>5969.3823000000002</v>
      </c>
      <c r="AK709" s="64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6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6">
        <v>6138.1248999999998</v>
      </c>
      <c r="BC709" s="64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4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6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6">
        <v>5987.5659999999998</v>
      </c>
      <c r="AK710" s="64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6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6">
        <v>5658.5559999999996</v>
      </c>
      <c r="BC710" s="64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4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6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6">
        <v>5921.5609999999997</v>
      </c>
      <c r="AK711" s="64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6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6">
        <v>6012.0856999999996</v>
      </c>
      <c r="BC711" s="64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4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6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6">
        <v>6614.1656999999996</v>
      </c>
      <c r="AK712" s="64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6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6">
        <v>6756.3186999999998</v>
      </c>
      <c r="BC712" s="64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4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6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6">
        <v>5969.3823000000002</v>
      </c>
      <c r="AK713" s="64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6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6">
        <v>6138.1248999999998</v>
      </c>
      <c r="BC713" s="64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4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6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6">
        <v>5982.5774000000001</v>
      </c>
      <c r="AK714" s="64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6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6">
        <v>5990.7024000000001</v>
      </c>
      <c r="BC714" s="64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4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6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6">
        <v>5987.5659999999998</v>
      </c>
      <c r="AK715" s="64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6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6">
        <v>5658.5559999999996</v>
      </c>
      <c r="BC715" s="64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4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6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6">
        <v>5921.5609999999997</v>
      </c>
      <c r="AK716" s="64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6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6">
        <v>6012.0856999999996</v>
      </c>
      <c r="BC716" s="64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4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6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6">
        <v>6614.1656999999996</v>
      </c>
      <c r="AK717" s="64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6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6">
        <v>6756.3186999999998</v>
      </c>
      <c r="BC717" s="64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4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6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6">
        <v>5969.3823000000002</v>
      </c>
      <c r="AK718" s="64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6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6">
        <v>6138.1248999999998</v>
      </c>
      <c r="BC718" s="64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4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6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6">
        <v>5982.5774000000001</v>
      </c>
      <c r="AK719" s="64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6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6">
        <v>5990.7024000000001</v>
      </c>
      <c r="BC719" s="64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4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6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6">
        <v>5987.5659999999998</v>
      </c>
      <c r="AK720" s="64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6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6">
        <v>5658.5559999999996</v>
      </c>
      <c r="BC720" s="64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4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6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6">
        <v>5921.5609999999997</v>
      </c>
      <c r="AK721" s="64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6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6">
        <v>6012.0856999999996</v>
      </c>
      <c r="BC721" s="64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4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6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6">
        <v>6614.1656999999996</v>
      </c>
      <c r="AK722" s="64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6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6">
        <v>6756.3186999999998</v>
      </c>
      <c r="BC722" s="64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4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6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6">
        <v>5969.3823000000002</v>
      </c>
      <c r="AK723" s="64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6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6">
        <v>6138.1248999999998</v>
      </c>
      <c r="BC723" s="64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4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6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6">
        <v>5987.5659999999998</v>
      </c>
      <c r="AK724" s="64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6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6">
        <v>5658.5559999999996</v>
      </c>
      <c r="BC724" s="64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4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6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6">
        <v>5921.5609999999997</v>
      </c>
      <c r="AK725" s="64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6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6">
        <v>6012.0856999999996</v>
      </c>
      <c r="BC725" s="64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4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6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6">
        <v>6614.1656999999996</v>
      </c>
      <c r="AK726" s="64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6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6">
        <v>6756.3186999999998</v>
      </c>
      <c r="BC726" s="64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4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6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6">
        <v>5969.3823000000002</v>
      </c>
      <c r="AK727" s="64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6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6">
        <v>6138.1248999999998</v>
      </c>
      <c r="BC727" s="64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4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6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6">
        <v>5982.5774000000001</v>
      </c>
      <c r="AK728" s="64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6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6">
        <v>5990.7024000000001</v>
      </c>
      <c r="BC728" s="64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4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6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6">
        <v>5987.5659999999998</v>
      </c>
      <c r="AK729" s="64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6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6">
        <v>5658.5559999999996</v>
      </c>
      <c r="BC729" s="64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4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6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6">
        <v>5921.5609999999997</v>
      </c>
      <c r="AK730" s="64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6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6">
        <v>6012.0856999999996</v>
      </c>
      <c r="BC730" s="64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4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6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6">
        <v>6614.1656999999996</v>
      </c>
      <c r="AK731" s="64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6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6">
        <v>6756.3186999999998</v>
      </c>
      <c r="BC731" s="64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4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6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6">
        <v>5969.3823000000002</v>
      </c>
      <c r="AK732" s="64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6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6">
        <v>6138.1248999999998</v>
      </c>
      <c r="BC732" s="64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4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6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6">
        <v>5982.5774000000001</v>
      </c>
      <c r="AK733" s="64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6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6">
        <v>5990.7024000000001</v>
      </c>
      <c r="BC733" s="64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4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6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6">
        <v>5987.5659999999998</v>
      </c>
      <c r="AK734" s="64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6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6">
        <v>5658.5559999999996</v>
      </c>
      <c r="BC734" s="64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4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6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6">
        <v>5921.5609999999997</v>
      </c>
      <c r="AK735" s="64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6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6">
        <v>6012.0856999999996</v>
      </c>
      <c r="BC735" s="64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4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6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6">
        <v>6614.1656999999996</v>
      </c>
      <c r="AK736" s="64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6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6">
        <v>6756.3186999999998</v>
      </c>
      <c r="BC736" s="64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4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6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6">
        <v>5969.3823000000002</v>
      </c>
      <c r="AK737" s="64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6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6">
        <v>6138.1248999999998</v>
      </c>
      <c r="BC737" s="64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4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6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6">
        <v>5987.5659999999998</v>
      </c>
      <c r="AK738" s="64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6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6">
        <v>5658.5559999999996</v>
      </c>
      <c r="BC738" s="64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4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6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6">
        <v>5921.5609999999997</v>
      </c>
      <c r="AK739" s="64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6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6">
        <v>6012.0856999999996</v>
      </c>
      <c r="BC739" s="64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4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6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6">
        <v>6614.1656999999996</v>
      </c>
      <c r="AK740" s="64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6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6">
        <v>6756.3186999999998</v>
      </c>
      <c r="BC740" s="64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4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6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6">
        <v>5969.3823000000002</v>
      </c>
      <c r="AK741" s="64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6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6">
        <v>6138.1248999999998</v>
      </c>
      <c r="BC741" s="64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4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6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6">
        <v>5982.5774000000001</v>
      </c>
      <c r="AK742" s="64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6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6">
        <v>5990.7024000000001</v>
      </c>
      <c r="BC742" s="64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4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6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6">
        <v>5987.5659999999998</v>
      </c>
      <c r="AK743" s="64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6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6">
        <v>5658.5559999999996</v>
      </c>
      <c r="BC743" s="64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4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6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6">
        <v>6026.4157999999998</v>
      </c>
      <c r="AK744" s="64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6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6">
        <v>6012.0856999999996</v>
      </c>
      <c r="BC744" s="64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4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6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6">
        <v>6648.1922999999997</v>
      </c>
      <c r="AK745" s="64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6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6">
        <v>6756.3186999999998</v>
      </c>
      <c r="BC745" s="64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4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6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6">
        <v>6112.8068000000003</v>
      </c>
      <c r="AK746" s="64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6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6">
        <v>6138.1248999999998</v>
      </c>
      <c r="BC746" s="64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4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6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6">
        <v>6002.7545</v>
      </c>
      <c r="AK747" s="64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6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6">
        <v>5990.7024000000001</v>
      </c>
      <c r="BC747" s="64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4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6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6">
        <v>5691.7578999999996</v>
      </c>
      <c r="AK748" s="64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6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6">
        <v>5658.5559999999996</v>
      </c>
      <c r="BC748" s="64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4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6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6">
        <v>6026.4157999999998</v>
      </c>
      <c r="AK749" s="64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6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6">
        <v>6012.0856999999996</v>
      </c>
      <c r="BC749" s="64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4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6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6">
        <v>6648.1922999999997</v>
      </c>
      <c r="AK750" s="64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6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6">
        <v>6756.3186999999998</v>
      </c>
      <c r="BC750" s="64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4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6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6">
        <v>6112.8068000000003</v>
      </c>
      <c r="AK751" s="64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6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6">
        <v>6138.1248999999998</v>
      </c>
      <c r="BC751" s="64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4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6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6">
        <v>5691.7578999999996</v>
      </c>
      <c r="AK752" s="64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6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6">
        <v>5658.5559999999996</v>
      </c>
      <c r="BC752" s="64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4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6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6">
        <v>6026.4157999999998</v>
      </c>
      <c r="AK753" s="64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6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6">
        <v>6012.0856999999996</v>
      </c>
      <c r="BC753" s="64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4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6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6">
        <v>6648.1922999999997</v>
      </c>
      <c r="AK754" s="64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6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6">
        <v>6756.3186999999998</v>
      </c>
      <c r="BC754" s="64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4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6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6">
        <v>6112.8068000000003</v>
      </c>
      <c r="AK755" s="64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6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6">
        <v>6138.1248999999998</v>
      </c>
      <c r="BC755" s="64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4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6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6">
        <v>6002.7545</v>
      </c>
      <c r="AK756" s="64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6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6">
        <v>5990.7024000000001</v>
      </c>
      <c r="BC756" s="64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4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6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6">
        <v>5691.7578999999996</v>
      </c>
      <c r="AK757" s="64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6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6">
        <v>5658.5559999999996</v>
      </c>
      <c r="BC757" s="64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4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6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6">
        <v>6026.4157999999998</v>
      </c>
      <c r="AK758" s="64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6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6">
        <v>6012.0856999999996</v>
      </c>
      <c r="BC758" s="64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4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6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6">
        <v>6648.1922999999997</v>
      </c>
      <c r="AK759" s="64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6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6">
        <v>6756.3186999999998</v>
      </c>
      <c r="BC759" s="64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4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6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6">
        <v>6112.8068000000003</v>
      </c>
      <c r="AK760" s="64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6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6">
        <v>6138.1248999999998</v>
      </c>
      <c r="BC760" s="64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4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6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6">
        <v>6002.7545</v>
      </c>
      <c r="AK761" s="64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6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6">
        <v>5990.7024000000001</v>
      </c>
      <c r="BC761" s="64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4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6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6">
        <v>5691.7578999999996</v>
      </c>
      <c r="AK762" s="64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6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6">
        <v>5658.5559999999996</v>
      </c>
      <c r="BC762" s="64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4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6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6">
        <v>6026.4157999999998</v>
      </c>
      <c r="AK763" s="64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6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6">
        <v>6012.0856999999996</v>
      </c>
      <c r="BC763" s="64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4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6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6">
        <v>6648.1922999999997</v>
      </c>
      <c r="AK764" s="64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6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6">
        <v>6756.3186999999998</v>
      </c>
      <c r="BC764" s="64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4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6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6">
        <v>6112.8068000000003</v>
      </c>
      <c r="AK765" s="64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6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6">
        <v>6138.1248999999998</v>
      </c>
      <c r="BC765" s="64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4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6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6">
        <v>5691.7578999999996</v>
      </c>
      <c r="AK766" s="64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6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6">
        <v>5658.5559999999996</v>
      </c>
      <c r="BC766" s="64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4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6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6">
        <v>6026.4157999999998</v>
      </c>
      <c r="AK767" s="64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6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6">
        <v>6012.0856999999996</v>
      </c>
      <c r="BC767" s="64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4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6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6">
        <v>6648.1922999999997</v>
      </c>
      <c r="AK768" s="64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6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6">
        <v>6756.3186999999998</v>
      </c>
      <c r="BC768" s="64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4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6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6">
        <v>6112.8068000000003</v>
      </c>
      <c r="AK769" s="64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6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6">
        <v>6138.1248999999998</v>
      </c>
      <c r="BC769" s="64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4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6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6">
        <v>6002.7545</v>
      </c>
      <c r="AK770" s="64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6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6">
        <v>5990.7024000000001</v>
      </c>
      <c r="BC770" s="64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4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6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6">
        <v>5691.7578999999996</v>
      </c>
      <c r="AK771" s="64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6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6">
        <v>5658.5559999999996</v>
      </c>
      <c r="BC771" s="64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4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6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6">
        <v>6026.4157999999998</v>
      </c>
      <c r="AK772" s="64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6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6">
        <v>6012.0856999999996</v>
      </c>
      <c r="BC772" s="64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4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6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6">
        <v>6648.1922999999997</v>
      </c>
      <c r="AK773" s="64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6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6">
        <v>6756.3186999999998</v>
      </c>
      <c r="BC773" s="64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4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6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6">
        <v>6112.8068000000003</v>
      </c>
      <c r="AK774" s="64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6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6">
        <v>6138.1248999999998</v>
      </c>
      <c r="BC774" s="64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4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6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6">
        <v>6002.7545</v>
      </c>
      <c r="AK775" s="64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6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6">
        <v>5990.7024000000001</v>
      </c>
      <c r="BC775" s="64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4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6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6">
        <v>5691.7578999999996</v>
      </c>
      <c r="AK776" s="64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6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6">
        <v>5658.5559999999996</v>
      </c>
      <c r="BC776" s="64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4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6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6">
        <v>6026.4157999999998</v>
      </c>
      <c r="AK777" s="64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6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6">
        <v>6012.0856999999996</v>
      </c>
      <c r="BC777" s="64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4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6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6">
        <v>6648.1922999999997</v>
      </c>
      <c r="AK778" s="64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6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6">
        <v>6756.3186999999998</v>
      </c>
      <c r="BC778" s="64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4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6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6">
        <v>6112.8068000000003</v>
      </c>
      <c r="AK779" s="64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6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6">
        <v>6138.1248999999998</v>
      </c>
      <c r="BC779" s="64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4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6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6">
        <v>5691.7578999999996</v>
      </c>
      <c r="AK780" s="64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6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6">
        <v>5658.5559999999996</v>
      </c>
      <c r="BC780" s="64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4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6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6">
        <v>6026.4157999999998</v>
      </c>
      <c r="AK781" s="64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6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6">
        <v>6012.0856999999996</v>
      </c>
      <c r="BC781" s="64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4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6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6">
        <v>6648.1922999999997</v>
      </c>
      <c r="AK782" s="64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6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6">
        <v>6756.3186999999998</v>
      </c>
      <c r="BC782" s="64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4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6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6">
        <v>6112.8068000000003</v>
      </c>
      <c r="AK783" s="64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6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6">
        <v>6138.1248999999998</v>
      </c>
      <c r="BC783" s="64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4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6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6">
        <v>6002.7545</v>
      </c>
      <c r="AK784" s="64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6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6">
        <v>5990.7024000000001</v>
      </c>
      <c r="BC784" s="64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4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6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6">
        <v>5691.7578999999996</v>
      </c>
      <c r="AK785" s="64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6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6">
        <v>5658.5559999999996</v>
      </c>
      <c r="BC785" s="64">
        <v>20.88694810023885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59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9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9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9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9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9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9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9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9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9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9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9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9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9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9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9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9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9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9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9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9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9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9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9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9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9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9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9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9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9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9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9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9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9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9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9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9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9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9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9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9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9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9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9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9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9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9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9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9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9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9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9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9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9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9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9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9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9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9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9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9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9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9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9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9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9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9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9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9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9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9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9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9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9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9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9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9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9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9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9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9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9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9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9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9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9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9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9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9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9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9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9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9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9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9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9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9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9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9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9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9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9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9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9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9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9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9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9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9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9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9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9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9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9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9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9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9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9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9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9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9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9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9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9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9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9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9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9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9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9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9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9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9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9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9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9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9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9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9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9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9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9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9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9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9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9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9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9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9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9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9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9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9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9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9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9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9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9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9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9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9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9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9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9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9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9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9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9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9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9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9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9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9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9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9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9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9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9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9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9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9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9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9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9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9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9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9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9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9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9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9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9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9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9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9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9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9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9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9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9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9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9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9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9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9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9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9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9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9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9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9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9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9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9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9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9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9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9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9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9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9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9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9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9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9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9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9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9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9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9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9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9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9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9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9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9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9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9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9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9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9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9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9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9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9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9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9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9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9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9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9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9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9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9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9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9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9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9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9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9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9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9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9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9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9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9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9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9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9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9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9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9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9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9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9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9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9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9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9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9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9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9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9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9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9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9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9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9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9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9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9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9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9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9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9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9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9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9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9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9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9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9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9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9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9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9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9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9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9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9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9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9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9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9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9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9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9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9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9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9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9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9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9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9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9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9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9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9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9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9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9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9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9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9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9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9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9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9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9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9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9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9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9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9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9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9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9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9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9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9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9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9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9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9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9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9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9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9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9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9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9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9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9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9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9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9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9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9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9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9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9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9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9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9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9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9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9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9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9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9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9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9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9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9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9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9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9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9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9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9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9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9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9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9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9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9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9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9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9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9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9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9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9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9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9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9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9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9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9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9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9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9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9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9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9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9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9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9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9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9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9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9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9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9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9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9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9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9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9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9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9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9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9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9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9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9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9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9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9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9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9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9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9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9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9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9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9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9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9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9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9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9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9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9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9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9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9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9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9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9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9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B2" s="44">
        <v>42370</v>
      </c>
      <c r="P2" s="39"/>
      <c r="AD2" s="39"/>
    </row>
    <row r="3" spans="1:30" x14ac:dyDescent="0.25">
      <c r="B3" s="44">
        <v>42401</v>
      </c>
      <c r="P3" s="39"/>
      <c r="AD3" s="39"/>
    </row>
    <row r="4" spans="1:30" x14ac:dyDescent="0.25">
      <c r="B4" s="44">
        <v>42430</v>
      </c>
      <c r="P4" s="39"/>
      <c r="AD4" s="39"/>
    </row>
    <row r="5" spans="1:30" x14ac:dyDescent="0.25">
      <c r="B5" s="44">
        <v>42461</v>
      </c>
      <c r="P5" s="39"/>
      <c r="AD5" s="39"/>
    </row>
    <row r="6" spans="1:30" x14ac:dyDescent="0.25">
      <c r="B6" s="44">
        <v>42491</v>
      </c>
      <c r="P6" s="39"/>
      <c r="AD6" s="39"/>
    </row>
    <row r="7" spans="1:30" x14ac:dyDescent="0.25">
      <c r="B7" s="44">
        <v>42522</v>
      </c>
      <c r="P7" s="39"/>
      <c r="AD7" s="39"/>
    </row>
    <row r="8" spans="1:30" x14ac:dyDescent="0.25">
      <c r="B8" s="44">
        <v>42552</v>
      </c>
      <c r="P8" s="39"/>
      <c r="AD8" s="39"/>
    </row>
    <row r="9" spans="1:30" x14ac:dyDescent="0.25">
      <c r="B9" s="44">
        <v>42583</v>
      </c>
      <c r="P9" s="39"/>
      <c r="AD9" s="39"/>
    </row>
    <row r="10" spans="1:30" x14ac:dyDescent="0.25">
      <c r="B10" s="44">
        <v>42614</v>
      </c>
      <c r="P10" s="39"/>
      <c r="AD10" s="39"/>
    </row>
    <row r="11" spans="1:30" x14ac:dyDescent="0.25">
      <c r="B11" s="44">
        <v>42644</v>
      </c>
      <c r="P11" s="39"/>
      <c r="AD11" s="39"/>
    </row>
    <row r="12" spans="1:30" x14ac:dyDescent="0.25">
      <c r="B12" s="44">
        <v>42675</v>
      </c>
      <c r="P12" s="39"/>
      <c r="AD12" s="39"/>
    </row>
    <row r="13" spans="1:30" x14ac:dyDescent="0.25">
      <c r="B13" s="44">
        <v>42705</v>
      </c>
      <c r="P13" s="39"/>
      <c r="AD13" s="39"/>
    </row>
    <row r="14" spans="1:30" x14ac:dyDescent="0.25">
      <c r="B14" s="44">
        <v>42736</v>
      </c>
      <c r="P14" s="39"/>
      <c r="AD14" s="39"/>
    </row>
    <row r="15" spans="1:30" x14ac:dyDescent="0.25">
      <c r="B15" s="44">
        <v>42767</v>
      </c>
      <c r="P15" s="39"/>
      <c r="AD15" s="39"/>
    </row>
    <row r="16" spans="1:30" x14ac:dyDescent="0.25">
      <c r="B16" s="44">
        <v>42795</v>
      </c>
      <c r="P16" s="39"/>
      <c r="AD16" s="39"/>
    </row>
    <row r="17" spans="2:30" x14ac:dyDescent="0.25">
      <c r="B17" s="44">
        <v>42826</v>
      </c>
      <c r="P17" s="39"/>
      <c r="AD17" s="39"/>
    </row>
    <row r="18" spans="2:30" x14ac:dyDescent="0.25">
      <c r="B18" s="44">
        <v>42856</v>
      </c>
      <c r="P18" s="39"/>
      <c r="AD18" s="39"/>
    </row>
    <row r="19" spans="2:30" x14ac:dyDescent="0.25">
      <c r="B19" s="44">
        <v>42887</v>
      </c>
      <c r="P19" s="39"/>
      <c r="AD19" s="39"/>
    </row>
    <row r="20" spans="2:30" x14ac:dyDescent="0.25">
      <c r="B20" s="44">
        <v>42917</v>
      </c>
      <c r="P20" s="39"/>
      <c r="AD20" s="39"/>
    </row>
    <row r="21" spans="2:30" x14ac:dyDescent="0.25">
      <c r="B21" s="44">
        <v>42948</v>
      </c>
      <c r="P21" s="39"/>
      <c r="AD21" s="39"/>
    </row>
    <row r="22" spans="2:30" x14ac:dyDescent="0.25">
      <c r="B22" s="44">
        <v>42979</v>
      </c>
      <c r="P22" s="39"/>
      <c r="AD22" s="39"/>
    </row>
    <row r="23" spans="2:30" x14ac:dyDescent="0.25">
      <c r="B23" s="44">
        <v>43009</v>
      </c>
      <c r="P23" s="39"/>
      <c r="AD23" s="39"/>
    </row>
    <row r="24" spans="2:30" x14ac:dyDescent="0.25">
      <c r="B24" s="44">
        <v>43040</v>
      </c>
      <c r="P24" s="39"/>
      <c r="AD24" s="39"/>
    </row>
    <row r="25" spans="2:30" x14ac:dyDescent="0.25">
      <c r="B25" s="44">
        <v>43070</v>
      </c>
      <c r="P25" s="39"/>
      <c r="AD25" s="39"/>
    </row>
    <row r="26" spans="2:30" x14ac:dyDescent="0.25">
      <c r="B26" s="44">
        <v>43101</v>
      </c>
      <c r="P26" s="39"/>
      <c r="AD26" s="39"/>
    </row>
    <row r="27" spans="2:30" x14ac:dyDescent="0.25">
      <c r="B27" s="44">
        <v>43132</v>
      </c>
      <c r="P27" s="39"/>
      <c r="AD27" s="39"/>
    </row>
    <row r="28" spans="2:30" x14ac:dyDescent="0.25">
      <c r="B28" s="44">
        <v>43160</v>
      </c>
      <c r="P28" s="39"/>
      <c r="AD28" s="39"/>
    </row>
    <row r="29" spans="2:30" x14ac:dyDescent="0.25">
      <c r="B29" s="44">
        <v>43191</v>
      </c>
      <c r="P29" s="39"/>
      <c r="AD29" s="39"/>
    </row>
    <row r="30" spans="2:30" x14ac:dyDescent="0.25">
      <c r="B30" s="44">
        <v>43221</v>
      </c>
      <c r="P30" s="39"/>
      <c r="AD30" s="39"/>
    </row>
    <row r="31" spans="2:30" x14ac:dyDescent="0.25">
      <c r="B31" s="44">
        <v>43252</v>
      </c>
      <c r="P31" s="39"/>
      <c r="AD31" s="39"/>
    </row>
    <row r="32" spans="2:30" x14ac:dyDescent="0.25">
      <c r="B32" s="44">
        <v>43282</v>
      </c>
      <c r="P32" s="39"/>
      <c r="AD32" s="39"/>
    </row>
    <row r="33" spans="2:30" x14ac:dyDescent="0.25">
      <c r="B33" s="44">
        <v>43313</v>
      </c>
      <c r="P33" s="39"/>
      <c r="AD33" s="39"/>
    </row>
    <row r="34" spans="2:30" x14ac:dyDescent="0.25">
      <c r="B34" s="44">
        <v>43344</v>
      </c>
      <c r="P34" s="39"/>
      <c r="AD34" s="39"/>
    </row>
    <row r="35" spans="2:30" x14ac:dyDescent="0.25">
      <c r="B35" s="44">
        <v>43374</v>
      </c>
      <c r="P35" s="39"/>
      <c r="AD35" s="39"/>
    </row>
    <row r="36" spans="2:30" x14ac:dyDescent="0.25">
      <c r="B36" s="44">
        <v>43405</v>
      </c>
      <c r="P36" s="39"/>
      <c r="AD36" s="39"/>
    </row>
    <row r="37" spans="2:30" x14ac:dyDescent="0.25">
      <c r="B37" s="44">
        <v>43435</v>
      </c>
      <c r="P37" s="39"/>
      <c r="AD37" s="39"/>
    </row>
    <row r="38" spans="2:30" x14ac:dyDescent="0.25">
      <c r="B38" s="44">
        <v>43466</v>
      </c>
      <c r="P38" s="39"/>
      <c r="AD38" s="39"/>
    </row>
    <row r="39" spans="2:30" x14ac:dyDescent="0.25">
      <c r="B39" s="44">
        <v>43497</v>
      </c>
      <c r="P39" s="39"/>
      <c r="AD39" s="39"/>
    </row>
    <row r="40" spans="2:30" x14ac:dyDescent="0.25">
      <c r="B40" s="44">
        <v>43525</v>
      </c>
      <c r="P40" s="39"/>
      <c r="AD40" s="39"/>
    </row>
    <row r="41" spans="2:30" x14ac:dyDescent="0.25">
      <c r="B41" s="44">
        <v>43556</v>
      </c>
      <c r="P41" s="39"/>
      <c r="AD41" s="39"/>
    </row>
    <row r="42" spans="2:30" x14ac:dyDescent="0.25">
      <c r="B42" s="44">
        <v>43586</v>
      </c>
      <c r="P42" s="39"/>
      <c r="AD42" s="39"/>
    </row>
    <row r="43" spans="2:30" x14ac:dyDescent="0.25">
      <c r="B43" s="44">
        <v>43617</v>
      </c>
      <c r="P43" s="39"/>
      <c r="AD43" s="39"/>
    </row>
    <row r="44" spans="2:30" x14ac:dyDescent="0.25">
      <c r="B44" s="44">
        <v>43647</v>
      </c>
      <c r="P44" s="39"/>
      <c r="AD44" s="39"/>
    </row>
    <row r="45" spans="2:30" x14ac:dyDescent="0.25">
      <c r="B45" s="44">
        <v>43678</v>
      </c>
      <c r="P45" s="39"/>
      <c r="AD45" s="39"/>
    </row>
    <row r="46" spans="2:30" x14ac:dyDescent="0.25">
      <c r="B46" s="44">
        <v>43709</v>
      </c>
      <c r="P46" s="39"/>
      <c r="AD46" s="39"/>
    </row>
    <row r="47" spans="2:30" x14ac:dyDescent="0.25">
      <c r="B47" s="44">
        <v>43739</v>
      </c>
      <c r="P47" s="39"/>
      <c r="AD47" s="39"/>
    </row>
    <row r="48" spans="2:30" x14ac:dyDescent="0.25">
      <c r="B48" s="44">
        <v>43770</v>
      </c>
      <c r="P48" s="39"/>
      <c r="AD48" s="39"/>
    </row>
    <row r="49" spans="2:30" x14ac:dyDescent="0.25">
      <c r="B49" s="44">
        <v>43800</v>
      </c>
      <c r="P49" s="39"/>
      <c r="AD49" s="39"/>
    </row>
    <row r="50" spans="2:30" x14ac:dyDescent="0.25">
      <c r="B50" s="44">
        <v>43831</v>
      </c>
      <c r="P50" s="39"/>
      <c r="AD50" s="39"/>
    </row>
    <row r="51" spans="2:30" x14ac:dyDescent="0.25">
      <c r="B51" s="44">
        <v>43862</v>
      </c>
      <c r="P51" s="39"/>
      <c r="AD51" s="39"/>
    </row>
    <row r="52" spans="2:30" x14ac:dyDescent="0.25">
      <c r="B52" s="44">
        <v>43891</v>
      </c>
      <c r="P52" s="39"/>
      <c r="AD52" s="39"/>
    </row>
    <row r="53" spans="2:30" x14ac:dyDescent="0.25">
      <c r="B53" s="44">
        <v>43922</v>
      </c>
      <c r="P53" s="39"/>
      <c r="AD53" s="39"/>
    </row>
    <row r="54" spans="2:30" x14ac:dyDescent="0.25">
      <c r="B54" s="44">
        <v>43952</v>
      </c>
      <c r="P54" s="39"/>
      <c r="AD54" s="39"/>
    </row>
    <row r="55" spans="2:30" x14ac:dyDescent="0.25">
      <c r="B55" s="44">
        <v>43983</v>
      </c>
      <c r="P55" s="39"/>
      <c r="AD55" s="39"/>
    </row>
    <row r="56" spans="2:30" x14ac:dyDescent="0.25">
      <c r="B56" s="44">
        <v>44013</v>
      </c>
      <c r="P56" s="39"/>
      <c r="AD56" s="39"/>
    </row>
    <row r="57" spans="2:30" x14ac:dyDescent="0.25">
      <c r="B57" s="44">
        <v>44044</v>
      </c>
      <c r="P57" s="39"/>
      <c r="AD57" s="39"/>
    </row>
    <row r="58" spans="2:30" x14ac:dyDescent="0.25">
      <c r="B58" s="44">
        <v>44075</v>
      </c>
      <c r="P58" s="39"/>
      <c r="AD58" s="39"/>
    </row>
    <row r="59" spans="2:30" x14ac:dyDescent="0.25">
      <c r="B59" s="44">
        <v>44105</v>
      </c>
      <c r="P59" s="39"/>
      <c r="AD59" s="39"/>
    </row>
    <row r="60" spans="2:30" x14ac:dyDescent="0.25">
      <c r="B60" s="44">
        <v>44136</v>
      </c>
      <c r="P60" s="39"/>
      <c r="AD60" s="39"/>
    </row>
    <row r="61" spans="2:30" x14ac:dyDescent="0.25">
      <c r="B61" s="44">
        <v>44166</v>
      </c>
      <c r="P61" s="39"/>
      <c r="AD61" s="39"/>
    </row>
    <row r="62" spans="2:30" x14ac:dyDescent="0.25">
      <c r="B62" s="44">
        <v>44197</v>
      </c>
      <c r="P62" s="39"/>
      <c r="AD62" s="39"/>
    </row>
    <row r="63" spans="2:30" x14ac:dyDescent="0.25">
      <c r="B63" s="44">
        <v>44228</v>
      </c>
      <c r="P63" s="39"/>
      <c r="AD63" s="39"/>
    </row>
    <row r="64" spans="2:30" x14ac:dyDescent="0.25">
      <c r="B64" s="44">
        <v>44256</v>
      </c>
      <c r="P64" s="39"/>
      <c r="AD64" s="39"/>
    </row>
    <row r="65" spans="2:30" x14ac:dyDescent="0.25">
      <c r="B65" s="44">
        <v>44287</v>
      </c>
      <c r="P65" s="39"/>
      <c r="AD65" s="39"/>
    </row>
    <row r="66" spans="2:30" x14ac:dyDescent="0.25">
      <c r="B66" s="44">
        <v>44317</v>
      </c>
      <c r="P66" s="39"/>
      <c r="AD66" s="39"/>
    </row>
    <row r="67" spans="2:30" x14ac:dyDescent="0.25">
      <c r="B67" s="44">
        <v>44348</v>
      </c>
      <c r="P67" s="39"/>
      <c r="AD67" s="39"/>
    </row>
    <row r="68" spans="2:30" x14ac:dyDescent="0.25">
      <c r="B68" s="44">
        <v>44378</v>
      </c>
      <c r="P68" s="39"/>
      <c r="AD68" s="39"/>
    </row>
    <row r="69" spans="2:30" x14ac:dyDescent="0.25">
      <c r="B69" s="44">
        <v>44409</v>
      </c>
      <c r="P69" s="39"/>
      <c r="AD69" s="39"/>
    </row>
    <row r="70" spans="2:30" x14ac:dyDescent="0.25">
      <c r="B70" s="44">
        <v>44440</v>
      </c>
      <c r="P70" s="39"/>
      <c r="AD70" s="39"/>
    </row>
    <row r="71" spans="2:30" x14ac:dyDescent="0.25">
      <c r="B71" s="44">
        <v>44470</v>
      </c>
      <c r="P71" s="39"/>
      <c r="AD71" s="39"/>
    </row>
    <row r="72" spans="2:30" x14ac:dyDescent="0.25">
      <c r="B72" s="44">
        <v>44501</v>
      </c>
      <c r="P72" s="39"/>
      <c r="AD72" s="39"/>
    </row>
    <row r="73" spans="2:30" x14ac:dyDescent="0.25">
      <c r="B73" s="44">
        <v>44531</v>
      </c>
      <c r="P73" s="39"/>
      <c r="AD73" s="39"/>
    </row>
    <row r="74" spans="2:30" x14ac:dyDescent="0.25">
      <c r="B74" s="44">
        <v>44562</v>
      </c>
      <c r="P74" s="39"/>
      <c r="AD74" s="39"/>
    </row>
    <row r="75" spans="2:30" x14ac:dyDescent="0.25">
      <c r="B75" s="44">
        <v>44593</v>
      </c>
      <c r="P75" s="39"/>
      <c r="AD75" s="39"/>
    </row>
    <row r="76" spans="2:30" x14ac:dyDescent="0.25">
      <c r="B76" s="44">
        <v>44621</v>
      </c>
      <c r="P76" s="39"/>
      <c r="AD76" s="39"/>
    </row>
    <row r="77" spans="2:30" x14ac:dyDescent="0.25">
      <c r="B77" s="44">
        <v>44652</v>
      </c>
      <c r="P77" s="39"/>
      <c r="AD77" s="39"/>
    </row>
    <row r="78" spans="2:30" x14ac:dyDescent="0.25">
      <c r="B78" s="44">
        <v>44682</v>
      </c>
      <c r="P78" s="39"/>
      <c r="AD78" s="39"/>
    </row>
    <row r="79" spans="2:30" x14ac:dyDescent="0.25">
      <c r="B79" s="44">
        <v>44713</v>
      </c>
      <c r="P79" s="39"/>
      <c r="AD79" s="39"/>
    </row>
    <row r="80" spans="2:30" x14ac:dyDescent="0.25">
      <c r="B80" s="44">
        <v>44743</v>
      </c>
      <c r="P80" s="39"/>
      <c r="AD80" s="39"/>
    </row>
    <row r="81" spans="2:30" x14ac:dyDescent="0.25">
      <c r="B81" s="44">
        <v>44774</v>
      </c>
      <c r="P81" s="39"/>
      <c r="AD81" s="39"/>
    </row>
    <row r="82" spans="2:30" x14ac:dyDescent="0.25">
      <c r="B82" s="44">
        <v>44805</v>
      </c>
      <c r="P82" s="39"/>
      <c r="AD82" s="39"/>
    </row>
    <row r="83" spans="2:30" x14ac:dyDescent="0.25">
      <c r="B83" s="44">
        <v>44835</v>
      </c>
      <c r="P83" s="39"/>
      <c r="AD83" s="39"/>
    </row>
    <row r="84" spans="2:30" x14ac:dyDescent="0.25">
      <c r="B84" s="44">
        <v>44866</v>
      </c>
      <c r="P84" s="39"/>
      <c r="AD84" s="39"/>
    </row>
    <row r="85" spans="2:30" x14ac:dyDescent="0.25">
      <c r="B85" s="44">
        <v>44896</v>
      </c>
      <c r="P85" s="39"/>
      <c r="AD85" s="39"/>
    </row>
    <row r="86" spans="2:30" x14ac:dyDescent="0.25">
      <c r="B86" s="44">
        <v>44927</v>
      </c>
      <c r="P86" s="39"/>
      <c r="AD86" s="39"/>
    </row>
    <row r="87" spans="2:30" x14ac:dyDescent="0.25">
      <c r="B87" s="44">
        <v>44958</v>
      </c>
      <c r="P87" s="39"/>
      <c r="AD87" s="39"/>
    </row>
    <row r="88" spans="2:30" x14ac:dyDescent="0.25">
      <c r="B88" s="44">
        <v>44986</v>
      </c>
      <c r="P88" s="39"/>
      <c r="AD88" s="39"/>
    </row>
    <row r="89" spans="2:30" x14ac:dyDescent="0.25">
      <c r="B89" s="44">
        <v>45017</v>
      </c>
      <c r="P89" s="39"/>
      <c r="AD89" s="39"/>
    </row>
    <row r="90" spans="2:30" x14ac:dyDescent="0.25">
      <c r="B90" s="44">
        <v>45047</v>
      </c>
      <c r="P90" s="39"/>
      <c r="AD90" s="39"/>
    </row>
    <row r="91" spans="2:30" x14ac:dyDescent="0.25">
      <c r="B91" s="44">
        <v>45078</v>
      </c>
      <c r="P91" s="39"/>
      <c r="AD91" s="39"/>
    </row>
    <row r="92" spans="2:30" x14ac:dyDescent="0.25">
      <c r="B92" s="44">
        <v>45108</v>
      </c>
      <c r="P92" s="39"/>
      <c r="AD92" s="39"/>
    </row>
    <row r="93" spans="2:30" x14ac:dyDescent="0.25">
      <c r="B93" s="44">
        <v>45139</v>
      </c>
      <c r="P93" s="39"/>
      <c r="AD93" s="39"/>
    </row>
    <row r="94" spans="2:30" x14ac:dyDescent="0.25">
      <c r="B94" s="44">
        <v>45170</v>
      </c>
      <c r="P94" s="39"/>
      <c r="AD94" s="39"/>
    </row>
    <row r="95" spans="2:30" x14ac:dyDescent="0.25">
      <c r="B95" s="44">
        <v>45200</v>
      </c>
      <c r="P95" s="39"/>
      <c r="AD95" s="39"/>
    </row>
    <row r="96" spans="2:30" x14ac:dyDescent="0.25">
      <c r="B96" s="44">
        <v>45231</v>
      </c>
      <c r="P96" s="39"/>
      <c r="AD96" s="39"/>
    </row>
    <row r="97" spans="2:30" x14ac:dyDescent="0.25">
      <c r="B97" s="44">
        <v>45261</v>
      </c>
      <c r="P97" s="39"/>
      <c r="AD97" s="39"/>
    </row>
    <row r="98" spans="2:30" x14ac:dyDescent="0.25">
      <c r="B98" s="44">
        <v>45292</v>
      </c>
      <c r="P98" s="39"/>
      <c r="AD98" s="39"/>
    </row>
    <row r="99" spans="2:30" x14ac:dyDescent="0.25">
      <c r="B99" s="44">
        <v>45323</v>
      </c>
      <c r="P99" s="39"/>
      <c r="AD99" s="39"/>
    </row>
    <row r="100" spans="2:30" x14ac:dyDescent="0.25">
      <c r="B100" s="44">
        <v>45352</v>
      </c>
      <c r="P100" s="39"/>
      <c r="AD100" s="39"/>
    </row>
    <row r="101" spans="2:30" x14ac:dyDescent="0.25">
      <c r="B101" s="44">
        <v>45383</v>
      </c>
      <c r="P101" s="39"/>
      <c r="AD101" s="39"/>
    </row>
    <row r="102" spans="2:30" x14ac:dyDescent="0.25">
      <c r="B102" s="44">
        <v>45413</v>
      </c>
      <c r="P102" s="39"/>
      <c r="AD102" s="39"/>
    </row>
    <row r="103" spans="2:30" x14ac:dyDescent="0.25">
      <c r="B103" s="44">
        <v>45444</v>
      </c>
      <c r="P103" s="39"/>
      <c r="AD103" s="39"/>
    </row>
    <row r="104" spans="2:30" x14ac:dyDescent="0.25">
      <c r="B104" s="44">
        <v>45474</v>
      </c>
      <c r="P104" s="39"/>
      <c r="AD104" s="39"/>
    </row>
    <row r="105" spans="2:30" x14ac:dyDescent="0.25">
      <c r="B105" s="44">
        <v>45505</v>
      </c>
      <c r="P105" s="39"/>
      <c r="AD105" s="39"/>
    </row>
    <row r="106" spans="2:30" x14ac:dyDescent="0.25">
      <c r="B106" s="44">
        <v>45536</v>
      </c>
      <c r="P106" s="39"/>
      <c r="AD106" s="39"/>
    </row>
    <row r="107" spans="2:30" x14ac:dyDescent="0.25">
      <c r="B107" s="44">
        <v>45566</v>
      </c>
      <c r="P107" s="39"/>
      <c r="AD107" s="39"/>
    </row>
    <row r="108" spans="2:30" x14ac:dyDescent="0.25">
      <c r="B108" s="44">
        <v>45597</v>
      </c>
      <c r="P108" s="39"/>
      <c r="AD108" s="39"/>
    </row>
    <row r="109" spans="2:30" x14ac:dyDescent="0.25">
      <c r="B109" s="44">
        <v>45627</v>
      </c>
      <c r="P109" s="39"/>
      <c r="AD109" s="39"/>
    </row>
    <row r="110" spans="2:30" x14ac:dyDescent="0.25">
      <c r="B110" s="44">
        <v>45658</v>
      </c>
      <c r="P110" s="39"/>
      <c r="AD110" s="39"/>
    </row>
    <row r="111" spans="2:30" x14ac:dyDescent="0.25">
      <c r="B111" s="44">
        <v>45689</v>
      </c>
      <c r="P111" s="39"/>
      <c r="AD111" s="39"/>
    </row>
    <row r="112" spans="2:30" x14ac:dyDescent="0.25">
      <c r="B112" s="44">
        <v>45717</v>
      </c>
      <c r="P112" s="39"/>
      <c r="AD112" s="39"/>
    </row>
    <row r="113" spans="2:30" x14ac:dyDescent="0.25">
      <c r="B113" s="44">
        <v>45748</v>
      </c>
      <c r="P113" s="39"/>
      <c r="AD113" s="39"/>
    </row>
    <row r="114" spans="2:30" x14ac:dyDescent="0.25">
      <c r="B114" s="44">
        <v>45778</v>
      </c>
      <c r="P114" s="39"/>
      <c r="AD114" s="39"/>
    </row>
    <row r="115" spans="2:30" x14ac:dyDescent="0.25">
      <c r="B115" s="44">
        <v>45809</v>
      </c>
      <c r="P115" s="39"/>
      <c r="AD115" s="39"/>
    </row>
    <row r="116" spans="2:30" x14ac:dyDescent="0.25">
      <c r="B116" s="44">
        <v>45839</v>
      </c>
      <c r="P116" s="39"/>
      <c r="AD116" s="39"/>
    </row>
    <row r="117" spans="2:30" x14ac:dyDescent="0.25">
      <c r="B117" s="44">
        <v>45870</v>
      </c>
      <c r="P117" s="39"/>
      <c r="AD117" s="39"/>
    </row>
    <row r="118" spans="2:30" x14ac:dyDescent="0.25">
      <c r="B118" s="44">
        <v>45901</v>
      </c>
      <c r="P118" s="39"/>
      <c r="AD118" s="39"/>
    </row>
    <row r="119" spans="2:30" x14ac:dyDescent="0.25">
      <c r="B119" s="44">
        <v>45931</v>
      </c>
      <c r="P119" s="39"/>
      <c r="AD119" s="39"/>
    </row>
    <row r="120" spans="2:30" x14ac:dyDescent="0.25">
      <c r="B120" s="44">
        <v>45962</v>
      </c>
      <c r="P120" s="39"/>
      <c r="AD120" s="39"/>
    </row>
    <row r="121" spans="2:30" x14ac:dyDescent="0.25">
      <c r="B121" s="44">
        <v>45992</v>
      </c>
      <c r="P121" s="39"/>
      <c r="AD121" s="39"/>
    </row>
    <row r="122" spans="2:30" x14ac:dyDescent="0.25">
      <c r="B122" s="44">
        <v>46023</v>
      </c>
      <c r="P122" s="39"/>
      <c r="AD122" s="39"/>
    </row>
    <row r="123" spans="2:30" x14ac:dyDescent="0.25">
      <c r="B123" s="44">
        <v>46054</v>
      </c>
      <c r="P123" s="39"/>
      <c r="AD123" s="39"/>
    </row>
    <row r="124" spans="2:30" x14ac:dyDescent="0.25">
      <c r="B124" s="44">
        <v>46082</v>
      </c>
      <c r="P124" s="39"/>
      <c r="AD124" s="39"/>
    </row>
    <row r="125" spans="2:30" x14ac:dyDescent="0.25">
      <c r="B125" s="44">
        <v>46113</v>
      </c>
      <c r="P125" s="39"/>
      <c r="AD125" s="39"/>
    </row>
    <row r="126" spans="2:30" x14ac:dyDescent="0.25">
      <c r="B126" s="44">
        <v>46143</v>
      </c>
      <c r="P126" s="39"/>
      <c r="AD126" s="39"/>
    </row>
    <row r="127" spans="2:30" x14ac:dyDescent="0.25">
      <c r="B127" s="44">
        <v>46174</v>
      </c>
      <c r="P127" s="39"/>
      <c r="AD127" s="39"/>
    </row>
    <row r="128" spans="2:30" x14ac:dyDescent="0.25">
      <c r="B128" s="44">
        <v>46204</v>
      </c>
      <c r="P128" s="39"/>
      <c r="AD128" s="39"/>
    </row>
    <row r="129" spans="2:30" x14ac:dyDescent="0.25">
      <c r="B129" s="44">
        <v>46235</v>
      </c>
      <c r="P129" s="39"/>
      <c r="AD129" s="39"/>
    </row>
    <row r="130" spans="2:30" x14ac:dyDescent="0.25">
      <c r="B130" s="44">
        <v>46266</v>
      </c>
      <c r="P130" s="39"/>
      <c r="AD130" s="39"/>
    </row>
    <row r="131" spans="2:30" x14ac:dyDescent="0.25">
      <c r="B131" s="44">
        <v>46296</v>
      </c>
      <c r="P131" s="39"/>
      <c r="AD131" s="39"/>
    </row>
    <row r="132" spans="2:30" x14ac:dyDescent="0.25">
      <c r="B132" s="44">
        <v>46327</v>
      </c>
      <c r="P132" s="39"/>
      <c r="AD132" s="39"/>
    </row>
    <row r="133" spans="2:30" x14ac:dyDescent="0.25">
      <c r="B133" s="44">
        <v>46357</v>
      </c>
      <c r="P133" s="39"/>
      <c r="AD133" s="39"/>
    </row>
    <row r="134" spans="2:30" x14ac:dyDescent="0.25">
      <c r="B134" s="44">
        <v>46388</v>
      </c>
      <c r="P134" s="39"/>
      <c r="AD134" s="39"/>
    </row>
    <row r="135" spans="2:30" x14ac:dyDescent="0.25">
      <c r="B135" s="44">
        <v>46419</v>
      </c>
      <c r="P135" s="39"/>
      <c r="AD135" s="39"/>
    </row>
    <row r="136" spans="2:30" x14ac:dyDescent="0.25">
      <c r="B136" s="44">
        <v>46447</v>
      </c>
      <c r="P136" s="39"/>
      <c r="AD136" s="39"/>
    </row>
    <row r="137" spans="2:30" x14ac:dyDescent="0.25">
      <c r="B137" s="44">
        <v>46478</v>
      </c>
      <c r="P137" s="39"/>
      <c r="AD137" s="39"/>
    </row>
    <row r="138" spans="2:30" x14ac:dyDescent="0.25">
      <c r="B138" s="44">
        <v>46508</v>
      </c>
      <c r="P138" s="39"/>
      <c r="AD138" s="39"/>
    </row>
    <row r="139" spans="2:30" x14ac:dyDescent="0.25">
      <c r="B139" s="44">
        <v>46539</v>
      </c>
      <c r="P139" s="39"/>
      <c r="AD139" s="39"/>
    </row>
    <row r="140" spans="2:30" x14ac:dyDescent="0.25">
      <c r="B140" s="44">
        <v>46569</v>
      </c>
      <c r="P140" s="39"/>
      <c r="AD140" s="39"/>
    </row>
    <row r="141" spans="2:30" x14ac:dyDescent="0.25">
      <c r="B141" s="44">
        <v>46600</v>
      </c>
      <c r="P141" s="39"/>
      <c r="AD141" s="39"/>
    </row>
    <row r="142" spans="2:30" x14ac:dyDescent="0.25">
      <c r="B142" s="44">
        <v>46631</v>
      </c>
      <c r="P142" s="39"/>
      <c r="AD142" s="39"/>
    </row>
    <row r="143" spans="2:30" x14ac:dyDescent="0.25">
      <c r="B143" s="44">
        <v>46661</v>
      </c>
      <c r="P143" s="39"/>
      <c r="AD143" s="39"/>
    </row>
    <row r="144" spans="2:30" x14ac:dyDescent="0.25">
      <c r="B144" s="44">
        <v>46692</v>
      </c>
      <c r="P144" s="39"/>
      <c r="AD144" s="39"/>
    </row>
    <row r="145" spans="2:30" x14ac:dyDescent="0.25">
      <c r="B145" s="44">
        <v>46722</v>
      </c>
      <c r="P145" s="39"/>
      <c r="AD145" s="39"/>
    </row>
    <row r="146" spans="2:30" x14ac:dyDescent="0.25">
      <c r="B146" s="44">
        <v>46753</v>
      </c>
      <c r="P146" s="39"/>
      <c r="AD146" s="39"/>
    </row>
    <row r="147" spans="2:30" x14ac:dyDescent="0.25">
      <c r="B147" s="44">
        <v>46784</v>
      </c>
      <c r="P147" s="39"/>
      <c r="AD147" s="39"/>
    </row>
    <row r="148" spans="2:30" x14ac:dyDescent="0.25">
      <c r="B148" s="44">
        <v>46813</v>
      </c>
      <c r="P148" s="39"/>
      <c r="AD148" s="39"/>
    </row>
    <row r="149" spans="2:30" x14ac:dyDescent="0.25">
      <c r="B149" s="44">
        <v>46844</v>
      </c>
      <c r="P149" s="39"/>
      <c r="AD149" s="39"/>
    </row>
    <row r="150" spans="2:30" x14ac:dyDescent="0.25">
      <c r="B150" s="44">
        <v>46874</v>
      </c>
      <c r="P150" s="39"/>
      <c r="AD150" s="39"/>
    </row>
    <row r="151" spans="2:30" x14ac:dyDescent="0.25">
      <c r="B151" s="44">
        <v>46905</v>
      </c>
      <c r="P151" s="39"/>
      <c r="AD151" s="39"/>
    </row>
    <row r="152" spans="2:30" x14ac:dyDescent="0.25">
      <c r="B152" s="44">
        <v>46935</v>
      </c>
      <c r="P152" s="39"/>
      <c r="AD152" s="39"/>
    </row>
    <row r="153" spans="2:30" x14ac:dyDescent="0.25">
      <c r="B153" s="44">
        <v>46966</v>
      </c>
      <c r="P153" s="39"/>
      <c r="AD153" s="39"/>
    </row>
    <row r="154" spans="2:30" x14ac:dyDescent="0.25">
      <c r="B154" s="44">
        <v>46997</v>
      </c>
      <c r="P154" s="39"/>
      <c r="AD154" s="39"/>
    </row>
    <row r="155" spans="2:30" x14ac:dyDescent="0.25">
      <c r="B155" s="44">
        <v>47027</v>
      </c>
      <c r="P155" s="39"/>
      <c r="AD155" s="39"/>
    </row>
    <row r="156" spans="2:30" x14ac:dyDescent="0.25">
      <c r="B156" s="44">
        <v>47058</v>
      </c>
      <c r="P156" s="39"/>
      <c r="AD156" s="39"/>
    </row>
    <row r="157" spans="2:30" x14ac:dyDescent="0.25">
      <c r="B157" s="44">
        <v>47088</v>
      </c>
      <c r="P157" s="39"/>
      <c r="AD157" s="39"/>
    </row>
    <row r="158" spans="2:30" x14ac:dyDescent="0.25">
      <c r="B158" s="44">
        <v>47119</v>
      </c>
      <c r="P158" s="39"/>
      <c r="AD158" s="39"/>
    </row>
    <row r="159" spans="2:30" x14ac:dyDescent="0.25">
      <c r="B159" s="44">
        <v>47150</v>
      </c>
      <c r="P159" s="39"/>
      <c r="AD159" s="39"/>
    </row>
    <row r="160" spans="2:30" x14ac:dyDescent="0.25">
      <c r="B160" s="44">
        <v>47178</v>
      </c>
      <c r="P160" s="39"/>
      <c r="AD160" s="39"/>
    </row>
    <row r="161" spans="2:30" x14ac:dyDescent="0.25">
      <c r="B161" s="44">
        <v>47209</v>
      </c>
      <c r="P161" s="39"/>
      <c r="AD161" s="39"/>
    </row>
    <row r="162" spans="2:30" x14ac:dyDescent="0.25">
      <c r="B162" s="44">
        <v>47239</v>
      </c>
      <c r="P162" s="39"/>
      <c r="AD162" s="39"/>
    </row>
    <row r="163" spans="2:30" x14ac:dyDescent="0.25">
      <c r="B163" s="44">
        <v>47270</v>
      </c>
      <c r="P163" s="39"/>
      <c r="AD163" s="39"/>
    </row>
    <row r="164" spans="2:30" x14ac:dyDescent="0.25">
      <c r="B164" s="44">
        <v>47300</v>
      </c>
      <c r="P164" s="39"/>
      <c r="AD164" s="39"/>
    </row>
    <row r="165" spans="2:30" x14ac:dyDescent="0.25">
      <c r="B165" s="44">
        <v>47331</v>
      </c>
      <c r="P165" s="39"/>
      <c r="AD165" s="39"/>
    </row>
    <row r="166" spans="2:30" x14ac:dyDescent="0.25">
      <c r="B166" s="44">
        <v>47362</v>
      </c>
      <c r="P166" s="39"/>
      <c r="AD166" s="39"/>
    </row>
    <row r="167" spans="2:30" x14ac:dyDescent="0.25">
      <c r="B167" s="44">
        <v>47392</v>
      </c>
      <c r="P167" s="39"/>
      <c r="AD167" s="39"/>
    </row>
    <row r="168" spans="2:30" x14ac:dyDescent="0.25">
      <c r="B168" s="44">
        <v>47423</v>
      </c>
      <c r="P168" s="39"/>
      <c r="AD168" s="39"/>
    </row>
    <row r="169" spans="2:30" x14ac:dyDescent="0.25">
      <c r="B169" s="44">
        <v>47453</v>
      </c>
      <c r="P169" s="39"/>
      <c r="AD169" s="39"/>
    </row>
    <row r="170" spans="2:30" x14ac:dyDescent="0.25">
      <c r="B170" s="44">
        <v>47484</v>
      </c>
      <c r="P170" s="39"/>
      <c r="AD170" s="39"/>
    </row>
    <row r="171" spans="2:30" x14ac:dyDescent="0.25">
      <c r="B171" s="44">
        <v>47515</v>
      </c>
      <c r="P171" s="39"/>
      <c r="AD171" s="39"/>
    </row>
    <row r="172" spans="2:30" x14ac:dyDescent="0.25">
      <c r="B172" s="44">
        <v>47543</v>
      </c>
      <c r="P172" s="39"/>
      <c r="AD172" s="39"/>
    </row>
    <row r="173" spans="2:30" x14ac:dyDescent="0.25">
      <c r="B173" s="44">
        <v>47574</v>
      </c>
      <c r="P173" s="39"/>
      <c r="AD173" s="39"/>
    </row>
    <row r="174" spans="2:30" x14ac:dyDescent="0.25">
      <c r="B174" s="44">
        <v>47604</v>
      </c>
      <c r="P174" s="39"/>
      <c r="AD174" s="39"/>
    </row>
    <row r="175" spans="2:30" x14ac:dyDescent="0.25">
      <c r="B175" s="44">
        <v>47635</v>
      </c>
      <c r="P175" s="39"/>
      <c r="AD175" s="39"/>
    </row>
    <row r="176" spans="2:30" x14ac:dyDescent="0.25">
      <c r="B176" s="44">
        <v>47665</v>
      </c>
      <c r="P176" s="39"/>
      <c r="AD176" s="39"/>
    </row>
    <row r="177" spans="2:30" x14ac:dyDescent="0.25">
      <c r="B177" s="44">
        <v>47696</v>
      </c>
      <c r="P177" s="39"/>
      <c r="AD177" s="39"/>
    </row>
    <row r="178" spans="2:30" x14ac:dyDescent="0.25">
      <c r="B178" s="44">
        <v>47727</v>
      </c>
      <c r="P178" s="39"/>
      <c r="AD178" s="39"/>
    </row>
    <row r="179" spans="2:30" x14ac:dyDescent="0.25">
      <c r="B179" s="44">
        <v>47757</v>
      </c>
      <c r="P179" s="39"/>
      <c r="AD179" s="39"/>
    </row>
    <row r="180" spans="2:30" x14ac:dyDescent="0.25">
      <c r="B180" s="44">
        <v>47788</v>
      </c>
      <c r="P180" s="39"/>
      <c r="AD180" s="39"/>
    </row>
    <row r="181" spans="2:30" x14ac:dyDescent="0.25">
      <c r="B181" s="44">
        <v>47818</v>
      </c>
      <c r="P181" s="39"/>
      <c r="AD181" s="39"/>
    </row>
    <row r="182" spans="2:30" x14ac:dyDescent="0.25">
      <c r="B182" s="44">
        <v>47849</v>
      </c>
      <c r="P182" s="39"/>
      <c r="AD182" s="39"/>
    </row>
    <row r="183" spans="2:30" x14ac:dyDescent="0.25">
      <c r="B183" s="44">
        <v>47880</v>
      </c>
      <c r="P183" s="39"/>
      <c r="AD183" s="39"/>
    </row>
    <row r="184" spans="2:30" x14ac:dyDescent="0.25">
      <c r="B184" s="44">
        <v>47908</v>
      </c>
      <c r="P184" s="39"/>
      <c r="AD184" s="39"/>
    </row>
    <row r="185" spans="2:30" x14ac:dyDescent="0.25">
      <c r="B185" s="44">
        <v>47939</v>
      </c>
      <c r="P185" s="39"/>
      <c r="AD185" s="39"/>
    </row>
    <row r="186" spans="2:30" x14ac:dyDescent="0.25">
      <c r="B186" s="44">
        <v>47969</v>
      </c>
      <c r="P186" s="39"/>
      <c r="AD186" s="39"/>
    </row>
    <row r="187" spans="2:30" x14ac:dyDescent="0.25">
      <c r="B187" s="44">
        <v>48000</v>
      </c>
      <c r="P187" s="39"/>
      <c r="AD187" s="39"/>
    </row>
    <row r="188" spans="2:30" x14ac:dyDescent="0.25">
      <c r="B188" s="44">
        <v>48030</v>
      </c>
      <c r="P188" s="39"/>
      <c r="AD188" s="39"/>
    </row>
    <row r="189" spans="2:30" x14ac:dyDescent="0.25">
      <c r="B189" s="44">
        <v>48061</v>
      </c>
      <c r="P189" s="39"/>
      <c r="AD189" s="39"/>
    </row>
    <row r="190" spans="2:30" x14ac:dyDescent="0.25">
      <c r="B190" s="44">
        <v>48092</v>
      </c>
      <c r="P190" s="39"/>
      <c r="AD190" s="39"/>
    </row>
    <row r="191" spans="2:30" x14ac:dyDescent="0.25">
      <c r="B191" s="44">
        <v>48122</v>
      </c>
      <c r="P191" s="39"/>
      <c r="AD191" s="39"/>
    </row>
    <row r="192" spans="2:30" x14ac:dyDescent="0.25">
      <c r="B192" s="44">
        <v>48153</v>
      </c>
      <c r="P192" s="39"/>
      <c r="AD192" s="39"/>
    </row>
    <row r="193" spans="2:30" x14ac:dyDescent="0.25">
      <c r="B193" s="44">
        <v>48183</v>
      </c>
      <c r="P193" s="39"/>
      <c r="AD193" s="39"/>
    </row>
    <row r="194" spans="2:30" x14ac:dyDescent="0.25">
      <c r="B194" s="44">
        <v>48214</v>
      </c>
      <c r="P194" s="39"/>
      <c r="AD194" s="39"/>
    </row>
    <row r="195" spans="2:30" x14ac:dyDescent="0.25">
      <c r="B195" s="44">
        <v>48245</v>
      </c>
      <c r="P195" s="39"/>
      <c r="AD195" s="39"/>
    </row>
    <row r="196" spans="2:30" x14ac:dyDescent="0.25">
      <c r="B196" s="44">
        <v>48274</v>
      </c>
      <c r="P196" s="39"/>
      <c r="AD196" s="39"/>
    </row>
    <row r="197" spans="2:30" x14ac:dyDescent="0.25">
      <c r="B197" s="44">
        <v>48305</v>
      </c>
      <c r="P197" s="39"/>
      <c r="AD197" s="39"/>
    </row>
    <row r="198" spans="2:30" x14ac:dyDescent="0.25">
      <c r="B198" s="44">
        <v>48335</v>
      </c>
      <c r="P198" s="39"/>
      <c r="AD198" s="39"/>
    </row>
    <row r="199" spans="2:30" x14ac:dyDescent="0.25">
      <c r="B199" s="44">
        <v>48366</v>
      </c>
      <c r="P199" s="39"/>
      <c r="AD199" s="39"/>
    </row>
    <row r="200" spans="2:30" x14ac:dyDescent="0.25">
      <c r="B200" s="44">
        <v>48396</v>
      </c>
      <c r="P200" s="39"/>
      <c r="AD200" s="39"/>
    </row>
    <row r="201" spans="2:30" x14ac:dyDescent="0.25">
      <c r="B201" s="44">
        <v>48427</v>
      </c>
      <c r="P201" s="39"/>
      <c r="AD201" s="39"/>
    </row>
    <row r="202" spans="2:30" x14ac:dyDescent="0.25">
      <c r="B202" s="44">
        <v>48458</v>
      </c>
      <c r="P202" s="39"/>
      <c r="AD202" s="39"/>
    </row>
    <row r="203" spans="2:30" x14ac:dyDescent="0.25">
      <c r="B203" s="44">
        <v>48488</v>
      </c>
      <c r="P203" s="39"/>
      <c r="AD203" s="39"/>
    </row>
    <row r="204" spans="2:30" x14ac:dyDescent="0.25">
      <c r="B204" s="44">
        <v>48519</v>
      </c>
      <c r="P204" s="39"/>
      <c r="AD204" s="39"/>
    </row>
    <row r="205" spans="2:30" x14ac:dyDescent="0.25">
      <c r="B205" s="44">
        <v>48549</v>
      </c>
      <c r="P205" s="39"/>
      <c r="AD205" s="39"/>
    </row>
    <row r="206" spans="2:30" x14ac:dyDescent="0.25">
      <c r="B206" s="44">
        <v>48580</v>
      </c>
      <c r="P206" s="39"/>
      <c r="AD206" s="39"/>
    </row>
    <row r="207" spans="2:30" x14ac:dyDescent="0.25">
      <c r="B207" s="44">
        <v>48611</v>
      </c>
      <c r="P207" s="39"/>
      <c r="AD207" s="39"/>
    </row>
    <row r="208" spans="2:30" x14ac:dyDescent="0.25">
      <c r="B208" s="44">
        <v>48639</v>
      </c>
      <c r="P208" s="39"/>
      <c r="AD208" s="39"/>
    </row>
    <row r="209" spans="2:30" x14ac:dyDescent="0.25">
      <c r="B209" s="44">
        <v>48670</v>
      </c>
      <c r="P209" s="39"/>
      <c r="AD209" s="39"/>
    </row>
    <row r="210" spans="2:30" x14ac:dyDescent="0.25">
      <c r="B210" s="44">
        <v>48700</v>
      </c>
      <c r="P210" s="39"/>
      <c r="AD210" s="39"/>
    </row>
    <row r="211" spans="2:30" x14ac:dyDescent="0.25">
      <c r="B211" s="44">
        <v>48731</v>
      </c>
      <c r="P211" s="39"/>
      <c r="AD211" s="39"/>
    </row>
    <row r="212" spans="2:30" x14ac:dyDescent="0.25">
      <c r="B212" s="44">
        <v>48761</v>
      </c>
      <c r="P212" s="39"/>
      <c r="AD212" s="39"/>
    </row>
    <row r="213" spans="2:30" x14ac:dyDescent="0.25">
      <c r="B213" s="44">
        <v>48792</v>
      </c>
      <c r="P213" s="39"/>
      <c r="AD213" s="39"/>
    </row>
    <row r="214" spans="2:30" x14ac:dyDescent="0.25">
      <c r="B214" s="44">
        <v>48823</v>
      </c>
      <c r="P214" s="39"/>
      <c r="AD214" s="39"/>
    </row>
    <row r="215" spans="2:30" x14ac:dyDescent="0.25">
      <c r="B215" s="44">
        <v>48853</v>
      </c>
      <c r="P215" s="39"/>
      <c r="AD215" s="39"/>
    </row>
    <row r="216" spans="2:30" x14ac:dyDescent="0.25">
      <c r="B216" s="44">
        <v>48884</v>
      </c>
      <c r="P216" s="39"/>
      <c r="AD216" s="39"/>
    </row>
    <row r="217" spans="2:30" x14ac:dyDescent="0.25">
      <c r="B217" s="44">
        <v>48914</v>
      </c>
      <c r="P217" s="39"/>
      <c r="AD217" s="39"/>
    </row>
    <row r="218" spans="2:30" x14ac:dyDescent="0.25">
      <c r="B218" s="44">
        <v>48945</v>
      </c>
      <c r="P218" s="39"/>
      <c r="AD218" s="39"/>
    </row>
    <row r="219" spans="2:30" x14ac:dyDescent="0.25">
      <c r="B219" s="44">
        <v>48976</v>
      </c>
      <c r="P219" s="39"/>
      <c r="AD219" s="39"/>
    </row>
    <row r="220" spans="2:30" x14ac:dyDescent="0.25">
      <c r="B220" s="44">
        <v>49004</v>
      </c>
      <c r="P220" s="39"/>
      <c r="AD220" s="39"/>
    </row>
    <row r="221" spans="2:30" x14ac:dyDescent="0.25">
      <c r="B221" s="44">
        <v>49035</v>
      </c>
      <c r="P221" s="39"/>
      <c r="AD221" s="39"/>
    </row>
    <row r="222" spans="2:30" x14ac:dyDescent="0.25">
      <c r="B222" s="44">
        <v>49065</v>
      </c>
      <c r="P222" s="39"/>
      <c r="AD222" s="39"/>
    </row>
    <row r="223" spans="2:30" x14ac:dyDescent="0.25">
      <c r="B223" s="44">
        <v>49096</v>
      </c>
      <c r="P223" s="39"/>
      <c r="AD223" s="39"/>
    </row>
    <row r="224" spans="2:30" x14ac:dyDescent="0.25">
      <c r="B224" s="44">
        <v>49126</v>
      </c>
      <c r="P224" s="39"/>
      <c r="AD224" s="39"/>
    </row>
    <row r="225" spans="2:30" x14ac:dyDescent="0.25">
      <c r="B225" s="44">
        <v>49157</v>
      </c>
      <c r="P225" s="39"/>
      <c r="AD225" s="39"/>
    </row>
    <row r="226" spans="2:30" x14ac:dyDescent="0.25">
      <c r="B226" s="44">
        <v>49188</v>
      </c>
      <c r="P226" s="39"/>
      <c r="AD226" s="39"/>
    </row>
    <row r="227" spans="2:30" x14ac:dyDescent="0.25">
      <c r="B227" s="44">
        <v>49218</v>
      </c>
      <c r="P227" s="39"/>
      <c r="AD227" s="39"/>
    </row>
    <row r="228" spans="2:30" x14ac:dyDescent="0.25">
      <c r="B228" s="44">
        <v>49249</v>
      </c>
      <c r="P228" s="39"/>
      <c r="AD228" s="39"/>
    </row>
    <row r="229" spans="2:30" x14ac:dyDescent="0.25">
      <c r="B229" s="44">
        <v>49279</v>
      </c>
      <c r="P229" s="39"/>
      <c r="AD229" s="39"/>
    </row>
    <row r="230" spans="2:30" x14ac:dyDescent="0.25">
      <c r="B230" s="44">
        <v>49310</v>
      </c>
      <c r="P230" s="39"/>
      <c r="AD230" s="39"/>
    </row>
    <row r="231" spans="2:30" x14ac:dyDescent="0.25">
      <c r="B231" s="44">
        <v>49341</v>
      </c>
      <c r="P231" s="39"/>
      <c r="AD231" s="39"/>
    </row>
    <row r="232" spans="2:30" x14ac:dyDescent="0.25">
      <c r="B232" s="44">
        <v>49369</v>
      </c>
      <c r="P232" s="39"/>
      <c r="AD232" s="39"/>
    </row>
    <row r="233" spans="2:30" x14ac:dyDescent="0.25">
      <c r="B233" s="44">
        <v>49400</v>
      </c>
      <c r="P233" s="39"/>
      <c r="AD233" s="39"/>
    </row>
    <row r="234" spans="2:30" x14ac:dyDescent="0.25">
      <c r="B234" s="44">
        <v>49430</v>
      </c>
      <c r="P234" s="39"/>
      <c r="AD234" s="39"/>
    </row>
    <row r="235" spans="2:30" x14ac:dyDescent="0.25">
      <c r="B235" s="44">
        <v>49461</v>
      </c>
      <c r="P235" s="39"/>
      <c r="AD235" s="3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5" customWidth="1"/>
    <col min="2" max="2" width="14.42578125" style="46" customWidth="1"/>
    <col min="3" max="3" width="22.28515625" style="46" customWidth="1"/>
    <col min="4" max="4" width="9.28515625" style="46" bestFit="1" customWidth="1"/>
    <col min="5" max="5" width="11.5703125" style="46" customWidth="1"/>
    <col min="6" max="6" width="9.7109375" style="46" bestFit="1" customWidth="1"/>
    <col min="7" max="7" width="63.7109375" style="45" bestFit="1" customWidth="1"/>
    <col min="8" max="16384" width="11.5703125" style="45"/>
  </cols>
  <sheetData>
    <row r="1" spans="1:7" ht="12" x14ac:dyDescent="0.2">
      <c r="A1" s="47" t="s">
        <v>302</v>
      </c>
      <c r="B1" s="48" t="s">
        <v>303</v>
      </c>
      <c r="C1" s="48" t="s">
        <v>304</v>
      </c>
      <c r="D1" s="48" t="s">
        <v>305</v>
      </c>
      <c r="E1" s="48" t="s">
        <v>306</v>
      </c>
      <c r="F1" s="48" t="s">
        <v>307</v>
      </c>
      <c r="G1" s="48" t="s">
        <v>308</v>
      </c>
    </row>
    <row r="2" spans="1:7" ht="12" x14ac:dyDescent="0.2">
      <c r="A2" s="45" t="s">
        <v>333</v>
      </c>
      <c r="B2" s="49">
        <v>42588</v>
      </c>
      <c r="C2" s="46" t="s">
        <v>334</v>
      </c>
      <c r="D2" s="49">
        <v>42566</v>
      </c>
      <c r="E2" s="49">
        <v>42594</v>
      </c>
      <c r="F2" s="51">
        <v>5.4600000000000003E-2</v>
      </c>
      <c r="G2" s="45" t="s">
        <v>335</v>
      </c>
    </row>
    <row r="3" spans="1:7" ht="12" x14ac:dyDescent="0.2">
      <c r="A3" s="45" t="s">
        <v>336</v>
      </c>
      <c r="B3" s="49">
        <v>42614</v>
      </c>
      <c r="C3" s="46" t="s">
        <v>337</v>
      </c>
      <c r="D3" s="49">
        <v>42595</v>
      </c>
      <c r="E3" s="49">
        <v>42627</v>
      </c>
      <c r="F3" s="51">
        <v>5.4199999999999998E-2</v>
      </c>
      <c r="G3" s="45" t="s">
        <v>338</v>
      </c>
    </row>
    <row r="4" spans="1:7" ht="12" x14ac:dyDescent="0.2">
      <c r="A4" s="45" t="s">
        <v>339</v>
      </c>
      <c r="B4" s="49">
        <v>43018</v>
      </c>
      <c r="C4" s="46" t="s">
        <v>340</v>
      </c>
      <c r="D4" s="49">
        <v>42993</v>
      </c>
      <c r="E4" s="49">
        <v>43021</v>
      </c>
      <c r="F4" s="51">
        <v>4.1599999999999998E-2</v>
      </c>
      <c r="G4" s="45" t="s">
        <v>341</v>
      </c>
    </row>
    <row r="5" spans="1:7" ht="12" x14ac:dyDescent="0.2">
      <c r="A5" s="45" t="s">
        <v>342</v>
      </c>
      <c r="B5" s="49">
        <v>43018</v>
      </c>
      <c r="C5" s="46" t="s">
        <v>340</v>
      </c>
      <c r="D5" s="49">
        <v>42993</v>
      </c>
      <c r="E5" s="49">
        <v>43021</v>
      </c>
      <c r="F5" s="51">
        <v>4.1599999999999998E-2</v>
      </c>
      <c r="G5" s="45" t="s">
        <v>341</v>
      </c>
    </row>
    <row r="6" spans="1:7" ht="12" x14ac:dyDescent="0.2">
      <c r="A6" s="45" t="s">
        <v>343</v>
      </c>
      <c r="B6" s="49">
        <v>43183</v>
      </c>
      <c r="C6" s="46" t="s">
        <v>344</v>
      </c>
      <c r="D6" s="49">
        <v>43174</v>
      </c>
      <c r="E6" s="49">
        <v>43203</v>
      </c>
      <c r="F6" s="51">
        <v>4.2000000000000003E-2</v>
      </c>
      <c r="G6" s="45" t="s">
        <v>345</v>
      </c>
    </row>
    <row r="7" spans="1:7" ht="12" x14ac:dyDescent="0.2">
      <c r="A7" s="45" t="s">
        <v>346</v>
      </c>
      <c r="B7" s="49">
        <v>43371</v>
      </c>
      <c r="C7" s="46" t="s">
        <v>309</v>
      </c>
      <c r="D7" s="49">
        <v>43358</v>
      </c>
      <c r="E7" s="49">
        <v>43385</v>
      </c>
      <c r="F7" s="50">
        <v>4.3799999999999999E-2</v>
      </c>
      <c r="G7" s="45" t="s">
        <v>310</v>
      </c>
    </row>
    <row r="8" spans="1:7" ht="12" x14ac:dyDescent="0.2">
      <c r="A8" s="45" t="s">
        <v>347</v>
      </c>
      <c r="B8" s="49">
        <v>43591</v>
      </c>
      <c r="C8" s="46" t="s">
        <v>311</v>
      </c>
      <c r="D8" s="49">
        <v>43570</v>
      </c>
      <c r="E8" s="49">
        <v>43599</v>
      </c>
      <c r="F8" s="50">
        <v>4.4600000000000001E-2</v>
      </c>
      <c r="G8" s="45" t="s">
        <v>312</v>
      </c>
    </row>
    <row r="9" spans="1:7" ht="12" x14ac:dyDescent="0.2">
      <c r="A9" s="45" t="s">
        <v>348</v>
      </c>
      <c r="B9" s="49">
        <v>44137</v>
      </c>
      <c r="C9" s="46" t="s">
        <v>313</v>
      </c>
      <c r="D9" s="49">
        <v>44119</v>
      </c>
      <c r="E9" s="49">
        <v>44148</v>
      </c>
      <c r="F9" s="51">
        <v>3.61E-2</v>
      </c>
      <c r="G9" s="45" t="s">
        <v>314</v>
      </c>
    </row>
    <row r="10" spans="1:7" ht="12" x14ac:dyDescent="0.2">
      <c r="A10" s="45" t="s">
        <v>349</v>
      </c>
      <c r="B10" s="49">
        <v>44275</v>
      </c>
      <c r="C10" s="46" t="s">
        <v>315</v>
      </c>
      <c r="D10" s="49">
        <v>44270</v>
      </c>
      <c r="E10" s="49">
        <v>44300</v>
      </c>
      <c r="F10" s="51">
        <v>3.9100000000000003E-2</v>
      </c>
      <c r="G10" s="45" t="s">
        <v>316</v>
      </c>
    </row>
    <row r="11" spans="1:7" ht="11.45" customHeight="1" x14ac:dyDescent="0.2">
      <c r="A11" s="45" t="s">
        <v>350</v>
      </c>
      <c r="B11" s="49">
        <v>44336</v>
      </c>
      <c r="C11" s="46" t="s">
        <v>317</v>
      </c>
      <c r="D11" s="49">
        <v>44330</v>
      </c>
      <c r="F11" s="51">
        <v>3.2800000000000003E-2</v>
      </c>
      <c r="G11" s="45" t="s">
        <v>318</v>
      </c>
    </row>
    <row r="13" spans="1:7" ht="11.45" customHeight="1" x14ac:dyDescent="0.2">
      <c r="A13" s="45" t="s">
        <v>300</v>
      </c>
    </row>
    <row r="14" spans="1:7" ht="12" x14ac:dyDescent="0.2">
      <c r="A14" s="45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README</vt:lpstr>
      <vt:lpstr>MAPA_DATA</vt:lpstr>
      <vt:lpstr>ReliquidacionEFACT</vt:lpstr>
      <vt:lpstr>ReliquidacionCEN</vt:lpstr>
      <vt:lpstr>ResumenRetiros</vt:lpstr>
      <vt:lpstr>FACT_EMITIDA</vt:lpstr>
      <vt:lpstr>SIGGE_E</vt:lpstr>
      <vt:lpstr>SIGGE_P</vt:lpstr>
      <vt:lpstr>FACT_EST_EFACT</vt:lpstr>
      <vt:lpstr>FactRealE</vt:lpstr>
      <vt:lpstr>FactRealP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2022-04-01T14:12:38Z</dcterms:modified>
</cp:coreProperties>
</file>